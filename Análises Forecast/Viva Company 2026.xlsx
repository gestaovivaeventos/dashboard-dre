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ucasm\Downloads\"/>
    </mc:Choice>
  </mc:AlternateContent>
  <xr:revisionPtr revIDLastSave="0" documentId="13_ncr:20001_{A47DC1B9-34F7-4D42-9D87-76C56D7F0C08}" xr6:coauthVersionLast="47" xr6:coauthVersionMax="47" xr10:uidLastSave="{00000000-0000-0000-0000-000000000000}"/>
  <bookViews>
    <workbookView xWindow="-30" yWindow="2355" windowWidth="21600" windowHeight="11295" xr2:uid="{00000000-000D-0000-FFFF-FFFF00000000}"/>
  </bookViews>
  <sheets>
    <sheet name="Resultados" sheetId="1" r:id="rId1"/>
    <sheet name="Cálculos de Impostos" sheetId="2" r:id="rId2"/>
    <sheet name="Lançamentos Omie" sheetId="3" r:id="rId3"/>
    <sheet name="Página60" sheetId="4" r:id="rId4"/>
    <sheet name="Outras Informações" sheetId="5" r:id="rId5"/>
    <sheet name="Rendimentos SPDX" sheetId="6" state="hidden" r:id="rId6"/>
    <sheet name="Viagens Consultoria" sheetId="7" r:id="rId7"/>
    <sheet name="P&amp;D" sheetId="8" state="hidden" r:id="rId8"/>
    <sheet name="Pessoal" sheetId="9" r:id="rId9"/>
    <sheet name="Conversor GP" sheetId="10" state="hidden" r:id="rId10"/>
    <sheet name="Aproveitamento Perse" sheetId="11" state="hidden" r:id="rId11"/>
    <sheet name="Lançamentos Retroagidos" sheetId="12" state="hidden" r:id="rId12"/>
  </sheets>
  <definedNames>
    <definedName name="_xlnm._FilterDatabase" localSheetId="9" hidden="1">'Conversor GP'!$E$1:$F$76</definedName>
    <definedName name="_xlnm._FilterDatabase" localSheetId="2" hidden="1">'Lançamentos Omie'!$A$1:$K$2786</definedName>
    <definedName name="_xlnm._FilterDatabase" localSheetId="3" hidden="1">Página60!$A$1:$C$708</definedName>
  </definedNames>
  <calcPr calcId="191029"/>
  <pivotCaches>
    <pivotCache cacheId="4" r:id="rId1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1" l="1"/>
  <c r="H9" i="11"/>
  <c r="N9" i="11" s="1"/>
  <c r="C82" i="10"/>
  <c r="C81" i="10"/>
  <c r="C80" i="10"/>
  <c r="C79" i="10"/>
  <c r="C78" i="10"/>
  <c r="C77" i="10"/>
  <c r="C76" i="10"/>
  <c r="C75" i="10"/>
  <c r="C73" i="10"/>
  <c r="C72" i="10"/>
  <c r="C70" i="10"/>
  <c r="C69" i="10"/>
  <c r="C68" i="10"/>
  <c r="C66" i="10"/>
  <c r="C65" i="10"/>
  <c r="C64" i="10"/>
  <c r="C63" i="10"/>
  <c r="C62" i="10"/>
  <c r="C61" i="10"/>
  <c r="C60" i="10"/>
  <c r="C58" i="10"/>
  <c r="C57" i="10"/>
  <c r="C56" i="10"/>
  <c r="C55" i="10"/>
  <c r="C54" i="10"/>
  <c r="C53" i="10"/>
  <c r="C52" i="10"/>
  <c r="C50" i="10"/>
  <c r="C49" i="10"/>
  <c r="C48" i="10"/>
  <c r="C47" i="10"/>
  <c r="C46" i="10"/>
  <c r="C45" i="10"/>
  <c r="C43" i="10"/>
  <c r="C42" i="10"/>
  <c r="C41" i="10"/>
  <c r="C40" i="10"/>
  <c r="C39" i="10"/>
  <c r="C38" i="10"/>
  <c r="C37" i="10"/>
  <c r="C36" i="10"/>
  <c r="C35" i="10"/>
  <c r="C34" i="10"/>
  <c r="C31" i="10"/>
  <c r="C30" i="10"/>
  <c r="C29" i="10"/>
  <c r="C28" i="10"/>
  <c r="C25" i="10"/>
  <c r="C24" i="10"/>
  <c r="C23" i="10"/>
  <c r="C22" i="10"/>
  <c r="C20" i="10"/>
  <c r="C19" i="10"/>
  <c r="C18" i="10"/>
  <c r="C17" i="10"/>
  <c r="C16" i="10"/>
  <c r="C15" i="10"/>
  <c r="C13" i="10"/>
  <c r="C12" i="10"/>
  <c r="C11" i="10"/>
  <c r="C10" i="10"/>
  <c r="C9" i="10"/>
  <c r="C8" i="10"/>
  <c r="C7" i="10"/>
  <c r="C5" i="10"/>
  <c r="C4" i="10"/>
  <c r="C3" i="10"/>
  <c r="C2" i="10"/>
  <c r="P622" i="9"/>
  <c r="P621" i="9"/>
  <c r="P620" i="9"/>
  <c r="P619" i="9"/>
  <c r="P618" i="9"/>
  <c r="F617" i="9"/>
  <c r="F614" i="9" s="1"/>
  <c r="P616" i="9"/>
  <c r="P615" i="9"/>
  <c r="D615" i="9"/>
  <c r="O614" i="9"/>
  <c r="N614" i="9"/>
  <c r="M614" i="9"/>
  <c r="L614" i="9"/>
  <c r="K614" i="9"/>
  <c r="J614" i="9"/>
  <c r="I614" i="9"/>
  <c r="H614" i="9"/>
  <c r="G614" i="9"/>
  <c r="E614" i="9"/>
  <c r="D614" i="9"/>
  <c r="L612" i="9"/>
  <c r="C612" i="9"/>
  <c r="G612" i="9" s="1"/>
  <c r="P609" i="9"/>
  <c r="P608" i="9"/>
  <c r="P607" i="9"/>
  <c r="F607" i="9"/>
  <c r="F605" i="9" s="1"/>
  <c r="H66" i="2" s="1"/>
  <c r="E607" i="9"/>
  <c r="E605" i="9" s="1"/>
  <c r="D607" i="9"/>
  <c r="D605" i="9" s="1"/>
  <c r="P606" i="9"/>
  <c r="P605" i="9" s="1"/>
  <c r="G606" i="9"/>
  <c r="F606" i="9"/>
  <c r="O605" i="9"/>
  <c r="N605" i="9"/>
  <c r="M605" i="9"/>
  <c r="L605" i="9"/>
  <c r="K605" i="9"/>
  <c r="J605" i="9"/>
  <c r="I605" i="9"/>
  <c r="H605" i="9"/>
  <c r="G605" i="9"/>
  <c r="L603" i="9"/>
  <c r="C603" i="9"/>
  <c r="K16" i="10" s="1"/>
  <c r="P600" i="9"/>
  <c r="P599" i="9"/>
  <c r="P598" i="9"/>
  <c r="P597" i="9"/>
  <c r="P596" i="9"/>
  <c r="P595" i="9"/>
  <c r="P594" i="9"/>
  <c r="P593" i="9"/>
  <c r="P592" i="9"/>
  <c r="P591" i="9"/>
  <c r="P590" i="9"/>
  <c r="P589" i="9"/>
  <c r="P588" i="9"/>
  <c r="P587" i="9"/>
  <c r="P586" i="9"/>
  <c r="P585" i="9"/>
  <c r="P583" i="9"/>
  <c r="P582" i="9"/>
  <c r="P581" i="9"/>
  <c r="P580" i="9"/>
  <c r="P579" i="9"/>
  <c r="P578" i="9"/>
  <c r="P577" i="9"/>
  <c r="P576" i="9"/>
  <c r="P575" i="9"/>
  <c r="P574" i="9"/>
  <c r="P572" i="9"/>
  <c r="P571" i="9"/>
  <c r="P570" i="9"/>
  <c r="P569" i="9"/>
  <c r="P568" i="9"/>
  <c r="P567" i="9"/>
  <c r="P566" i="9"/>
  <c r="P565" i="9"/>
  <c r="P564" i="9"/>
  <c r="P563" i="9"/>
  <c r="P562" i="9"/>
  <c r="P561" i="9"/>
  <c r="P560" i="9"/>
  <c r="P559" i="9"/>
  <c r="P558" i="9"/>
  <c r="P557" i="9"/>
  <c r="P556" i="9"/>
  <c r="P555" i="9"/>
  <c r="P554" i="9"/>
  <c r="P553" i="9"/>
  <c r="P552" i="9"/>
  <c r="P551" i="9"/>
  <c r="P550" i="9"/>
  <c r="P549" i="9"/>
  <c r="P548" i="9"/>
  <c r="P545" i="9"/>
  <c r="P544" i="9"/>
  <c r="P543" i="9"/>
  <c r="P542" i="9"/>
  <c r="P541" i="9"/>
  <c r="P540" i="9"/>
  <c r="P539" i="9"/>
  <c r="P538" i="9"/>
  <c r="P537" i="9"/>
  <c r="P536" i="9"/>
  <c r="P535" i="9"/>
  <c r="P534" i="9"/>
  <c r="P533" i="9"/>
  <c r="P532" i="9"/>
  <c r="P531" i="9"/>
  <c r="P530" i="9"/>
  <c r="P529" i="9"/>
  <c r="P528" i="9"/>
  <c r="P527" i="9"/>
  <c r="P526" i="9"/>
  <c r="P525" i="9"/>
  <c r="P524" i="9"/>
  <c r="P523" i="9"/>
  <c r="P522" i="9"/>
  <c r="P519" i="9" s="1"/>
  <c r="P521" i="9"/>
  <c r="P520" i="9"/>
  <c r="O519" i="9"/>
  <c r="N519" i="9"/>
  <c r="M519" i="9"/>
  <c r="L519" i="9"/>
  <c r="K519" i="9"/>
  <c r="J519" i="9"/>
  <c r="I519" i="9"/>
  <c r="H519" i="9"/>
  <c r="G519" i="9"/>
  <c r="F519" i="9"/>
  <c r="E519" i="9"/>
  <c r="D519" i="9"/>
  <c r="K517" i="9"/>
  <c r="H517" i="9"/>
  <c r="C517" i="9"/>
  <c r="O517" i="9" s="1"/>
  <c r="P515" i="9"/>
  <c r="P514" i="9"/>
  <c r="P513" i="9"/>
  <c r="P512" i="9"/>
  <c r="P511" i="9"/>
  <c r="P510" i="9"/>
  <c r="P509" i="9"/>
  <c r="P508" i="9"/>
  <c r="P507" i="9"/>
  <c r="P506" i="9"/>
  <c r="P505" i="9"/>
  <c r="P504" i="9"/>
  <c r="P503" i="9"/>
  <c r="P502" i="9"/>
  <c r="P501" i="9"/>
  <c r="P500" i="9"/>
  <c r="P498" i="9"/>
  <c r="P497" i="9"/>
  <c r="K25" i="10" s="1"/>
  <c r="P496" i="9"/>
  <c r="P495" i="9"/>
  <c r="P494" i="9"/>
  <c r="P493" i="9"/>
  <c r="P492" i="9"/>
  <c r="P491" i="9"/>
  <c r="P490" i="9"/>
  <c r="P489" i="9"/>
  <c r="P487" i="9"/>
  <c r="P486" i="9"/>
  <c r="P485" i="9"/>
  <c r="P484" i="9"/>
  <c r="P483" i="9"/>
  <c r="P482" i="9"/>
  <c r="P481" i="9"/>
  <c r="P480" i="9"/>
  <c r="P479" i="9"/>
  <c r="P478" i="9"/>
  <c r="P477" i="9"/>
  <c r="P476" i="9"/>
  <c r="P475" i="9"/>
  <c r="P474" i="9"/>
  <c r="P473" i="9"/>
  <c r="P472" i="9"/>
  <c r="P471" i="9"/>
  <c r="P470" i="9"/>
  <c r="P469" i="9"/>
  <c r="P468" i="9"/>
  <c r="P467" i="9"/>
  <c r="P466" i="9"/>
  <c r="P465" i="9"/>
  <c r="P464" i="9"/>
  <c r="P463" i="9"/>
  <c r="P460" i="9"/>
  <c r="P459" i="9"/>
  <c r="P458" i="9"/>
  <c r="P457" i="9"/>
  <c r="N4" i="10" s="1"/>
  <c r="P456" i="9"/>
  <c r="P455" i="9"/>
  <c r="P454" i="9"/>
  <c r="P453" i="9"/>
  <c r="P452" i="9"/>
  <c r="P451" i="9"/>
  <c r="P450" i="9"/>
  <c r="P449" i="9"/>
  <c r="P448" i="9"/>
  <c r="P447" i="9"/>
  <c r="P446" i="9"/>
  <c r="P445" i="9"/>
  <c r="P444" i="9"/>
  <c r="P443" i="9"/>
  <c r="P442" i="9"/>
  <c r="P441" i="9"/>
  <c r="P440" i="9"/>
  <c r="P439" i="9"/>
  <c r="P438" i="9"/>
  <c r="P437" i="9"/>
  <c r="P436" i="9"/>
  <c r="P435" i="9"/>
  <c r="P434" i="9" s="1"/>
  <c r="O434" i="9"/>
  <c r="N434" i="9"/>
  <c r="M434" i="9"/>
  <c r="L434" i="9"/>
  <c r="K434" i="9"/>
  <c r="J434" i="9"/>
  <c r="I434" i="9"/>
  <c r="H434" i="9"/>
  <c r="G434" i="9"/>
  <c r="F434" i="9"/>
  <c r="E434" i="9"/>
  <c r="D434" i="9"/>
  <c r="P432" i="9"/>
  <c r="G432" i="9"/>
  <c r="D432" i="9"/>
  <c r="C432" i="9"/>
  <c r="K432" i="9" s="1"/>
  <c r="O429" i="9"/>
  <c r="N429" i="9"/>
  <c r="M429" i="9"/>
  <c r="L429" i="9"/>
  <c r="K429" i="9"/>
  <c r="J429" i="9"/>
  <c r="I429" i="9"/>
  <c r="H429" i="9"/>
  <c r="G429" i="9"/>
  <c r="F429" i="9"/>
  <c r="E429" i="9"/>
  <c r="D429" i="9"/>
  <c r="P429" i="9" s="1"/>
  <c r="O428" i="9"/>
  <c r="N428" i="9"/>
  <c r="M428" i="9"/>
  <c r="L428" i="9"/>
  <c r="K428" i="9"/>
  <c r="J428" i="9"/>
  <c r="I428" i="9"/>
  <c r="H428" i="9"/>
  <c r="G428" i="9"/>
  <c r="F428" i="9"/>
  <c r="E428" i="9"/>
  <c r="D428" i="9"/>
  <c r="P428" i="9" s="1"/>
  <c r="O427" i="9"/>
  <c r="N427" i="9"/>
  <c r="M427" i="9"/>
  <c r="L427" i="9"/>
  <c r="K427" i="9"/>
  <c r="J427" i="9"/>
  <c r="I427" i="9"/>
  <c r="H427" i="9"/>
  <c r="G427" i="9"/>
  <c r="F427" i="9"/>
  <c r="E427" i="9"/>
  <c r="D427" i="9"/>
  <c r="P427" i="9" s="1"/>
  <c r="O426" i="9"/>
  <c r="N426" i="9"/>
  <c r="M426" i="9"/>
  <c r="L426" i="9"/>
  <c r="K426" i="9"/>
  <c r="J426" i="9"/>
  <c r="I426" i="9"/>
  <c r="H426" i="9"/>
  <c r="G426" i="9"/>
  <c r="F426" i="9"/>
  <c r="E426" i="9"/>
  <c r="D426" i="9"/>
  <c r="P426" i="9" s="1"/>
  <c r="O425" i="9"/>
  <c r="N425" i="9"/>
  <c r="M425" i="9"/>
  <c r="L425" i="9"/>
  <c r="K425" i="9"/>
  <c r="J425" i="9"/>
  <c r="I425" i="9"/>
  <c r="H425" i="9"/>
  <c r="G425" i="9"/>
  <c r="G346" i="9" s="1"/>
  <c r="F425" i="9"/>
  <c r="E425" i="9"/>
  <c r="D425" i="9"/>
  <c r="P425" i="9" s="1"/>
  <c r="O424" i="9"/>
  <c r="N424" i="9"/>
  <c r="M424" i="9"/>
  <c r="L424" i="9"/>
  <c r="K424" i="9"/>
  <c r="J424" i="9"/>
  <c r="I424" i="9"/>
  <c r="H424" i="9"/>
  <c r="G424" i="9"/>
  <c r="F424" i="9"/>
  <c r="E424" i="9"/>
  <c r="D424" i="9"/>
  <c r="P424" i="9" s="1"/>
  <c r="O423" i="9"/>
  <c r="N423" i="9"/>
  <c r="M423" i="9"/>
  <c r="L423" i="9"/>
  <c r="K423" i="9"/>
  <c r="J423" i="9"/>
  <c r="I423" i="9"/>
  <c r="H423" i="9"/>
  <c r="G423" i="9"/>
  <c r="F423" i="9"/>
  <c r="E423" i="9"/>
  <c r="D423" i="9"/>
  <c r="P423" i="9" s="1"/>
  <c r="O422" i="9"/>
  <c r="N422" i="9"/>
  <c r="M422" i="9"/>
  <c r="L422" i="9"/>
  <c r="K422" i="9"/>
  <c r="J422" i="9"/>
  <c r="I422" i="9"/>
  <c r="H422" i="9"/>
  <c r="G422" i="9"/>
  <c r="F422" i="9"/>
  <c r="E422" i="9"/>
  <c r="D422" i="9"/>
  <c r="P422" i="9" s="1"/>
  <c r="I421" i="9"/>
  <c r="H421" i="9"/>
  <c r="G421" i="9"/>
  <c r="F421" i="9"/>
  <c r="E421" i="9"/>
  <c r="P421" i="9" s="1"/>
  <c r="D421" i="9"/>
  <c r="O420" i="9"/>
  <c r="N420" i="9"/>
  <c r="M420" i="9"/>
  <c r="L420" i="9"/>
  <c r="K420" i="9"/>
  <c r="J420" i="9"/>
  <c r="I420" i="9"/>
  <c r="H420" i="9"/>
  <c r="G420" i="9"/>
  <c r="F420" i="9"/>
  <c r="E420" i="9"/>
  <c r="D420" i="9"/>
  <c r="P420" i="9" s="1"/>
  <c r="O419" i="9"/>
  <c r="N419" i="9"/>
  <c r="M419" i="9"/>
  <c r="L419" i="9"/>
  <c r="K419" i="9"/>
  <c r="J419" i="9"/>
  <c r="I419" i="9"/>
  <c r="H419" i="9"/>
  <c r="G419" i="9"/>
  <c r="F419" i="9"/>
  <c r="E419" i="9"/>
  <c r="D419" i="9"/>
  <c r="P419" i="9" s="1"/>
  <c r="P418" i="9"/>
  <c r="F418" i="9"/>
  <c r="E418" i="9"/>
  <c r="D418" i="9"/>
  <c r="O417" i="9"/>
  <c r="N417" i="9"/>
  <c r="M417" i="9"/>
  <c r="L417" i="9"/>
  <c r="K417" i="9"/>
  <c r="J417" i="9"/>
  <c r="I417" i="9"/>
  <c r="H417" i="9"/>
  <c r="G417" i="9"/>
  <c r="F417" i="9"/>
  <c r="E417" i="9"/>
  <c r="D417" i="9"/>
  <c r="P417" i="9" s="1"/>
  <c r="O416" i="9"/>
  <c r="N416" i="9"/>
  <c r="M416" i="9"/>
  <c r="L416" i="9"/>
  <c r="K416" i="9"/>
  <c r="J416" i="9"/>
  <c r="I416" i="9"/>
  <c r="H416" i="9"/>
  <c r="G416" i="9"/>
  <c r="F416" i="9"/>
  <c r="E416" i="9"/>
  <c r="D416" i="9"/>
  <c r="P416" i="9" s="1"/>
  <c r="O415" i="9"/>
  <c r="N415" i="9"/>
  <c r="M415" i="9"/>
  <c r="L415" i="9"/>
  <c r="K415" i="9"/>
  <c r="J415" i="9"/>
  <c r="I415" i="9"/>
  <c r="H415" i="9"/>
  <c r="G415" i="9"/>
  <c r="F415" i="9"/>
  <c r="E415" i="9"/>
  <c r="D415" i="9"/>
  <c r="P415" i="9" s="1"/>
  <c r="E414" i="9"/>
  <c r="D414" i="9"/>
  <c r="P414" i="9" s="1"/>
  <c r="O413" i="9"/>
  <c r="N413" i="9"/>
  <c r="M413" i="9"/>
  <c r="L413" i="9"/>
  <c r="K413" i="9"/>
  <c r="J413" i="9"/>
  <c r="I413" i="9"/>
  <c r="H413" i="9"/>
  <c r="G413" i="9"/>
  <c r="F413" i="9"/>
  <c r="E413" i="9"/>
  <c r="D413" i="9"/>
  <c r="P413" i="9" s="1"/>
  <c r="O412" i="9"/>
  <c r="N412" i="9"/>
  <c r="M412" i="9"/>
  <c r="L412" i="9"/>
  <c r="K412" i="9"/>
  <c r="J412" i="9"/>
  <c r="I412" i="9"/>
  <c r="H412" i="9"/>
  <c r="G412" i="9"/>
  <c r="F412" i="9"/>
  <c r="E412" i="9"/>
  <c r="D412" i="9"/>
  <c r="P412" i="9" s="1"/>
  <c r="O411" i="9"/>
  <c r="N411" i="9"/>
  <c r="M411" i="9"/>
  <c r="L411" i="9"/>
  <c r="K411" i="9"/>
  <c r="J411" i="9"/>
  <c r="I411" i="9"/>
  <c r="H411" i="9"/>
  <c r="G411" i="9"/>
  <c r="F411" i="9"/>
  <c r="E411" i="9"/>
  <c r="D411" i="9"/>
  <c r="P411" i="9" s="1"/>
  <c r="O410" i="9"/>
  <c r="N410" i="9"/>
  <c r="M410" i="9"/>
  <c r="L410" i="9"/>
  <c r="K410" i="9"/>
  <c r="J410" i="9"/>
  <c r="I410" i="9"/>
  <c r="H410" i="9"/>
  <c r="G410" i="9"/>
  <c r="F410" i="9"/>
  <c r="E410" i="9"/>
  <c r="D410" i="9"/>
  <c r="P410" i="9" s="1"/>
  <c r="O409" i="9"/>
  <c r="N409" i="9"/>
  <c r="M409" i="9"/>
  <c r="L409" i="9"/>
  <c r="K409" i="9"/>
  <c r="J409" i="9"/>
  <c r="I409" i="9"/>
  <c r="H409" i="9"/>
  <c r="G409" i="9"/>
  <c r="F409" i="9"/>
  <c r="E409" i="9"/>
  <c r="D409" i="9"/>
  <c r="P409" i="9" s="1"/>
  <c r="O408" i="9"/>
  <c r="N408" i="9"/>
  <c r="M408" i="9"/>
  <c r="L408" i="9"/>
  <c r="K408" i="9"/>
  <c r="J408" i="9"/>
  <c r="I408" i="9"/>
  <c r="H408" i="9"/>
  <c r="G408" i="9"/>
  <c r="F408" i="9"/>
  <c r="E408" i="9"/>
  <c r="D408" i="9"/>
  <c r="P408" i="9" s="1"/>
  <c r="O407" i="9"/>
  <c r="N407" i="9"/>
  <c r="M407" i="9"/>
  <c r="L407" i="9"/>
  <c r="K407" i="9"/>
  <c r="J407" i="9"/>
  <c r="I407" i="9"/>
  <c r="H407" i="9"/>
  <c r="G407" i="9"/>
  <c r="F407" i="9"/>
  <c r="E407" i="9"/>
  <c r="D407" i="9"/>
  <c r="P407" i="9" s="1"/>
  <c r="I406" i="9"/>
  <c r="H406" i="9"/>
  <c r="G406" i="9"/>
  <c r="F406" i="9"/>
  <c r="E406" i="9"/>
  <c r="D406" i="9"/>
  <c r="P406" i="9" s="1"/>
  <c r="O405" i="9"/>
  <c r="N405" i="9"/>
  <c r="M405" i="9"/>
  <c r="L405" i="9"/>
  <c r="K405" i="9"/>
  <c r="J405" i="9"/>
  <c r="I405" i="9"/>
  <c r="H405" i="9"/>
  <c r="G405" i="9"/>
  <c r="F405" i="9"/>
  <c r="E405" i="9"/>
  <c r="D405" i="9"/>
  <c r="P405" i="9" s="1"/>
  <c r="O404" i="9"/>
  <c r="N404" i="9"/>
  <c r="M404" i="9"/>
  <c r="L404" i="9"/>
  <c r="K404" i="9"/>
  <c r="J404" i="9"/>
  <c r="I404" i="9"/>
  <c r="H404" i="9"/>
  <c r="G404" i="9"/>
  <c r="F404" i="9"/>
  <c r="E404" i="9"/>
  <c r="D404" i="9"/>
  <c r="P404" i="9" s="1"/>
  <c r="O403" i="9"/>
  <c r="N403" i="9"/>
  <c r="M403" i="9"/>
  <c r="L403" i="9"/>
  <c r="K403" i="9"/>
  <c r="J403" i="9"/>
  <c r="I403" i="9"/>
  <c r="H403" i="9"/>
  <c r="G403" i="9"/>
  <c r="F403" i="9"/>
  <c r="E403" i="9"/>
  <c r="D403" i="9"/>
  <c r="P403" i="9" s="1"/>
  <c r="P401" i="9"/>
  <c r="O400" i="9"/>
  <c r="N400" i="9"/>
  <c r="M400" i="9"/>
  <c r="L400" i="9"/>
  <c r="K400" i="9"/>
  <c r="J400" i="9"/>
  <c r="I400" i="9"/>
  <c r="H400" i="9"/>
  <c r="G400" i="9"/>
  <c r="F400" i="9"/>
  <c r="E400" i="9"/>
  <c r="D400" i="9"/>
  <c r="P400" i="9" s="1"/>
  <c r="O399" i="9"/>
  <c r="N399" i="9"/>
  <c r="M399" i="9"/>
  <c r="L399" i="9"/>
  <c r="K399" i="9"/>
  <c r="J399" i="9"/>
  <c r="I399" i="9"/>
  <c r="H399" i="9"/>
  <c r="G399" i="9"/>
  <c r="F399" i="9"/>
  <c r="E399" i="9"/>
  <c r="D399" i="9"/>
  <c r="P399" i="9" s="1"/>
  <c r="I398" i="9"/>
  <c r="H398" i="9"/>
  <c r="G398" i="9"/>
  <c r="F398" i="9"/>
  <c r="E398" i="9"/>
  <c r="D398" i="9"/>
  <c r="P398" i="9" s="1"/>
  <c r="N7" i="10" s="1"/>
  <c r="O397" i="9"/>
  <c r="N397" i="9"/>
  <c r="M397" i="9"/>
  <c r="L397" i="9"/>
  <c r="K397" i="9"/>
  <c r="J397" i="9"/>
  <c r="I397" i="9"/>
  <c r="H397" i="9"/>
  <c r="G397" i="9"/>
  <c r="F397" i="9"/>
  <c r="E397" i="9"/>
  <c r="D397" i="9"/>
  <c r="P397" i="9" s="1"/>
  <c r="O396" i="9"/>
  <c r="N396" i="9"/>
  <c r="M396" i="9"/>
  <c r="L396" i="9"/>
  <c r="K396" i="9"/>
  <c r="J396" i="9"/>
  <c r="I396" i="9"/>
  <c r="H396" i="9"/>
  <c r="G396" i="9"/>
  <c r="F396" i="9"/>
  <c r="E396" i="9"/>
  <c r="D396" i="9"/>
  <c r="P396" i="9" s="1"/>
  <c r="O395" i="9"/>
  <c r="N395" i="9"/>
  <c r="M395" i="9"/>
  <c r="L395" i="9"/>
  <c r="K395" i="9"/>
  <c r="J395" i="9"/>
  <c r="I395" i="9"/>
  <c r="H395" i="9"/>
  <c r="G395" i="9"/>
  <c r="F395" i="9"/>
  <c r="E395" i="9"/>
  <c r="D395" i="9"/>
  <c r="P395" i="9" s="1"/>
  <c r="O394" i="9"/>
  <c r="N394" i="9"/>
  <c r="M394" i="9"/>
  <c r="L394" i="9"/>
  <c r="K394" i="9"/>
  <c r="J394" i="9"/>
  <c r="I394" i="9"/>
  <c r="H394" i="9"/>
  <c r="G394" i="9"/>
  <c r="F394" i="9"/>
  <c r="E394" i="9"/>
  <c r="D394" i="9"/>
  <c r="P394" i="9" s="1"/>
  <c r="O393" i="9"/>
  <c r="N393" i="9"/>
  <c r="M393" i="9"/>
  <c r="L393" i="9"/>
  <c r="K393" i="9"/>
  <c r="J393" i="9"/>
  <c r="I393" i="9"/>
  <c r="H393" i="9"/>
  <c r="G393" i="9"/>
  <c r="F393" i="9"/>
  <c r="E393" i="9"/>
  <c r="D393" i="9"/>
  <c r="P393" i="9" s="1"/>
  <c r="O392" i="9"/>
  <c r="N392" i="9"/>
  <c r="M392" i="9"/>
  <c r="L392" i="9"/>
  <c r="K392" i="9"/>
  <c r="J392" i="9"/>
  <c r="I392" i="9"/>
  <c r="H392" i="9"/>
  <c r="G392" i="9"/>
  <c r="F392" i="9"/>
  <c r="E392" i="9"/>
  <c r="D392" i="9"/>
  <c r="P392" i="9" s="1"/>
  <c r="I391" i="9"/>
  <c r="H391" i="9"/>
  <c r="G391" i="9"/>
  <c r="F391" i="9"/>
  <c r="E391" i="9"/>
  <c r="P391" i="9" s="1"/>
  <c r="D391" i="9"/>
  <c r="O390" i="9"/>
  <c r="N390" i="9"/>
  <c r="M390" i="9"/>
  <c r="L390" i="9"/>
  <c r="K390" i="9"/>
  <c r="J390" i="9"/>
  <c r="I390" i="9"/>
  <c r="H390" i="9"/>
  <c r="G390" i="9"/>
  <c r="F390" i="9"/>
  <c r="E390" i="9"/>
  <c r="D390" i="9"/>
  <c r="P390" i="9" s="1"/>
  <c r="O389" i="9"/>
  <c r="N389" i="9"/>
  <c r="M389" i="9"/>
  <c r="L389" i="9"/>
  <c r="K389" i="9"/>
  <c r="J389" i="9"/>
  <c r="I389" i="9"/>
  <c r="H389" i="9"/>
  <c r="G389" i="9"/>
  <c r="F389" i="9"/>
  <c r="E389" i="9"/>
  <c r="D389" i="9"/>
  <c r="P389" i="9" s="1"/>
  <c r="O388" i="9"/>
  <c r="N388" i="9"/>
  <c r="M388" i="9"/>
  <c r="L388" i="9"/>
  <c r="K388" i="9"/>
  <c r="J388" i="9"/>
  <c r="I388" i="9"/>
  <c r="H388" i="9"/>
  <c r="G388" i="9"/>
  <c r="F388" i="9"/>
  <c r="E388" i="9"/>
  <c r="D388" i="9"/>
  <c r="P388" i="9" s="1"/>
  <c r="O387" i="9"/>
  <c r="N387" i="9"/>
  <c r="M387" i="9"/>
  <c r="L387" i="9"/>
  <c r="K387" i="9"/>
  <c r="J387" i="9"/>
  <c r="I387" i="9"/>
  <c r="H387" i="9"/>
  <c r="G387" i="9"/>
  <c r="F387" i="9"/>
  <c r="E387" i="9"/>
  <c r="D387" i="9"/>
  <c r="P387" i="9" s="1"/>
  <c r="O386" i="9"/>
  <c r="N386" i="9"/>
  <c r="M386" i="9"/>
  <c r="L386" i="9"/>
  <c r="K386" i="9"/>
  <c r="J386" i="9"/>
  <c r="I386" i="9"/>
  <c r="H386" i="9"/>
  <c r="G386" i="9"/>
  <c r="F386" i="9"/>
  <c r="E386" i="9"/>
  <c r="D386" i="9"/>
  <c r="P386" i="9" s="1"/>
  <c r="O385" i="9"/>
  <c r="N385" i="9"/>
  <c r="M385" i="9"/>
  <c r="L385" i="9"/>
  <c r="K385" i="9"/>
  <c r="J385" i="9"/>
  <c r="I385" i="9"/>
  <c r="H385" i="9"/>
  <c r="G385" i="9"/>
  <c r="F385" i="9"/>
  <c r="E385" i="9"/>
  <c r="D385" i="9"/>
  <c r="P385" i="9" s="1"/>
  <c r="O384" i="9"/>
  <c r="N384" i="9"/>
  <c r="M384" i="9"/>
  <c r="L384" i="9"/>
  <c r="K384" i="9"/>
  <c r="J384" i="9"/>
  <c r="I384" i="9"/>
  <c r="H384" i="9"/>
  <c r="G384" i="9"/>
  <c r="F384" i="9"/>
  <c r="E384" i="9"/>
  <c r="D384" i="9"/>
  <c r="P384" i="9" s="1"/>
  <c r="O383" i="9"/>
  <c r="N383" i="9"/>
  <c r="M383" i="9"/>
  <c r="L383" i="9"/>
  <c r="K383" i="9"/>
  <c r="J383" i="9"/>
  <c r="I383" i="9"/>
  <c r="H383" i="9"/>
  <c r="G383" i="9"/>
  <c r="F383" i="9"/>
  <c r="E383" i="9"/>
  <c r="D383" i="9"/>
  <c r="P383" i="9" s="1"/>
  <c r="O382" i="9"/>
  <c r="N382" i="9"/>
  <c r="M382" i="9"/>
  <c r="L382" i="9"/>
  <c r="K382" i="9"/>
  <c r="J382" i="9"/>
  <c r="I382" i="9"/>
  <c r="H382" i="9"/>
  <c r="G382" i="9"/>
  <c r="F382" i="9"/>
  <c r="E382" i="9"/>
  <c r="D382" i="9"/>
  <c r="P382" i="9" s="1"/>
  <c r="O381" i="9"/>
  <c r="N381" i="9"/>
  <c r="M381" i="9"/>
  <c r="L381" i="9"/>
  <c r="K381" i="9"/>
  <c r="J381" i="9"/>
  <c r="I381" i="9"/>
  <c r="H381" i="9"/>
  <c r="G381" i="9"/>
  <c r="F381" i="9"/>
  <c r="E381" i="9"/>
  <c r="D381" i="9"/>
  <c r="P381" i="9" s="1"/>
  <c r="O380" i="9"/>
  <c r="N380" i="9"/>
  <c r="M380" i="9"/>
  <c r="L380" i="9"/>
  <c r="K380" i="9"/>
  <c r="J380" i="9"/>
  <c r="I380" i="9"/>
  <c r="H380" i="9"/>
  <c r="G380" i="9"/>
  <c r="F380" i="9"/>
  <c r="E380" i="9"/>
  <c r="D380" i="9"/>
  <c r="P380" i="9" s="1"/>
  <c r="P379" i="9"/>
  <c r="O378" i="9"/>
  <c r="N378" i="9"/>
  <c r="M378" i="9"/>
  <c r="L378" i="9"/>
  <c r="K378" i="9"/>
  <c r="J378" i="9"/>
  <c r="I378" i="9"/>
  <c r="H378" i="9"/>
  <c r="G378" i="9"/>
  <c r="F378" i="9"/>
  <c r="E378" i="9"/>
  <c r="D378" i="9"/>
  <c r="P378" i="9" s="1"/>
  <c r="O377" i="9"/>
  <c r="N377" i="9"/>
  <c r="M377" i="9"/>
  <c r="L377" i="9"/>
  <c r="K377" i="9"/>
  <c r="J377" i="9"/>
  <c r="I377" i="9"/>
  <c r="H377" i="9"/>
  <c r="G377" i="9"/>
  <c r="F377" i="9"/>
  <c r="E377" i="9"/>
  <c r="D377" i="9"/>
  <c r="P377" i="9" s="1"/>
  <c r="O375" i="9"/>
  <c r="N375" i="9"/>
  <c r="M375" i="9"/>
  <c r="L375" i="9"/>
  <c r="K375" i="9"/>
  <c r="J375" i="9"/>
  <c r="I375" i="9"/>
  <c r="H375" i="9"/>
  <c r="G375" i="9"/>
  <c r="F375" i="9"/>
  <c r="E375" i="9"/>
  <c r="D375" i="9"/>
  <c r="P375" i="9" s="1"/>
  <c r="F374" i="9"/>
  <c r="E374" i="9"/>
  <c r="D374" i="9"/>
  <c r="P374" i="9" s="1"/>
  <c r="F373" i="9"/>
  <c r="E373" i="9"/>
  <c r="D373" i="9"/>
  <c r="P373" i="9" s="1"/>
  <c r="O372" i="9"/>
  <c r="N372" i="9"/>
  <c r="M372" i="9"/>
  <c r="L372" i="9"/>
  <c r="K372" i="9"/>
  <c r="J372" i="9"/>
  <c r="I372" i="9"/>
  <c r="H372" i="9"/>
  <c r="G372" i="9"/>
  <c r="F372" i="9"/>
  <c r="E372" i="9"/>
  <c r="D372" i="9"/>
  <c r="P372" i="9" s="1"/>
  <c r="O371" i="9"/>
  <c r="N371" i="9"/>
  <c r="M371" i="9"/>
  <c r="L371" i="9"/>
  <c r="K371" i="9"/>
  <c r="J371" i="9"/>
  <c r="I371" i="9"/>
  <c r="H371" i="9"/>
  <c r="G371" i="9"/>
  <c r="F371" i="9"/>
  <c r="E371" i="9"/>
  <c r="D371" i="9"/>
  <c r="P371" i="9" s="1"/>
  <c r="O370" i="9"/>
  <c r="N370" i="9"/>
  <c r="M370" i="9"/>
  <c r="L370" i="9"/>
  <c r="K370" i="9"/>
  <c r="J370" i="9"/>
  <c r="I370" i="9"/>
  <c r="H370" i="9"/>
  <c r="G370" i="9"/>
  <c r="F370" i="9"/>
  <c r="E370" i="9"/>
  <c r="D370" i="9"/>
  <c r="P370" i="9" s="1"/>
  <c r="O369" i="9"/>
  <c r="N369" i="9"/>
  <c r="M369" i="9"/>
  <c r="L369" i="9"/>
  <c r="K369" i="9"/>
  <c r="J369" i="9"/>
  <c r="I369" i="9"/>
  <c r="H369" i="9"/>
  <c r="G369" i="9"/>
  <c r="F369" i="9"/>
  <c r="E369" i="9"/>
  <c r="D369" i="9"/>
  <c r="P369" i="9" s="1"/>
  <c r="O368" i="9"/>
  <c r="N368" i="9"/>
  <c r="M368" i="9"/>
  <c r="L368" i="9"/>
  <c r="K368" i="9"/>
  <c r="J368" i="9"/>
  <c r="I368" i="9"/>
  <c r="H368" i="9"/>
  <c r="G368" i="9"/>
  <c r="F368" i="9"/>
  <c r="E368" i="9"/>
  <c r="D368" i="9"/>
  <c r="P368" i="9" s="1"/>
  <c r="P367" i="9"/>
  <c r="P366" i="9"/>
  <c r="P365" i="9"/>
  <c r="O364" i="9"/>
  <c r="N364" i="9"/>
  <c r="M364" i="9"/>
  <c r="L364" i="9"/>
  <c r="K364" i="9"/>
  <c r="J364" i="9"/>
  <c r="I364" i="9"/>
  <c r="H364" i="9"/>
  <c r="G364" i="9"/>
  <c r="F364" i="9"/>
  <c r="E364" i="9"/>
  <c r="E348" i="9" s="1"/>
  <c r="D364" i="9"/>
  <c r="P364" i="9" s="1"/>
  <c r="P363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P362" i="9" s="1"/>
  <c r="P361" i="9"/>
  <c r="O360" i="9"/>
  <c r="N360" i="9"/>
  <c r="M360" i="9"/>
  <c r="L360" i="9"/>
  <c r="K360" i="9"/>
  <c r="J360" i="9"/>
  <c r="I360" i="9"/>
  <c r="H360" i="9"/>
  <c r="G360" i="9"/>
  <c r="F360" i="9"/>
  <c r="E360" i="9"/>
  <c r="D360" i="9"/>
  <c r="P360" i="9" s="1"/>
  <c r="O359" i="9"/>
  <c r="N359" i="9"/>
  <c r="M359" i="9"/>
  <c r="L359" i="9"/>
  <c r="K359" i="9"/>
  <c r="J359" i="9"/>
  <c r="I359" i="9"/>
  <c r="H359" i="9"/>
  <c r="G359" i="9"/>
  <c r="F359" i="9"/>
  <c r="E359" i="9"/>
  <c r="D359" i="9"/>
  <c r="P359" i="9" s="1"/>
  <c r="O358" i="9"/>
  <c r="N358" i="9"/>
  <c r="M358" i="9"/>
  <c r="L358" i="9"/>
  <c r="K358" i="9"/>
  <c r="J358" i="9"/>
  <c r="I358" i="9"/>
  <c r="H358" i="9"/>
  <c r="G358" i="9"/>
  <c r="F358" i="9"/>
  <c r="E358" i="9"/>
  <c r="D358" i="9"/>
  <c r="P358" i="9" s="1"/>
  <c r="O357" i="9"/>
  <c r="N357" i="9"/>
  <c r="M357" i="9"/>
  <c r="L357" i="9"/>
  <c r="K357" i="9"/>
  <c r="J357" i="9"/>
  <c r="I357" i="9"/>
  <c r="H357" i="9"/>
  <c r="G357" i="9"/>
  <c r="F357" i="9"/>
  <c r="E357" i="9"/>
  <c r="D357" i="9"/>
  <c r="P357" i="9" s="1"/>
  <c r="O356" i="9"/>
  <c r="N356" i="9"/>
  <c r="M356" i="9"/>
  <c r="L356" i="9"/>
  <c r="K356" i="9"/>
  <c r="J356" i="9"/>
  <c r="I356" i="9"/>
  <c r="H356" i="9"/>
  <c r="G356" i="9"/>
  <c r="F356" i="9"/>
  <c r="E356" i="9"/>
  <c r="D356" i="9"/>
  <c r="P356" i="9" s="1"/>
  <c r="O355" i="9"/>
  <c r="N355" i="9"/>
  <c r="M355" i="9"/>
  <c r="L355" i="9"/>
  <c r="K355" i="9"/>
  <c r="J355" i="9"/>
  <c r="I355" i="9"/>
  <c r="H355" i="9"/>
  <c r="G355" i="9"/>
  <c r="F355" i="9"/>
  <c r="E355" i="9"/>
  <c r="D355" i="9"/>
  <c r="P355" i="9" s="1"/>
  <c r="O354" i="9"/>
  <c r="N354" i="9"/>
  <c r="M354" i="9"/>
  <c r="L354" i="9"/>
  <c r="K354" i="9"/>
  <c r="J354" i="9"/>
  <c r="I354" i="9"/>
  <c r="H354" i="9"/>
  <c r="G354" i="9"/>
  <c r="F354" i="9"/>
  <c r="E354" i="9"/>
  <c r="D354" i="9"/>
  <c r="P354" i="9" s="1"/>
  <c r="P353" i="9"/>
  <c r="G353" i="9"/>
  <c r="F353" i="9"/>
  <c r="F348" i="9" s="1"/>
  <c r="E353" i="9"/>
  <c r="D353" i="9"/>
  <c r="O352" i="9"/>
  <c r="N352" i="9"/>
  <c r="M352" i="9"/>
  <c r="L352" i="9"/>
  <c r="K352" i="9"/>
  <c r="J352" i="9"/>
  <c r="I352" i="9"/>
  <c r="H352" i="9"/>
  <c r="G352" i="9"/>
  <c r="F352" i="9"/>
  <c r="E352" i="9"/>
  <c r="D352" i="9"/>
  <c r="P352" i="9" s="1"/>
  <c r="O351" i="9"/>
  <c r="N351" i="9"/>
  <c r="M351" i="9"/>
  <c r="L351" i="9"/>
  <c r="K351" i="9"/>
  <c r="J351" i="9"/>
  <c r="I351" i="9"/>
  <c r="H351" i="9"/>
  <c r="G351" i="9"/>
  <c r="F351" i="9"/>
  <c r="E351" i="9"/>
  <c r="D351" i="9"/>
  <c r="P351" i="9" s="1"/>
  <c r="O350" i="9"/>
  <c r="O348" i="9" s="1"/>
  <c r="N350" i="9"/>
  <c r="M350" i="9"/>
  <c r="L350" i="9"/>
  <c r="K350" i="9"/>
  <c r="K348" i="9" s="1"/>
  <c r="J350" i="9"/>
  <c r="I350" i="9"/>
  <c r="I348" i="9" s="1"/>
  <c r="H350" i="9"/>
  <c r="G350" i="9"/>
  <c r="G348" i="9" s="1"/>
  <c r="F350" i="9"/>
  <c r="E350" i="9"/>
  <c r="D350" i="9"/>
  <c r="P350" i="9" s="1"/>
  <c r="O349" i="9"/>
  <c r="N349" i="9"/>
  <c r="N348" i="9" s="1"/>
  <c r="M349" i="9"/>
  <c r="L349" i="9"/>
  <c r="L348" i="9" s="1"/>
  <c r="K349" i="9"/>
  <c r="J349" i="9"/>
  <c r="J348" i="9" s="1"/>
  <c r="I349" i="9"/>
  <c r="H349" i="9"/>
  <c r="H348" i="9" s="1"/>
  <c r="G349" i="9"/>
  <c r="F349" i="9"/>
  <c r="E349" i="9"/>
  <c r="D349" i="9"/>
  <c r="P349" i="9" s="1"/>
  <c r="P348" i="9" s="1"/>
  <c r="M348" i="9"/>
  <c r="N346" i="9"/>
  <c r="L346" i="9"/>
  <c r="J346" i="9"/>
  <c r="F346" i="9"/>
  <c r="D346" i="9"/>
  <c r="C346" i="9"/>
  <c r="N20" i="10" s="1"/>
  <c r="O343" i="9"/>
  <c r="N343" i="9"/>
  <c r="M343" i="9"/>
  <c r="L343" i="9"/>
  <c r="K343" i="9"/>
  <c r="J343" i="9"/>
  <c r="I343" i="9"/>
  <c r="H343" i="9"/>
  <c r="G343" i="9"/>
  <c r="F343" i="9"/>
  <c r="E343" i="9"/>
  <c r="D343" i="9"/>
  <c r="P343" i="9" s="1"/>
  <c r="O342" i="9"/>
  <c r="N342" i="9"/>
  <c r="M342" i="9"/>
  <c r="L342" i="9"/>
  <c r="K342" i="9"/>
  <c r="J342" i="9"/>
  <c r="I342" i="9"/>
  <c r="H342" i="9"/>
  <c r="G342" i="9"/>
  <c r="F342" i="9"/>
  <c r="E342" i="9"/>
  <c r="D342" i="9"/>
  <c r="P342" i="9" s="1"/>
  <c r="O341" i="9"/>
  <c r="N341" i="9"/>
  <c r="M341" i="9"/>
  <c r="L341" i="9"/>
  <c r="K341" i="9"/>
  <c r="J341" i="9"/>
  <c r="I341" i="9"/>
  <c r="H341" i="9"/>
  <c r="G341" i="9"/>
  <c r="F341" i="9"/>
  <c r="E341" i="9"/>
  <c r="D341" i="9"/>
  <c r="P341" i="9" s="1"/>
  <c r="O340" i="9"/>
  <c r="N340" i="9"/>
  <c r="M340" i="9"/>
  <c r="L340" i="9"/>
  <c r="K340" i="9"/>
  <c r="J340" i="9"/>
  <c r="I340" i="9"/>
  <c r="H340" i="9"/>
  <c r="G340" i="9"/>
  <c r="F340" i="9"/>
  <c r="E340" i="9"/>
  <c r="D340" i="9"/>
  <c r="P340" i="9" s="1"/>
  <c r="O339" i="9"/>
  <c r="N339" i="9"/>
  <c r="M339" i="9"/>
  <c r="L339" i="9"/>
  <c r="K339" i="9"/>
  <c r="J339" i="9"/>
  <c r="I339" i="9"/>
  <c r="H339" i="9"/>
  <c r="G339" i="9"/>
  <c r="F339" i="9"/>
  <c r="E339" i="9"/>
  <c r="D339" i="9"/>
  <c r="P339" i="9" s="1"/>
  <c r="O338" i="9"/>
  <c r="N338" i="9"/>
  <c r="M338" i="9"/>
  <c r="L338" i="9"/>
  <c r="K338" i="9"/>
  <c r="J338" i="9"/>
  <c r="I338" i="9"/>
  <c r="H338" i="9"/>
  <c r="G338" i="9"/>
  <c r="F338" i="9"/>
  <c r="E338" i="9"/>
  <c r="D338" i="9"/>
  <c r="P338" i="9" s="1"/>
  <c r="N22" i="10" s="1"/>
  <c r="O337" i="9"/>
  <c r="N337" i="9"/>
  <c r="M337" i="9"/>
  <c r="L337" i="9"/>
  <c r="K337" i="9"/>
  <c r="J337" i="9"/>
  <c r="I337" i="9"/>
  <c r="H337" i="9"/>
  <c r="G337" i="9"/>
  <c r="F337" i="9"/>
  <c r="E337" i="9"/>
  <c r="D337" i="9"/>
  <c r="P337" i="9" s="1"/>
  <c r="O336" i="9"/>
  <c r="N336" i="9"/>
  <c r="M336" i="9"/>
  <c r="L336" i="9"/>
  <c r="K336" i="9"/>
  <c r="J336" i="9"/>
  <c r="I336" i="9"/>
  <c r="H336" i="9"/>
  <c r="G336" i="9"/>
  <c r="F336" i="9"/>
  <c r="E336" i="9"/>
  <c r="D336" i="9"/>
  <c r="P336" i="9" s="1"/>
  <c r="I335" i="9"/>
  <c r="H335" i="9"/>
  <c r="G335" i="9"/>
  <c r="F335" i="9"/>
  <c r="E335" i="9"/>
  <c r="D335" i="9"/>
  <c r="P335" i="9" s="1"/>
  <c r="O334" i="9"/>
  <c r="N334" i="9"/>
  <c r="M334" i="9"/>
  <c r="L334" i="9"/>
  <c r="K334" i="9"/>
  <c r="J334" i="9"/>
  <c r="I334" i="9"/>
  <c r="H334" i="9"/>
  <c r="G334" i="9"/>
  <c r="F334" i="9"/>
  <c r="E334" i="9"/>
  <c r="D334" i="9"/>
  <c r="P334" i="9" s="1"/>
  <c r="O333" i="9"/>
  <c r="N333" i="9"/>
  <c r="M333" i="9"/>
  <c r="L333" i="9"/>
  <c r="K333" i="9"/>
  <c r="J333" i="9"/>
  <c r="I333" i="9"/>
  <c r="H333" i="9"/>
  <c r="G333" i="9"/>
  <c r="F333" i="9"/>
  <c r="E333" i="9"/>
  <c r="D333" i="9"/>
  <c r="P333" i="9" s="1"/>
  <c r="F332" i="9"/>
  <c r="E332" i="9"/>
  <c r="D332" i="9"/>
  <c r="P332" i="9" s="1"/>
  <c r="O331" i="9"/>
  <c r="N331" i="9"/>
  <c r="M331" i="9"/>
  <c r="L331" i="9"/>
  <c r="K331" i="9"/>
  <c r="J331" i="9"/>
  <c r="I331" i="9"/>
  <c r="H331" i="9"/>
  <c r="G331" i="9"/>
  <c r="F331" i="9"/>
  <c r="E331" i="9"/>
  <c r="D331" i="9"/>
  <c r="P331" i="9" s="1"/>
  <c r="O330" i="9"/>
  <c r="N330" i="9"/>
  <c r="M330" i="9"/>
  <c r="L330" i="9"/>
  <c r="K330" i="9"/>
  <c r="J330" i="9"/>
  <c r="I330" i="9"/>
  <c r="H330" i="9"/>
  <c r="G330" i="9"/>
  <c r="F330" i="9"/>
  <c r="E330" i="9"/>
  <c r="D330" i="9"/>
  <c r="P330" i="9" s="1"/>
  <c r="O329" i="9"/>
  <c r="N329" i="9"/>
  <c r="M329" i="9"/>
  <c r="L329" i="9"/>
  <c r="K329" i="9"/>
  <c r="J329" i="9"/>
  <c r="I329" i="9"/>
  <c r="H329" i="9"/>
  <c r="G329" i="9"/>
  <c r="F329" i="9"/>
  <c r="E329" i="9"/>
  <c r="D329" i="9"/>
  <c r="P329" i="9" s="1"/>
  <c r="E328" i="9"/>
  <c r="D328" i="9"/>
  <c r="P328" i="9" s="1"/>
  <c r="O327" i="9"/>
  <c r="N327" i="9"/>
  <c r="M327" i="9"/>
  <c r="L327" i="9"/>
  <c r="K327" i="9"/>
  <c r="J327" i="9"/>
  <c r="I327" i="9"/>
  <c r="P327" i="9" s="1"/>
  <c r="O326" i="9"/>
  <c r="N326" i="9"/>
  <c r="M326" i="9"/>
  <c r="L326" i="9"/>
  <c r="K326" i="9"/>
  <c r="J326" i="9"/>
  <c r="I326" i="9"/>
  <c r="H326" i="9"/>
  <c r="G326" i="9"/>
  <c r="F326" i="9"/>
  <c r="E326" i="9"/>
  <c r="D326" i="9"/>
  <c r="P326" i="9" s="1"/>
  <c r="O325" i="9"/>
  <c r="N325" i="9"/>
  <c r="M325" i="9"/>
  <c r="L325" i="9"/>
  <c r="K325" i="9"/>
  <c r="J325" i="9"/>
  <c r="I325" i="9"/>
  <c r="H325" i="9"/>
  <c r="G325" i="9"/>
  <c r="F325" i="9"/>
  <c r="E325" i="9"/>
  <c r="D325" i="9"/>
  <c r="P325" i="9" s="1"/>
  <c r="O324" i="9"/>
  <c r="N324" i="9"/>
  <c r="M324" i="9"/>
  <c r="L324" i="9"/>
  <c r="K324" i="9"/>
  <c r="J324" i="9"/>
  <c r="I324" i="9"/>
  <c r="H324" i="9"/>
  <c r="G324" i="9"/>
  <c r="F324" i="9"/>
  <c r="E324" i="9"/>
  <c r="D324" i="9"/>
  <c r="P324" i="9" s="1"/>
  <c r="F323" i="9"/>
  <c r="E323" i="9"/>
  <c r="P323" i="9" s="1"/>
  <c r="D323" i="9"/>
  <c r="O322" i="9"/>
  <c r="N322" i="9"/>
  <c r="M322" i="9"/>
  <c r="L322" i="9"/>
  <c r="K322" i="9"/>
  <c r="J322" i="9"/>
  <c r="I322" i="9"/>
  <c r="H322" i="9"/>
  <c r="G322" i="9"/>
  <c r="F322" i="9"/>
  <c r="E322" i="9"/>
  <c r="D322" i="9"/>
  <c r="P322" i="9" s="1"/>
  <c r="O321" i="9"/>
  <c r="N321" i="9"/>
  <c r="M321" i="9"/>
  <c r="L321" i="9"/>
  <c r="K321" i="9"/>
  <c r="J321" i="9"/>
  <c r="I321" i="9"/>
  <c r="H321" i="9"/>
  <c r="G321" i="9"/>
  <c r="F321" i="9"/>
  <c r="E321" i="9"/>
  <c r="D321" i="9"/>
  <c r="P321" i="9" s="1"/>
  <c r="I320" i="9"/>
  <c r="H320" i="9"/>
  <c r="G320" i="9"/>
  <c r="F320" i="9"/>
  <c r="E320" i="9"/>
  <c r="D320" i="9"/>
  <c r="P320" i="9" s="1"/>
  <c r="O319" i="9"/>
  <c r="N319" i="9"/>
  <c r="M319" i="9"/>
  <c r="L319" i="9"/>
  <c r="K319" i="9"/>
  <c r="J319" i="9"/>
  <c r="I319" i="9"/>
  <c r="H319" i="9"/>
  <c r="G319" i="9"/>
  <c r="F319" i="9"/>
  <c r="E319" i="9"/>
  <c r="D319" i="9"/>
  <c r="P319" i="9" s="1"/>
  <c r="O318" i="9"/>
  <c r="N318" i="9"/>
  <c r="M318" i="9"/>
  <c r="L318" i="9"/>
  <c r="K318" i="9"/>
  <c r="J318" i="9"/>
  <c r="I318" i="9"/>
  <c r="H318" i="9"/>
  <c r="G318" i="9"/>
  <c r="F318" i="9"/>
  <c r="E318" i="9"/>
  <c r="D318" i="9"/>
  <c r="P318" i="9" s="1"/>
  <c r="O317" i="9"/>
  <c r="N317" i="9"/>
  <c r="M317" i="9"/>
  <c r="L317" i="9"/>
  <c r="K317" i="9"/>
  <c r="J317" i="9"/>
  <c r="I317" i="9"/>
  <c r="H317" i="9"/>
  <c r="G317" i="9"/>
  <c r="F317" i="9"/>
  <c r="E317" i="9"/>
  <c r="D317" i="9"/>
  <c r="P317" i="9" s="1"/>
  <c r="P316" i="9"/>
  <c r="O316" i="9"/>
  <c r="N316" i="9"/>
  <c r="M316" i="9"/>
  <c r="L316" i="9"/>
  <c r="K316" i="9"/>
  <c r="J316" i="9"/>
  <c r="P315" i="9"/>
  <c r="O314" i="9"/>
  <c r="N314" i="9"/>
  <c r="M314" i="9"/>
  <c r="L314" i="9"/>
  <c r="K314" i="9"/>
  <c r="J314" i="9"/>
  <c r="I314" i="9"/>
  <c r="H314" i="9"/>
  <c r="G314" i="9"/>
  <c r="F314" i="9"/>
  <c r="E314" i="9"/>
  <c r="D314" i="9"/>
  <c r="P314" i="9" s="1"/>
  <c r="O313" i="9"/>
  <c r="N313" i="9"/>
  <c r="M313" i="9"/>
  <c r="L313" i="9"/>
  <c r="K313" i="9"/>
  <c r="J313" i="9"/>
  <c r="I313" i="9"/>
  <c r="H313" i="9"/>
  <c r="G313" i="9"/>
  <c r="F313" i="9"/>
  <c r="E313" i="9"/>
  <c r="D313" i="9"/>
  <c r="P313" i="9" s="1"/>
  <c r="H312" i="9"/>
  <c r="G312" i="9"/>
  <c r="P312" i="9" s="1"/>
  <c r="F312" i="9"/>
  <c r="E312" i="9"/>
  <c r="D312" i="9"/>
  <c r="O311" i="9"/>
  <c r="N311" i="9"/>
  <c r="M311" i="9"/>
  <c r="L311" i="9"/>
  <c r="K311" i="9"/>
  <c r="J311" i="9"/>
  <c r="I311" i="9"/>
  <c r="H311" i="9"/>
  <c r="G311" i="9"/>
  <c r="F311" i="9"/>
  <c r="E311" i="9"/>
  <c r="D311" i="9"/>
  <c r="P311" i="9" s="1"/>
  <c r="N18" i="10" s="1"/>
  <c r="O310" i="9"/>
  <c r="N310" i="9"/>
  <c r="M310" i="9"/>
  <c r="L310" i="9"/>
  <c r="K310" i="9"/>
  <c r="J310" i="9"/>
  <c r="I310" i="9"/>
  <c r="H310" i="9"/>
  <c r="G310" i="9"/>
  <c r="F310" i="9"/>
  <c r="P310" i="9" s="1"/>
  <c r="O309" i="9"/>
  <c r="N309" i="9"/>
  <c r="M309" i="9"/>
  <c r="L309" i="9"/>
  <c r="K309" i="9"/>
  <c r="J309" i="9"/>
  <c r="I309" i="9"/>
  <c r="H309" i="9"/>
  <c r="G309" i="9"/>
  <c r="F309" i="9"/>
  <c r="E309" i="9"/>
  <c r="D309" i="9"/>
  <c r="P309" i="9" s="1"/>
  <c r="O308" i="9"/>
  <c r="N308" i="9"/>
  <c r="M308" i="9"/>
  <c r="L308" i="9"/>
  <c r="K308" i="9"/>
  <c r="J308" i="9"/>
  <c r="I308" i="9"/>
  <c r="H308" i="9"/>
  <c r="G308" i="9"/>
  <c r="F308" i="9"/>
  <c r="E308" i="9"/>
  <c r="D308" i="9"/>
  <c r="P308" i="9" s="1"/>
  <c r="O307" i="9"/>
  <c r="N307" i="9"/>
  <c r="M307" i="9"/>
  <c r="L307" i="9"/>
  <c r="K307" i="9"/>
  <c r="J307" i="9"/>
  <c r="I307" i="9"/>
  <c r="H307" i="9"/>
  <c r="G307" i="9"/>
  <c r="F307" i="9"/>
  <c r="E307" i="9"/>
  <c r="D307" i="9"/>
  <c r="P307" i="9" s="1"/>
  <c r="O306" i="9"/>
  <c r="N306" i="9"/>
  <c r="M306" i="9"/>
  <c r="L306" i="9"/>
  <c r="K306" i="9"/>
  <c r="J306" i="9"/>
  <c r="I306" i="9"/>
  <c r="H306" i="9"/>
  <c r="G306" i="9"/>
  <c r="F306" i="9"/>
  <c r="E306" i="9"/>
  <c r="D306" i="9"/>
  <c r="P306" i="9" s="1"/>
  <c r="I305" i="9"/>
  <c r="H305" i="9"/>
  <c r="G305" i="9"/>
  <c r="F305" i="9"/>
  <c r="P305" i="9" s="1"/>
  <c r="E305" i="9"/>
  <c r="D305" i="9"/>
  <c r="O304" i="9"/>
  <c r="N304" i="9"/>
  <c r="M304" i="9"/>
  <c r="L304" i="9"/>
  <c r="K304" i="9"/>
  <c r="J304" i="9"/>
  <c r="I304" i="9"/>
  <c r="H304" i="9"/>
  <c r="G304" i="9"/>
  <c r="F304" i="9"/>
  <c r="E304" i="9"/>
  <c r="D304" i="9"/>
  <c r="P304" i="9" s="1"/>
  <c r="O303" i="9"/>
  <c r="N303" i="9"/>
  <c r="M303" i="9"/>
  <c r="L303" i="9"/>
  <c r="K303" i="9"/>
  <c r="J303" i="9"/>
  <c r="I303" i="9"/>
  <c r="H303" i="9"/>
  <c r="G303" i="9"/>
  <c r="F303" i="9"/>
  <c r="E303" i="9"/>
  <c r="D303" i="9"/>
  <c r="P303" i="9" s="1"/>
  <c r="O302" i="9"/>
  <c r="N302" i="9"/>
  <c r="M302" i="9"/>
  <c r="L302" i="9"/>
  <c r="K302" i="9"/>
  <c r="J302" i="9"/>
  <c r="I302" i="9"/>
  <c r="H302" i="9"/>
  <c r="G302" i="9"/>
  <c r="F302" i="9"/>
  <c r="E302" i="9"/>
  <c r="D302" i="9"/>
  <c r="P302" i="9" s="1"/>
  <c r="O301" i="9"/>
  <c r="N301" i="9"/>
  <c r="M301" i="9"/>
  <c r="L301" i="9"/>
  <c r="K301" i="9"/>
  <c r="J301" i="9"/>
  <c r="I301" i="9"/>
  <c r="H301" i="9"/>
  <c r="G301" i="9"/>
  <c r="F301" i="9"/>
  <c r="E301" i="9"/>
  <c r="D301" i="9"/>
  <c r="P301" i="9" s="1"/>
  <c r="O300" i="9"/>
  <c r="N300" i="9"/>
  <c r="M300" i="9"/>
  <c r="L300" i="9"/>
  <c r="K300" i="9"/>
  <c r="J300" i="9"/>
  <c r="I300" i="9"/>
  <c r="H300" i="9"/>
  <c r="G300" i="9"/>
  <c r="F300" i="9"/>
  <c r="E300" i="9"/>
  <c r="D300" i="9"/>
  <c r="P300" i="9" s="1"/>
  <c r="O299" i="9"/>
  <c r="N299" i="9"/>
  <c r="M299" i="9"/>
  <c r="L299" i="9"/>
  <c r="K299" i="9"/>
  <c r="J299" i="9"/>
  <c r="I299" i="9"/>
  <c r="H299" i="9"/>
  <c r="G299" i="9"/>
  <c r="F299" i="9"/>
  <c r="E299" i="9"/>
  <c r="D299" i="9"/>
  <c r="P299" i="9" s="1"/>
  <c r="O298" i="9"/>
  <c r="N298" i="9"/>
  <c r="M298" i="9"/>
  <c r="L298" i="9"/>
  <c r="K298" i="9"/>
  <c r="J298" i="9"/>
  <c r="I298" i="9"/>
  <c r="H298" i="9"/>
  <c r="G298" i="9"/>
  <c r="F298" i="9"/>
  <c r="E298" i="9"/>
  <c r="D298" i="9"/>
  <c r="P298" i="9" s="1"/>
  <c r="O297" i="9"/>
  <c r="N297" i="9"/>
  <c r="M297" i="9"/>
  <c r="L297" i="9"/>
  <c r="K297" i="9"/>
  <c r="J297" i="9"/>
  <c r="I297" i="9"/>
  <c r="H297" i="9"/>
  <c r="G297" i="9"/>
  <c r="F297" i="9"/>
  <c r="E297" i="9"/>
  <c r="D297" i="9"/>
  <c r="P297" i="9" s="1"/>
  <c r="O296" i="9"/>
  <c r="N296" i="9"/>
  <c r="M296" i="9"/>
  <c r="L296" i="9"/>
  <c r="K296" i="9"/>
  <c r="J296" i="9"/>
  <c r="I296" i="9"/>
  <c r="H296" i="9"/>
  <c r="G296" i="9"/>
  <c r="F296" i="9"/>
  <c r="E296" i="9"/>
  <c r="D296" i="9"/>
  <c r="P296" i="9" s="1"/>
  <c r="O295" i="9"/>
  <c r="N295" i="9"/>
  <c r="M295" i="9"/>
  <c r="L295" i="9"/>
  <c r="K295" i="9"/>
  <c r="J295" i="9"/>
  <c r="I295" i="9"/>
  <c r="H295" i="9"/>
  <c r="G295" i="9"/>
  <c r="F295" i="9"/>
  <c r="E295" i="9"/>
  <c r="D295" i="9"/>
  <c r="P295" i="9" s="1"/>
  <c r="O294" i="9"/>
  <c r="N294" i="9"/>
  <c r="M294" i="9"/>
  <c r="L294" i="9"/>
  <c r="K294" i="9"/>
  <c r="J294" i="9"/>
  <c r="I294" i="9"/>
  <c r="H294" i="9"/>
  <c r="G294" i="9"/>
  <c r="F294" i="9"/>
  <c r="E294" i="9"/>
  <c r="D294" i="9"/>
  <c r="P294" i="9" s="1"/>
  <c r="P293" i="9"/>
  <c r="O292" i="9"/>
  <c r="N292" i="9"/>
  <c r="M292" i="9"/>
  <c r="L292" i="9"/>
  <c r="L262" i="9" s="1"/>
  <c r="K292" i="9"/>
  <c r="J292" i="9"/>
  <c r="I292" i="9"/>
  <c r="H292" i="9"/>
  <c r="G292" i="9"/>
  <c r="F292" i="9"/>
  <c r="E292" i="9"/>
  <c r="D292" i="9"/>
  <c r="P292" i="9" s="1"/>
  <c r="O291" i="9"/>
  <c r="N291" i="9"/>
  <c r="M291" i="9"/>
  <c r="L291" i="9"/>
  <c r="K291" i="9"/>
  <c r="J291" i="9"/>
  <c r="I291" i="9"/>
  <c r="H291" i="9"/>
  <c r="G291" i="9"/>
  <c r="F291" i="9"/>
  <c r="E291" i="9"/>
  <c r="D291" i="9"/>
  <c r="P291" i="9" s="1"/>
  <c r="O290" i="9"/>
  <c r="N290" i="9"/>
  <c r="M290" i="9"/>
  <c r="L290" i="9"/>
  <c r="K290" i="9"/>
  <c r="J290" i="9"/>
  <c r="P290" i="9" s="1"/>
  <c r="O289" i="9"/>
  <c r="N289" i="9"/>
  <c r="M289" i="9"/>
  <c r="L289" i="9"/>
  <c r="K289" i="9"/>
  <c r="J289" i="9"/>
  <c r="I289" i="9"/>
  <c r="P289" i="9" s="1"/>
  <c r="F288" i="9"/>
  <c r="E288" i="9"/>
  <c r="P288" i="9" s="1"/>
  <c r="D288" i="9"/>
  <c r="P287" i="9"/>
  <c r="F287" i="9"/>
  <c r="E287" i="9"/>
  <c r="D287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P286" i="9" s="1"/>
  <c r="O285" i="9"/>
  <c r="N285" i="9"/>
  <c r="M285" i="9"/>
  <c r="L285" i="9"/>
  <c r="K285" i="9"/>
  <c r="J285" i="9"/>
  <c r="I285" i="9"/>
  <c r="H285" i="9"/>
  <c r="G285" i="9"/>
  <c r="F285" i="9"/>
  <c r="E285" i="9"/>
  <c r="D285" i="9"/>
  <c r="P285" i="9" s="1"/>
  <c r="O284" i="9"/>
  <c r="N284" i="9"/>
  <c r="M284" i="9"/>
  <c r="L284" i="9"/>
  <c r="K284" i="9"/>
  <c r="J284" i="9"/>
  <c r="I284" i="9"/>
  <c r="H284" i="9"/>
  <c r="G284" i="9"/>
  <c r="F284" i="9"/>
  <c r="E284" i="9"/>
  <c r="D284" i="9"/>
  <c r="P284" i="9" s="1"/>
  <c r="O283" i="9"/>
  <c r="N283" i="9"/>
  <c r="M283" i="9"/>
  <c r="L283" i="9"/>
  <c r="K283" i="9"/>
  <c r="J283" i="9"/>
  <c r="I283" i="9"/>
  <c r="H283" i="9"/>
  <c r="G283" i="9"/>
  <c r="F283" i="9"/>
  <c r="E283" i="9"/>
  <c r="D283" i="9"/>
  <c r="P283" i="9" s="1"/>
  <c r="O282" i="9"/>
  <c r="N282" i="9"/>
  <c r="M282" i="9"/>
  <c r="L282" i="9"/>
  <c r="K282" i="9"/>
  <c r="J282" i="9"/>
  <c r="I282" i="9"/>
  <c r="H282" i="9"/>
  <c r="G282" i="9"/>
  <c r="F282" i="9"/>
  <c r="E282" i="9"/>
  <c r="D282" i="9"/>
  <c r="P282" i="9" s="1"/>
  <c r="P281" i="9"/>
  <c r="P280" i="9"/>
  <c r="P279" i="9"/>
  <c r="O278" i="9"/>
  <c r="N278" i="9"/>
  <c r="M278" i="9"/>
  <c r="L278" i="9"/>
  <c r="K278" i="9"/>
  <c r="J278" i="9"/>
  <c r="I278" i="9"/>
  <c r="H278" i="9"/>
  <c r="G278" i="9"/>
  <c r="F278" i="9"/>
  <c r="E278" i="9"/>
  <c r="D278" i="9"/>
  <c r="P278" i="9" s="1"/>
  <c r="P277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P276" i="9" s="1"/>
  <c r="P275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P274" i="9" s="1"/>
  <c r="O273" i="9"/>
  <c r="N273" i="9"/>
  <c r="M273" i="9"/>
  <c r="L273" i="9"/>
  <c r="K273" i="9"/>
  <c r="J273" i="9"/>
  <c r="I273" i="9"/>
  <c r="H273" i="9"/>
  <c r="G273" i="9"/>
  <c r="F273" i="9"/>
  <c r="E273" i="9"/>
  <c r="D273" i="9"/>
  <c r="P273" i="9" s="1"/>
  <c r="O272" i="9"/>
  <c r="N272" i="9"/>
  <c r="M272" i="9"/>
  <c r="L272" i="9"/>
  <c r="K272" i="9"/>
  <c r="J272" i="9"/>
  <c r="I272" i="9"/>
  <c r="H272" i="9"/>
  <c r="G272" i="9"/>
  <c r="F272" i="9"/>
  <c r="E272" i="9"/>
  <c r="D272" i="9"/>
  <c r="P272" i="9" s="1"/>
  <c r="O271" i="9"/>
  <c r="N271" i="9"/>
  <c r="M271" i="9"/>
  <c r="L271" i="9"/>
  <c r="K271" i="9"/>
  <c r="J271" i="9"/>
  <c r="I271" i="9"/>
  <c r="H271" i="9"/>
  <c r="G271" i="9"/>
  <c r="F271" i="9"/>
  <c r="E271" i="9"/>
  <c r="D271" i="9"/>
  <c r="P271" i="9" s="1"/>
  <c r="O270" i="9"/>
  <c r="N270" i="9"/>
  <c r="M270" i="9"/>
  <c r="L270" i="9"/>
  <c r="K270" i="9"/>
  <c r="J270" i="9"/>
  <c r="I270" i="9"/>
  <c r="H270" i="9"/>
  <c r="G270" i="9"/>
  <c r="F270" i="9"/>
  <c r="E270" i="9"/>
  <c r="D270" i="9"/>
  <c r="P270" i="9" s="1"/>
  <c r="O269" i="9"/>
  <c r="N269" i="9"/>
  <c r="M269" i="9"/>
  <c r="L269" i="9"/>
  <c r="K269" i="9"/>
  <c r="J269" i="9"/>
  <c r="I269" i="9"/>
  <c r="H269" i="9"/>
  <c r="G269" i="9"/>
  <c r="F269" i="9"/>
  <c r="E269" i="9"/>
  <c r="D269" i="9"/>
  <c r="P269" i="9" s="1"/>
  <c r="O268" i="9"/>
  <c r="N268" i="9"/>
  <c r="M268" i="9"/>
  <c r="L268" i="9"/>
  <c r="K268" i="9"/>
  <c r="J268" i="9"/>
  <c r="I268" i="9"/>
  <c r="H268" i="9"/>
  <c r="G268" i="9"/>
  <c r="F268" i="9"/>
  <c r="E268" i="9"/>
  <c r="D268" i="9"/>
  <c r="P268" i="9" s="1"/>
  <c r="G267" i="9"/>
  <c r="F267" i="9"/>
  <c r="E267" i="9"/>
  <c r="D267" i="9"/>
  <c r="P267" i="9" s="1"/>
  <c r="O266" i="9"/>
  <c r="N266" i="9"/>
  <c r="M266" i="9"/>
  <c r="L266" i="9"/>
  <c r="K266" i="9"/>
  <c r="J266" i="9"/>
  <c r="I266" i="9"/>
  <c r="H266" i="9"/>
  <c r="H262" i="9" s="1"/>
  <c r="G266" i="9"/>
  <c r="F266" i="9"/>
  <c r="E266" i="9"/>
  <c r="D266" i="9"/>
  <c r="P266" i="9" s="1"/>
  <c r="O265" i="9"/>
  <c r="N265" i="9"/>
  <c r="N262" i="9" s="1"/>
  <c r="M265" i="9"/>
  <c r="L265" i="9"/>
  <c r="K265" i="9"/>
  <c r="J265" i="9"/>
  <c r="I265" i="9"/>
  <c r="I262" i="9" s="1"/>
  <c r="H265" i="9"/>
  <c r="G265" i="9"/>
  <c r="F265" i="9"/>
  <c r="E265" i="9"/>
  <c r="D265" i="9"/>
  <c r="P265" i="9" s="1"/>
  <c r="O264" i="9"/>
  <c r="N264" i="9"/>
  <c r="M264" i="9"/>
  <c r="L264" i="9"/>
  <c r="K264" i="9"/>
  <c r="J264" i="9"/>
  <c r="J262" i="9" s="1"/>
  <c r="L58" i="2" s="1"/>
  <c r="I264" i="9"/>
  <c r="H264" i="9"/>
  <c r="G264" i="9"/>
  <c r="F264" i="9"/>
  <c r="F262" i="9" s="1"/>
  <c r="E264" i="9"/>
  <c r="D264" i="9"/>
  <c r="P264" i="9" s="1"/>
  <c r="O263" i="9"/>
  <c r="O262" i="9" s="1"/>
  <c r="N263" i="9"/>
  <c r="M263" i="9"/>
  <c r="M262" i="9" s="1"/>
  <c r="L263" i="9"/>
  <c r="K263" i="9"/>
  <c r="K262" i="9" s="1"/>
  <c r="J263" i="9"/>
  <c r="I263" i="9"/>
  <c r="H263" i="9"/>
  <c r="G263" i="9"/>
  <c r="G262" i="9" s="1"/>
  <c r="F263" i="9"/>
  <c r="E263" i="9"/>
  <c r="D263" i="9"/>
  <c r="D262" i="9" s="1"/>
  <c r="E262" i="9"/>
  <c r="M260" i="9"/>
  <c r="F260" i="9"/>
  <c r="C260" i="9"/>
  <c r="E260" i="9" s="1"/>
  <c r="O257" i="9"/>
  <c r="N257" i="9"/>
  <c r="M257" i="9"/>
  <c r="L257" i="9"/>
  <c r="K257" i="9"/>
  <c r="J257" i="9"/>
  <c r="I257" i="9"/>
  <c r="H257" i="9"/>
  <c r="G257" i="9"/>
  <c r="F257" i="9"/>
  <c r="E257" i="9"/>
  <c r="D257" i="9"/>
  <c r="P257" i="9" s="1"/>
  <c r="O256" i="9"/>
  <c r="N256" i="9"/>
  <c r="M256" i="9"/>
  <c r="L256" i="9"/>
  <c r="K256" i="9"/>
  <c r="J256" i="9"/>
  <c r="I256" i="9"/>
  <c r="H256" i="9"/>
  <c r="G256" i="9"/>
  <c r="F256" i="9"/>
  <c r="E256" i="9"/>
  <c r="D256" i="9"/>
  <c r="P256" i="9" s="1"/>
  <c r="O255" i="9"/>
  <c r="N255" i="9"/>
  <c r="M255" i="9"/>
  <c r="L255" i="9"/>
  <c r="K255" i="9"/>
  <c r="J255" i="9"/>
  <c r="I255" i="9"/>
  <c r="H255" i="9"/>
  <c r="G255" i="9"/>
  <c r="F255" i="9"/>
  <c r="E255" i="9"/>
  <c r="D255" i="9"/>
  <c r="P255" i="9" s="1"/>
  <c r="O254" i="9"/>
  <c r="N254" i="9"/>
  <c r="M254" i="9"/>
  <c r="L254" i="9"/>
  <c r="K254" i="9"/>
  <c r="J254" i="9"/>
  <c r="I254" i="9"/>
  <c r="H254" i="9"/>
  <c r="G254" i="9"/>
  <c r="F254" i="9"/>
  <c r="E254" i="9"/>
  <c r="D254" i="9"/>
  <c r="P254" i="9" s="1"/>
  <c r="O253" i="9"/>
  <c r="N253" i="9"/>
  <c r="M253" i="9"/>
  <c r="L253" i="9"/>
  <c r="K253" i="9"/>
  <c r="J253" i="9"/>
  <c r="I253" i="9"/>
  <c r="H253" i="9"/>
  <c r="G253" i="9"/>
  <c r="F253" i="9"/>
  <c r="E253" i="9"/>
  <c r="D253" i="9"/>
  <c r="P253" i="9" s="1"/>
  <c r="O252" i="9"/>
  <c r="N252" i="9"/>
  <c r="M252" i="9"/>
  <c r="L252" i="9"/>
  <c r="K252" i="9"/>
  <c r="J252" i="9"/>
  <c r="I252" i="9"/>
  <c r="H252" i="9"/>
  <c r="G252" i="9"/>
  <c r="F252" i="9"/>
  <c r="E252" i="9"/>
  <c r="D252" i="9"/>
  <c r="P252" i="9" s="1"/>
  <c r="O251" i="9"/>
  <c r="N251" i="9"/>
  <c r="M251" i="9"/>
  <c r="L251" i="9"/>
  <c r="K251" i="9"/>
  <c r="J251" i="9"/>
  <c r="I251" i="9"/>
  <c r="H251" i="9"/>
  <c r="G251" i="9"/>
  <c r="F251" i="9"/>
  <c r="E251" i="9"/>
  <c r="D251" i="9"/>
  <c r="P251" i="9" s="1"/>
  <c r="O250" i="9"/>
  <c r="N250" i="9"/>
  <c r="M250" i="9"/>
  <c r="L250" i="9"/>
  <c r="K250" i="9"/>
  <c r="J250" i="9"/>
  <c r="I250" i="9"/>
  <c r="H250" i="9"/>
  <c r="G250" i="9"/>
  <c r="F250" i="9"/>
  <c r="E250" i="9"/>
  <c r="D250" i="9"/>
  <c r="P250" i="9" s="1"/>
  <c r="P249" i="9"/>
  <c r="I249" i="9"/>
  <c r="H249" i="9"/>
  <c r="G249" i="9"/>
  <c r="F249" i="9"/>
  <c r="E249" i="9"/>
  <c r="D249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P248" i="9" s="1"/>
  <c r="O247" i="9"/>
  <c r="N247" i="9"/>
  <c r="M247" i="9"/>
  <c r="L247" i="9"/>
  <c r="K247" i="9"/>
  <c r="J247" i="9"/>
  <c r="I247" i="9"/>
  <c r="H247" i="9"/>
  <c r="G247" i="9"/>
  <c r="F247" i="9"/>
  <c r="E247" i="9"/>
  <c r="D247" i="9"/>
  <c r="P247" i="9" s="1"/>
  <c r="F246" i="9"/>
  <c r="E246" i="9"/>
  <c r="D246" i="9"/>
  <c r="P246" i="9" s="1"/>
  <c r="O245" i="9"/>
  <c r="N245" i="9"/>
  <c r="M245" i="9"/>
  <c r="L245" i="9"/>
  <c r="K245" i="9"/>
  <c r="J245" i="9"/>
  <c r="I245" i="9"/>
  <c r="H245" i="9"/>
  <c r="G245" i="9"/>
  <c r="F245" i="9"/>
  <c r="E245" i="9"/>
  <c r="D245" i="9"/>
  <c r="P245" i="9" s="1"/>
  <c r="O244" i="9"/>
  <c r="N244" i="9"/>
  <c r="M244" i="9"/>
  <c r="L244" i="9"/>
  <c r="K244" i="9"/>
  <c r="J244" i="9"/>
  <c r="I244" i="9"/>
  <c r="H244" i="9"/>
  <c r="G244" i="9"/>
  <c r="F244" i="9"/>
  <c r="E244" i="9"/>
  <c r="D244" i="9"/>
  <c r="P244" i="9" s="1"/>
  <c r="O243" i="9"/>
  <c r="N243" i="9"/>
  <c r="M243" i="9"/>
  <c r="L243" i="9"/>
  <c r="K243" i="9"/>
  <c r="J243" i="9"/>
  <c r="I243" i="9"/>
  <c r="H243" i="9"/>
  <c r="G243" i="9"/>
  <c r="F243" i="9"/>
  <c r="E243" i="9"/>
  <c r="D243" i="9"/>
  <c r="P243" i="9" s="1"/>
  <c r="E242" i="9"/>
  <c r="D242" i="9"/>
  <c r="P242" i="9" s="1"/>
  <c r="O241" i="9"/>
  <c r="N241" i="9"/>
  <c r="M241" i="9"/>
  <c r="L241" i="9"/>
  <c r="K241" i="9"/>
  <c r="J241" i="9"/>
  <c r="P241" i="9" s="1"/>
  <c r="I241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P240" i="9" s="1"/>
  <c r="O239" i="9"/>
  <c r="N239" i="9"/>
  <c r="M239" i="9"/>
  <c r="L239" i="9"/>
  <c r="K239" i="9"/>
  <c r="J239" i="9"/>
  <c r="I239" i="9"/>
  <c r="H239" i="9"/>
  <c r="G239" i="9"/>
  <c r="F239" i="9"/>
  <c r="E239" i="9"/>
  <c r="D239" i="9"/>
  <c r="P239" i="9" s="1"/>
  <c r="O238" i="9"/>
  <c r="N238" i="9"/>
  <c r="M238" i="9"/>
  <c r="L238" i="9"/>
  <c r="K238" i="9"/>
  <c r="J238" i="9"/>
  <c r="I238" i="9"/>
  <c r="H238" i="9"/>
  <c r="G238" i="9"/>
  <c r="F238" i="9"/>
  <c r="E238" i="9"/>
  <c r="D238" i="9"/>
  <c r="P238" i="9" s="1"/>
  <c r="K237" i="9"/>
  <c r="J237" i="9"/>
  <c r="I237" i="9"/>
  <c r="H237" i="9"/>
  <c r="G237" i="9"/>
  <c r="F237" i="9"/>
  <c r="E237" i="9"/>
  <c r="P237" i="9" s="1"/>
  <c r="D237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P236" i="9" s="1"/>
  <c r="O235" i="9"/>
  <c r="N235" i="9"/>
  <c r="M235" i="9"/>
  <c r="L235" i="9"/>
  <c r="K235" i="9"/>
  <c r="J235" i="9"/>
  <c r="I235" i="9"/>
  <c r="H235" i="9"/>
  <c r="G235" i="9"/>
  <c r="F235" i="9"/>
  <c r="E235" i="9"/>
  <c r="D235" i="9"/>
  <c r="P235" i="9" s="1"/>
  <c r="P234" i="9"/>
  <c r="I234" i="9"/>
  <c r="H234" i="9"/>
  <c r="G234" i="9"/>
  <c r="F234" i="9"/>
  <c r="E234" i="9"/>
  <c r="D234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P233" i="9" s="1"/>
  <c r="O232" i="9"/>
  <c r="N232" i="9"/>
  <c r="M232" i="9"/>
  <c r="L232" i="9"/>
  <c r="K232" i="9"/>
  <c r="J232" i="9"/>
  <c r="I232" i="9"/>
  <c r="H232" i="9"/>
  <c r="G232" i="9"/>
  <c r="F232" i="9"/>
  <c r="E232" i="9"/>
  <c r="D232" i="9"/>
  <c r="P232" i="9" s="1"/>
  <c r="O231" i="9"/>
  <c r="N231" i="9"/>
  <c r="M231" i="9"/>
  <c r="L231" i="9"/>
  <c r="K231" i="9"/>
  <c r="J231" i="9"/>
  <c r="I231" i="9"/>
  <c r="H231" i="9"/>
  <c r="G231" i="9"/>
  <c r="F231" i="9"/>
  <c r="E231" i="9"/>
  <c r="D231" i="9"/>
  <c r="P231" i="9" s="1"/>
  <c r="O230" i="9"/>
  <c r="N230" i="9"/>
  <c r="P230" i="9" s="1"/>
  <c r="M230" i="9"/>
  <c r="L230" i="9"/>
  <c r="K230" i="9"/>
  <c r="J230" i="9"/>
  <c r="P229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P228" i="9" s="1"/>
  <c r="P227" i="9"/>
  <c r="H227" i="9"/>
  <c r="G227" i="9"/>
  <c r="F227" i="9"/>
  <c r="E227" i="9"/>
  <c r="D227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P226" i="9" s="1"/>
  <c r="O225" i="9"/>
  <c r="N225" i="9"/>
  <c r="M225" i="9"/>
  <c r="L225" i="9"/>
  <c r="K225" i="9"/>
  <c r="J225" i="9"/>
  <c r="I225" i="9"/>
  <c r="H225" i="9"/>
  <c r="G225" i="9"/>
  <c r="F225" i="9"/>
  <c r="E225" i="9"/>
  <c r="D225" i="9"/>
  <c r="P225" i="9" s="1"/>
  <c r="O224" i="9"/>
  <c r="N224" i="9"/>
  <c r="M224" i="9"/>
  <c r="L224" i="9"/>
  <c r="K224" i="9"/>
  <c r="J224" i="9"/>
  <c r="I224" i="9"/>
  <c r="H224" i="9"/>
  <c r="G224" i="9"/>
  <c r="F224" i="9"/>
  <c r="E224" i="9"/>
  <c r="D224" i="9"/>
  <c r="P224" i="9" s="1"/>
  <c r="O223" i="9"/>
  <c r="N223" i="9"/>
  <c r="M223" i="9"/>
  <c r="L223" i="9"/>
  <c r="K223" i="9"/>
  <c r="J223" i="9"/>
  <c r="I223" i="9"/>
  <c r="H223" i="9"/>
  <c r="G223" i="9"/>
  <c r="F223" i="9"/>
  <c r="E223" i="9"/>
  <c r="D223" i="9"/>
  <c r="P223" i="9" s="1"/>
  <c r="O222" i="9"/>
  <c r="N222" i="9"/>
  <c r="M222" i="9"/>
  <c r="L222" i="9"/>
  <c r="K222" i="9"/>
  <c r="J222" i="9"/>
  <c r="I222" i="9"/>
  <c r="H222" i="9"/>
  <c r="G222" i="9"/>
  <c r="F222" i="9"/>
  <c r="E222" i="9"/>
  <c r="D222" i="9"/>
  <c r="P222" i="9" s="1"/>
  <c r="O221" i="9"/>
  <c r="N221" i="9"/>
  <c r="M221" i="9"/>
  <c r="L221" i="9"/>
  <c r="K221" i="9"/>
  <c r="J221" i="9"/>
  <c r="I221" i="9"/>
  <c r="H221" i="9"/>
  <c r="G221" i="9"/>
  <c r="F221" i="9"/>
  <c r="E221" i="9"/>
  <c r="D221" i="9"/>
  <c r="P221" i="9" s="1"/>
  <c r="O220" i="9"/>
  <c r="N220" i="9"/>
  <c r="M220" i="9"/>
  <c r="L220" i="9"/>
  <c r="K220" i="9"/>
  <c r="J220" i="9"/>
  <c r="I220" i="9"/>
  <c r="H220" i="9"/>
  <c r="G220" i="9"/>
  <c r="F220" i="9"/>
  <c r="E220" i="9"/>
  <c r="D220" i="9"/>
  <c r="P220" i="9" s="1"/>
  <c r="I219" i="9"/>
  <c r="H219" i="9"/>
  <c r="G219" i="9"/>
  <c r="F219" i="9"/>
  <c r="P219" i="9" s="1"/>
  <c r="E219" i="9"/>
  <c r="D219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P218" i="9" s="1"/>
  <c r="O217" i="9"/>
  <c r="N217" i="9"/>
  <c r="M217" i="9"/>
  <c r="L217" i="9"/>
  <c r="K217" i="9"/>
  <c r="J217" i="9"/>
  <c r="I217" i="9"/>
  <c r="H217" i="9"/>
  <c r="G217" i="9"/>
  <c r="F217" i="9"/>
  <c r="E217" i="9"/>
  <c r="D217" i="9"/>
  <c r="P217" i="9" s="1"/>
  <c r="O216" i="9"/>
  <c r="N216" i="9"/>
  <c r="M216" i="9"/>
  <c r="L216" i="9"/>
  <c r="K216" i="9"/>
  <c r="J216" i="9"/>
  <c r="I216" i="9"/>
  <c r="H216" i="9"/>
  <c r="G216" i="9"/>
  <c r="F216" i="9"/>
  <c r="E216" i="9"/>
  <c r="D216" i="9"/>
  <c r="P216" i="9" s="1"/>
  <c r="O215" i="9"/>
  <c r="N215" i="9"/>
  <c r="M215" i="9"/>
  <c r="L215" i="9"/>
  <c r="K215" i="9"/>
  <c r="J215" i="9"/>
  <c r="I215" i="9"/>
  <c r="H215" i="9"/>
  <c r="G215" i="9"/>
  <c r="F215" i="9"/>
  <c r="E215" i="9"/>
  <c r="D215" i="9"/>
  <c r="P215" i="9" s="1"/>
  <c r="O214" i="9"/>
  <c r="N214" i="9"/>
  <c r="M214" i="9"/>
  <c r="L214" i="9"/>
  <c r="K214" i="9"/>
  <c r="J214" i="9"/>
  <c r="I214" i="9"/>
  <c r="H214" i="9"/>
  <c r="G214" i="9"/>
  <c r="F214" i="9"/>
  <c r="E214" i="9"/>
  <c r="D214" i="9"/>
  <c r="P214" i="9" s="1"/>
  <c r="O213" i="9"/>
  <c r="N213" i="9"/>
  <c r="M213" i="9"/>
  <c r="L213" i="9"/>
  <c r="K213" i="9"/>
  <c r="J213" i="9"/>
  <c r="I213" i="9"/>
  <c r="H213" i="9"/>
  <c r="G213" i="9"/>
  <c r="F213" i="9"/>
  <c r="E213" i="9"/>
  <c r="D213" i="9"/>
  <c r="P213" i="9" s="1"/>
  <c r="O212" i="9"/>
  <c r="N212" i="9"/>
  <c r="M212" i="9"/>
  <c r="L212" i="9"/>
  <c r="K212" i="9"/>
  <c r="J212" i="9"/>
  <c r="I212" i="9"/>
  <c r="H212" i="9"/>
  <c r="G212" i="9"/>
  <c r="F212" i="9"/>
  <c r="E212" i="9"/>
  <c r="D212" i="9"/>
  <c r="P212" i="9" s="1"/>
  <c r="O211" i="9"/>
  <c r="N211" i="9"/>
  <c r="M211" i="9"/>
  <c r="L211" i="9"/>
  <c r="K211" i="9"/>
  <c r="J211" i="9"/>
  <c r="I211" i="9"/>
  <c r="H211" i="9"/>
  <c r="G211" i="9"/>
  <c r="F211" i="9"/>
  <c r="E211" i="9"/>
  <c r="D211" i="9"/>
  <c r="P211" i="9" s="1"/>
  <c r="O210" i="9"/>
  <c r="N210" i="9"/>
  <c r="M210" i="9"/>
  <c r="L210" i="9"/>
  <c r="K210" i="9"/>
  <c r="J210" i="9"/>
  <c r="I210" i="9"/>
  <c r="H210" i="9"/>
  <c r="G210" i="9"/>
  <c r="F210" i="9"/>
  <c r="E210" i="9"/>
  <c r="D210" i="9"/>
  <c r="P210" i="9" s="1"/>
  <c r="O209" i="9"/>
  <c r="N209" i="9"/>
  <c r="M209" i="9"/>
  <c r="L209" i="9"/>
  <c r="K209" i="9"/>
  <c r="J209" i="9"/>
  <c r="I209" i="9"/>
  <c r="H209" i="9"/>
  <c r="G209" i="9"/>
  <c r="F209" i="9"/>
  <c r="E209" i="9"/>
  <c r="D209" i="9"/>
  <c r="P209" i="9" s="1"/>
  <c r="O208" i="9"/>
  <c r="N208" i="9"/>
  <c r="M208" i="9"/>
  <c r="L208" i="9"/>
  <c r="K208" i="9"/>
  <c r="J208" i="9"/>
  <c r="I208" i="9"/>
  <c r="H208" i="9"/>
  <c r="G208" i="9"/>
  <c r="F208" i="9"/>
  <c r="E208" i="9"/>
  <c r="D208" i="9"/>
  <c r="P208" i="9" s="1"/>
  <c r="P207" i="9"/>
  <c r="O206" i="9"/>
  <c r="N206" i="9"/>
  <c r="M206" i="9"/>
  <c r="L206" i="9"/>
  <c r="L176" i="9" s="1"/>
  <c r="K206" i="9"/>
  <c r="J206" i="9"/>
  <c r="I206" i="9"/>
  <c r="H206" i="9"/>
  <c r="G206" i="9"/>
  <c r="F206" i="9"/>
  <c r="E206" i="9"/>
  <c r="D206" i="9"/>
  <c r="P206" i="9" s="1"/>
  <c r="O205" i="9"/>
  <c r="N205" i="9"/>
  <c r="M205" i="9"/>
  <c r="L205" i="9"/>
  <c r="K205" i="9"/>
  <c r="J205" i="9"/>
  <c r="I205" i="9"/>
  <c r="H205" i="9"/>
  <c r="G205" i="9"/>
  <c r="F205" i="9"/>
  <c r="E205" i="9"/>
  <c r="D205" i="9"/>
  <c r="P205" i="9" s="1"/>
  <c r="K5" i="10" s="1"/>
  <c r="O204" i="9"/>
  <c r="N204" i="9"/>
  <c r="M204" i="9"/>
  <c r="L204" i="9"/>
  <c r="K204" i="9"/>
  <c r="J204" i="9"/>
  <c r="P204" i="9" s="1"/>
  <c r="O203" i="9"/>
  <c r="N203" i="9"/>
  <c r="M203" i="9"/>
  <c r="L203" i="9"/>
  <c r="K203" i="9"/>
  <c r="J203" i="9"/>
  <c r="I203" i="9"/>
  <c r="P203" i="9" s="1"/>
  <c r="F202" i="9"/>
  <c r="E202" i="9"/>
  <c r="P202" i="9" s="1"/>
  <c r="D202" i="9"/>
  <c r="P201" i="9"/>
  <c r="F201" i="9"/>
  <c r="E201" i="9"/>
  <c r="D201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P200" i="9" s="1"/>
  <c r="O199" i="9"/>
  <c r="N199" i="9"/>
  <c r="M199" i="9"/>
  <c r="L199" i="9"/>
  <c r="K199" i="9"/>
  <c r="J199" i="9"/>
  <c r="I199" i="9"/>
  <c r="H199" i="9"/>
  <c r="G199" i="9"/>
  <c r="F199" i="9"/>
  <c r="E199" i="9"/>
  <c r="D199" i="9"/>
  <c r="P199" i="9" s="1"/>
  <c r="O198" i="9"/>
  <c r="N198" i="9"/>
  <c r="M198" i="9"/>
  <c r="L198" i="9"/>
  <c r="K198" i="9"/>
  <c r="J198" i="9"/>
  <c r="I198" i="9"/>
  <c r="H198" i="9"/>
  <c r="G198" i="9"/>
  <c r="F198" i="9"/>
  <c r="E198" i="9"/>
  <c r="D198" i="9"/>
  <c r="P198" i="9" s="1"/>
  <c r="O197" i="9"/>
  <c r="N197" i="9"/>
  <c r="M197" i="9"/>
  <c r="L197" i="9"/>
  <c r="K197" i="9"/>
  <c r="J197" i="9"/>
  <c r="I197" i="9"/>
  <c r="H197" i="9"/>
  <c r="G197" i="9"/>
  <c r="F197" i="9"/>
  <c r="E197" i="9"/>
  <c r="D197" i="9"/>
  <c r="P197" i="9" s="1"/>
  <c r="O196" i="9"/>
  <c r="N196" i="9"/>
  <c r="M196" i="9"/>
  <c r="L196" i="9"/>
  <c r="K196" i="9"/>
  <c r="J196" i="9"/>
  <c r="I196" i="9"/>
  <c r="H196" i="9"/>
  <c r="G196" i="9"/>
  <c r="F196" i="9"/>
  <c r="E196" i="9"/>
  <c r="D196" i="9"/>
  <c r="P196" i="9" s="1"/>
  <c r="P195" i="9"/>
  <c r="P194" i="9"/>
  <c r="P193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P192" i="9" s="1"/>
  <c r="P191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P190" i="9" s="1"/>
  <c r="P189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P188" i="9" s="1"/>
  <c r="O187" i="9"/>
  <c r="N187" i="9"/>
  <c r="M187" i="9"/>
  <c r="L187" i="9"/>
  <c r="K187" i="9"/>
  <c r="J187" i="9"/>
  <c r="I187" i="9"/>
  <c r="H187" i="9"/>
  <c r="G187" i="9"/>
  <c r="F187" i="9"/>
  <c r="E187" i="9"/>
  <c r="D187" i="9"/>
  <c r="P187" i="9" s="1"/>
  <c r="O186" i="9"/>
  <c r="N186" i="9"/>
  <c r="M186" i="9"/>
  <c r="L186" i="9"/>
  <c r="K186" i="9"/>
  <c r="J186" i="9"/>
  <c r="I186" i="9"/>
  <c r="H186" i="9"/>
  <c r="G186" i="9"/>
  <c r="F186" i="9"/>
  <c r="E186" i="9"/>
  <c r="D186" i="9"/>
  <c r="P186" i="9" s="1"/>
  <c r="O185" i="9"/>
  <c r="N185" i="9"/>
  <c r="M185" i="9"/>
  <c r="L185" i="9"/>
  <c r="K185" i="9"/>
  <c r="J185" i="9"/>
  <c r="I185" i="9"/>
  <c r="H185" i="9"/>
  <c r="G185" i="9"/>
  <c r="F185" i="9"/>
  <c r="E185" i="9"/>
  <c r="D185" i="9"/>
  <c r="P185" i="9" s="1"/>
  <c r="O184" i="9"/>
  <c r="N184" i="9"/>
  <c r="M184" i="9"/>
  <c r="L184" i="9"/>
  <c r="K184" i="9"/>
  <c r="J184" i="9"/>
  <c r="I184" i="9"/>
  <c r="H184" i="9"/>
  <c r="G184" i="9"/>
  <c r="F184" i="9"/>
  <c r="E184" i="9"/>
  <c r="D184" i="9"/>
  <c r="P184" i="9" s="1"/>
  <c r="O183" i="9"/>
  <c r="N183" i="9"/>
  <c r="M183" i="9"/>
  <c r="L183" i="9"/>
  <c r="K183" i="9"/>
  <c r="J183" i="9"/>
  <c r="I183" i="9"/>
  <c r="H183" i="9"/>
  <c r="G183" i="9"/>
  <c r="F183" i="9"/>
  <c r="E183" i="9"/>
  <c r="D183" i="9"/>
  <c r="P183" i="9" s="1"/>
  <c r="O182" i="9"/>
  <c r="N182" i="9"/>
  <c r="M182" i="9"/>
  <c r="L182" i="9"/>
  <c r="K182" i="9"/>
  <c r="J182" i="9"/>
  <c r="I182" i="9"/>
  <c r="H182" i="9"/>
  <c r="G182" i="9"/>
  <c r="F182" i="9"/>
  <c r="E182" i="9"/>
  <c r="D182" i="9"/>
  <c r="P182" i="9" s="1"/>
  <c r="G181" i="9"/>
  <c r="F181" i="9"/>
  <c r="E181" i="9"/>
  <c r="D181" i="9"/>
  <c r="P181" i="9" s="1"/>
  <c r="O180" i="9"/>
  <c r="N180" i="9"/>
  <c r="M180" i="9"/>
  <c r="L180" i="9"/>
  <c r="K180" i="9"/>
  <c r="J180" i="9"/>
  <c r="I180" i="9"/>
  <c r="H180" i="9"/>
  <c r="H176" i="9" s="1"/>
  <c r="G180" i="9"/>
  <c r="F180" i="9"/>
  <c r="E180" i="9"/>
  <c r="D180" i="9"/>
  <c r="P180" i="9" s="1"/>
  <c r="O179" i="9"/>
  <c r="N179" i="9"/>
  <c r="N176" i="9" s="1"/>
  <c r="M179" i="9"/>
  <c r="L179" i="9"/>
  <c r="K179" i="9"/>
  <c r="J179" i="9"/>
  <c r="I179" i="9"/>
  <c r="H179" i="9"/>
  <c r="G179" i="9"/>
  <c r="F179" i="9"/>
  <c r="E179" i="9"/>
  <c r="D179" i="9"/>
  <c r="P179" i="9" s="1"/>
  <c r="O178" i="9"/>
  <c r="N178" i="9"/>
  <c r="M178" i="9"/>
  <c r="L178" i="9"/>
  <c r="K178" i="9"/>
  <c r="J178" i="9"/>
  <c r="I178" i="9"/>
  <c r="H178" i="9"/>
  <c r="G178" i="9"/>
  <c r="F178" i="9"/>
  <c r="F176" i="9" s="1"/>
  <c r="E178" i="9"/>
  <c r="D178" i="9"/>
  <c r="P178" i="9" s="1"/>
  <c r="O177" i="9"/>
  <c r="O176" i="9" s="1"/>
  <c r="N177" i="9"/>
  <c r="M177" i="9"/>
  <c r="M176" i="9" s="1"/>
  <c r="L177" i="9"/>
  <c r="K177" i="9"/>
  <c r="K176" i="9" s="1"/>
  <c r="J177" i="9"/>
  <c r="J176" i="9" s="1"/>
  <c r="I177" i="9"/>
  <c r="I176" i="9" s="1"/>
  <c r="H177" i="9"/>
  <c r="G177" i="9"/>
  <c r="G176" i="9" s="1"/>
  <c r="F177" i="9"/>
  <c r="E177" i="9"/>
  <c r="D177" i="9"/>
  <c r="D176" i="9" s="1"/>
  <c r="E176" i="9"/>
  <c r="M174" i="9"/>
  <c r="F174" i="9"/>
  <c r="C174" i="9"/>
  <c r="E174" i="9" s="1"/>
  <c r="O171" i="9"/>
  <c r="N171" i="9"/>
  <c r="M171" i="9"/>
  <c r="L171" i="9"/>
  <c r="K171" i="9"/>
  <c r="J171" i="9"/>
  <c r="I171" i="9"/>
  <c r="H171" i="9"/>
  <c r="H88" i="9" s="1"/>
  <c r="G171" i="9"/>
  <c r="F171" i="9"/>
  <c r="E171" i="9"/>
  <c r="D171" i="9"/>
  <c r="P171" i="9" s="1"/>
  <c r="O170" i="9"/>
  <c r="N170" i="9"/>
  <c r="M170" i="9"/>
  <c r="L170" i="9"/>
  <c r="K170" i="9"/>
  <c r="J170" i="9"/>
  <c r="I170" i="9"/>
  <c r="I88" i="9" s="1"/>
  <c r="H170" i="9"/>
  <c r="G170" i="9"/>
  <c r="F170" i="9"/>
  <c r="E170" i="9"/>
  <c r="D170" i="9"/>
  <c r="P170" i="9" s="1"/>
  <c r="O169" i="9"/>
  <c r="N169" i="9"/>
  <c r="M169" i="9"/>
  <c r="L169" i="9"/>
  <c r="K169" i="9"/>
  <c r="J169" i="9"/>
  <c r="J88" i="9" s="1"/>
  <c r="I169" i="9"/>
  <c r="H169" i="9"/>
  <c r="G169" i="9"/>
  <c r="F169" i="9"/>
  <c r="E169" i="9"/>
  <c r="E88" i="9" s="1"/>
  <c r="D169" i="9"/>
  <c r="P169" i="9" s="1"/>
  <c r="O168" i="9"/>
  <c r="N168" i="9"/>
  <c r="M168" i="9"/>
  <c r="L168" i="9"/>
  <c r="K168" i="9"/>
  <c r="K88" i="9" s="1"/>
  <c r="J168" i="9"/>
  <c r="I168" i="9"/>
  <c r="H168" i="9"/>
  <c r="G168" i="9"/>
  <c r="F168" i="9"/>
  <c r="F88" i="9" s="1"/>
  <c r="E168" i="9"/>
  <c r="D168" i="9"/>
  <c r="P168" i="9" s="1"/>
  <c r="O167" i="9"/>
  <c r="N167" i="9"/>
  <c r="M167" i="9"/>
  <c r="L167" i="9"/>
  <c r="L88" i="9" s="1"/>
  <c r="K167" i="9"/>
  <c r="J167" i="9"/>
  <c r="I167" i="9"/>
  <c r="H167" i="9"/>
  <c r="G167" i="9"/>
  <c r="G88" i="9" s="1"/>
  <c r="F167" i="9"/>
  <c r="E167" i="9"/>
  <c r="D167" i="9"/>
  <c r="P167" i="9" s="1"/>
  <c r="O166" i="9"/>
  <c r="N166" i="9"/>
  <c r="M166" i="9"/>
  <c r="L166" i="9"/>
  <c r="K166" i="9"/>
  <c r="J166" i="9"/>
  <c r="I166" i="9"/>
  <c r="H166" i="9"/>
  <c r="G166" i="9"/>
  <c r="F166" i="9"/>
  <c r="E166" i="9"/>
  <c r="D166" i="9"/>
  <c r="P166" i="9" s="1"/>
  <c r="O165" i="9"/>
  <c r="N165" i="9"/>
  <c r="M165" i="9"/>
  <c r="L165" i="9"/>
  <c r="K165" i="9"/>
  <c r="J165" i="9"/>
  <c r="I165" i="9"/>
  <c r="H165" i="9"/>
  <c r="G165" i="9"/>
  <c r="F165" i="9"/>
  <c r="E165" i="9"/>
  <c r="D165" i="9"/>
  <c r="P165" i="9" s="1"/>
  <c r="O164" i="9"/>
  <c r="N164" i="9"/>
  <c r="M164" i="9"/>
  <c r="L164" i="9"/>
  <c r="K164" i="9"/>
  <c r="J164" i="9"/>
  <c r="I164" i="9"/>
  <c r="H164" i="9"/>
  <c r="G164" i="9"/>
  <c r="F164" i="9"/>
  <c r="E164" i="9"/>
  <c r="D164" i="9"/>
  <c r="P164" i="9" s="1"/>
  <c r="P163" i="9"/>
  <c r="I163" i="9"/>
  <c r="H163" i="9"/>
  <c r="G163" i="9"/>
  <c r="F163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P162" i="9" s="1"/>
  <c r="O161" i="9"/>
  <c r="N161" i="9"/>
  <c r="M161" i="9"/>
  <c r="L161" i="9"/>
  <c r="K161" i="9"/>
  <c r="J161" i="9"/>
  <c r="I161" i="9"/>
  <c r="H161" i="9"/>
  <c r="G161" i="9"/>
  <c r="F161" i="9"/>
  <c r="E161" i="9"/>
  <c r="D161" i="9"/>
  <c r="P161" i="9" s="1"/>
  <c r="F160" i="9"/>
  <c r="E160" i="9"/>
  <c r="P160" i="9" s="1"/>
  <c r="D160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P159" i="9" s="1"/>
  <c r="O158" i="9"/>
  <c r="N158" i="9"/>
  <c r="M158" i="9"/>
  <c r="L158" i="9"/>
  <c r="K158" i="9"/>
  <c r="J158" i="9"/>
  <c r="I158" i="9"/>
  <c r="H158" i="9"/>
  <c r="G158" i="9"/>
  <c r="F158" i="9"/>
  <c r="E158" i="9"/>
  <c r="D158" i="9"/>
  <c r="P158" i="9" s="1"/>
  <c r="O157" i="9"/>
  <c r="N157" i="9"/>
  <c r="M157" i="9"/>
  <c r="L157" i="9"/>
  <c r="K157" i="9"/>
  <c r="J157" i="9"/>
  <c r="I157" i="9"/>
  <c r="H157" i="9"/>
  <c r="G157" i="9"/>
  <c r="F157" i="9"/>
  <c r="E157" i="9"/>
  <c r="D157" i="9"/>
  <c r="P157" i="9" s="1"/>
  <c r="E156" i="9"/>
  <c r="D156" i="9"/>
  <c r="P156" i="9" s="1"/>
  <c r="O155" i="9"/>
  <c r="N155" i="9"/>
  <c r="M155" i="9"/>
  <c r="L155" i="9"/>
  <c r="K155" i="9"/>
  <c r="J155" i="9"/>
  <c r="I155" i="9"/>
  <c r="P155" i="9" s="1"/>
  <c r="O154" i="9"/>
  <c r="N154" i="9"/>
  <c r="M154" i="9"/>
  <c r="L154" i="9"/>
  <c r="K154" i="9"/>
  <c r="J154" i="9"/>
  <c r="I154" i="9"/>
  <c r="H154" i="9"/>
  <c r="G154" i="9"/>
  <c r="F154" i="9"/>
  <c r="E154" i="9"/>
  <c r="D154" i="9"/>
  <c r="P154" i="9" s="1"/>
  <c r="O153" i="9"/>
  <c r="N153" i="9"/>
  <c r="M153" i="9"/>
  <c r="L153" i="9"/>
  <c r="K153" i="9"/>
  <c r="J153" i="9"/>
  <c r="I153" i="9"/>
  <c r="H153" i="9"/>
  <c r="G153" i="9"/>
  <c r="F153" i="9"/>
  <c r="E153" i="9"/>
  <c r="D153" i="9"/>
  <c r="P153" i="9" s="1"/>
  <c r="O152" i="9"/>
  <c r="N152" i="9"/>
  <c r="M152" i="9"/>
  <c r="L152" i="9"/>
  <c r="K152" i="9"/>
  <c r="J152" i="9"/>
  <c r="I152" i="9"/>
  <c r="H152" i="9"/>
  <c r="G152" i="9"/>
  <c r="F152" i="9"/>
  <c r="E152" i="9"/>
  <c r="D152" i="9"/>
  <c r="P152" i="9" s="1"/>
  <c r="K151" i="9"/>
  <c r="J151" i="9"/>
  <c r="I151" i="9"/>
  <c r="H151" i="9"/>
  <c r="G151" i="9"/>
  <c r="F151" i="9"/>
  <c r="E151" i="9"/>
  <c r="D151" i="9"/>
  <c r="P151" i="9" s="1"/>
  <c r="O150" i="9"/>
  <c r="N150" i="9"/>
  <c r="M150" i="9"/>
  <c r="L150" i="9"/>
  <c r="K150" i="9"/>
  <c r="J150" i="9"/>
  <c r="I150" i="9"/>
  <c r="H150" i="9"/>
  <c r="G150" i="9"/>
  <c r="F150" i="9"/>
  <c r="E150" i="9"/>
  <c r="D150" i="9"/>
  <c r="P150" i="9" s="1"/>
  <c r="O149" i="9"/>
  <c r="N149" i="9"/>
  <c r="M149" i="9"/>
  <c r="L149" i="9"/>
  <c r="K149" i="9"/>
  <c r="J149" i="9"/>
  <c r="I149" i="9"/>
  <c r="H149" i="9"/>
  <c r="G149" i="9"/>
  <c r="F149" i="9"/>
  <c r="E149" i="9"/>
  <c r="D149" i="9"/>
  <c r="P149" i="9" s="1"/>
  <c r="I148" i="9"/>
  <c r="H148" i="9"/>
  <c r="P148" i="9" s="1"/>
  <c r="G148" i="9"/>
  <c r="F148" i="9"/>
  <c r="E148" i="9"/>
  <c r="D148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P147" i="9" s="1"/>
  <c r="O146" i="9"/>
  <c r="N146" i="9"/>
  <c r="M146" i="9"/>
  <c r="L146" i="9"/>
  <c r="K146" i="9"/>
  <c r="J146" i="9"/>
  <c r="I146" i="9"/>
  <c r="H146" i="9"/>
  <c r="G146" i="9"/>
  <c r="F146" i="9"/>
  <c r="E146" i="9"/>
  <c r="D146" i="9"/>
  <c r="P146" i="9" s="1"/>
  <c r="O145" i="9"/>
  <c r="N145" i="9"/>
  <c r="M145" i="9"/>
  <c r="L145" i="9"/>
  <c r="K145" i="9"/>
  <c r="J145" i="9"/>
  <c r="I145" i="9"/>
  <c r="H145" i="9"/>
  <c r="G145" i="9"/>
  <c r="F145" i="9"/>
  <c r="E145" i="9"/>
  <c r="D145" i="9"/>
  <c r="P145" i="9" s="1"/>
  <c r="O144" i="9"/>
  <c r="N144" i="9"/>
  <c r="M144" i="9"/>
  <c r="L144" i="9"/>
  <c r="K144" i="9"/>
  <c r="P144" i="9" s="1"/>
  <c r="J144" i="9"/>
  <c r="P143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P142" i="9" s="1"/>
  <c r="O141" i="9"/>
  <c r="N141" i="9"/>
  <c r="M141" i="9"/>
  <c r="L141" i="9"/>
  <c r="K141" i="9"/>
  <c r="J141" i="9"/>
  <c r="I141" i="9"/>
  <c r="H141" i="9"/>
  <c r="G141" i="9"/>
  <c r="F141" i="9"/>
  <c r="E141" i="9"/>
  <c r="D141" i="9"/>
  <c r="P141" i="9" s="1"/>
  <c r="H140" i="9"/>
  <c r="G140" i="9"/>
  <c r="F140" i="9"/>
  <c r="E140" i="9"/>
  <c r="D140" i="9"/>
  <c r="P140" i="9" s="1"/>
  <c r="O139" i="9"/>
  <c r="N139" i="9"/>
  <c r="M139" i="9"/>
  <c r="L139" i="9"/>
  <c r="K139" i="9"/>
  <c r="J139" i="9"/>
  <c r="I139" i="9"/>
  <c r="H139" i="9"/>
  <c r="G139" i="9"/>
  <c r="F139" i="9"/>
  <c r="E139" i="9"/>
  <c r="D139" i="9"/>
  <c r="P139" i="9" s="1"/>
  <c r="K35" i="10" s="1"/>
  <c r="O138" i="9"/>
  <c r="N138" i="9"/>
  <c r="M138" i="9"/>
  <c r="L138" i="9"/>
  <c r="K138" i="9"/>
  <c r="J138" i="9"/>
  <c r="I138" i="9"/>
  <c r="H138" i="9"/>
  <c r="G138" i="9"/>
  <c r="F138" i="9"/>
  <c r="P138" i="9" s="1"/>
  <c r="O137" i="9"/>
  <c r="N137" i="9"/>
  <c r="M137" i="9"/>
  <c r="L137" i="9"/>
  <c r="K137" i="9"/>
  <c r="J137" i="9"/>
  <c r="I137" i="9"/>
  <c r="H137" i="9"/>
  <c r="G137" i="9"/>
  <c r="F137" i="9"/>
  <c r="E137" i="9"/>
  <c r="D137" i="9"/>
  <c r="P137" i="9" s="1"/>
  <c r="O136" i="9"/>
  <c r="N136" i="9"/>
  <c r="M136" i="9"/>
  <c r="L136" i="9"/>
  <c r="K136" i="9"/>
  <c r="J136" i="9"/>
  <c r="I136" i="9"/>
  <c r="H136" i="9"/>
  <c r="G136" i="9"/>
  <c r="F136" i="9"/>
  <c r="E136" i="9"/>
  <c r="D136" i="9"/>
  <c r="P136" i="9" s="1"/>
  <c r="O135" i="9"/>
  <c r="N135" i="9"/>
  <c r="M135" i="9"/>
  <c r="L135" i="9"/>
  <c r="K135" i="9"/>
  <c r="J135" i="9"/>
  <c r="I135" i="9"/>
  <c r="H135" i="9"/>
  <c r="G135" i="9"/>
  <c r="F135" i="9"/>
  <c r="E135" i="9"/>
  <c r="D135" i="9"/>
  <c r="P135" i="9" s="1"/>
  <c r="O134" i="9"/>
  <c r="N134" i="9"/>
  <c r="M134" i="9"/>
  <c r="L134" i="9"/>
  <c r="K134" i="9"/>
  <c r="J134" i="9"/>
  <c r="I134" i="9"/>
  <c r="H134" i="9"/>
  <c r="G134" i="9"/>
  <c r="F134" i="9"/>
  <c r="E134" i="9"/>
  <c r="D134" i="9"/>
  <c r="P134" i="9" s="1"/>
  <c r="I133" i="9"/>
  <c r="H133" i="9"/>
  <c r="G133" i="9"/>
  <c r="F133" i="9"/>
  <c r="E133" i="9"/>
  <c r="D133" i="9"/>
  <c r="P133" i="9" s="1"/>
  <c r="O132" i="9"/>
  <c r="N132" i="9"/>
  <c r="M132" i="9"/>
  <c r="L132" i="9"/>
  <c r="K132" i="9"/>
  <c r="J132" i="9"/>
  <c r="I132" i="9"/>
  <c r="H132" i="9"/>
  <c r="G132" i="9"/>
  <c r="F132" i="9"/>
  <c r="E132" i="9"/>
  <c r="D132" i="9"/>
  <c r="P132" i="9" s="1"/>
  <c r="O131" i="9"/>
  <c r="N131" i="9"/>
  <c r="M131" i="9"/>
  <c r="L131" i="9"/>
  <c r="K131" i="9"/>
  <c r="J131" i="9"/>
  <c r="I131" i="9"/>
  <c r="H131" i="9"/>
  <c r="G131" i="9"/>
  <c r="F131" i="9"/>
  <c r="E131" i="9"/>
  <c r="D131" i="9"/>
  <c r="P131" i="9" s="1"/>
  <c r="O130" i="9"/>
  <c r="N130" i="9"/>
  <c r="M130" i="9"/>
  <c r="L130" i="9"/>
  <c r="K130" i="9"/>
  <c r="J130" i="9"/>
  <c r="I130" i="9"/>
  <c r="H130" i="9"/>
  <c r="G130" i="9"/>
  <c r="F130" i="9"/>
  <c r="E130" i="9"/>
  <c r="D130" i="9"/>
  <c r="P130" i="9" s="1"/>
  <c r="O129" i="9"/>
  <c r="N129" i="9"/>
  <c r="M129" i="9"/>
  <c r="L129" i="9"/>
  <c r="K129" i="9"/>
  <c r="J129" i="9"/>
  <c r="I129" i="9"/>
  <c r="H129" i="9"/>
  <c r="G129" i="9"/>
  <c r="F129" i="9"/>
  <c r="E129" i="9"/>
  <c r="D129" i="9"/>
  <c r="P129" i="9" s="1"/>
  <c r="O128" i="9"/>
  <c r="N128" i="9"/>
  <c r="M128" i="9"/>
  <c r="L128" i="9"/>
  <c r="K128" i="9"/>
  <c r="J128" i="9"/>
  <c r="I128" i="9"/>
  <c r="H128" i="9"/>
  <c r="G128" i="9"/>
  <c r="F128" i="9"/>
  <c r="E128" i="9"/>
  <c r="D128" i="9"/>
  <c r="P128" i="9" s="1"/>
  <c r="O127" i="9"/>
  <c r="N127" i="9"/>
  <c r="M127" i="9"/>
  <c r="L127" i="9"/>
  <c r="K127" i="9"/>
  <c r="J127" i="9"/>
  <c r="I127" i="9"/>
  <c r="H127" i="9"/>
  <c r="G127" i="9"/>
  <c r="F127" i="9"/>
  <c r="E127" i="9"/>
  <c r="D127" i="9"/>
  <c r="P127" i="9" s="1"/>
  <c r="O126" i="9"/>
  <c r="N126" i="9"/>
  <c r="M126" i="9"/>
  <c r="L126" i="9"/>
  <c r="K126" i="9"/>
  <c r="J126" i="9"/>
  <c r="I126" i="9"/>
  <c r="H126" i="9"/>
  <c r="G126" i="9"/>
  <c r="F126" i="9"/>
  <c r="E126" i="9"/>
  <c r="D126" i="9"/>
  <c r="P126" i="9" s="1"/>
  <c r="O125" i="9"/>
  <c r="N125" i="9"/>
  <c r="M125" i="9"/>
  <c r="L125" i="9"/>
  <c r="K125" i="9"/>
  <c r="J125" i="9"/>
  <c r="I125" i="9"/>
  <c r="H125" i="9"/>
  <c r="G125" i="9"/>
  <c r="F125" i="9"/>
  <c r="E125" i="9"/>
  <c r="D125" i="9"/>
  <c r="P125" i="9" s="1"/>
  <c r="O124" i="9"/>
  <c r="N124" i="9"/>
  <c r="M124" i="9"/>
  <c r="L124" i="9"/>
  <c r="K124" i="9"/>
  <c r="J124" i="9"/>
  <c r="I124" i="9"/>
  <c r="H124" i="9"/>
  <c r="G124" i="9"/>
  <c r="F124" i="9"/>
  <c r="E124" i="9"/>
  <c r="D124" i="9"/>
  <c r="P124" i="9" s="1"/>
  <c r="O123" i="9"/>
  <c r="N123" i="9"/>
  <c r="M123" i="9"/>
  <c r="L123" i="9"/>
  <c r="K123" i="9"/>
  <c r="J123" i="9"/>
  <c r="I123" i="9"/>
  <c r="H123" i="9"/>
  <c r="G123" i="9"/>
  <c r="F123" i="9"/>
  <c r="E123" i="9"/>
  <c r="D123" i="9"/>
  <c r="P123" i="9" s="1"/>
  <c r="O122" i="9"/>
  <c r="N122" i="9"/>
  <c r="M122" i="9"/>
  <c r="L122" i="9"/>
  <c r="K122" i="9"/>
  <c r="J122" i="9"/>
  <c r="I122" i="9"/>
  <c r="H122" i="9"/>
  <c r="G122" i="9"/>
  <c r="F122" i="9"/>
  <c r="E122" i="9"/>
  <c r="D122" i="9"/>
  <c r="P122" i="9" s="1"/>
  <c r="P121" i="9"/>
  <c r="O120" i="9"/>
  <c r="N120" i="9"/>
  <c r="M120" i="9"/>
  <c r="L120" i="9"/>
  <c r="K120" i="9"/>
  <c r="J120" i="9"/>
  <c r="I120" i="9"/>
  <c r="H120" i="9"/>
  <c r="H90" i="9" s="1"/>
  <c r="G120" i="9"/>
  <c r="F120" i="9"/>
  <c r="E120" i="9"/>
  <c r="D120" i="9"/>
  <c r="P120" i="9" s="1"/>
  <c r="O119" i="9"/>
  <c r="N119" i="9"/>
  <c r="M119" i="9"/>
  <c r="L119" i="9"/>
  <c r="K119" i="9"/>
  <c r="J119" i="9"/>
  <c r="I119" i="9"/>
  <c r="H119" i="9"/>
  <c r="G119" i="9"/>
  <c r="F119" i="9"/>
  <c r="E119" i="9"/>
  <c r="D119" i="9"/>
  <c r="P119" i="9" s="1"/>
  <c r="O118" i="9"/>
  <c r="N118" i="9"/>
  <c r="M118" i="9"/>
  <c r="L118" i="9"/>
  <c r="K118" i="9"/>
  <c r="J118" i="9"/>
  <c r="P118" i="9" s="1"/>
  <c r="O117" i="9"/>
  <c r="N117" i="9"/>
  <c r="M117" i="9"/>
  <c r="L117" i="9"/>
  <c r="P117" i="9" s="1"/>
  <c r="K117" i="9"/>
  <c r="J117" i="9"/>
  <c r="I117" i="9"/>
  <c r="F116" i="9"/>
  <c r="E116" i="9"/>
  <c r="D116" i="9"/>
  <c r="P116" i="9" s="1"/>
  <c r="F115" i="9"/>
  <c r="E115" i="9"/>
  <c r="D115" i="9"/>
  <c r="P115" i="9" s="1"/>
  <c r="O114" i="9"/>
  <c r="N114" i="9"/>
  <c r="M114" i="9"/>
  <c r="L114" i="9"/>
  <c r="K114" i="9"/>
  <c r="J114" i="9"/>
  <c r="I114" i="9"/>
  <c r="H114" i="9"/>
  <c r="G114" i="9"/>
  <c r="F114" i="9"/>
  <c r="E114" i="9"/>
  <c r="D114" i="9"/>
  <c r="P114" i="9" s="1"/>
  <c r="O113" i="9"/>
  <c r="N113" i="9"/>
  <c r="M113" i="9"/>
  <c r="L113" i="9"/>
  <c r="K113" i="9"/>
  <c r="J113" i="9"/>
  <c r="I113" i="9"/>
  <c r="H113" i="9"/>
  <c r="G113" i="9"/>
  <c r="F113" i="9"/>
  <c r="E113" i="9"/>
  <c r="D113" i="9"/>
  <c r="P113" i="9" s="1"/>
  <c r="O112" i="9"/>
  <c r="N112" i="9"/>
  <c r="M112" i="9"/>
  <c r="L112" i="9"/>
  <c r="K112" i="9"/>
  <c r="J112" i="9"/>
  <c r="I112" i="9"/>
  <c r="H112" i="9"/>
  <c r="G112" i="9"/>
  <c r="F112" i="9"/>
  <c r="E112" i="9"/>
  <c r="D112" i="9"/>
  <c r="P112" i="9" s="1"/>
  <c r="O111" i="9"/>
  <c r="N111" i="9"/>
  <c r="M111" i="9"/>
  <c r="L111" i="9"/>
  <c r="K111" i="9"/>
  <c r="J111" i="9"/>
  <c r="I111" i="9"/>
  <c r="H111" i="9"/>
  <c r="G111" i="9"/>
  <c r="F111" i="9"/>
  <c r="E111" i="9"/>
  <c r="D111" i="9"/>
  <c r="P111" i="9" s="1"/>
  <c r="K32" i="10" s="1"/>
  <c r="O110" i="9"/>
  <c r="N110" i="9"/>
  <c r="M110" i="9"/>
  <c r="L110" i="9"/>
  <c r="K110" i="9"/>
  <c r="J110" i="9"/>
  <c r="I110" i="9"/>
  <c r="H110" i="9"/>
  <c r="G110" i="9"/>
  <c r="F110" i="9"/>
  <c r="E110" i="9"/>
  <c r="D110" i="9"/>
  <c r="P110" i="9" s="1"/>
  <c r="P109" i="9"/>
  <c r="P108" i="9"/>
  <c r="P107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P106" i="9" s="1"/>
  <c r="P105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P104" i="9" s="1"/>
  <c r="P103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P102" i="9" s="1"/>
  <c r="O101" i="9"/>
  <c r="N101" i="9"/>
  <c r="M101" i="9"/>
  <c r="L101" i="9"/>
  <c r="K101" i="9"/>
  <c r="J101" i="9"/>
  <c r="I101" i="9"/>
  <c r="H101" i="9"/>
  <c r="G101" i="9"/>
  <c r="F101" i="9"/>
  <c r="E101" i="9"/>
  <c r="D101" i="9"/>
  <c r="P101" i="9" s="1"/>
  <c r="O100" i="9"/>
  <c r="N100" i="9"/>
  <c r="M100" i="9"/>
  <c r="L100" i="9"/>
  <c r="K100" i="9"/>
  <c r="J100" i="9"/>
  <c r="I100" i="9"/>
  <c r="H100" i="9"/>
  <c r="G100" i="9"/>
  <c r="F100" i="9"/>
  <c r="E100" i="9"/>
  <c r="D100" i="9"/>
  <c r="P100" i="9" s="1"/>
  <c r="O99" i="9"/>
  <c r="N99" i="9"/>
  <c r="M99" i="9"/>
  <c r="L99" i="9"/>
  <c r="K99" i="9"/>
  <c r="J99" i="9"/>
  <c r="I99" i="9"/>
  <c r="H99" i="9"/>
  <c r="G99" i="9"/>
  <c r="F99" i="9"/>
  <c r="E99" i="9"/>
  <c r="D99" i="9"/>
  <c r="P99" i="9" s="1"/>
  <c r="O98" i="9"/>
  <c r="N98" i="9"/>
  <c r="M98" i="9"/>
  <c r="L98" i="9"/>
  <c r="K98" i="9"/>
  <c r="J98" i="9"/>
  <c r="I98" i="9"/>
  <c r="H98" i="9"/>
  <c r="G98" i="9"/>
  <c r="F98" i="9"/>
  <c r="E98" i="9"/>
  <c r="D98" i="9"/>
  <c r="P98" i="9" s="1"/>
  <c r="O97" i="9"/>
  <c r="N97" i="9"/>
  <c r="M97" i="9"/>
  <c r="L97" i="9"/>
  <c r="K97" i="9"/>
  <c r="J97" i="9"/>
  <c r="I97" i="9"/>
  <c r="H97" i="9"/>
  <c r="G97" i="9"/>
  <c r="F97" i="9"/>
  <c r="E97" i="9"/>
  <c r="D97" i="9"/>
  <c r="P97" i="9" s="1"/>
  <c r="O96" i="9"/>
  <c r="O90" i="9" s="1"/>
  <c r="N96" i="9"/>
  <c r="M96" i="9"/>
  <c r="L96" i="9"/>
  <c r="K96" i="9"/>
  <c r="J96" i="9"/>
  <c r="I96" i="9"/>
  <c r="H96" i="9"/>
  <c r="G96" i="9"/>
  <c r="F96" i="9"/>
  <c r="E96" i="9"/>
  <c r="D96" i="9"/>
  <c r="P96" i="9" s="1"/>
  <c r="P95" i="9"/>
  <c r="G95" i="9"/>
  <c r="F95" i="9"/>
  <c r="E95" i="9"/>
  <c r="D95" i="9"/>
  <c r="O94" i="9"/>
  <c r="N94" i="9"/>
  <c r="M94" i="9"/>
  <c r="L94" i="9"/>
  <c r="K94" i="9"/>
  <c r="J94" i="9"/>
  <c r="I94" i="9"/>
  <c r="H94" i="9"/>
  <c r="G94" i="9"/>
  <c r="F94" i="9"/>
  <c r="E94" i="9"/>
  <c r="D94" i="9"/>
  <c r="P94" i="9" s="1"/>
  <c r="O93" i="9"/>
  <c r="N93" i="9"/>
  <c r="M93" i="9"/>
  <c r="L93" i="9"/>
  <c r="K93" i="9"/>
  <c r="J93" i="9"/>
  <c r="J90" i="9" s="1"/>
  <c r="L54" i="2" s="1"/>
  <c r="U54" i="2" s="1"/>
  <c r="I93" i="9"/>
  <c r="H93" i="9"/>
  <c r="G93" i="9"/>
  <c r="F93" i="9"/>
  <c r="E93" i="9"/>
  <c r="D93" i="9"/>
  <c r="P93" i="9" s="1"/>
  <c r="O92" i="9"/>
  <c r="N92" i="9"/>
  <c r="M92" i="9"/>
  <c r="L92" i="9"/>
  <c r="K92" i="9"/>
  <c r="K90" i="9" s="1"/>
  <c r="J92" i="9"/>
  <c r="I92" i="9"/>
  <c r="H92" i="9"/>
  <c r="G92" i="9"/>
  <c r="F92" i="9"/>
  <c r="E92" i="9"/>
  <c r="D92" i="9"/>
  <c r="P92" i="9" s="1"/>
  <c r="O91" i="9"/>
  <c r="N91" i="9"/>
  <c r="N90" i="9" s="1"/>
  <c r="M91" i="9"/>
  <c r="L91" i="9"/>
  <c r="L90" i="9" s="1"/>
  <c r="K91" i="9"/>
  <c r="J91" i="9"/>
  <c r="I91" i="9"/>
  <c r="I90" i="9" s="1"/>
  <c r="H91" i="9"/>
  <c r="G91" i="9"/>
  <c r="G90" i="9" s="1"/>
  <c r="F91" i="9"/>
  <c r="F90" i="9" s="1"/>
  <c r="E91" i="9"/>
  <c r="E90" i="9" s="1"/>
  <c r="D91" i="9"/>
  <c r="P91" i="9" s="1"/>
  <c r="M90" i="9"/>
  <c r="N88" i="9"/>
  <c r="M88" i="9"/>
  <c r="C88" i="9"/>
  <c r="N28" i="10" s="1"/>
  <c r="P85" i="9"/>
  <c r="P2" i="9" s="1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8" i="9"/>
  <c r="P67" i="9"/>
  <c r="P66" i="9"/>
  <c r="P65" i="9"/>
  <c r="P64" i="9"/>
  <c r="P63" i="9"/>
  <c r="P62" i="9"/>
  <c r="P61" i="9"/>
  <c r="P60" i="9"/>
  <c r="P59" i="9"/>
  <c r="N30" i="10" s="1"/>
  <c r="P57" i="9"/>
  <c r="P56" i="9"/>
  <c r="P55" i="9"/>
  <c r="P54" i="9"/>
  <c r="P53" i="9"/>
  <c r="N29" i="10" s="1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N27" i="10" s="1"/>
  <c r="P30" i="9"/>
  <c r="P29" i="9"/>
  <c r="P28" i="9"/>
  <c r="P27" i="9"/>
  <c r="P26" i="9"/>
  <c r="P25" i="9"/>
  <c r="N26" i="10" s="1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4" i="9" s="1"/>
  <c r="P8" i="9"/>
  <c r="P7" i="9"/>
  <c r="P6" i="9"/>
  <c r="P5" i="9"/>
  <c r="N25" i="10" s="1"/>
  <c r="O4" i="9"/>
  <c r="N4" i="9"/>
  <c r="M4" i="9"/>
  <c r="L4" i="9"/>
  <c r="K4" i="9"/>
  <c r="J4" i="9"/>
  <c r="I4" i="9"/>
  <c r="H4" i="9"/>
  <c r="G4" i="9"/>
  <c r="F4" i="9"/>
  <c r="E4" i="9"/>
  <c r="D4" i="9"/>
  <c r="M2" i="9"/>
  <c r="L2" i="9"/>
  <c r="J2" i="9"/>
  <c r="I2" i="9"/>
  <c r="H2" i="9"/>
  <c r="G2" i="9"/>
  <c r="F2" i="9"/>
  <c r="E2" i="9"/>
  <c r="D2" i="9"/>
  <c r="C2" i="9"/>
  <c r="O2" i="9" s="1"/>
  <c r="I40" i="8"/>
  <c r="I16" i="5" s="1"/>
  <c r="M22" i="2" s="1"/>
  <c r="M22" i="1" s="1"/>
  <c r="H40" i="8"/>
  <c r="H16" i="5" s="1"/>
  <c r="L22" i="2" s="1"/>
  <c r="L22" i="1" s="1"/>
  <c r="G40" i="8"/>
  <c r="G16" i="5" s="1"/>
  <c r="K22" i="2" s="1"/>
  <c r="K22" i="1" s="1"/>
  <c r="F40" i="8"/>
  <c r="E40" i="8"/>
  <c r="D40" i="8"/>
  <c r="D16" i="5" s="1"/>
  <c r="H22" i="2" s="1"/>
  <c r="H22" i="1" s="1"/>
  <c r="C40" i="8"/>
  <c r="B40" i="8"/>
  <c r="B16" i="5" s="1"/>
  <c r="F22" i="2" s="1"/>
  <c r="F22" i="1" s="1"/>
  <c r="J35" i="8"/>
  <c r="D35" i="8"/>
  <c r="F34" i="8"/>
  <c r="N34" i="8" s="1"/>
  <c r="F33" i="8"/>
  <c r="N33" i="8" s="1"/>
  <c r="F32" i="8"/>
  <c r="N32" i="8" s="1"/>
  <c r="F31" i="8"/>
  <c r="N31" i="8" s="1"/>
  <c r="F30" i="8"/>
  <c r="F29" i="8"/>
  <c r="F28" i="8"/>
  <c r="F27" i="8"/>
  <c r="F24" i="8" s="1"/>
  <c r="F26" i="8"/>
  <c r="M25" i="8"/>
  <c r="L25" i="8"/>
  <c r="K25" i="8"/>
  <c r="J25" i="8"/>
  <c r="I25" i="8"/>
  <c r="H25" i="8"/>
  <c r="G25" i="8"/>
  <c r="G35" i="8" s="1"/>
  <c r="E25" i="8"/>
  <c r="E35" i="8" s="1"/>
  <c r="D25" i="8"/>
  <c r="C25" i="8"/>
  <c r="C35" i="8" s="1"/>
  <c r="B25" i="8"/>
  <c r="F23" i="8"/>
  <c r="N23" i="8" s="1"/>
  <c r="F22" i="8"/>
  <c r="N22" i="8" s="1"/>
  <c r="M21" i="8"/>
  <c r="M35" i="8" s="1"/>
  <c r="L21" i="8"/>
  <c r="L35" i="8" s="1"/>
  <c r="K21" i="8"/>
  <c r="K35" i="8" s="1"/>
  <c r="J21" i="8"/>
  <c r="I21" i="8"/>
  <c r="I35" i="8" s="1"/>
  <c r="H21" i="8"/>
  <c r="H35" i="8" s="1"/>
  <c r="G21" i="8"/>
  <c r="E21" i="8"/>
  <c r="D21" i="8"/>
  <c r="C21" i="8"/>
  <c r="B21" i="8"/>
  <c r="N15" i="8"/>
  <c r="M15" i="8"/>
  <c r="L15" i="8"/>
  <c r="K15" i="8"/>
  <c r="J15" i="8"/>
  <c r="I15" i="8"/>
  <c r="H15" i="8"/>
  <c r="G15" i="8"/>
  <c r="F15" i="8"/>
  <c r="E15" i="8"/>
  <c r="D15" i="8"/>
  <c r="C15" i="8"/>
  <c r="A15" i="8"/>
  <c r="J13" i="8"/>
  <c r="I13" i="8"/>
  <c r="H13" i="8"/>
  <c r="G13" i="8"/>
  <c r="F13" i="8"/>
  <c r="E13" i="8"/>
  <c r="D13" i="8"/>
  <c r="C13" i="8"/>
  <c r="A13" i="8"/>
  <c r="J12" i="8"/>
  <c r="I12" i="8"/>
  <c r="H12" i="8"/>
  <c r="G12" i="8"/>
  <c r="F12" i="8"/>
  <c r="E12" i="8"/>
  <c r="D12" i="8"/>
  <c r="C12" i="8"/>
  <c r="A12" i="8"/>
  <c r="J11" i="8"/>
  <c r="I11" i="8"/>
  <c r="H11" i="8"/>
  <c r="G11" i="8"/>
  <c r="F11" i="8"/>
  <c r="E11" i="8"/>
  <c r="D11" i="8"/>
  <c r="C11" i="8"/>
  <c r="A11" i="8"/>
  <c r="J10" i="8"/>
  <c r="I10" i="8"/>
  <c r="H10" i="8"/>
  <c r="G10" i="8"/>
  <c r="F10" i="8"/>
  <c r="E10" i="8"/>
  <c r="D10" i="8"/>
  <c r="C10" i="8"/>
  <c r="A10" i="8"/>
  <c r="J9" i="8"/>
  <c r="I9" i="8"/>
  <c r="H9" i="8"/>
  <c r="G9" i="8"/>
  <c r="F9" i="8"/>
  <c r="E9" i="8"/>
  <c r="D9" i="8"/>
  <c r="C9" i="8"/>
  <c r="A9" i="8"/>
  <c r="J8" i="8"/>
  <c r="I8" i="8"/>
  <c r="H8" i="8"/>
  <c r="G8" i="8"/>
  <c r="F8" i="8"/>
  <c r="E8" i="8"/>
  <c r="D8" i="8"/>
  <c r="C8" i="8"/>
  <c r="A8" i="8"/>
  <c r="J7" i="8"/>
  <c r="I7" i="8"/>
  <c r="H7" i="8"/>
  <c r="G7" i="8"/>
  <c r="F7" i="8"/>
  <c r="E7" i="8"/>
  <c r="D7" i="8"/>
  <c r="C7" i="8"/>
  <c r="A7" i="8"/>
  <c r="N6" i="8"/>
  <c r="Q44" i="2" s="1"/>
  <c r="Q44" i="1" s="1"/>
  <c r="M6" i="8"/>
  <c r="P44" i="2" s="1"/>
  <c r="P44" i="1" s="1"/>
  <c r="L6" i="8"/>
  <c r="O44" i="2" s="1"/>
  <c r="O44" i="1" s="1"/>
  <c r="O42" i="1" s="1"/>
  <c r="K6" i="8"/>
  <c r="N44" i="2" s="1"/>
  <c r="N42" i="2" s="1"/>
  <c r="J6" i="8"/>
  <c r="I6" i="8"/>
  <c r="L44" i="2" s="1"/>
  <c r="H6" i="8"/>
  <c r="G6" i="8"/>
  <c r="F6" i="8"/>
  <c r="I44" i="2" s="1"/>
  <c r="I44" i="1" s="1"/>
  <c r="E6" i="8"/>
  <c r="D6" i="8"/>
  <c r="G44" i="2" s="1"/>
  <c r="G44" i="1" s="1"/>
  <c r="C6" i="8"/>
  <c r="A6" i="8"/>
  <c r="J4" i="8"/>
  <c r="I4" i="8"/>
  <c r="H4" i="8"/>
  <c r="G4" i="8"/>
  <c r="F4" i="8"/>
  <c r="E4" i="8"/>
  <c r="D4" i="8"/>
  <c r="C4" i="8"/>
  <c r="A4" i="8"/>
  <c r="N3" i="8"/>
  <c r="M15" i="5" s="1"/>
  <c r="Q21" i="2" s="1"/>
  <c r="Q21" i="1" s="1"/>
  <c r="M3" i="8"/>
  <c r="L15" i="5" s="1"/>
  <c r="P21" i="2" s="1"/>
  <c r="P21" i="1" s="1"/>
  <c r="L3" i="8"/>
  <c r="K3" i="8"/>
  <c r="J3" i="8"/>
  <c r="I15" i="5" s="1"/>
  <c r="M21" i="2" s="1"/>
  <c r="M21" i="1" s="1"/>
  <c r="I3" i="8"/>
  <c r="H15" i="5" s="1"/>
  <c r="L21" i="2" s="1"/>
  <c r="L21" i="1" s="1"/>
  <c r="H3" i="8"/>
  <c r="G3" i="8"/>
  <c r="F3" i="8"/>
  <c r="E15" i="5" s="1"/>
  <c r="I21" i="2" s="1"/>
  <c r="I21" i="1" s="1"/>
  <c r="E3" i="8"/>
  <c r="D15" i="5" s="1"/>
  <c r="H21" i="2" s="1"/>
  <c r="H21" i="1" s="1"/>
  <c r="D3" i="8"/>
  <c r="C15" i="5" s="1"/>
  <c r="G21" i="2" s="1"/>
  <c r="G21" i="1" s="1"/>
  <c r="C3" i="8"/>
  <c r="A3" i="8"/>
  <c r="N2" i="8"/>
  <c r="M2" i="8"/>
  <c r="L2" i="8"/>
  <c r="K2" i="8"/>
  <c r="J2" i="8"/>
  <c r="I2" i="8"/>
  <c r="H2" i="8"/>
  <c r="G2" i="8"/>
  <c r="F2" i="8"/>
  <c r="E2" i="8"/>
  <c r="D2" i="8"/>
  <c r="C2" i="8"/>
  <c r="A2" i="8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L66" i="7"/>
  <c r="K66" i="7"/>
  <c r="A66" i="7"/>
  <c r="L65" i="7"/>
  <c r="K65" i="7"/>
  <c r="A65" i="7"/>
  <c r="M64" i="7"/>
  <c r="L64" i="7"/>
  <c r="K64" i="7"/>
  <c r="J64" i="7"/>
  <c r="I64" i="7"/>
  <c r="H64" i="7"/>
  <c r="F64" i="7"/>
  <c r="E64" i="7"/>
  <c r="D64" i="7"/>
  <c r="C64" i="7"/>
  <c r="A64" i="7" s="1"/>
  <c r="B64" i="7"/>
  <c r="L63" i="7"/>
  <c r="K63" i="7"/>
  <c r="J63" i="7"/>
  <c r="I63" i="7"/>
  <c r="H63" i="7"/>
  <c r="F63" i="7"/>
  <c r="E63" i="7"/>
  <c r="D63" i="7"/>
  <c r="C63" i="7"/>
  <c r="A63" i="7" s="1"/>
  <c r="M62" i="7"/>
  <c r="L62" i="7"/>
  <c r="K62" i="7"/>
  <c r="J62" i="7"/>
  <c r="I62" i="7"/>
  <c r="H62" i="7"/>
  <c r="F62" i="7"/>
  <c r="E62" i="7"/>
  <c r="D62" i="7"/>
  <c r="C62" i="7"/>
  <c r="A62" i="7" s="1"/>
  <c r="B62" i="7"/>
  <c r="L61" i="7"/>
  <c r="K61" i="7"/>
  <c r="J61" i="7"/>
  <c r="I61" i="7"/>
  <c r="H61" i="7"/>
  <c r="F61" i="7"/>
  <c r="E61" i="7"/>
  <c r="D61" i="7"/>
  <c r="C61" i="7"/>
  <c r="A61" i="7" s="1"/>
  <c r="L60" i="7"/>
  <c r="K60" i="7"/>
  <c r="J60" i="7"/>
  <c r="I60" i="7"/>
  <c r="H60" i="7"/>
  <c r="F60" i="7"/>
  <c r="E60" i="7"/>
  <c r="D60" i="7"/>
  <c r="C60" i="7"/>
  <c r="A60" i="7" s="1"/>
  <c r="B60" i="7"/>
  <c r="L59" i="7"/>
  <c r="K59" i="7"/>
  <c r="J59" i="7"/>
  <c r="I59" i="7"/>
  <c r="H59" i="7"/>
  <c r="F59" i="7"/>
  <c r="E59" i="7"/>
  <c r="D59" i="7"/>
  <c r="C59" i="7"/>
  <c r="A59" i="7" s="1"/>
  <c r="L58" i="7"/>
  <c r="K58" i="7"/>
  <c r="J58" i="7"/>
  <c r="I58" i="7"/>
  <c r="H58" i="7"/>
  <c r="F58" i="7"/>
  <c r="E58" i="7"/>
  <c r="D58" i="7"/>
  <c r="C58" i="7"/>
  <c r="A58" i="7" s="1"/>
  <c r="L57" i="7"/>
  <c r="K57" i="7"/>
  <c r="J57" i="7"/>
  <c r="I57" i="7"/>
  <c r="H57" i="7"/>
  <c r="F57" i="7"/>
  <c r="E57" i="7"/>
  <c r="D57" i="7"/>
  <c r="C57" i="7"/>
  <c r="A57" i="7" s="1"/>
  <c r="L56" i="7"/>
  <c r="K56" i="7"/>
  <c r="J56" i="7"/>
  <c r="I56" i="7"/>
  <c r="H56" i="7"/>
  <c r="F56" i="7"/>
  <c r="E56" i="7"/>
  <c r="D56" i="7"/>
  <c r="C56" i="7"/>
  <c r="A56" i="7" s="1"/>
  <c r="B56" i="7"/>
  <c r="L55" i="7"/>
  <c r="K55" i="7"/>
  <c r="J55" i="7"/>
  <c r="I55" i="7"/>
  <c r="H55" i="7"/>
  <c r="F55" i="7"/>
  <c r="E55" i="7"/>
  <c r="D55" i="7"/>
  <c r="C55" i="7"/>
  <c r="A55" i="7" s="1"/>
  <c r="L54" i="7"/>
  <c r="K54" i="7"/>
  <c r="J54" i="7"/>
  <c r="I54" i="7"/>
  <c r="H54" i="7"/>
  <c r="F54" i="7"/>
  <c r="E54" i="7"/>
  <c r="D54" i="7"/>
  <c r="C54" i="7"/>
  <c r="A54" i="7" s="1"/>
  <c r="L53" i="7"/>
  <c r="K53" i="7"/>
  <c r="J53" i="7"/>
  <c r="I53" i="7"/>
  <c r="H53" i="7"/>
  <c r="F53" i="7"/>
  <c r="E53" i="7"/>
  <c r="D53" i="7"/>
  <c r="C53" i="7"/>
  <c r="A53" i="7" s="1"/>
  <c r="L52" i="7"/>
  <c r="K52" i="7"/>
  <c r="J52" i="7"/>
  <c r="I52" i="7"/>
  <c r="H52" i="7"/>
  <c r="F52" i="7"/>
  <c r="E52" i="7"/>
  <c r="D52" i="7"/>
  <c r="C52" i="7"/>
  <c r="A52" i="7" s="1"/>
  <c r="L51" i="7"/>
  <c r="K51" i="7"/>
  <c r="J51" i="7"/>
  <c r="I51" i="7"/>
  <c r="H51" i="7"/>
  <c r="F51" i="7"/>
  <c r="E51" i="7"/>
  <c r="D51" i="7"/>
  <c r="C51" i="7"/>
  <c r="A51" i="7" s="1"/>
  <c r="L50" i="7"/>
  <c r="K50" i="7"/>
  <c r="J50" i="7"/>
  <c r="I50" i="7"/>
  <c r="H50" i="7"/>
  <c r="F50" i="7"/>
  <c r="E50" i="7"/>
  <c r="D50" i="7"/>
  <c r="C50" i="7"/>
  <c r="A50" i="7" s="1"/>
  <c r="B50" i="7"/>
  <c r="M49" i="7"/>
  <c r="L49" i="7"/>
  <c r="K49" i="7"/>
  <c r="J49" i="7"/>
  <c r="I49" i="7"/>
  <c r="H49" i="7"/>
  <c r="F49" i="7"/>
  <c r="E49" i="7"/>
  <c r="D49" i="7"/>
  <c r="C49" i="7"/>
  <c r="A49" i="7" s="1"/>
  <c r="L48" i="7"/>
  <c r="K48" i="7"/>
  <c r="J48" i="7"/>
  <c r="I48" i="7"/>
  <c r="H48" i="7"/>
  <c r="F48" i="7"/>
  <c r="E48" i="7"/>
  <c r="D48" i="7"/>
  <c r="C48" i="7"/>
  <c r="A48" i="7" s="1"/>
  <c r="L47" i="7"/>
  <c r="K47" i="7"/>
  <c r="J47" i="7"/>
  <c r="I47" i="7"/>
  <c r="H47" i="7"/>
  <c r="F47" i="7"/>
  <c r="E47" i="7"/>
  <c r="D47" i="7"/>
  <c r="C47" i="7"/>
  <c r="A47" i="7" s="1"/>
  <c r="L46" i="7"/>
  <c r="K46" i="7"/>
  <c r="J46" i="7"/>
  <c r="I46" i="7"/>
  <c r="H46" i="7"/>
  <c r="F46" i="7"/>
  <c r="E46" i="7"/>
  <c r="D46" i="7"/>
  <c r="C46" i="7"/>
  <c r="A46" i="7" s="1"/>
  <c r="L45" i="7"/>
  <c r="K45" i="7"/>
  <c r="J45" i="7"/>
  <c r="I45" i="7"/>
  <c r="H45" i="7"/>
  <c r="F45" i="7"/>
  <c r="E45" i="7"/>
  <c r="D45" i="7"/>
  <c r="C45" i="7"/>
  <c r="A45" i="7" s="1"/>
  <c r="M44" i="7"/>
  <c r="L44" i="7"/>
  <c r="K44" i="7"/>
  <c r="J44" i="7"/>
  <c r="I44" i="7"/>
  <c r="H44" i="7"/>
  <c r="F44" i="7"/>
  <c r="E44" i="7"/>
  <c r="D44" i="7"/>
  <c r="C44" i="7"/>
  <c r="A44" i="7" s="1"/>
  <c r="M43" i="7"/>
  <c r="L43" i="7"/>
  <c r="K43" i="7"/>
  <c r="J43" i="7"/>
  <c r="I43" i="7"/>
  <c r="H43" i="7"/>
  <c r="F43" i="7"/>
  <c r="E43" i="7"/>
  <c r="D43" i="7"/>
  <c r="C43" i="7"/>
  <c r="A43" i="7" s="1"/>
  <c r="L42" i="7"/>
  <c r="K42" i="7"/>
  <c r="J42" i="7"/>
  <c r="I42" i="7"/>
  <c r="H42" i="7"/>
  <c r="F42" i="7"/>
  <c r="E42" i="7"/>
  <c r="D42" i="7"/>
  <c r="C42" i="7"/>
  <c r="A42" i="7" s="1"/>
  <c r="L41" i="7"/>
  <c r="K41" i="7"/>
  <c r="J41" i="7"/>
  <c r="I41" i="7"/>
  <c r="H41" i="7"/>
  <c r="F41" i="7"/>
  <c r="E41" i="7"/>
  <c r="D41" i="7"/>
  <c r="C41" i="7"/>
  <c r="A41" i="7" s="1"/>
  <c r="B41" i="7"/>
  <c r="A40" i="7"/>
  <c r="L39" i="7"/>
  <c r="K39" i="7"/>
  <c r="J39" i="7"/>
  <c r="I39" i="7"/>
  <c r="H39" i="7"/>
  <c r="F39" i="7"/>
  <c r="E39" i="7"/>
  <c r="D39" i="7"/>
  <c r="C39" i="7"/>
  <c r="A39" i="7" s="1"/>
  <c r="A38" i="7"/>
  <c r="M37" i="7"/>
  <c r="L37" i="7"/>
  <c r="K37" i="7"/>
  <c r="J37" i="7"/>
  <c r="I37" i="7"/>
  <c r="H37" i="7"/>
  <c r="G37" i="7"/>
  <c r="F37" i="7"/>
  <c r="E37" i="7"/>
  <c r="D37" i="7"/>
  <c r="C37" i="7"/>
  <c r="A37" i="7" s="1"/>
  <c r="L36" i="7"/>
  <c r="K36" i="7"/>
  <c r="J36" i="7"/>
  <c r="I36" i="7"/>
  <c r="H36" i="7"/>
  <c r="F36" i="7"/>
  <c r="E36" i="7"/>
  <c r="D36" i="7"/>
  <c r="C36" i="7"/>
  <c r="A36" i="7" s="1"/>
  <c r="M35" i="7"/>
  <c r="L35" i="7"/>
  <c r="K35" i="7"/>
  <c r="J35" i="7"/>
  <c r="I35" i="7"/>
  <c r="H35" i="7"/>
  <c r="F35" i="7"/>
  <c r="E35" i="7"/>
  <c r="D35" i="7"/>
  <c r="C35" i="7"/>
  <c r="A35" i="7" s="1"/>
  <c r="B35" i="7"/>
  <c r="M34" i="7"/>
  <c r="L34" i="7"/>
  <c r="K34" i="7"/>
  <c r="J34" i="7"/>
  <c r="I34" i="7"/>
  <c r="H34" i="7"/>
  <c r="F34" i="7"/>
  <c r="E34" i="7"/>
  <c r="D34" i="7"/>
  <c r="C34" i="7"/>
  <c r="A34" i="7" s="1"/>
  <c r="M33" i="7"/>
  <c r="L33" i="7"/>
  <c r="K33" i="7"/>
  <c r="J33" i="7"/>
  <c r="I33" i="7"/>
  <c r="H33" i="7"/>
  <c r="F33" i="7"/>
  <c r="E33" i="7"/>
  <c r="D33" i="7"/>
  <c r="C33" i="7"/>
  <c r="A33" i="7" s="1"/>
  <c r="M32" i="7"/>
  <c r="L32" i="7"/>
  <c r="K32" i="7"/>
  <c r="J32" i="7"/>
  <c r="I32" i="7"/>
  <c r="H32" i="7"/>
  <c r="F32" i="7"/>
  <c r="E32" i="7"/>
  <c r="D32" i="7"/>
  <c r="C32" i="7"/>
  <c r="A32" i="7" s="1"/>
  <c r="L31" i="7"/>
  <c r="K31" i="7"/>
  <c r="J31" i="7"/>
  <c r="I31" i="7"/>
  <c r="H31" i="7"/>
  <c r="F31" i="7"/>
  <c r="E31" i="7"/>
  <c r="D31" i="7"/>
  <c r="C31" i="7"/>
  <c r="A31" i="7" s="1"/>
  <c r="M30" i="7"/>
  <c r="L30" i="7"/>
  <c r="K30" i="7"/>
  <c r="J30" i="7"/>
  <c r="I30" i="7"/>
  <c r="H30" i="7"/>
  <c r="F30" i="7"/>
  <c r="E30" i="7"/>
  <c r="D30" i="7"/>
  <c r="C30" i="7"/>
  <c r="A30" i="7" s="1"/>
  <c r="M29" i="7"/>
  <c r="L29" i="7"/>
  <c r="K29" i="7"/>
  <c r="J29" i="7"/>
  <c r="I29" i="7"/>
  <c r="H29" i="7"/>
  <c r="F29" i="7"/>
  <c r="E29" i="7"/>
  <c r="D29" i="7"/>
  <c r="C29" i="7"/>
  <c r="A29" i="7" s="1"/>
  <c r="L28" i="7"/>
  <c r="K28" i="7"/>
  <c r="J28" i="7"/>
  <c r="I28" i="7"/>
  <c r="H28" i="7"/>
  <c r="F28" i="7"/>
  <c r="E28" i="7"/>
  <c r="D28" i="7"/>
  <c r="C28" i="7"/>
  <c r="A28" i="7" s="1"/>
  <c r="M27" i="7"/>
  <c r="L27" i="7"/>
  <c r="K27" i="7"/>
  <c r="J27" i="7"/>
  <c r="I27" i="7"/>
  <c r="H27" i="7"/>
  <c r="G27" i="7"/>
  <c r="F27" i="7"/>
  <c r="E27" i="7"/>
  <c r="D27" i="7"/>
  <c r="C27" i="7"/>
  <c r="A27" i="7" s="1"/>
  <c r="B27" i="7"/>
  <c r="M26" i="7"/>
  <c r="L26" i="7"/>
  <c r="K26" i="7"/>
  <c r="J26" i="7"/>
  <c r="I26" i="7"/>
  <c r="H26" i="7"/>
  <c r="F26" i="7"/>
  <c r="E26" i="7"/>
  <c r="D26" i="7"/>
  <c r="C26" i="7"/>
  <c r="A26" i="7" s="1"/>
  <c r="M25" i="7"/>
  <c r="L25" i="7"/>
  <c r="K25" i="7"/>
  <c r="J25" i="7"/>
  <c r="I25" i="7"/>
  <c r="H25" i="7"/>
  <c r="F25" i="7"/>
  <c r="E25" i="7"/>
  <c r="D25" i="7"/>
  <c r="C25" i="7"/>
  <c r="A25" i="7" s="1"/>
  <c r="M24" i="7"/>
  <c r="L24" i="7"/>
  <c r="K24" i="7"/>
  <c r="J24" i="7"/>
  <c r="I24" i="7"/>
  <c r="H24" i="7"/>
  <c r="F24" i="7"/>
  <c r="E24" i="7"/>
  <c r="D24" i="7"/>
  <c r="C24" i="7"/>
  <c r="A24" i="7" s="1"/>
  <c r="M23" i="7"/>
  <c r="L23" i="7"/>
  <c r="K23" i="7"/>
  <c r="J23" i="7"/>
  <c r="I23" i="7"/>
  <c r="H23" i="7"/>
  <c r="F23" i="7"/>
  <c r="E23" i="7"/>
  <c r="D23" i="7"/>
  <c r="C23" i="7"/>
  <c r="A23" i="7" s="1"/>
  <c r="M22" i="7"/>
  <c r="L22" i="7"/>
  <c r="K22" i="7"/>
  <c r="J22" i="7"/>
  <c r="I22" i="7"/>
  <c r="H22" i="7"/>
  <c r="G22" i="7"/>
  <c r="F22" i="7"/>
  <c r="E22" i="7"/>
  <c r="D22" i="7"/>
  <c r="C22" i="7"/>
  <c r="A22" i="7" s="1"/>
  <c r="B22" i="7"/>
  <c r="M21" i="7"/>
  <c r="L21" i="7"/>
  <c r="K21" i="7"/>
  <c r="J21" i="7"/>
  <c r="I21" i="7"/>
  <c r="H21" i="7"/>
  <c r="G21" i="7"/>
  <c r="F21" i="7"/>
  <c r="E21" i="7"/>
  <c r="D21" i="7"/>
  <c r="C21" i="7"/>
  <c r="A21" i="7" s="1"/>
  <c r="N20" i="7"/>
  <c r="M20" i="7"/>
  <c r="L20" i="7"/>
  <c r="K20" i="7"/>
  <c r="J20" i="7"/>
  <c r="I20" i="7"/>
  <c r="H20" i="7"/>
  <c r="G20" i="7"/>
  <c r="F20" i="7"/>
  <c r="E20" i="7"/>
  <c r="D20" i="7"/>
  <c r="C20" i="7"/>
  <c r="A20" i="7" s="1"/>
  <c r="B20" i="7"/>
  <c r="N18" i="7"/>
  <c r="K18" i="7"/>
  <c r="J18" i="7"/>
  <c r="I18" i="7"/>
  <c r="B18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P32" i="6"/>
  <c r="N32" i="6"/>
  <c r="L32" i="6"/>
  <c r="J32" i="6"/>
  <c r="H32" i="6"/>
  <c r="F32" i="6"/>
  <c r="E32" i="6"/>
  <c r="D32" i="6"/>
  <c r="C32" i="6"/>
  <c r="B32" i="6"/>
  <c r="P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M30" i="6"/>
  <c r="K30" i="6"/>
  <c r="I30" i="6"/>
  <c r="G30" i="6"/>
  <c r="E30" i="6"/>
  <c r="C30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P28" i="6"/>
  <c r="I22" i="5" s="1"/>
  <c r="N28" i="6"/>
  <c r="H22" i="5" s="1"/>
  <c r="H10" i="5" s="1"/>
  <c r="L15" i="2" s="1"/>
  <c r="L15" i="1" s="1"/>
  <c r="M28" i="6"/>
  <c r="L28" i="6"/>
  <c r="K28" i="6"/>
  <c r="J28" i="6"/>
  <c r="F22" i="5" s="1"/>
  <c r="F23" i="5" s="1"/>
  <c r="J109" i="2" s="1"/>
  <c r="J109" i="1" s="1"/>
  <c r="I28" i="6"/>
  <c r="H28" i="6"/>
  <c r="E22" i="5" s="1"/>
  <c r="G28" i="6"/>
  <c r="F28" i="6"/>
  <c r="D22" i="5" s="1"/>
  <c r="E28" i="6"/>
  <c r="D28" i="6"/>
  <c r="C22" i="5" s="1"/>
  <c r="C28" i="6"/>
  <c r="B28" i="6"/>
  <c r="B22" i="5" s="1"/>
  <c r="B23" i="5" s="1"/>
  <c r="F109" i="2" s="1"/>
  <c r="P26" i="6"/>
  <c r="N26" i="6"/>
  <c r="M26" i="6"/>
  <c r="L26" i="6"/>
  <c r="K26" i="6"/>
  <c r="I26" i="6"/>
  <c r="H26" i="6"/>
  <c r="G26" i="6"/>
  <c r="F26" i="6"/>
  <c r="E26" i="6"/>
  <c r="D26" i="6"/>
  <c r="C26" i="6"/>
  <c r="B26" i="6"/>
  <c r="P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P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P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P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K20" i="6"/>
  <c r="I20" i="6"/>
  <c r="G20" i="6"/>
  <c r="E20" i="6"/>
  <c r="C20" i="6"/>
  <c r="M19" i="6"/>
  <c r="K19" i="6"/>
  <c r="I19" i="6"/>
  <c r="G19" i="6"/>
  <c r="E19" i="6"/>
  <c r="C19" i="6"/>
  <c r="P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P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M16" i="6"/>
  <c r="K16" i="6"/>
  <c r="I16" i="6"/>
  <c r="G16" i="6"/>
  <c r="E16" i="6"/>
  <c r="C16" i="6"/>
  <c r="M15" i="6"/>
  <c r="K15" i="6"/>
  <c r="I15" i="6"/>
  <c r="G15" i="6"/>
  <c r="E15" i="6"/>
  <c r="C15" i="6"/>
  <c r="P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P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P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P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P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P9" i="6"/>
  <c r="N9" i="6"/>
  <c r="M9" i="6"/>
  <c r="L9" i="6"/>
  <c r="K9" i="6"/>
  <c r="J9" i="6"/>
  <c r="I9" i="6"/>
  <c r="H9" i="6"/>
  <c r="G9" i="6"/>
  <c r="F9" i="6"/>
  <c r="E9" i="6"/>
  <c r="D9" i="6"/>
  <c r="C9" i="6"/>
  <c r="B9" i="6"/>
  <c r="M8" i="6"/>
  <c r="K8" i="6"/>
  <c r="I8" i="6"/>
  <c r="G8" i="6"/>
  <c r="E8" i="6"/>
  <c r="C8" i="6"/>
  <c r="M7" i="6"/>
  <c r="K7" i="6"/>
  <c r="I7" i="6"/>
  <c r="G7" i="6"/>
  <c r="E7" i="6"/>
  <c r="C7" i="6"/>
  <c r="M6" i="6"/>
  <c r="K6" i="6"/>
  <c r="I6" i="6"/>
  <c r="G6" i="6"/>
  <c r="E6" i="6"/>
  <c r="C6" i="6"/>
  <c r="M5" i="6"/>
  <c r="K5" i="6"/>
  <c r="I5" i="6"/>
  <c r="G5" i="6"/>
  <c r="E5" i="6"/>
  <c r="C5" i="6"/>
  <c r="M4" i="6"/>
  <c r="K4" i="6"/>
  <c r="I4" i="6"/>
  <c r="G4" i="6"/>
  <c r="E4" i="6"/>
  <c r="C4" i="6"/>
  <c r="M3" i="6"/>
  <c r="K3" i="6"/>
  <c r="I3" i="6"/>
  <c r="G3" i="6"/>
  <c r="E3" i="6"/>
  <c r="C3" i="6"/>
  <c r="B3" i="6"/>
  <c r="N115" i="5"/>
  <c r="N114" i="5"/>
  <c r="N113" i="5"/>
  <c r="N112" i="5"/>
  <c r="N110" i="5"/>
  <c r="N109" i="5"/>
  <c r="N108" i="5"/>
  <c r="N107" i="5"/>
  <c r="N106" i="5"/>
  <c r="B106" i="5"/>
  <c r="B105" i="5"/>
  <c r="N105" i="5" s="1"/>
  <c r="M104" i="5"/>
  <c r="L104" i="5"/>
  <c r="K104" i="5"/>
  <c r="J104" i="5"/>
  <c r="I104" i="5"/>
  <c r="H104" i="5"/>
  <c r="G104" i="5"/>
  <c r="F104" i="5"/>
  <c r="E104" i="5"/>
  <c r="D104" i="5"/>
  <c r="C104" i="5"/>
  <c r="N100" i="5"/>
  <c r="B98" i="5"/>
  <c r="N97" i="5"/>
  <c r="B95" i="5"/>
  <c r="I94" i="5"/>
  <c r="H94" i="5"/>
  <c r="G94" i="5"/>
  <c r="F94" i="5"/>
  <c r="E94" i="5"/>
  <c r="D94" i="5"/>
  <c r="C94" i="5"/>
  <c r="N94" i="5" s="1"/>
  <c r="N79" i="5"/>
  <c r="N78" i="5"/>
  <c r="N77" i="5"/>
  <c r="N76" i="5"/>
  <c r="N75" i="5"/>
  <c r="M74" i="5"/>
  <c r="L74" i="5"/>
  <c r="K74" i="5"/>
  <c r="J74" i="5"/>
  <c r="I74" i="5"/>
  <c r="H74" i="5"/>
  <c r="G74" i="5"/>
  <c r="F74" i="5"/>
  <c r="E74" i="5"/>
  <c r="D74" i="5"/>
  <c r="C74" i="5"/>
  <c r="B74" i="5"/>
  <c r="N74" i="5" s="1"/>
  <c r="N73" i="5"/>
  <c r="N72" i="5"/>
  <c r="N71" i="5"/>
  <c r="N70" i="5"/>
  <c r="N69" i="5"/>
  <c r="N68" i="5"/>
  <c r="N67" i="5"/>
  <c r="N66" i="5"/>
  <c r="M65" i="5"/>
  <c r="L65" i="5"/>
  <c r="K65" i="5"/>
  <c r="J65" i="5"/>
  <c r="I65" i="5"/>
  <c r="H65" i="5"/>
  <c r="G65" i="5"/>
  <c r="F65" i="5"/>
  <c r="E65" i="5"/>
  <c r="D65" i="5"/>
  <c r="C65" i="5"/>
  <c r="B65" i="5"/>
  <c r="N65" i="5" s="1"/>
  <c r="N58" i="5"/>
  <c r="N57" i="5"/>
  <c r="L54" i="5"/>
  <c r="L61" i="5" s="1"/>
  <c r="K54" i="5"/>
  <c r="K61" i="5" s="1"/>
  <c r="H54" i="5"/>
  <c r="G54" i="5"/>
  <c r="G61" i="5" s="1"/>
  <c r="E54" i="5"/>
  <c r="D54" i="5"/>
  <c r="N53" i="5"/>
  <c r="M52" i="5"/>
  <c r="M54" i="5" s="1"/>
  <c r="M61" i="5" s="1"/>
  <c r="L52" i="5"/>
  <c r="K52" i="5"/>
  <c r="J52" i="5"/>
  <c r="J54" i="5" s="1"/>
  <c r="J61" i="5" s="1"/>
  <c r="I52" i="5"/>
  <c r="I54" i="5" s="1"/>
  <c r="I61" i="5" s="1"/>
  <c r="H52" i="5"/>
  <c r="G52" i="5"/>
  <c r="F52" i="5"/>
  <c r="F54" i="5" s="1"/>
  <c r="F61" i="5" s="1"/>
  <c r="E52" i="5"/>
  <c r="D52" i="5"/>
  <c r="C52" i="5"/>
  <c r="C54" i="5" s="1"/>
  <c r="B52" i="5"/>
  <c r="B54" i="5" s="1"/>
  <c r="N51" i="5"/>
  <c r="N50" i="5"/>
  <c r="M47" i="5"/>
  <c r="L47" i="5"/>
  <c r="J47" i="5"/>
  <c r="I47" i="5"/>
  <c r="E47" i="5"/>
  <c r="D47" i="5"/>
  <c r="N46" i="5"/>
  <c r="M45" i="5"/>
  <c r="L45" i="5"/>
  <c r="K45" i="5"/>
  <c r="K47" i="5" s="1"/>
  <c r="J45" i="5"/>
  <c r="I45" i="5"/>
  <c r="H45" i="5"/>
  <c r="H47" i="5" s="1"/>
  <c r="G45" i="5"/>
  <c r="G47" i="5" s="1"/>
  <c r="F45" i="5"/>
  <c r="F47" i="5" s="1"/>
  <c r="E45" i="5"/>
  <c r="D45" i="5"/>
  <c r="C45" i="5"/>
  <c r="C47" i="5" s="1"/>
  <c r="B45" i="5"/>
  <c r="N45" i="5" s="1"/>
  <c r="N44" i="5"/>
  <c r="G43" i="5"/>
  <c r="N43" i="5" s="1"/>
  <c r="K39" i="5"/>
  <c r="J39" i="5"/>
  <c r="G39" i="5"/>
  <c r="F39" i="5"/>
  <c r="D39" i="5"/>
  <c r="C39" i="5"/>
  <c r="N38" i="5"/>
  <c r="M37" i="5"/>
  <c r="M39" i="5" s="1"/>
  <c r="M7" i="5" s="1"/>
  <c r="L37" i="5"/>
  <c r="L39" i="5" s="1"/>
  <c r="K37" i="5"/>
  <c r="J37" i="5"/>
  <c r="I37" i="5"/>
  <c r="I39" i="5" s="1"/>
  <c r="H37" i="5"/>
  <c r="H39" i="5" s="1"/>
  <c r="H7" i="5" s="1"/>
  <c r="G37" i="5"/>
  <c r="F37" i="5"/>
  <c r="E37" i="5"/>
  <c r="E39" i="5" s="1"/>
  <c r="E7" i="5" s="1"/>
  <c r="D37" i="5"/>
  <c r="C37" i="5"/>
  <c r="B37" i="5"/>
  <c r="B39" i="5" s="1"/>
  <c r="N36" i="5"/>
  <c r="N35" i="5"/>
  <c r="L32" i="5"/>
  <c r="K32" i="5"/>
  <c r="I32" i="5"/>
  <c r="H32" i="5"/>
  <c r="D32" i="5"/>
  <c r="C32" i="5"/>
  <c r="N31" i="5"/>
  <c r="M30" i="5"/>
  <c r="M32" i="5" s="1"/>
  <c r="L30" i="5"/>
  <c r="K30" i="5"/>
  <c r="J30" i="5"/>
  <c r="J32" i="5" s="1"/>
  <c r="I30" i="5"/>
  <c r="H30" i="5"/>
  <c r="G30" i="5"/>
  <c r="G32" i="5" s="1"/>
  <c r="F30" i="5"/>
  <c r="F32" i="5" s="1"/>
  <c r="E30" i="5"/>
  <c r="E32" i="5" s="1"/>
  <c r="E5" i="5" s="1"/>
  <c r="D30" i="5"/>
  <c r="C30" i="5"/>
  <c r="B30" i="5"/>
  <c r="B32" i="5" s="1"/>
  <c r="N29" i="5"/>
  <c r="N28" i="5"/>
  <c r="G28" i="5"/>
  <c r="M25" i="5"/>
  <c r="L25" i="5"/>
  <c r="K25" i="5"/>
  <c r="J25" i="5"/>
  <c r="I25" i="5"/>
  <c r="H25" i="5"/>
  <c r="G25" i="5"/>
  <c r="F25" i="5"/>
  <c r="E25" i="5"/>
  <c r="D25" i="5"/>
  <c r="C25" i="5"/>
  <c r="B25" i="5"/>
  <c r="N25" i="5" s="1"/>
  <c r="M24" i="5"/>
  <c r="L24" i="5"/>
  <c r="K24" i="5"/>
  <c r="J24" i="5"/>
  <c r="I24" i="5"/>
  <c r="H24" i="5"/>
  <c r="G24" i="5"/>
  <c r="F24" i="5"/>
  <c r="E24" i="5"/>
  <c r="D24" i="5"/>
  <c r="C24" i="5"/>
  <c r="B24" i="5"/>
  <c r="N24" i="5" s="1"/>
  <c r="M23" i="5"/>
  <c r="Q109" i="2" s="1"/>
  <c r="K23" i="5"/>
  <c r="M22" i="5"/>
  <c r="L22" i="5"/>
  <c r="L10" i="5" s="1"/>
  <c r="K22" i="5"/>
  <c r="J22" i="5"/>
  <c r="J23" i="5" s="1"/>
  <c r="N109" i="2" s="1"/>
  <c r="G22" i="5"/>
  <c r="G23" i="5" s="1"/>
  <c r="K109" i="2" s="1"/>
  <c r="K109" i="1" s="1"/>
  <c r="G19" i="5"/>
  <c r="N19" i="5" s="1"/>
  <c r="N18" i="5"/>
  <c r="N17" i="5"/>
  <c r="G17" i="5"/>
  <c r="M16" i="5"/>
  <c r="L16" i="5"/>
  <c r="K16" i="5"/>
  <c r="J16" i="5"/>
  <c r="F16" i="5"/>
  <c r="J22" i="2" s="1"/>
  <c r="J22" i="1" s="1"/>
  <c r="E16" i="5"/>
  <c r="I22" i="2" s="1"/>
  <c r="I22" i="1" s="1"/>
  <c r="C16" i="5"/>
  <c r="G22" i="2" s="1"/>
  <c r="G22" i="1" s="1"/>
  <c r="K15" i="5"/>
  <c r="O21" i="2" s="1"/>
  <c r="O21" i="1" s="1"/>
  <c r="J15" i="5"/>
  <c r="N21" i="2" s="1"/>
  <c r="N21" i="1" s="1"/>
  <c r="G15" i="5"/>
  <c r="K21" i="2" s="1"/>
  <c r="B15" i="5"/>
  <c r="C14" i="5"/>
  <c r="N14" i="5" s="1"/>
  <c r="I13" i="5"/>
  <c r="H13" i="5"/>
  <c r="G13" i="5"/>
  <c r="F13" i="5"/>
  <c r="E13" i="5"/>
  <c r="D13" i="5"/>
  <c r="C13" i="5"/>
  <c r="B13" i="5"/>
  <c r="N13" i="5" s="1"/>
  <c r="I12" i="5"/>
  <c r="H12" i="5"/>
  <c r="G12" i="5"/>
  <c r="F12" i="5"/>
  <c r="E12" i="5"/>
  <c r="D12" i="5"/>
  <c r="C12" i="5"/>
  <c r="N12" i="5" s="1"/>
  <c r="B12" i="5"/>
  <c r="N11" i="5"/>
  <c r="M10" i="5"/>
  <c r="K10" i="5"/>
  <c r="N9" i="5"/>
  <c r="N8" i="5"/>
  <c r="K7" i="5"/>
  <c r="J7" i="5"/>
  <c r="G7" i="5"/>
  <c r="F7" i="5"/>
  <c r="D7" i="5"/>
  <c r="C7" i="5"/>
  <c r="N6" i="5"/>
  <c r="L5" i="5"/>
  <c r="K5" i="5"/>
  <c r="I5" i="5"/>
  <c r="H5" i="5"/>
  <c r="D5" i="5"/>
  <c r="C5" i="5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L6" i="4" s="1"/>
  <c r="J5" i="4"/>
  <c r="M6" i="4" s="1"/>
  <c r="I5" i="4"/>
  <c r="J4" i="4"/>
  <c r="I4" i="4"/>
  <c r="J3" i="4"/>
  <c r="I3" i="4"/>
  <c r="G2685" i="3"/>
  <c r="G1509" i="3"/>
  <c r="G1486" i="3"/>
  <c r="G1372" i="3"/>
  <c r="G1366" i="3"/>
  <c r="G1351" i="3"/>
  <c r="G1326" i="3"/>
  <c r="G1323" i="3"/>
  <c r="G1004" i="3"/>
  <c r="U114" i="2"/>
  <c r="T114" i="2"/>
  <c r="V114" i="2" s="1"/>
  <c r="R114" i="2"/>
  <c r="O109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T103" i="2" s="1"/>
  <c r="Q102" i="2"/>
  <c r="P102" i="2"/>
  <c r="O102" i="2"/>
  <c r="N102" i="2"/>
  <c r="M102" i="2"/>
  <c r="L102" i="2"/>
  <c r="K102" i="2"/>
  <c r="J102" i="2"/>
  <c r="I102" i="2"/>
  <c r="H102" i="2"/>
  <c r="G102" i="2"/>
  <c r="F102" i="2"/>
  <c r="T100" i="2"/>
  <c r="Q100" i="2"/>
  <c r="Q98" i="2" s="1"/>
  <c r="P100" i="2"/>
  <c r="O100" i="2"/>
  <c r="N100" i="2"/>
  <c r="U100" i="2" s="1"/>
  <c r="M100" i="2"/>
  <c r="L100" i="2"/>
  <c r="K100" i="2"/>
  <c r="J100" i="2"/>
  <c r="J98" i="2" s="1"/>
  <c r="I100" i="2"/>
  <c r="H100" i="2"/>
  <c r="G100" i="2"/>
  <c r="F100" i="2"/>
  <c r="R100" i="2" s="1"/>
  <c r="Q99" i="2"/>
  <c r="P99" i="2"/>
  <c r="O99" i="2"/>
  <c r="O98" i="2" s="1"/>
  <c r="N99" i="2"/>
  <c r="N98" i="2" s="1"/>
  <c r="M99" i="2"/>
  <c r="L99" i="2"/>
  <c r="K99" i="2"/>
  <c r="K98" i="2" s="1"/>
  <c r="J99" i="2"/>
  <c r="I99" i="2"/>
  <c r="I98" i="2" s="1"/>
  <c r="H99" i="2"/>
  <c r="H98" i="2" s="1"/>
  <c r="G99" i="2"/>
  <c r="F99" i="2"/>
  <c r="P98" i="2"/>
  <c r="M98" i="2"/>
  <c r="L98" i="2"/>
  <c r="G98" i="2"/>
  <c r="F98" i="2"/>
  <c r="Q97" i="2"/>
  <c r="P97" i="2"/>
  <c r="O97" i="2"/>
  <c r="N97" i="2"/>
  <c r="M97" i="2"/>
  <c r="L97" i="2"/>
  <c r="K97" i="2"/>
  <c r="J97" i="2"/>
  <c r="I97" i="2"/>
  <c r="H97" i="2"/>
  <c r="G97" i="2"/>
  <c r="T97" i="2" s="1"/>
  <c r="F97" i="2"/>
  <c r="Q96" i="2"/>
  <c r="P96" i="2"/>
  <c r="O96" i="2"/>
  <c r="N96" i="2"/>
  <c r="M96" i="2"/>
  <c r="L96" i="2"/>
  <c r="U96" i="2" s="1"/>
  <c r="K96" i="2"/>
  <c r="J96" i="2"/>
  <c r="I96" i="2"/>
  <c r="I93" i="2" s="1"/>
  <c r="H96" i="2"/>
  <c r="G96" i="2"/>
  <c r="F96" i="2"/>
  <c r="Q95" i="2"/>
  <c r="P95" i="2"/>
  <c r="O95" i="2"/>
  <c r="O93" i="2" s="1"/>
  <c r="N95" i="2"/>
  <c r="M95" i="2"/>
  <c r="L95" i="2"/>
  <c r="K95" i="2"/>
  <c r="J95" i="2"/>
  <c r="I95" i="2"/>
  <c r="H95" i="2"/>
  <c r="G95" i="2"/>
  <c r="F95" i="2"/>
  <c r="T95" i="2" s="1"/>
  <c r="Q94" i="2"/>
  <c r="P94" i="2"/>
  <c r="P93" i="2" s="1"/>
  <c r="O94" i="2"/>
  <c r="N94" i="2"/>
  <c r="N93" i="2" s="1"/>
  <c r="M94" i="2"/>
  <c r="M93" i="2" s="1"/>
  <c r="L94" i="2"/>
  <c r="K94" i="2"/>
  <c r="J94" i="2"/>
  <c r="J93" i="2" s="1"/>
  <c r="I94" i="2"/>
  <c r="H94" i="2"/>
  <c r="G94" i="2"/>
  <c r="G93" i="2" s="1"/>
  <c r="F94" i="2"/>
  <c r="R94" i="2" s="1"/>
  <c r="L93" i="2"/>
  <c r="K93" i="2"/>
  <c r="H93" i="2"/>
  <c r="F93" i="2"/>
  <c r="Q92" i="2"/>
  <c r="P92" i="2"/>
  <c r="O92" i="2"/>
  <c r="N92" i="2"/>
  <c r="M92" i="2"/>
  <c r="L92" i="2"/>
  <c r="U92" i="2" s="1"/>
  <c r="K92" i="2"/>
  <c r="J92" i="2"/>
  <c r="I92" i="2"/>
  <c r="H92" i="2"/>
  <c r="G92" i="2"/>
  <c r="F92" i="2"/>
  <c r="T92" i="2" s="1"/>
  <c r="Q91" i="2"/>
  <c r="P91" i="2"/>
  <c r="O91" i="2"/>
  <c r="N91" i="2"/>
  <c r="M91" i="2"/>
  <c r="L91" i="2"/>
  <c r="U91" i="2" s="1"/>
  <c r="K91" i="2"/>
  <c r="J91" i="2"/>
  <c r="I91" i="2"/>
  <c r="H91" i="2"/>
  <c r="G91" i="2"/>
  <c r="T91" i="2" s="1"/>
  <c r="F91" i="2"/>
  <c r="Q90" i="2"/>
  <c r="P90" i="2"/>
  <c r="O90" i="2"/>
  <c r="N90" i="2"/>
  <c r="M90" i="2"/>
  <c r="L90" i="2"/>
  <c r="U90" i="2" s="1"/>
  <c r="J90" i="2"/>
  <c r="I90" i="2"/>
  <c r="H90" i="2"/>
  <c r="G90" i="2"/>
  <c r="F90" i="2"/>
  <c r="Q89" i="2"/>
  <c r="P89" i="2"/>
  <c r="O89" i="2"/>
  <c r="N89" i="2"/>
  <c r="M89" i="2"/>
  <c r="L89" i="2"/>
  <c r="K89" i="2"/>
  <c r="J89" i="2"/>
  <c r="I89" i="2"/>
  <c r="H89" i="2"/>
  <c r="G89" i="2"/>
  <c r="F89" i="2"/>
  <c r="T89" i="2" s="1"/>
  <c r="Q88" i="2"/>
  <c r="P88" i="2"/>
  <c r="O88" i="2"/>
  <c r="N88" i="2"/>
  <c r="M88" i="2"/>
  <c r="L88" i="2"/>
  <c r="K88" i="2"/>
  <c r="J88" i="2"/>
  <c r="I88" i="2"/>
  <c r="H88" i="2"/>
  <c r="G88" i="2"/>
  <c r="F88" i="2"/>
  <c r="T88" i="2" s="1"/>
  <c r="Q87" i="2"/>
  <c r="P87" i="2"/>
  <c r="O87" i="2"/>
  <c r="N87" i="2"/>
  <c r="M87" i="2"/>
  <c r="L87" i="2"/>
  <c r="U87" i="2" s="1"/>
  <c r="K87" i="2"/>
  <c r="J87" i="2"/>
  <c r="J87" i="1" s="1"/>
  <c r="I87" i="2"/>
  <c r="H87" i="2"/>
  <c r="G87" i="2"/>
  <c r="F87" i="2"/>
  <c r="Q86" i="2"/>
  <c r="P86" i="2"/>
  <c r="O86" i="2"/>
  <c r="N86" i="2"/>
  <c r="M86" i="2"/>
  <c r="L86" i="2"/>
  <c r="K86" i="2"/>
  <c r="J86" i="2"/>
  <c r="I86" i="2"/>
  <c r="H86" i="2"/>
  <c r="G86" i="2"/>
  <c r="F86" i="2"/>
  <c r="T86" i="2" s="1"/>
  <c r="Q85" i="2"/>
  <c r="P85" i="2"/>
  <c r="O85" i="2"/>
  <c r="N85" i="2"/>
  <c r="M85" i="2"/>
  <c r="U85" i="2" s="1"/>
  <c r="L85" i="2"/>
  <c r="K85" i="2"/>
  <c r="J85" i="2"/>
  <c r="I85" i="2"/>
  <c r="H85" i="2"/>
  <c r="G85" i="2"/>
  <c r="F85" i="2"/>
  <c r="T85" i="2" s="1"/>
  <c r="Q84" i="2"/>
  <c r="P84" i="2"/>
  <c r="O84" i="2"/>
  <c r="N84" i="2"/>
  <c r="M84" i="2"/>
  <c r="L84" i="2"/>
  <c r="U84" i="2" s="1"/>
  <c r="K84" i="2"/>
  <c r="J84" i="2"/>
  <c r="I84" i="2"/>
  <c r="H84" i="2"/>
  <c r="G84" i="2"/>
  <c r="F84" i="2"/>
  <c r="Q83" i="2"/>
  <c r="P83" i="2"/>
  <c r="O83" i="2"/>
  <c r="N83" i="2"/>
  <c r="M83" i="2"/>
  <c r="M77" i="2" s="1"/>
  <c r="L83" i="2"/>
  <c r="K83" i="2"/>
  <c r="J83" i="2"/>
  <c r="I83" i="2"/>
  <c r="H83" i="2"/>
  <c r="G83" i="2"/>
  <c r="F83" i="2"/>
  <c r="T83" i="2" s="1"/>
  <c r="Q82" i="2"/>
  <c r="P82" i="2"/>
  <c r="O82" i="2"/>
  <c r="N82" i="2"/>
  <c r="M82" i="2"/>
  <c r="L82" i="2"/>
  <c r="K82" i="2"/>
  <c r="J82" i="2"/>
  <c r="I82" i="2"/>
  <c r="H82" i="2"/>
  <c r="G82" i="2"/>
  <c r="F82" i="2"/>
  <c r="T82" i="2" s="1"/>
  <c r="Q81" i="2"/>
  <c r="P81" i="2"/>
  <c r="O81" i="2"/>
  <c r="N81" i="2"/>
  <c r="M81" i="2"/>
  <c r="L81" i="2"/>
  <c r="U81" i="2" s="1"/>
  <c r="K81" i="2"/>
  <c r="J81" i="2"/>
  <c r="I81" i="2"/>
  <c r="H81" i="2"/>
  <c r="G81" i="2"/>
  <c r="F81" i="2"/>
  <c r="T81" i="2" s="1"/>
  <c r="Q80" i="2"/>
  <c r="P80" i="2"/>
  <c r="O80" i="2"/>
  <c r="N80" i="2"/>
  <c r="M80" i="2"/>
  <c r="L80" i="2"/>
  <c r="U80" i="2" s="1"/>
  <c r="K80" i="2"/>
  <c r="J80" i="2"/>
  <c r="I80" i="2"/>
  <c r="H80" i="2"/>
  <c r="G80" i="2"/>
  <c r="F80" i="2"/>
  <c r="T80" i="2" s="1"/>
  <c r="Q79" i="2"/>
  <c r="Q79" i="1" s="1"/>
  <c r="P79" i="2"/>
  <c r="O79" i="2"/>
  <c r="N79" i="2"/>
  <c r="M79" i="2"/>
  <c r="L79" i="2"/>
  <c r="K79" i="2"/>
  <c r="J79" i="2"/>
  <c r="I79" i="2"/>
  <c r="H79" i="2"/>
  <c r="G79" i="2"/>
  <c r="F79" i="2"/>
  <c r="T79" i="2" s="1"/>
  <c r="Q78" i="2"/>
  <c r="P78" i="2"/>
  <c r="O78" i="2"/>
  <c r="N78" i="2"/>
  <c r="M78" i="2"/>
  <c r="L78" i="2"/>
  <c r="U78" i="2" s="1"/>
  <c r="K78" i="2"/>
  <c r="J78" i="2"/>
  <c r="I78" i="2"/>
  <c r="I77" i="2" s="1"/>
  <c r="H78" i="2"/>
  <c r="H77" i="2" s="1"/>
  <c r="G78" i="2"/>
  <c r="G77" i="2" s="1"/>
  <c r="F78" i="2"/>
  <c r="T78" i="2" s="1"/>
  <c r="V78" i="2" s="1"/>
  <c r="P77" i="2"/>
  <c r="O77" i="2"/>
  <c r="N77" i="2"/>
  <c r="U76" i="2"/>
  <c r="V76" i="2" s="1"/>
  <c r="T76" i="2"/>
  <c r="R76" i="2"/>
  <c r="Q75" i="2"/>
  <c r="P75" i="2"/>
  <c r="O75" i="2"/>
  <c r="N75" i="2"/>
  <c r="M75" i="2"/>
  <c r="L75" i="2"/>
  <c r="U75" i="2" s="1"/>
  <c r="K75" i="2"/>
  <c r="J75" i="2"/>
  <c r="I75" i="2"/>
  <c r="H75" i="2"/>
  <c r="G75" i="2"/>
  <c r="F75" i="2"/>
  <c r="Q74" i="2"/>
  <c r="P74" i="2"/>
  <c r="O74" i="2"/>
  <c r="N74" i="2"/>
  <c r="M74" i="2"/>
  <c r="L74" i="2"/>
  <c r="K74" i="2"/>
  <c r="J74" i="2"/>
  <c r="I74" i="2"/>
  <c r="H74" i="2"/>
  <c r="G74" i="2"/>
  <c r="F74" i="2"/>
  <c r="T74" i="2" s="1"/>
  <c r="Q73" i="2"/>
  <c r="Q73" i="1" s="1"/>
  <c r="P73" i="2"/>
  <c r="O73" i="2"/>
  <c r="N73" i="2"/>
  <c r="U73" i="2" s="1"/>
  <c r="M73" i="2"/>
  <c r="L73" i="2"/>
  <c r="K73" i="2"/>
  <c r="J73" i="2"/>
  <c r="I73" i="2"/>
  <c r="H73" i="2"/>
  <c r="G73" i="2"/>
  <c r="F73" i="2"/>
  <c r="T73" i="2" s="1"/>
  <c r="Q72" i="2"/>
  <c r="P72" i="2"/>
  <c r="O72" i="2"/>
  <c r="N72" i="2"/>
  <c r="M72" i="2"/>
  <c r="L72" i="2"/>
  <c r="U72" i="2" s="1"/>
  <c r="K72" i="2"/>
  <c r="J72" i="2"/>
  <c r="I72" i="2"/>
  <c r="H72" i="2"/>
  <c r="G72" i="2"/>
  <c r="F72" i="2"/>
  <c r="T72" i="2" s="1"/>
  <c r="V72" i="2" s="1"/>
  <c r="Q71" i="2"/>
  <c r="P71" i="2"/>
  <c r="O71" i="2"/>
  <c r="N71" i="2"/>
  <c r="M71" i="2"/>
  <c r="L71" i="2"/>
  <c r="K71" i="2"/>
  <c r="J71" i="2"/>
  <c r="I71" i="2"/>
  <c r="H71" i="2"/>
  <c r="G71" i="2"/>
  <c r="T71" i="2" s="1"/>
  <c r="F71" i="2"/>
  <c r="R71" i="2" s="1"/>
  <c r="Q70" i="2"/>
  <c r="U70" i="2" s="1"/>
  <c r="P70" i="2"/>
  <c r="O70" i="2"/>
  <c r="N70" i="2"/>
  <c r="M70" i="2"/>
  <c r="L70" i="2"/>
  <c r="K70" i="2"/>
  <c r="J70" i="2"/>
  <c r="I70" i="2"/>
  <c r="H70" i="2"/>
  <c r="G70" i="2"/>
  <c r="F70" i="2"/>
  <c r="T70" i="2" s="1"/>
  <c r="V70" i="2" s="1"/>
  <c r="Q69" i="2"/>
  <c r="P69" i="2"/>
  <c r="O69" i="2"/>
  <c r="N69" i="2"/>
  <c r="M69" i="2"/>
  <c r="L69" i="2"/>
  <c r="U69" i="2" s="1"/>
  <c r="K69" i="2"/>
  <c r="J69" i="2"/>
  <c r="I69" i="2"/>
  <c r="H69" i="2"/>
  <c r="G69" i="2"/>
  <c r="T69" i="2" s="1"/>
  <c r="V69" i="2" s="1"/>
  <c r="F69" i="2"/>
  <c r="Q68" i="2"/>
  <c r="P68" i="2"/>
  <c r="O68" i="2"/>
  <c r="N68" i="2"/>
  <c r="M68" i="2"/>
  <c r="L68" i="2"/>
  <c r="K68" i="2"/>
  <c r="J68" i="2"/>
  <c r="I68" i="2"/>
  <c r="H68" i="2"/>
  <c r="G68" i="2"/>
  <c r="F68" i="2"/>
  <c r="T68" i="2" s="1"/>
  <c r="Q67" i="2"/>
  <c r="P67" i="2"/>
  <c r="O67" i="2"/>
  <c r="N67" i="2"/>
  <c r="M67" i="2"/>
  <c r="L67" i="2"/>
  <c r="K67" i="2"/>
  <c r="J67" i="2"/>
  <c r="I67" i="2"/>
  <c r="H67" i="2"/>
  <c r="G67" i="2"/>
  <c r="F67" i="2"/>
  <c r="T67" i="2" s="1"/>
  <c r="Q66" i="2"/>
  <c r="P66" i="2"/>
  <c r="O66" i="2"/>
  <c r="N66" i="2"/>
  <c r="M66" i="2"/>
  <c r="L66" i="2"/>
  <c r="U66" i="2" s="1"/>
  <c r="K66" i="2"/>
  <c r="J66" i="2"/>
  <c r="I66" i="2"/>
  <c r="G66" i="2"/>
  <c r="F66" i="2"/>
  <c r="Q65" i="2"/>
  <c r="P65" i="2"/>
  <c r="O65" i="2"/>
  <c r="N65" i="2"/>
  <c r="M65" i="2"/>
  <c r="L65" i="2"/>
  <c r="K65" i="2"/>
  <c r="J65" i="2"/>
  <c r="I65" i="2"/>
  <c r="H65" i="2"/>
  <c r="G65" i="2"/>
  <c r="T65" i="2" s="1"/>
  <c r="F65" i="2"/>
  <c r="Q64" i="2"/>
  <c r="P64" i="2"/>
  <c r="O64" i="2"/>
  <c r="N64" i="2"/>
  <c r="M64" i="2"/>
  <c r="L64" i="2"/>
  <c r="K64" i="2"/>
  <c r="J64" i="2"/>
  <c r="I64" i="2"/>
  <c r="H64" i="2"/>
  <c r="G64" i="2"/>
  <c r="F64" i="2"/>
  <c r="T64" i="2" s="1"/>
  <c r="Q63" i="2"/>
  <c r="P63" i="2"/>
  <c r="O63" i="2"/>
  <c r="N63" i="2"/>
  <c r="M63" i="2"/>
  <c r="L63" i="2"/>
  <c r="U63" i="2" s="1"/>
  <c r="K63" i="2"/>
  <c r="J63" i="2"/>
  <c r="I63" i="2"/>
  <c r="H63" i="2"/>
  <c r="G63" i="2"/>
  <c r="F63" i="2"/>
  <c r="R63" i="2" s="1"/>
  <c r="V62" i="2"/>
  <c r="U62" i="2"/>
  <c r="T62" i="2"/>
  <c r="R62" i="2"/>
  <c r="Q61" i="2"/>
  <c r="U61" i="2" s="1"/>
  <c r="P61" i="2"/>
  <c r="O61" i="2"/>
  <c r="N61" i="2"/>
  <c r="M61" i="2"/>
  <c r="L61" i="2"/>
  <c r="K61" i="2"/>
  <c r="J61" i="2"/>
  <c r="I61" i="2"/>
  <c r="H61" i="2"/>
  <c r="G61" i="2"/>
  <c r="K59" i="2"/>
  <c r="M58" i="2"/>
  <c r="K58" i="2"/>
  <c r="J58" i="2"/>
  <c r="I58" i="2"/>
  <c r="H58" i="2"/>
  <c r="G58" i="2"/>
  <c r="F58" i="2"/>
  <c r="T58" i="2" s="1"/>
  <c r="T56" i="2"/>
  <c r="R56" i="2"/>
  <c r="M56" i="2"/>
  <c r="L56" i="2"/>
  <c r="U56" i="2" s="1"/>
  <c r="K56" i="2"/>
  <c r="J56" i="2"/>
  <c r="I56" i="2"/>
  <c r="H56" i="2"/>
  <c r="G56" i="2"/>
  <c r="F56" i="2"/>
  <c r="Q55" i="2"/>
  <c r="P55" i="2"/>
  <c r="O55" i="2"/>
  <c r="N55" i="2"/>
  <c r="M55" i="2"/>
  <c r="L55" i="2"/>
  <c r="U55" i="2" s="1"/>
  <c r="K55" i="2"/>
  <c r="J55" i="2"/>
  <c r="I55" i="2"/>
  <c r="H55" i="2"/>
  <c r="G55" i="2"/>
  <c r="F55" i="2"/>
  <c r="T55" i="2" s="1"/>
  <c r="M54" i="2"/>
  <c r="K54" i="2"/>
  <c r="J54" i="2"/>
  <c r="I54" i="2"/>
  <c r="H54" i="2"/>
  <c r="G54" i="2"/>
  <c r="U53" i="2"/>
  <c r="M53" i="2"/>
  <c r="L53" i="2"/>
  <c r="K53" i="2"/>
  <c r="J53" i="2"/>
  <c r="I53" i="2"/>
  <c r="H53" i="2"/>
  <c r="G53" i="2"/>
  <c r="F53" i="2"/>
  <c r="Q51" i="2"/>
  <c r="Q50" i="2" s="1"/>
  <c r="P51" i="2"/>
  <c r="O51" i="2"/>
  <c r="O50" i="2" s="1"/>
  <c r="N51" i="2"/>
  <c r="N50" i="2" s="1"/>
  <c r="M51" i="2"/>
  <c r="M50" i="2" s="1"/>
  <c r="L51" i="2"/>
  <c r="U51" i="2" s="1"/>
  <c r="K51" i="2"/>
  <c r="K50" i="2" s="1"/>
  <c r="J51" i="2"/>
  <c r="J50" i="2" s="1"/>
  <c r="I51" i="2"/>
  <c r="H51" i="2"/>
  <c r="H50" i="2" s="1"/>
  <c r="G51" i="2"/>
  <c r="F51" i="2"/>
  <c r="T51" i="2" s="1"/>
  <c r="V51" i="2" s="1"/>
  <c r="P50" i="2"/>
  <c r="I50" i="2"/>
  <c r="G50" i="2"/>
  <c r="F50" i="2"/>
  <c r="Q47" i="2"/>
  <c r="P47" i="2"/>
  <c r="O47" i="2"/>
  <c r="N47" i="2"/>
  <c r="M47" i="2"/>
  <c r="L47" i="2"/>
  <c r="U47" i="2" s="1"/>
  <c r="K47" i="2"/>
  <c r="J47" i="2"/>
  <c r="I47" i="2"/>
  <c r="H47" i="2"/>
  <c r="G47" i="2"/>
  <c r="F47" i="2"/>
  <c r="T47" i="2" s="1"/>
  <c r="V47" i="2" s="1"/>
  <c r="Q45" i="2"/>
  <c r="P45" i="2"/>
  <c r="O45" i="2"/>
  <c r="N45" i="2"/>
  <c r="M45" i="2"/>
  <c r="L45" i="2"/>
  <c r="U45" i="2" s="1"/>
  <c r="K45" i="2"/>
  <c r="J45" i="2"/>
  <c r="I45" i="2"/>
  <c r="H45" i="2"/>
  <c r="G45" i="2"/>
  <c r="M44" i="2"/>
  <c r="M44" i="1" s="1"/>
  <c r="M42" i="1" s="1"/>
  <c r="K44" i="2"/>
  <c r="K44" i="1" s="1"/>
  <c r="H44" i="2"/>
  <c r="H44" i="1" s="1"/>
  <c r="F44" i="2"/>
  <c r="Q43" i="2"/>
  <c r="P43" i="2"/>
  <c r="O43" i="2"/>
  <c r="N43" i="2"/>
  <c r="M43" i="2"/>
  <c r="M42" i="2" s="1"/>
  <c r="L43" i="2"/>
  <c r="K43" i="2"/>
  <c r="J43" i="2"/>
  <c r="I43" i="2"/>
  <c r="H43" i="2"/>
  <c r="G43" i="2"/>
  <c r="F43" i="2"/>
  <c r="G39" i="2"/>
  <c r="N35" i="2"/>
  <c r="M35" i="2"/>
  <c r="M35" i="1" s="1"/>
  <c r="Q31" i="2"/>
  <c r="F31" i="2"/>
  <c r="U28" i="2"/>
  <c r="Q28" i="2"/>
  <c r="Q28" i="1" s="1"/>
  <c r="P28" i="2"/>
  <c r="O28" i="2"/>
  <c r="N28" i="2"/>
  <c r="M28" i="2"/>
  <c r="L28" i="2"/>
  <c r="K28" i="2"/>
  <c r="J28" i="2"/>
  <c r="I28" i="2"/>
  <c r="H28" i="2"/>
  <c r="G28" i="2"/>
  <c r="F28" i="2"/>
  <c r="T26" i="2"/>
  <c r="Q26" i="2"/>
  <c r="P26" i="2"/>
  <c r="O26" i="2"/>
  <c r="N26" i="2"/>
  <c r="N23" i="2" s="1"/>
  <c r="M26" i="2"/>
  <c r="L26" i="2"/>
  <c r="K26" i="2"/>
  <c r="J26" i="2"/>
  <c r="I26" i="2"/>
  <c r="H26" i="2"/>
  <c r="G26" i="2"/>
  <c r="F26" i="2"/>
  <c r="Q25" i="2"/>
  <c r="P25" i="2"/>
  <c r="U25" i="2" s="1"/>
  <c r="O25" i="2"/>
  <c r="N25" i="2"/>
  <c r="M25" i="2"/>
  <c r="L25" i="2"/>
  <c r="K25" i="2"/>
  <c r="K23" i="2" s="1"/>
  <c r="J25" i="2"/>
  <c r="I25" i="2"/>
  <c r="H25" i="2"/>
  <c r="G25" i="2"/>
  <c r="F25" i="2"/>
  <c r="T25" i="2" s="1"/>
  <c r="U24" i="2"/>
  <c r="Q24" i="2"/>
  <c r="P24" i="2"/>
  <c r="O24" i="2"/>
  <c r="O23" i="2" s="1"/>
  <c r="N24" i="2"/>
  <c r="M24" i="2"/>
  <c r="L24" i="2"/>
  <c r="L23" i="2" s="1"/>
  <c r="K24" i="2"/>
  <c r="J24" i="2"/>
  <c r="J23" i="2" s="1"/>
  <c r="I24" i="2"/>
  <c r="H24" i="2"/>
  <c r="H23" i="2" s="1"/>
  <c r="G24" i="2"/>
  <c r="F24" i="2"/>
  <c r="P23" i="2"/>
  <c r="M23" i="2"/>
  <c r="Q22" i="2"/>
  <c r="Q22" i="1" s="1"/>
  <c r="P22" i="2"/>
  <c r="O22" i="2"/>
  <c r="N22" i="2"/>
  <c r="F21" i="2"/>
  <c r="F21" i="1" s="1"/>
  <c r="Q20" i="2"/>
  <c r="P20" i="2"/>
  <c r="O20" i="2"/>
  <c r="N20" i="2"/>
  <c r="M20" i="2"/>
  <c r="M20" i="1" s="1"/>
  <c r="L20" i="2"/>
  <c r="K20" i="2"/>
  <c r="J20" i="2"/>
  <c r="I20" i="2"/>
  <c r="H20" i="2"/>
  <c r="T20" i="2" s="1"/>
  <c r="G20" i="2"/>
  <c r="F20" i="2"/>
  <c r="Q19" i="2"/>
  <c r="Q19" i="1" s="1"/>
  <c r="P19" i="2"/>
  <c r="O19" i="2"/>
  <c r="O19" i="1" s="1"/>
  <c r="N19" i="2"/>
  <c r="M19" i="2"/>
  <c r="L19" i="2"/>
  <c r="K19" i="2"/>
  <c r="J19" i="2"/>
  <c r="I19" i="2"/>
  <c r="H19" i="2"/>
  <c r="G19" i="2"/>
  <c r="F19" i="2"/>
  <c r="T18" i="2"/>
  <c r="Q18" i="2"/>
  <c r="P18" i="2"/>
  <c r="P17" i="2" s="1"/>
  <c r="O18" i="2"/>
  <c r="N18" i="2"/>
  <c r="M18" i="2"/>
  <c r="L18" i="2"/>
  <c r="K18" i="2"/>
  <c r="J18" i="2"/>
  <c r="J17" i="2" s="1"/>
  <c r="I18" i="2"/>
  <c r="H18" i="2"/>
  <c r="G18" i="2"/>
  <c r="G17" i="2" s="1"/>
  <c r="F18" i="2"/>
  <c r="R18" i="2" s="1"/>
  <c r="K17" i="2"/>
  <c r="I17" i="2"/>
  <c r="F17" i="2"/>
  <c r="Q16" i="2"/>
  <c r="P16" i="2"/>
  <c r="O16" i="2"/>
  <c r="N16" i="2"/>
  <c r="N112" i="2" s="1"/>
  <c r="M16" i="2"/>
  <c r="L16" i="2"/>
  <c r="K16" i="2"/>
  <c r="J16" i="2"/>
  <c r="I16" i="2"/>
  <c r="H16" i="2"/>
  <c r="G16" i="2"/>
  <c r="F16" i="2"/>
  <c r="Q15" i="2"/>
  <c r="P15" i="2"/>
  <c r="O15" i="2"/>
  <c r="O15" i="1" s="1"/>
  <c r="Q14" i="2"/>
  <c r="P14" i="2"/>
  <c r="O14" i="2"/>
  <c r="O14" i="1" s="1"/>
  <c r="N14" i="2"/>
  <c r="M14" i="2"/>
  <c r="L14" i="2"/>
  <c r="K14" i="2"/>
  <c r="J14" i="2"/>
  <c r="I14" i="2"/>
  <c r="H14" i="2"/>
  <c r="G14" i="2"/>
  <c r="T14" i="2" s="1"/>
  <c r="F14" i="2"/>
  <c r="Q13" i="2"/>
  <c r="P13" i="2"/>
  <c r="O13" i="2"/>
  <c r="N13" i="2"/>
  <c r="M13" i="2"/>
  <c r="L13" i="2"/>
  <c r="U13" i="2" s="1"/>
  <c r="K13" i="2"/>
  <c r="J13" i="2"/>
  <c r="I13" i="2"/>
  <c r="H13" i="2"/>
  <c r="G13" i="2"/>
  <c r="F13" i="2"/>
  <c r="Q12" i="2"/>
  <c r="Q12" i="1" s="1"/>
  <c r="P12" i="2"/>
  <c r="P11" i="2" s="1"/>
  <c r="O12" i="2"/>
  <c r="N12" i="2"/>
  <c r="N11" i="2" s="1"/>
  <c r="M12" i="2"/>
  <c r="L12" i="2"/>
  <c r="K12" i="2"/>
  <c r="J12" i="2"/>
  <c r="J11" i="2" s="1"/>
  <c r="I12" i="2"/>
  <c r="I11" i="2" s="1"/>
  <c r="H12" i="2"/>
  <c r="G12" i="2"/>
  <c r="F12" i="2"/>
  <c r="O11" i="2"/>
  <c r="M11" i="2"/>
  <c r="Q10" i="2"/>
  <c r="Q8" i="2" s="1"/>
  <c r="P10" i="2"/>
  <c r="P10" i="1" s="1"/>
  <c r="O10" i="2"/>
  <c r="O8" i="2" s="1"/>
  <c r="N10" i="2"/>
  <c r="M10" i="2"/>
  <c r="L10" i="2"/>
  <c r="K10" i="2"/>
  <c r="J10" i="2"/>
  <c r="J10" i="1" s="1"/>
  <c r="I10" i="2"/>
  <c r="H10" i="2"/>
  <c r="G10" i="2"/>
  <c r="F10" i="2"/>
  <c r="Q9" i="2"/>
  <c r="O9" i="2"/>
  <c r="N9" i="2"/>
  <c r="L9" i="2"/>
  <c r="L8" i="2" s="1"/>
  <c r="K9" i="2"/>
  <c r="J9" i="2"/>
  <c r="I9" i="2"/>
  <c r="H9" i="2"/>
  <c r="G9" i="2"/>
  <c r="G8" i="2" s="1"/>
  <c r="N8" i="2"/>
  <c r="I8" i="2"/>
  <c r="H8" i="2"/>
  <c r="Q7" i="2"/>
  <c r="P7" i="2"/>
  <c r="O7" i="2"/>
  <c r="N7" i="2"/>
  <c r="M7" i="2"/>
  <c r="M5" i="2" s="1"/>
  <c r="L7" i="2"/>
  <c r="K7" i="2"/>
  <c r="J7" i="2"/>
  <c r="I7" i="2"/>
  <c r="H7" i="2"/>
  <c r="G7" i="2"/>
  <c r="F7" i="2"/>
  <c r="P6" i="2"/>
  <c r="P5" i="2" s="1"/>
  <c r="O6" i="2"/>
  <c r="M6" i="2"/>
  <c r="L6" i="2"/>
  <c r="I6" i="2"/>
  <c r="I5" i="2" s="1"/>
  <c r="H6" i="2"/>
  <c r="G6" i="2"/>
  <c r="L5" i="2"/>
  <c r="H5" i="2"/>
  <c r="Q114" i="1"/>
  <c r="P114" i="1"/>
  <c r="O114" i="1"/>
  <c r="N114" i="1"/>
  <c r="U114" i="1" s="1"/>
  <c r="M114" i="1"/>
  <c r="L114" i="1"/>
  <c r="K114" i="1"/>
  <c r="T114" i="1" s="1"/>
  <c r="V114" i="1" s="1"/>
  <c r="J114" i="1"/>
  <c r="I114" i="1"/>
  <c r="H114" i="1"/>
  <c r="G114" i="1"/>
  <c r="F114" i="1"/>
  <c r="N112" i="1"/>
  <c r="Q109" i="1"/>
  <c r="O109" i="1"/>
  <c r="N109" i="1"/>
  <c r="Q103" i="1"/>
  <c r="P103" i="1"/>
  <c r="O103" i="1"/>
  <c r="N103" i="1"/>
  <c r="M103" i="1"/>
  <c r="U103" i="1" s="1"/>
  <c r="L103" i="1"/>
  <c r="K103" i="1"/>
  <c r="J103" i="1"/>
  <c r="I103" i="1"/>
  <c r="H103" i="1"/>
  <c r="G103" i="1"/>
  <c r="F103" i="1"/>
  <c r="Q102" i="1"/>
  <c r="P102" i="1"/>
  <c r="O102" i="1"/>
  <c r="U102" i="1" s="1"/>
  <c r="N102" i="1"/>
  <c r="M102" i="1"/>
  <c r="L102" i="1"/>
  <c r="K102" i="1"/>
  <c r="J102" i="1"/>
  <c r="I102" i="1"/>
  <c r="H102" i="1"/>
  <c r="G102" i="1"/>
  <c r="F102" i="1"/>
  <c r="Q100" i="1"/>
  <c r="P100" i="1"/>
  <c r="U100" i="1" s="1"/>
  <c r="O100" i="1"/>
  <c r="N100" i="1"/>
  <c r="M100" i="1"/>
  <c r="L100" i="1"/>
  <c r="K100" i="1"/>
  <c r="J100" i="1"/>
  <c r="I100" i="1"/>
  <c r="H100" i="1"/>
  <c r="H98" i="1" s="1"/>
  <c r="G100" i="1"/>
  <c r="F100" i="1"/>
  <c r="Q99" i="1"/>
  <c r="Q98" i="1" s="1"/>
  <c r="P99" i="1"/>
  <c r="O99" i="1"/>
  <c r="O98" i="1" s="1"/>
  <c r="N99" i="1"/>
  <c r="M99" i="1"/>
  <c r="L99" i="1"/>
  <c r="K99" i="1"/>
  <c r="K98" i="1" s="1"/>
  <c r="J99" i="1"/>
  <c r="J98" i="1" s="1"/>
  <c r="I99" i="1"/>
  <c r="H99" i="1"/>
  <c r="G99" i="1"/>
  <c r="F99" i="1"/>
  <c r="P98" i="1"/>
  <c r="N98" i="1"/>
  <c r="M98" i="1"/>
  <c r="L98" i="1"/>
  <c r="I98" i="1"/>
  <c r="G98" i="1"/>
  <c r="Q97" i="1"/>
  <c r="P97" i="1"/>
  <c r="O97" i="1"/>
  <c r="N97" i="1"/>
  <c r="M97" i="1"/>
  <c r="L97" i="1"/>
  <c r="K97" i="1"/>
  <c r="J97" i="1"/>
  <c r="I97" i="1"/>
  <c r="H97" i="1"/>
  <c r="G97" i="1"/>
  <c r="F97" i="1"/>
  <c r="Q96" i="1"/>
  <c r="P96" i="1"/>
  <c r="O96" i="1"/>
  <c r="N96" i="1"/>
  <c r="M96" i="1"/>
  <c r="L96" i="1"/>
  <c r="U96" i="1" s="1"/>
  <c r="K96" i="1"/>
  <c r="J96" i="1"/>
  <c r="I96" i="1"/>
  <c r="H96" i="1"/>
  <c r="G96" i="1"/>
  <c r="F96" i="1"/>
  <c r="T96" i="1" s="1"/>
  <c r="Q95" i="1"/>
  <c r="P95" i="1"/>
  <c r="O95" i="1"/>
  <c r="N95" i="1"/>
  <c r="M95" i="1"/>
  <c r="L95" i="1"/>
  <c r="K95" i="1"/>
  <c r="J95" i="1"/>
  <c r="I95" i="1"/>
  <c r="I93" i="1" s="1"/>
  <c r="H95" i="1"/>
  <c r="T95" i="1" s="1"/>
  <c r="G95" i="1"/>
  <c r="F95" i="1"/>
  <c r="Q94" i="1"/>
  <c r="Q93" i="1" s="1"/>
  <c r="P94" i="1"/>
  <c r="O94" i="1"/>
  <c r="N94" i="1"/>
  <c r="M94" i="1"/>
  <c r="L94" i="1"/>
  <c r="K94" i="1"/>
  <c r="J94" i="1"/>
  <c r="I94" i="1"/>
  <c r="H94" i="1"/>
  <c r="H93" i="1" s="1"/>
  <c r="G94" i="1"/>
  <c r="G93" i="1" s="1"/>
  <c r="F94" i="1"/>
  <c r="O93" i="1"/>
  <c r="J93" i="1"/>
  <c r="F93" i="1"/>
  <c r="Q92" i="1"/>
  <c r="P92" i="1"/>
  <c r="O92" i="1"/>
  <c r="N92" i="1"/>
  <c r="U92" i="1" s="1"/>
  <c r="M92" i="1"/>
  <c r="L92" i="1"/>
  <c r="K92" i="1"/>
  <c r="J92" i="1"/>
  <c r="I92" i="1"/>
  <c r="H92" i="1"/>
  <c r="G92" i="1"/>
  <c r="T92" i="1" s="1"/>
  <c r="F92" i="1"/>
  <c r="Q91" i="1"/>
  <c r="P91" i="1"/>
  <c r="O91" i="1"/>
  <c r="N91" i="1"/>
  <c r="M91" i="1"/>
  <c r="L91" i="1"/>
  <c r="K91" i="1"/>
  <c r="J91" i="1"/>
  <c r="I91" i="1"/>
  <c r="H91" i="1"/>
  <c r="G91" i="1"/>
  <c r="F91" i="1"/>
  <c r="Q90" i="1"/>
  <c r="P90" i="1"/>
  <c r="O90" i="1"/>
  <c r="N90" i="1"/>
  <c r="M90" i="1"/>
  <c r="L90" i="1"/>
  <c r="U90" i="1" s="1"/>
  <c r="J90" i="1"/>
  <c r="I90" i="1"/>
  <c r="H90" i="1"/>
  <c r="G90" i="1"/>
  <c r="F90" i="1"/>
  <c r="U89" i="1"/>
  <c r="Q89" i="1"/>
  <c r="P89" i="1"/>
  <c r="O89" i="1"/>
  <c r="N89" i="1"/>
  <c r="M89" i="1"/>
  <c r="L89" i="1"/>
  <c r="K89" i="1"/>
  <c r="J89" i="1"/>
  <c r="I89" i="1"/>
  <c r="H89" i="1"/>
  <c r="G89" i="1"/>
  <c r="T89" i="1" s="1"/>
  <c r="V89" i="1" s="1"/>
  <c r="F89" i="1"/>
  <c r="Q88" i="1"/>
  <c r="P88" i="1"/>
  <c r="O88" i="1"/>
  <c r="N88" i="1"/>
  <c r="M88" i="1"/>
  <c r="L88" i="1"/>
  <c r="K88" i="1"/>
  <c r="J88" i="1"/>
  <c r="I88" i="1"/>
  <c r="H88" i="1"/>
  <c r="G88" i="1"/>
  <c r="F88" i="1"/>
  <c r="U87" i="1"/>
  <c r="Q87" i="1"/>
  <c r="P87" i="1"/>
  <c r="O87" i="1"/>
  <c r="N87" i="1"/>
  <c r="M87" i="1"/>
  <c r="L87" i="1"/>
  <c r="K87" i="1"/>
  <c r="I87" i="1"/>
  <c r="H87" i="1"/>
  <c r="G87" i="1"/>
  <c r="F87" i="1"/>
  <c r="Q86" i="1"/>
  <c r="P86" i="1"/>
  <c r="O86" i="1"/>
  <c r="N86" i="1"/>
  <c r="N77" i="1" s="1"/>
  <c r="M86" i="1"/>
  <c r="L86" i="1"/>
  <c r="K86" i="1"/>
  <c r="J86" i="1"/>
  <c r="I86" i="1"/>
  <c r="H86" i="1"/>
  <c r="T86" i="1" s="1"/>
  <c r="G86" i="1"/>
  <c r="F86" i="1"/>
  <c r="Q85" i="1"/>
  <c r="P85" i="1"/>
  <c r="O85" i="1"/>
  <c r="N85" i="1"/>
  <c r="M85" i="1"/>
  <c r="L85" i="1"/>
  <c r="K85" i="1"/>
  <c r="J85" i="1"/>
  <c r="I85" i="1"/>
  <c r="H85" i="1"/>
  <c r="G85" i="1"/>
  <c r="F85" i="1"/>
  <c r="U84" i="1"/>
  <c r="Q84" i="1"/>
  <c r="P84" i="1"/>
  <c r="O84" i="1"/>
  <c r="N84" i="1"/>
  <c r="M84" i="1"/>
  <c r="L84" i="1"/>
  <c r="K84" i="1"/>
  <c r="J84" i="1"/>
  <c r="I84" i="1"/>
  <c r="H84" i="1"/>
  <c r="G84" i="1"/>
  <c r="F84" i="1"/>
  <c r="Q83" i="1"/>
  <c r="P83" i="1"/>
  <c r="O83" i="1"/>
  <c r="N83" i="1"/>
  <c r="M83" i="1"/>
  <c r="U83" i="1" s="1"/>
  <c r="L83" i="1"/>
  <c r="K83" i="1"/>
  <c r="J83" i="1"/>
  <c r="I83" i="1"/>
  <c r="H83" i="1"/>
  <c r="H77" i="1" s="1"/>
  <c r="G83" i="1"/>
  <c r="F83" i="1"/>
  <c r="Q82" i="1"/>
  <c r="P82" i="1"/>
  <c r="O82" i="1"/>
  <c r="N82" i="1"/>
  <c r="M82" i="1"/>
  <c r="L82" i="1"/>
  <c r="K82" i="1"/>
  <c r="J82" i="1"/>
  <c r="I82" i="1"/>
  <c r="H82" i="1"/>
  <c r="G82" i="1"/>
  <c r="F82" i="1"/>
  <c r="Q81" i="1"/>
  <c r="P81" i="1"/>
  <c r="O81" i="1"/>
  <c r="N81" i="1"/>
  <c r="M81" i="1"/>
  <c r="U81" i="1" s="1"/>
  <c r="L81" i="1"/>
  <c r="K81" i="1"/>
  <c r="J81" i="1"/>
  <c r="I81" i="1"/>
  <c r="H81" i="1"/>
  <c r="G81" i="1"/>
  <c r="F81" i="1"/>
  <c r="Q80" i="1"/>
  <c r="P80" i="1"/>
  <c r="P77" i="1" s="1"/>
  <c r="O80" i="1"/>
  <c r="N80" i="1"/>
  <c r="M80" i="1"/>
  <c r="L80" i="1"/>
  <c r="K80" i="1"/>
  <c r="J80" i="1"/>
  <c r="I80" i="1"/>
  <c r="H80" i="1"/>
  <c r="G80" i="1"/>
  <c r="F80" i="1"/>
  <c r="P79" i="1"/>
  <c r="O79" i="1"/>
  <c r="N79" i="1"/>
  <c r="M79" i="1"/>
  <c r="L79" i="1"/>
  <c r="U79" i="1" s="1"/>
  <c r="K79" i="1"/>
  <c r="J79" i="1"/>
  <c r="I79" i="1"/>
  <c r="H79" i="1"/>
  <c r="G79" i="1"/>
  <c r="F79" i="1"/>
  <c r="T79" i="1" s="1"/>
  <c r="V79" i="1" s="1"/>
  <c r="U78" i="1"/>
  <c r="Q78" i="1"/>
  <c r="P78" i="1"/>
  <c r="O78" i="1"/>
  <c r="O77" i="1" s="1"/>
  <c r="N78" i="1"/>
  <c r="M78" i="1"/>
  <c r="L78" i="1"/>
  <c r="L77" i="1" s="1"/>
  <c r="K78" i="1"/>
  <c r="J78" i="1"/>
  <c r="I78" i="1"/>
  <c r="I77" i="1" s="1"/>
  <c r="H78" i="1"/>
  <c r="G78" i="1"/>
  <c r="F78" i="1"/>
  <c r="G77" i="1"/>
  <c r="Q75" i="1"/>
  <c r="P75" i="1"/>
  <c r="O75" i="1"/>
  <c r="N75" i="1"/>
  <c r="M75" i="1"/>
  <c r="U75" i="1" s="1"/>
  <c r="L75" i="1"/>
  <c r="K75" i="1"/>
  <c r="J75" i="1"/>
  <c r="I75" i="1"/>
  <c r="H75" i="1"/>
  <c r="G75" i="1"/>
  <c r="F75" i="1"/>
  <c r="Q74" i="1"/>
  <c r="P74" i="1"/>
  <c r="O74" i="1"/>
  <c r="N74" i="1"/>
  <c r="M74" i="1"/>
  <c r="L74" i="1"/>
  <c r="K74" i="1"/>
  <c r="J74" i="1"/>
  <c r="I74" i="1"/>
  <c r="H74" i="1"/>
  <c r="T74" i="1" s="1"/>
  <c r="G74" i="1"/>
  <c r="F74" i="1"/>
  <c r="R73" i="1"/>
  <c r="P73" i="1"/>
  <c r="O73" i="1"/>
  <c r="N73" i="1"/>
  <c r="M73" i="1"/>
  <c r="L73" i="1"/>
  <c r="U73" i="1" s="1"/>
  <c r="K73" i="1"/>
  <c r="J73" i="1"/>
  <c r="I73" i="1"/>
  <c r="H73" i="1"/>
  <c r="G73" i="1"/>
  <c r="F73" i="1"/>
  <c r="T73" i="1" s="1"/>
  <c r="V73" i="1" s="1"/>
  <c r="U72" i="1"/>
  <c r="Q72" i="1"/>
  <c r="P72" i="1"/>
  <c r="O72" i="1"/>
  <c r="N72" i="1"/>
  <c r="M72" i="1"/>
  <c r="L72" i="1"/>
  <c r="K72" i="1"/>
  <c r="J72" i="1"/>
  <c r="I72" i="1"/>
  <c r="H72" i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70" i="1"/>
  <c r="P70" i="1"/>
  <c r="O70" i="1"/>
  <c r="N70" i="1"/>
  <c r="M70" i="1"/>
  <c r="L70" i="1"/>
  <c r="U70" i="1" s="1"/>
  <c r="K70" i="1"/>
  <c r="J70" i="1"/>
  <c r="I70" i="1"/>
  <c r="H70" i="1"/>
  <c r="G70" i="1"/>
  <c r="F70" i="1"/>
  <c r="T70" i="1" s="1"/>
  <c r="Q69" i="1"/>
  <c r="P69" i="1"/>
  <c r="O69" i="1"/>
  <c r="U69" i="1" s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U68" i="1" s="1"/>
  <c r="K68" i="1"/>
  <c r="J68" i="1"/>
  <c r="T68" i="1" s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6" i="1"/>
  <c r="P66" i="1"/>
  <c r="O66" i="1"/>
  <c r="N66" i="1"/>
  <c r="M66" i="1"/>
  <c r="L66" i="1"/>
  <c r="U66" i="1" s="1"/>
  <c r="K66" i="1"/>
  <c r="J66" i="1"/>
  <c r="I66" i="1"/>
  <c r="H66" i="1"/>
  <c r="G66" i="1"/>
  <c r="F66" i="1"/>
  <c r="T66" i="1" s="1"/>
  <c r="T65" i="1"/>
  <c r="Q65" i="1"/>
  <c r="P65" i="1"/>
  <c r="O65" i="1"/>
  <c r="N65" i="1"/>
  <c r="M65" i="1"/>
  <c r="U65" i="1" s="1"/>
  <c r="L65" i="1"/>
  <c r="K65" i="1"/>
  <c r="J65" i="1"/>
  <c r="I65" i="1"/>
  <c r="H65" i="1"/>
  <c r="G65" i="1"/>
  <c r="F65" i="1"/>
  <c r="R65" i="1" s="1"/>
  <c r="Q64" i="1"/>
  <c r="P64" i="1"/>
  <c r="O64" i="1"/>
  <c r="N64" i="1"/>
  <c r="U64" i="1" s="1"/>
  <c r="M64" i="1"/>
  <c r="L64" i="1"/>
  <c r="K64" i="1"/>
  <c r="J64" i="1"/>
  <c r="I64" i="1"/>
  <c r="H64" i="1"/>
  <c r="G64" i="1"/>
  <c r="F64" i="1"/>
  <c r="Q63" i="1"/>
  <c r="P63" i="1"/>
  <c r="O63" i="1"/>
  <c r="N63" i="1"/>
  <c r="M63" i="1"/>
  <c r="L63" i="1"/>
  <c r="U63" i="1" s="1"/>
  <c r="K63" i="1"/>
  <c r="J63" i="1"/>
  <c r="I63" i="1"/>
  <c r="H63" i="1"/>
  <c r="G63" i="1"/>
  <c r="T63" i="1" s="1"/>
  <c r="V63" i="1" s="1"/>
  <c r="F63" i="1"/>
  <c r="Q62" i="1"/>
  <c r="P62" i="1"/>
  <c r="O62" i="1"/>
  <c r="N62" i="1"/>
  <c r="M62" i="1"/>
  <c r="L62" i="1"/>
  <c r="K62" i="1"/>
  <c r="J62" i="1"/>
  <c r="I62" i="1"/>
  <c r="T62" i="1" s="1"/>
  <c r="H62" i="1"/>
  <c r="G62" i="1"/>
  <c r="F62" i="1"/>
  <c r="U61" i="1"/>
  <c r="Q61" i="1"/>
  <c r="P61" i="1"/>
  <c r="O61" i="1"/>
  <c r="N61" i="1"/>
  <c r="M61" i="1"/>
  <c r="L61" i="1"/>
  <c r="K61" i="1"/>
  <c r="J61" i="1"/>
  <c r="I61" i="1"/>
  <c r="H61" i="1"/>
  <c r="G61" i="1"/>
  <c r="K59" i="1"/>
  <c r="Q58" i="1"/>
  <c r="P58" i="1"/>
  <c r="O58" i="1"/>
  <c r="N58" i="1"/>
  <c r="M58" i="1"/>
  <c r="K58" i="1"/>
  <c r="J58" i="1"/>
  <c r="I58" i="1"/>
  <c r="H58" i="1"/>
  <c r="G58" i="1"/>
  <c r="F58" i="1"/>
  <c r="T58" i="1" s="1"/>
  <c r="U56" i="1"/>
  <c r="Q56" i="1"/>
  <c r="P56" i="1"/>
  <c r="O56" i="1"/>
  <c r="N56" i="1"/>
  <c r="M56" i="1"/>
  <c r="L56" i="1"/>
  <c r="K56" i="1"/>
  <c r="J56" i="1"/>
  <c r="I56" i="1"/>
  <c r="H56" i="1"/>
  <c r="G56" i="1"/>
  <c r="T56" i="1" s="1"/>
  <c r="V56" i="1" s="1"/>
  <c r="F56" i="1"/>
  <c r="Q55" i="1"/>
  <c r="P55" i="1"/>
  <c r="O55" i="1"/>
  <c r="N55" i="1"/>
  <c r="M55" i="1"/>
  <c r="L55" i="1"/>
  <c r="K55" i="1"/>
  <c r="J55" i="1"/>
  <c r="I55" i="1"/>
  <c r="H55" i="1"/>
  <c r="G55" i="1"/>
  <c r="F55" i="1"/>
  <c r="Q54" i="1"/>
  <c r="P54" i="1"/>
  <c r="O54" i="1"/>
  <c r="N54" i="1"/>
  <c r="M54" i="1"/>
  <c r="K54" i="1"/>
  <c r="J54" i="1"/>
  <c r="I54" i="1"/>
  <c r="H54" i="1"/>
  <c r="G54" i="1"/>
  <c r="Q53" i="1"/>
  <c r="P53" i="1"/>
  <c r="U53" i="1" s="1"/>
  <c r="O53" i="1"/>
  <c r="N53" i="1"/>
  <c r="M53" i="1"/>
  <c r="L53" i="1"/>
  <c r="K53" i="1"/>
  <c r="J53" i="1"/>
  <c r="I53" i="1"/>
  <c r="H53" i="1"/>
  <c r="G53" i="1"/>
  <c r="F53" i="1"/>
  <c r="T53" i="1" s="1"/>
  <c r="V53" i="1" s="1"/>
  <c r="Q51" i="1"/>
  <c r="P51" i="1"/>
  <c r="P50" i="1" s="1"/>
  <c r="O51" i="1"/>
  <c r="O50" i="1" s="1"/>
  <c r="N51" i="1"/>
  <c r="N50" i="1" s="1"/>
  <c r="M51" i="1"/>
  <c r="L51" i="1"/>
  <c r="L50" i="1" s="1"/>
  <c r="K51" i="1"/>
  <c r="J51" i="1"/>
  <c r="I51" i="1"/>
  <c r="H51" i="1"/>
  <c r="H50" i="1" s="1"/>
  <c r="G51" i="1"/>
  <c r="G50" i="1" s="1"/>
  <c r="F51" i="1"/>
  <c r="U50" i="1"/>
  <c r="Q50" i="1"/>
  <c r="M50" i="1"/>
  <c r="K50" i="1"/>
  <c r="J50" i="1"/>
  <c r="I50" i="1"/>
  <c r="Q47" i="1"/>
  <c r="P47" i="1"/>
  <c r="O47" i="1"/>
  <c r="N47" i="1"/>
  <c r="M47" i="1"/>
  <c r="L47" i="1"/>
  <c r="K47" i="1"/>
  <c r="J47" i="1"/>
  <c r="I47" i="1"/>
  <c r="H47" i="1"/>
  <c r="G47" i="1"/>
  <c r="F47" i="1"/>
  <c r="T47" i="1" s="1"/>
  <c r="Q46" i="1"/>
  <c r="P46" i="1"/>
  <c r="O46" i="1"/>
  <c r="N46" i="1"/>
  <c r="M46" i="1"/>
  <c r="U45" i="1"/>
  <c r="Q45" i="1"/>
  <c r="P45" i="1"/>
  <c r="O45" i="1"/>
  <c r="N45" i="1"/>
  <c r="M45" i="1"/>
  <c r="L45" i="1"/>
  <c r="K45" i="1"/>
  <c r="J45" i="1"/>
  <c r="I45" i="1"/>
  <c r="H45" i="1"/>
  <c r="G45" i="1"/>
  <c r="P43" i="1"/>
  <c r="O43" i="1"/>
  <c r="N43" i="1"/>
  <c r="M43" i="1"/>
  <c r="L43" i="1"/>
  <c r="K43" i="1"/>
  <c r="J43" i="1"/>
  <c r="I43" i="1"/>
  <c r="H43" i="1"/>
  <c r="G43" i="1"/>
  <c r="F43" i="1"/>
  <c r="G39" i="1"/>
  <c r="N35" i="1"/>
  <c r="Q31" i="1"/>
  <c r="F31" i="1"/>
  <c r="U28" i="1"/>
  <c r="P28" i="1"/>
  <c r="O28" i="1"/>
  <c r="N28" i="1"/>
  <c r="M28" i="1"/>
  <c r="L28" i="1"/>
  <c r="K28" i="1"/>
  <c r="J28" i="1"/>
  <c r="I28" i="1"/>
  <c r="H28" i="1"/>
  <c r="G28" i="1"/>
  <c r="F28" i="1"/>
  <c r="Q26" i="1"/>
  <c r="P26" i="1"/>
  <c r="O26" i="1"/>
  <c r="N26" i="1"/>
  <c r="M26" i="1"/>
  <c r="L26" i="1"/>
  <c r="U26" i="1" s="1"/>
  <c r="K26" i="1"/>
  <c r="J26" i="1"/>
  <c r="I26" i="1"/>
  <c r="H26" i="1"/>
  <c r="G26" i="1"/>
  <c r="T26" i="1" s="1"/>
  <c r="V26" i="1" s="1"/>
  <c r="F26" i="1"/>
  <c r="P25" i="1"/>
  <c r="O25" i="1"/>
  <c r="N25" i="1"/>
  <c r="M25" i="1"/>
  <c r="L25" i="1"/>
  <c r="K25" i="1"/>
  <c r="J25" i="1"/>
  <c r="I25" i="1"/>
  <c r="H25" i="1"/>
  <c r="G25" i="1"/>
  <c r="F25" i="1"/>
  <c r="Q24" i="1"/>
  <c r="P24" i="1"/>
  <c r="P23" i="1" s="1"/>
  <c r="O24" i="1"/>
  <c r="O23" i="1" s="1"/>
  <c r="N24" i="1"/>
  <c r="N23" i="1" s="1"/>
  <c r="M24" i="1"/>
  <c r="M23" i="1" s="1"/>
  <c r="L24" i="1"/>
  <c r="U24" i="1" s="1"/>
  <c r="K24" i="1"/>
  <c r="J24" i="1"/>
  <c r="H24" i="1"/>
  <c r="G24" i="1"/>
  <c r="F24" i="1"/>
  <c r="K23" i="1"/>
  <c r="J23" i="1"/>
  <c r="H23" i="1"/>
  <c r="P22" i="1"/>
  <c r="O22" i="1"/>
  <c r="N22" i="1"/>
  <c r="Q20" i="1"/>
  <c r="P20" i="1"/>
  <c r="O20" i="1"/>
  <c r="N20" i="1"/>
  <c r="L20" i="1"/>
  <c r="U20" i="1" s="1"/>
  <c r="K20" i="1"/>
  <c r="K17" i="1" s="1"/>
  <c r="J20" i="1"/>
  <c r="I20" i="1"/>
  <c r="G20" i="1"/>
  <c r="F20" i="1"/>
  <c r="P19" i="1"/>
  <c r="N19" i="1"/>
  <c r="M19" i="1"/>
  <c r="L19" i="1"/>
  <c r="U19" i="1" s="1"/>
  <c r="K19" i="1"/>
  <c r="J19" i="1"/>
  <c r="R19" i="1" s="1"/>
  <c r="I19" i="1"/>
  <c r="H19" i="1"/>
  <c r="G19" i="1"/>
  <c r="F19" i="1"/>
  <c r="Q18" i="1"/>
  <c r="P18" i="1"/>
  <c r="O18" i="1"/>
  <c r="O17" i="1" s="1"/>
  <c r="N18" i="1"/>
  <c r="M18" i="1"/>
  <c r="M17" i="1" s="1"/>
  <c r="L18" i="1"/>
  <c r="K18" i="1"/>
  <c r="J18" i="1"/>
  <c r="I18" i="1"/>
  <c r="H18" i="1"/>
  <c r="G18" i="1"/>
  <c r="F18" i="1"/>
  <c r="Q17" i="1"/>
  <c r="N17" i="1"/>
  <c r="J17" i="1"/>
  <c r="I17" i="1"/>
  <c r="G17" i="1"/>
  <c r="F17" i="1"/>
  <c r="Q16" i="1"/>
  <c r="P16" i="1"/>
  <c r="O16" i="1"/>
  <c r="N16" i="1"/>
  <c r="M16" i="1"/>
  <c r="L16" i="1"/>
  <c r="K16" i="1"/>
  <c r="J16" i="1"/>
  <c r="I16" i="1"/>
  <c r="H16" i="1"/>
  <c r="G16" i="1"/>
  <c r="F16" i="1"/>
  <c r="Q15" i="1"/>
  <c r="P15" i="1"/>
  <c r="Q14" i="1"/>
  <c r="P14" i="1"/>
  <c r="N14" i="1"/>
  <c r="U14" i="1" s="1"/>
  <c r="M14" i="1"/>
  <c r="L14" i="1"/>
  <c r="K14" i="1"/>
  <c r="J14" i="1"/>
  <c r="I14" i="1"/>
  <c r="H14" i="1"/>
  <c r="G14" i="1"/>
  <c r="F14" i="1"/>
  <c r="Q13" i="1"/>
  <c r="P13" i="1"/>
  <c r="O13" i="1"/>
  <c r="N13" i="1"/>
  <c r="M13" i="1"/>
  <c r="K13" i="1"/>
  <c r="J13" i="1"/>
  <c r="I13" i="1"/>
  <c r="H13" i="1"/>
  <c r="P12" i="1"/>
  <c r="P11" i="1" s="1"/>
  <c r="O12" i="1"/>
  <c r="O11" i="1" s="1"/>
  <c r="N12" i="1"/>
  <c r="N11" i="1" s="1"/>
  <c r="M12" i="1"/>
  <c r="M11" i="1" s="1"/>
  <c r="L12" i="1"/>
  <c r="I12" i="1"/>
  <c r="I11" i="1" s="1"/>
  <c r="H12" i="1"/>
  <c r="G12" i="1"/>
  <c r="F12" i="1"/>
  <c r="Q11" i="1"/>
  <c r="H11" i="1"/>
  <c r="Q10" i="1"/>
  <c r="N10" i="1"/>
  <c r="N8" i="1" s="1"/>
  <c r="M10" i="1"/>
  <c r="L10" i="1"/>
  <c r="K10" i="1"/>
  <c r="I10" i="1"/>
  <c r="H10" i="1"/>
  <c r="G10" i="1"/>
  <c r="F10" i="1"/>
  <c r="Q9" i="1"/>
  <c r="Q8" i="1" s="1"/>
  <c r="O9" i="1"/>
  <c r="N9" i="1"/>
  <c r="L9" i="1"/>
  <c r="J9" i="1"/>
  <c r="J8" i="1" s="1"/>
  <c r="I9" i="1"/>
  <c r="I8" i="1" s="1"/>
  <c r="H9" i="1"/>
  <c r="G9" i="1"/>
  <c r="G8" i="1" s="1"/>
  <c r="H8" i="1"/>
  <c r="U7" i="1"/>
  <c r="Q7" i="1"/>
  <c r="P7" i="1"/>
  <c r="O7" i="1"/>
  <c r="N7" i="1"/>
  <c r="M7" i="1"/>
  <c r="L7" i="1"/>
  <c r="K7" i="1"/>
  <c r="J7" i="1"/>
  <c r="I7" i="1"/>
  <c r="H7" i="1"/>
  <c r="H5" i="1" s="1"/>
  <c r="F7" i="1"/>
  <c r="P6" i="1"/>
  <c r="M6" i="1"/>
  <c r="L6" i="1"/>
  <c r="I6" i="1"/>
  <c r="I5" i="1" s="1"/>
  <c r="H6" i="1"/>
  <c r="G6" i="1"/>
  <c r="P5" i="1"/>
  <c r="M5" i="1"/>
  <c r="C10" i="5" l="1"/>
  <c r="G15" i="2" s="1"/>
  <c r="G15" i="1" s="1"/>
  <c r="C23" i="5"/>
  <c r="G109" i="2" s="1"/>
  <c r="G109" i="1" s="1"/>
  <c r="O42" i="2"/>
  <c r="F21" i="8"/>
  <c r="N21" i="8" s="1"/>
  <c r="G10" i="5"/>
  <c r="K15" i="2" s="1"/>
  <c r="K15" i="1" s="1"/>
  <c r="U21" i="1"/>
  <c r="I23" i="5"/>
  <c r="M109" i="2" s="1"/>
  <c r="M109" i="1" s="1"/>
  <c r="I10" i="5"/>
  <c r="M15" i="2" s="1"/>
  <c r="M15" i="1" s="1"/>
  <c r="R22" i="1"/>
  <c r="U22" i="1"/>
  <c r="D10" i="5"/>
  <c r="H15" i="2" s="1"/>
  <c r="H15" i="1" s="1"/>
  <c r="D23" i="5"/>
  <c r="H109" i="2" s="1"/>
  <c r="H109" i="1" s="1"/>
  <c r="U44" i="2"/>
  <c r="L44" i="1"/>
  <c r="K21" i="1"/>
  <c r="K32" i="2"/>
  <c r="K32" i="1" s="1"/>
  <c r="J11" i="7"/>
  <c r="P32" i="2"/>
  <c r="P32" i="1" s="1"/>
  <c r="N40" i="8"/>
  <c r="F25" i="8"/>
  <c r="J44" i="2" s="1"/>
  <c r="J44" i="1" s="1"/>
  <c r="N44" i="1"/>
  <c r="N42" i="1" s="1"/>
  <c r="J77" i="2"/>
  <c r="T22" i="2"/>
  <c r="F44" i="1"/>
  <c r="R25" i="1"/>
  <c r="T17" i="1"/>
  <c r="T20" i="1"/>
  <c r="V20" i="1" s="1"/>
  <c r="U25" i="1"/>
  <c r="F5" i="5"/>
  <c r="J6" i="2" s="1"/>
  <c r="F60" i="5"/>
  <c r="J38" i="2" s="1"/>
  <c r="I7" i="5"/>
  <c r="M9" i="2" s="1"/>
  <c r="I60" i="5"/>
  <c r="M38" i="2" s="1"/>
  <c r="R63" i="1"/>
  <c r="J77" i="1"/>
  <c r="V95" i="1"/>
  <c r="V65" i="1"/>
  <c r="P107" i="2"/>
  <c r="P107" i="1" s="1"/>
  <c r="P112" i="2"/>
  <c r="P112" i="1" s="1"/>
  <c r="P31" i="2"/>
  <c r="P31" i="1" s="1"/>
  <c r="P39" i="2"/>
  <c r="P39" i="1" s="1"/>
  <c r="P59" i="2"/>
  <c r="P35" i="2"/>
  <c r="P35" i="1" s="1"/>
  <c r="T50" i="2"/>
  <c r="L17" i="1"/>
  <c r="U58" i="2"/>
  <c r="L58" i="1"/>
  <c r="L8" i="1"/>
  <c r="P17" i="1"/>
  <c r="T28" i="1"/>
  <c r="V28" i="1" s="1"/>
  <c r="R28" i="1"/>
  <c r="U71" i="1"/>
  <c r="U80" i="1"/>
  <c r="U98" i="1"/>
  <c r="L11" i="2"/>
  <c r="U11" i="2" s="1"/>
  <c r="L5" i="1"/>
  <c r="U12" i="1"/>
  <c r="L54" i="1"/>
  <c r="V66" i="1"/>
  <c r="R66" i="1"/>
  <c r="U82" i="1"/>
  <c r="U22" i="2"/>
  <c r="T14" i="1"/>
  <c r="V14" i="1" s="1"/>
  <c r="T16" i="1"/>
  <c r="V16" i="1" s="1"/>
  <c r="R16" i="1"/>
  <c r="T18" i="1"/>
  <c r="U18" i="1"/>
  <c r="F23" i="1"/>
  <c r="U47" i="1"/>
  <c r="V47" i="1" s="1"/>
  <c r="T51" i="1"/>
  <c r="V51" i="1" s="1"/>
  <c r="F50" i="1"/>
  <c r="R51" i="1"/>
  <c r="R50" i="1" s="1"/>
  <c r="T64" i="1"/>
  <c r="V64" i="1" s="1"/>
  <c r="R67" i="1"/>
  <c r="U94" i="1"/>
  <c r="H17" i="2"/>
  <c r="T7" i="2"/>
  <c r="G5" i="2"/>
  <c r="T19" i="1"/>
  <c r="V19" i="1" s="1"/>
  <c r="R20" i="1"/>
  <c r="G23" i="1"/>
  <c r="T25" i="1"/>
  <c r="R79" i="1"/>
  <c r="V92" i="1"/>
  <c r="F11" i="2"/>
  <c r="F13" i="1"/>
  <c r="R13" i="2"/>
  <c r="V74" i="1"/>
  <c r="V70" i="1"/>
  <c r="R70" i="1"/>
  <c r="G11" i="2"/>
  <c r="G13" i="1"/>
  <c r="G11" i="1" s="1"/>
  <c r="T13" i="2"/>
  <c r="V13" i="2" s="1"/>
  <c r="I112" i="2"/>
  <c r="I112" i="1" s="1"/>
  <c r="I107" i="2"/>
  <c r="I107" i="1" s="1"/>
  <c r="I59" i="2"/>
  <c r="I59" i="1" s="1"/>
  <c r="I35" i="2"/>
  <c r="I35" i="1" s="1"/>
  <c r="I31" i="2"/>
  <c r="I31" i="1" s="1"/>
  <c r="I39" i="2"/>
  <c r="I39" i="1" s="1"/>
  <c r="T16" i="2"/>
  <c r="H17" i="1"/>
  <c r="R26" i="1"/>
  <c r="Q77" i="1"/>
  <c r="U88" i="1"/>
  <c r="R114" i="1"/>
  <c r="K9" i="1"/>
  <c r="K8" i="1" s="1"/>
  <c r="K8" i="2"/>
  <c r="R14" i="2"/>
  <c r="T10" i="1"/>
  <c r="H20" i="1"/>
  <c r="T22" i="1"/>
  <c r="P93" i="1"/>
  <c r="O5" i="2"/>
  <c r="O6" i="1"/>
  <c r="O5" i="1" s="1"/>
  <c r="V14" i="2"/>
  <c r="R17" i="2"/>
  <c r="R7" i="1"/>
  <c r="L13" i="1"/>
  <c r="L23" i="1"/>
  <c r="U23" i="1" s="1"/>
  <c r="V68" i="1"/>
  <c r="T75" i="1"/>
  <c r="V75" i="1" s="1"/>
  <c r="R75" i="1"/>
  <c r="T84" i="1"/>
  <c r="V84" i="1" s="1"/>
  <c r="R84" i="1"/>
  <c r="U77" i="1"/>
  <c r="G5" i="1"/>
  <c r="G7" i="1"/>
  <c r="T7" i="1" s="1"/>
  <c r="V7" i="1" s="1"/>
  <c r="U16" i="1"/>
  <c r="P42" i="1"/>
  <c r="R47" i="1"/>
  <c r="R56" i="1"/>
  <c r="U67" i="1"/>
  <c r="T71" i="1"/>
  <c r="T80" i="1"/>
  <c r="V80" i="1" s="1"/>
  <c r="U85" i="1"/>
  <c r="V96" i="1"/>
  <c r="R96" i="1"/>
  <c r="R68" i="1"/>
  <c r="T82" i="1"/>
  <c r="R82" i="1"/>
  <c r="K93" i="1"/>
  <c r="T93" i="1" s="1"/>
  <c r="U99" i="1"/>
  <c r="T102" i="1"/>
  <c r="V102" i="1" s="1"/>
  <c r="R102" i="1"/>
  <c r="J107" i="2"/>
  <c r="J107" i="1" s="1"/>
  <c r="J112" i="2"/>
  <c r="J112" i="1" s="1"/>
  <c r="J59" i="2"/>
  <c r="J59" i="1" s="1"/>
  <c r="J35" i="2"/>
  <c r="J35" i="1" s="1"/>
  <c r="J31" i="2"/>
  <c r="J31" i="1" s="1"/>
  <c r="R22" i="2"/>
  <c r="R64" i="1"/>
  <c r="T88" i="1"/>
  <c r="V88" i="1" s="1"/>
  <c r="R88" i="1"/>
  <c r="U91" i="1"/>
  <c r="T97" i="1"/>
  <c r="V97" i="1" s="1"/>
  <c r="R97" i="1"/>
  <c r="I106" i="2"/>
  <c r="I111" i="2"/>
  <c r="I38" i="2"/>
  <c r="I34" i="2"/>
  <c r="I30" i="2"/>
  <c r="U10" i="2"/>
  <c r="K108" i="2"/>
  <c r="K108" i="1" s="1"/>
  <c r="K113" i="2"/>
  <c r="K113" i="1" s="1"/>
  <c r="K40" i="2"/>
  <c r="K40" i="1" s="1"/>
  <c r="K60" i="2"/>
  <c r="K60" i="1" s="1"/>
  <c r="K36" i="2"/>
  <c r="K36" i="1" s="1"/>
  <c r="J12" i="1"/>
  <c r="J11" i="1" s="1"/>
  <c r="R14" i="1"/>
  <c r="R18" i="1"/>
  <c r="T55" i="1"/>
  <c r="V55" i="1" s="1"/>
  <c r="R55" i="1"/>
  <c r="U62" i="1"/>
  <c r="V62" i="1" s="1"/>
  <c r="R74" i="1"/>
  <c r="L93" i="1"/>
  <c r="T100" i="1"/>
  <c r="V100" i="1" s="1"/>
  <c r="R100" i="1"/>
  <c r="T103" i="1"/>
  <c r="V103" i="1" s="1"/>
  <c r="R103" i="1"/>
  <c r="Q11" i="2"/>
  <c r="L107" i="2"/>
  <c r="L112" i="2"/>
  <c r="L35" i="2"/>
  <c r="L31" i="2"/>
  <c r="L59" i="2"/>
  <c r="U16" i="2"/>
  <c r="Q17" i="2"/>
  <c r="N17" i="2"/>
  <c r="U18" i="2"/>
  <c r="V18" i="2" s="1"/>
  <c r="L17" i="2"/>
  <c r="F23" i="2"/>
  <c r="J39" i="2"/>
  <c r="J39" i="1" s="1"/>
  <c r="O10" i="1"/>
  <c r="T78" i="1"/>
  <c r="V78" i="1" s="1"/>
  <c r="F77" i="1"/>
  <c r="R78" i="1"/>
  <c r="T83" i="1"/>
  <c r="V83" i="1" s="1"/>
  <c r="U86" i="1"/>
  <c r="V86" i="1" s="1"/>
  <c r="N93" i="1"/>
  <c r="U95" i="1"/>
  <c r="U14" i="2"/>
  <c r="O17" i="2"/>
  <c r="M17" i="2"/>
  <c r="U20" i="2"/>
  <c r="V20" i="2" s="1"/>
  <c r="L39" i="2"/>
  <c r="H38" i="2"/>
  <c r="U7" i="2"/>
  <c r="P113" i="2"/>
  <c r="P113" i="1" s="1"/>
  <c r="P108" i="2"/>
  <c r="P108" i="1" s="1"/>
  <c r="P40" i="2"/>
  <c r="P40" i="1" s="1"/>
  <c r="P60" i="2"/>
  <c r="P60" i="1" s="1"/>
  <c r="P36" i="2"/>
  <c r="P36" i="1" s="1"/>
  <c r="T91" i="1"/>
  <c r="R91" i="1"/>
  <c r="T94" i="1"/>
  <c r="V94" i="1" s="1"/>
  <c r="R94" i="1"/>
  <c r="R93" i="1" s="1"/>
  <c r="U97" i="1"/>
  <c r="T10" i="2"/>
  <c r="V10" i="2" s="1"/>
  <c r="R10" i="2"/>
  <c r="T12" i="2"/>
  <c r="V12" i="2" s="1"/>
  <c r="R53" i="1"/>
  <c r="R71" i="1"/>
  <c r="R80" i="1"/>
  <c r="U51" i="1"/>
  <c r="U55" i="1"/>
  <c r="R62" i="1"/>
  <c r="U74" i="1"/>
  <c r="R92" i="1"/>
  <c r="U19" i="2"/>
  <c r="T24" i="2"/>
  <c r="V24" i="2" s="1"/>
  <c r="G23" i="2"/>
  <c r="G113" i="2" s="1"/>
  <c r="G113" i="1" s="1"/>
  <c r="Q23" i="2"/>
  <c r="U23" i="2" s="1"/>
  <c r="Q25" i="1"/>
  <c r="Q23" i="1" s="1"/>
  <c r="R86" i="1"/>
  <c r="R95" i="1"/>
  <c r="R20" i="2"/>
  <c r="V25" i="2"/>
  <c r="R25" i="2"/>
  <c r="Q42" i="2"/>
  <c r="U43" i="2"/>
  <c r="T67" i="1"/>
  <c r="V67" i="1" s="1"/>
  <c r="Q43" i="1"/>
  <c r="T72" i="1"/>
  <c r="V72" i="1" s="1"/>
  <c r="R72" i="1"/>
  <c r="M77" i="1"/>
  <c r="R7" i="2"/>
  <c r="H11" i="2"/>
  <c r="H106" i="2" s="1"/>
  <c r="K11" i="2"/>
  <c r="K12" i="1"/>
  <c r="K11" i="1" s="1"/>
  <c r="H112" i="2"/>
  <c r="H112" i="1" s="1"/>
  <c r="H107" i="2"/>
  <c r="H107" i="1" s="1"/>
  <c r="H39" i="2"/>
  <c r="H39" i="1" s="1"/>
  <c r="H59" i="2"/>
  <c r="H59" i="1" s="1"/>
  <c r="H35" i="2"/>
  <c r="H35" i="1" s="1"/>
  <c r="H31" i="2"/>
  <c r="H31" i="1" s="1"/>
  <c r="F108" i="2"/>
  <c r="F113" i="2"/>
  <c r="F60" i="2"/>
  <c r="F36" i="2"/>
  <c r="F32" i="2"/>
  <c r="F40" i="2"/>
  <c r="I24" i="1"/>
  <c r="I23" i="1" s="1"/>
  <c r="I23" i="2"/>
  <c r="I36" i="2" s="1"/>
  <c r="I36" i="1" s="1"/>
  <c r="T28" i="2"/>
  <c r="V28" i="2" s="1"/>
  <c r="R28" i="2"/>
  <c r="R26" i="2"/>
  <c r="R47" i="2"/>
  <c r="V55" i="2"/>
  <c r="R55" i="2"/>
  <c r="T66" i="2"/>
  <c r="V66" i="2" s="1"/>
  <c r="T43" i="1"/>
  <c r="T69" i="1"/>
  <c r="V69" i="1" s="1"/>
  <c r="R69" i="1"/>
  <c r="T81" i="1"/>
  <c r="V81" i="1" s="1"/>
  <c r="R81" i="1"/>
  <c r="T85" i="1"/>
  <c r="R85" i="1"/>
  <c r="R89" i="1"/>
  <c r="U12" i="2"/>
  <c r="G112" i="2"/>
  <c r="G112" i="1" s="1"/>
  <c r="G107" i="2"/>
  <c r="G107" i="1" s="1"/>
  <c r="G59" i="2"/>
  <c r="G59" i="1" s="1"/>
  <c r="G35" i="2"/>
  <c r="G35" i="1" s="1"/>
  <c r="G31" i="2"/>
  <c r="G31" i="1" s="1"/>
  <c r="G60" i="2"/>
  <c r="G60" i="1" s="1"/>
  <c r="G32" i="2"/>
  <c r="G32" i="1" s="1"/>
  <c r="U21" i="2"/>
  <c r="M93" i="1"/>
  <c r="I108" i="2"/>
  <c r="I108" i="1" s="1"/>
  <c r="I113" i="2"/>
  <c r="I113" i="1" s="1"/>
  <c r="I32" i="2"/>
  <c r="I32" i="1" s="1"/>
  <c r="I40" i="2"/>
  <c r="I40" i="1" s="1"/>
  <c r="I60" i="2"/>
  <c r="I60" i="1" s="1"/>
  <c r="T31" i="2"/>
  <c r="R83" i="1"/>
  <c r="T87" i="1"/>
  <c r="V87" i="1" s="1"/>
  <c r="R87" i="1"/>
  <c r="T99" i="1"/>
  <c r="V99" i="1" s="1"/>
  <c r="F98" i="1"/>
  <c r="T98" i="1" s="1"/>
  <c r="V98" i="1" s="1"/>
  <c r="R99" i="1"/>
  <c r="R98" i="1" s="1"/>
  <c r="M107" i="2"/>
  <c r="M107" i="1" s="1"/>
  <c r="M112" i="2"/>
  <c r="M112" i="1" s="1"/>
  <c r="M31" i="2"/>
  <c r="M31" i="1" s="1"/>
  <c r="M39" i="2"/>
  <c r="M39" i="1" s="1"/>
  <c r="M59" i="2"/>
  <c r="M59" i="1" s="1"/>
  <c r="V81" i="2"/>
  <c r="V80" i="2"/>
  <c r="O107" i="2"/>
  <c r="O107" i="1" s="1"/>
  <c r="O112" i="2"/>
  <c r="O112" i="1" s="1"/>
  <c r="O39" i="2"/>
  <c r="O39" i="1" s="1"/>
  <c r="O59" i="2"/>
  <c r="O35" i="2"/>
  <c r="O35" i="1" s="1"/>
  <c r="T19" i="2"/>
  <c r="R19" i="2"/>
  <c r="O31" i="2"/>
  <c r="O31" i="1" s="1"/>
  <c r="P42" i="2"/>
  <c r="T63" i="2"/>
  <c r="V63" i="2" s="1"/>
  <c r="R65" i="2"/>
  <c r="R66" i="2"/>
  <c r="R69" i="2"/>
  <c r="V82" i="2"/>
  <c r="T84" i="2"/>
  <c r="V84" i="2" s="1"/>
  <c r="V85" i="2"/>
  <c r="V86" i="2"/>
  <c r="T87" i="2"/>
  <c r="V87" i="2" s="1"/>
  <c r="R12" i="2"/>
  <c r="R11" i="2" s="1"/>
  <c r="Q107" i="2"/>
  <c r="Q107" i="1" s="1"/>
  <c r="Q112" i="2"/>
  <c r="Q112" i="1" s="1"/>
  <c r="Q39" i="2"/>
  <c r="Q39" i="1" s="1"/>
  <c r="Q59" i="2"/>
  <c r="Q35" i="2"/>
  <c r="Q35" i="1" s="1"/>
  <c r="T43" i="2"/>
  <c r="R43" i="2"/>
  <c r="V73" i="2"/>
  <c r="T75" i="2"/>
  <c r="V75" i="2" s="1"/>
  <c r="V88" i="2"/>
  <c r="R91" i="2"/>
  <c r="V92" i="2"/>
  <c r="T93" i="2"/>
  <c r="U94" i="2"/>
  <c r="U95" i="2"/>
  <c r="V95" i="2" s="1"/>
  <c r="F107" i="2"/>
  <c r="F112" i="2"/>
  <c r="F39" i="2"/>
  <c r="F59" i="2"/>
  <c r="F35" i="2"/>
  <c r="R16" i="2"/>
  <c r="R24" i="2"/>
  <c r="U26" i="2"/>
  <c r="V26" i="2" s="1"/>
  <c r="V91" i="2"/>
  <c r="U93" i="2"/>
  <c r="U97" i="2"/>
  <c r="V97" i="2" s="1"/>
  <c r="V103" i="2"/>
  <c r="T53" i="2"/>
  <c r="V53" i="2" s="1"/>
  <c r="R53" i="2"/>
  <c r="U65" i="2"/>
  <c r="V65" i="2" s="1"/>
  <c r="U68" i="2"/>
  <c r="V68" i="2" s="1"/>
  <c r="U83" i="2"/>
  <c r="V83" i="2" s="1"/>
  <c r="U71" i="2"/>
  <c r="V71" i="2" s="1"/>
  <c r="U79" i="2"/>
  <c r="V79" i="2" s="1"/>
  <c r="U86" i="2"/>
  <c r="Q93" i="2"/>
  <c r="J8" i="2"/>
  <c r="K107" i="2"/>
  <c r="K107" i="1" s="1"/>
  <c r="K31" i="2"/>
  <c r="K31" i="1" s="1"/>
  <c r="K39" i="2"/>
  <c r="K39" i="1" s="1"/>
  <c r="K35" i="2"/>
  <c r="K35" i="1" s="1"/>
  <c r="V56" i="2"/>
  <c r="U64" i="2"/>
  <c r="V64" i="2" s="1"/>
  <c r="U74" i="2"/>
  <c r="V74" i="2" s="1"/>
  <c r="U82" i="2"/>
  <c r="U88" i="2"/>
  <c r="U89" i="2"/>
  <c r="V89" i="2" s="1"/>
  <c r="T96" i="2"/>
  <c r="V96" i="2" s="1"/>
  <c r="K112" i="2"/>
  <c r="K112" i="1" s="1"/>
  <c r="U67" i="2"/>
  <c r="V67" i="2" s="1"/>
  <c r="Q77" i="2"/>
  <c r="R97" i="2"/>
  <c r="T98" i="2"/>
  <c r="F109" i="1"/>
  <c r="R64" i="2"/>
  <c r="R67" i="2"/>
  <c r="R70" i="2"/>
  <c r="R73" i="2"/>
  <c r="R79" i="2"/>
  <c r="R82" i="2"/>
  <c r="R85" i="2"/>
  <c r="R88" i="2"/>
  <c r="G60" i="5"/>
  <c r="G5" i="5"/>
  <c r="K6" i="2" s="1"/>
  <c r="K60" i="5"/>
  <c r="O38" i="2" s="1"/>
  <c r="T94" i="2"/>
  <c r="E23" i="5"/>
  <c r="I109" i="2" s="1"/>
  <c r="I109" i="1" s="1"/>
  <c r="E10" i="5"/>
  <c r="I15" i="2" s="1"/>
  <c r="H12" i="7"/>
  <c r="L10" i="7"/>
  <c r="K10" i="7"/>
  <c r="J10" i="7"/>
  <c r="I10" i="7"/>
  <c r="H10" i="7"/>
  <c r="G10" i="7"/>
  <c r="F10" i="7"/>
  <c r="E10" i="7"/>
  <c r="D10" i="7"/>
  <c r="C10" i="7"/>
  <c r="N10" i="7"/>
  <c r="M10" i="7"/>
  <c r="G1" i="9"/>
  <c r="K11" i="10"/>
  <c r="N59" i="2"/>
  <c r="T99" i="2"/>
  <c r="L7" i="5"/>
  <c r="P9" i="2" s="1"/>
  <c r="L60" i="5"/>
  <c r="P38" i="2" s="1"/>
  <c r="H61" i="5"/>
  <c r="K4" i="10"/>
  <c r="K7" i="10"/>
  <c r="P346" i="9"/>
  <c r="N11" i="10"/>
  <c r="K17" i="10"/>
  <c r="R51" i="2"/>
  <c r="R50" i="2" s="1"/>
  <c r="F57" i="2"/>
  <c r="R58" i="2"/>
  <c r="V100" i="2"/>
  <c r="J5" i="5"/>
  <c r="N6" i="2" s="1"/>
  <c r="U6" i="2" s="1"/>
  <c r="J60" i="5"/>
  <c r="N38" i="2" s="1"/>
  <c r="J12" i="7"/>
  <c r="K11" i="7"/>
  <c r="L11" i="7"/>
  <c r="K36" i="10"/>
  <c r="K8" i="10"/>
  <c r="N19" i="10"/>
  <c r="N39" i="2"/>
  <c r="N39" i="1" s="1"/>
  <c r="R68" i="2"/>
  <c r="R74" i="2"/>
  <c r="F77" i="2"/>
  <c r="R80" i="2"/>
  <c r="R83" i="2"/>
  <c r="R86" i="2"/>
  <c r="R89" i="2"/>
  <c r="R92" i="2"/>
  <c r="R95" i="2"/>
  <c r="R93" i="2" s="1"/>
  <c r="U102" i="2"/>
  <c r="B7" i="5"/>
  <c r="N39" i="5"/>
  <c r="K12" i="7"/>
  <c r="F35" i="8"/>
  <c r="L50" i="2"/>
  <c r="U103" i="2"/>
  <c r="N8" i="7"/>
  <c r="M8" i="7"/>
  <c r="L8" i="7"/>
  <c r="K8" i="7"/>
  <c r="J8" i="7"/>
  <c r="I8" i="7"/>
  <c r="H8" i="7"/>
  <c r="G8" i="7"/>
  <c r="F8" i="7"/>
  <c r="E8" i="7"/>
  <c r="D8" i="7"/>
  <c r="C8" i="7"/>
  <c r="P90" i="9"/>
  <c r="N16" i="5"/>
  <c r="M5" i="5"/>
  <c r="Q6" i="2" s="1"/>
  <c r="M60" i="5"/>
  <c r="Q38" i="2" s="1"/>
  <c r="M9" i="7"/>
  <c r="L9" i="7"/>
  <c r="K9" i="7"/>
  <c r="J9" i="7"/>
  <c r="I9" i="7"/>
  <c r="H9" i="7"/>
  <c r="G9" i="7"/>
  <c r="F9" i="7"/>
  <c r="E9" i="7"/>
  <c r="D9" i="7"/>
  <c r="C9" i="7"/>
  <c r="N9" i="7"/>
  <c r="K28" i="10"/>
  <c r="U98" i="2"/>
  <c r="B5" i="5"/>
  <c r="N32" i="5"/>
  <c r="C7" i="7"/>
  <c r="N7" i="7"/>
  <c r="M7" i="7"/>
  <c r="L7" i="7"/>
  <c r="K7" i="7"/>
  <c r="J7" i="7"/>
  <c r="I7" i="7"/>
  <c r="H7" i="7"/>
  <c r="G7" i="7"/>
  <c r="F7" i="7"/>
  <c r="E7" i="7"/>
  <c r="D7" i="7"/>
  <c r="N31" i="2"/>
  <c r="N31" i="1" s="1"/>
  <c r="R72" i="2"/>
  <c r="R75" i="2"/>
  <c r="R78" i="2"/>
  <c r="R81" i="2"/>
  <c r="R84" i="2"/>
  <c r="R87" i="2"/>
  <c r="R96" i="2"/>
  <c r="U99" i="2"/>
  <c r="N107" i="2"/>
  <c r="N107" i="1" s="1"/>
  <c r="N33" i="10"/>
  <c r="N8" i="10"/>
  <c r="L77" i="2"/>
  <c r="U77" i="2" s="1"/>
  <c r="T102" i="2"/>
  <c r="V102" i="2" s="1"/>
  <c r="J10" i="5"/>
  <c r="N15" i="2" s="1"/>
  <c r="H60" i="5"/>
  <c r="L38" i="2" s="1"/>
  <c r="N54" i="5"/>
  <c r="K33" i="10"/>
  <c r="P88" i="9"/>
  <c r="P1" i="9" s="1"/>
  <c r="B10" i="5"/>
  <c r="H23" i="5"/>
  <c r="L109" i="2" s="1"/>
  <c r="N30" i="5"/>
  <c r="P177" i="9"/>
  <c r="P176" i="9" s="1"/>
  <c r="P263" i="9"/>
  <c r="P262" i="9" s="1"/>
  <c r="M346" i="9"/>
  <c r="L432" i="9"/>
  <c r="D517" i="9"/>
  <c r="P517" i="9"/>
  <c r="H603" i="9"/>
  <c r="H612" i="9"/>
  <c r="K3" i="10"/>
  <c r="N16" i="10"/>
  <c r="K21" i="10"/>
  <c r="B47" i="5"/>
  <c r="N47" i="5" s="1"/>
  <c r="M11" i="7"/>
  <c r="L12" i="7"/>
  <c r="K2" i="9"/>
  <c r="O88" i="9"/>
  <c r="O1" i="9" s="1"/>
  <c r="G174" i="9"/>
  <c r="G260" i="9"/>
  <c r="M432" i="9"/>
  <c r="M1" i="9" s="1"/>
  <c r="E517" i="9"/>
  <c r="I603" i="9"/>
  <c r="I612" i="9"/>
  <c r="N3" i="10"/>
  <c r="N21" i="10"/>
  <c r="K26" i="10"/>
  <c r="N11" i="7"/>
  <c r="M12" i="7"/>
  <c r="D88" i="9"/>
  <c r="D1" i="9" s="1"/>
  <c r="H174" i="9"/>
  <c r="H1" i="9" s="1"/>
  <c r="H260" i="9"/>
  <c r="O346" i="9"/>
  <c r="N432" i="9"/>
  <c r="F517" i="9"/>
  <c r="J603" i="9"/>
  <c r="J612" i="9"/>
  <c r="P617" i="9"/>
  <c r="P614" i="9" s="1"/>
  <c r="K31" i="10"/>
  <c r="C11" i="7"/>
  <c r="N12" i="7"/>
  <c r="D90" i="9"/>
  <c r="F54" i="2" s="1"/>
  <c r="I174" i="9"/>
  <c r="I1" i="9" s="1"/>
  <c r="I260" i="9"/>
  <c r="O432" i="9"/>
  <c r="G517" i="9"/>
  <c r="K603" i="9"/>
  <c r="K612" i="9"/>
  <c r="N17" i="10"/>
  <c r="K22" i="10"/>
  <c r="K27" i="10"/>
  <c r="N31" i="10"/>
  <c r="K37" i="10"/>
  <c r="F10" i="5"/>
  <c r="J15" i="2" s="1"/>
  <c r="J15" i="1" s="1"/>
  <c r="L23" i="5"/>
  <c r="P109" i="2" s="1"/>
  <c r="P109" i="1" s="1"/>
  <c r="N52" i="5"/>
  <c r="B104" i="5"/>
  <c r="D11" i="7"/>
  <c r="C12" i="7"/>
  <c r="N2" i="9"/>
  <c r="J174" i="9"/>
  <c r="J1" i="9" s="1"/>
  <c r="J260" i="9"/>
  <c r="E346" i="9"/>
  <c r="E1" i="9" s="1"/>
  <c r="D348" i="9"/>
  <c r="F61" i="2" s="1"/>
  <c r="R99" i="2"/>
  <c r="R98" i="2" s="1"/>
  <c r="R102" i="2"/>
  <c r="N22" i="5"/>
  <c r="N37" i="5"/>
  <c r="E11" i="7"/>
  <c r="D12" i="7"/>
  <c r="K174" i="9"/>
  <c r="K260" i="9"/>
  <c r="E432" i="9"/>
  <c r="I517" i="9"/>
  <c r="M603" i="9"/>
  <c r="M612" i="9"/>
  <c r="K9" i="10"/>
  <c r="K14" i="10"/>
  <c r="N32" i="10"/>
  <c r="N24" i="10" s="1"/>
  <c r="K38" i="10"/>
  <c r="F11" i="7"/>
  <c r="E12" i="7"/>
  <c r="B35" i="8"/>
  <c r="L174" i="9"/>
  <c r="L1" i="9" s="1"/>
  <c r="L260" i="9"/>
  <c r="F432" i="9"/>
  <c r="F1" i="9" s="1"/>
  <c r="J517" i="9"/>
  <c r="N603" i="9"/>
  <c r="N612" i="9"/>
  <c r="N9" i="10"/>
  <c r="N14" i="10"/>
  <c r="K23" i="10"/>
  <c r="G11" i="7"/>
  <c r="F12" i="7"/>
  <c r="H346" i="9"/>
  <c r="O603" i="9"/>
  <c r="O612" i="9"/>
  <c r="N5" i="10"/>
  <c r="H11" i="7"/>
  <c r="K90" i="2" s="1"/>
  <c r="R90" i="2" s="1"/>
  <c r="G12" i="7"/>
  <c r="N174" i="9"/>
  <c r="N260" i="9"/>
  <c r="I346" i="9"/>
  <c r="H432" i="9"/>
  <c r="L517" i="9"/>
  <c r="D603" i="9"/>
  <c r="P603" i="9"/>
  <c r="D612" i="9"/>
  <c r="P612" i="9"/>
  <c r="K6" i="10"/>
  <c r="K10" i="10"/>
  <c r="K15" i="10"/>
  <c r="K24" i="10"/>
  <c r="R103" i="2"/>
  <c r="I11" i="7"/>
  <c r="O174" i="9"/>
  <c r="O260" i="9"/>
  <c r="I432" i="9"/>
  <c r="M517" i="9"/>
  <c r="E603" i="9"/>
  <c r="E612" i="9"/>
  <c r="N6" i="10"/>
  <c r="N10" i="10"/>
  <c r="N15" i="10"/>
  <c r="K34" i="10"/>
  <c r="I12" i="7"/>
  <c r="D174" i="9"/>
  <c r="P174" i="9"/>
  <c r="K39" i="10" s="1"/>
  <c r="D260" i="9"/>
  <c r="P260" i="9"/>
  <c r="K346" i="9"/>
  <c r="J432" i="9"/>
  <c r="N517" i="9"/>
  <c r="F603" i="9"/>
  <c r="F612" i="9"/>
  <c r="K20" i="10"/>
  <c r="G603" i="9"/>
  <c r="G57" i="2" l="1"/>
  <c r="G57" i="1" s="1"/>
  <c r="U44" i="1"/>
  <c r="R44" i="2"/>
  <c r="F15" i="5"/>
  <c r="J21" i="2" s="1"/>
  <c r="T21" i="2" s="1"/>
  <c r="V21" i="2" s="1"/>
  <c r="V22" i="1"/>
  <c r="T44" i="2"/>
  <c r="V44" i="2" s="1"/>
  <c r="N13" i="7"/>
  <c r="N25" i="8"/>
  <c r="V22" i="2"/>
  <c r="N35" i="8"/>
  <c r="T44" i="1"/>
  <c r="R44" i="1"/>
  <c r="O9" i="7"/>
  <c r="K13" i="7"/>
  <c r="L13" i="7"/>
  <c r="H4" i="2"/>
  <c r="H4" i="1"/>
  <c r="H106" i="1"/>
  <c r="Q42" i="1"/>
  <c r="U43" i="1"/>
  <c r="G4" i="1"/>
  <c r="N2" i="10"/>
  <c r="U109" i="2"/>
  <c r="L109" i="1"/>
  <c r="U109" i="1" s="1"/>
  <c r="M13" i="7"/>
  <c r="G108" i="2"/>
  <c r="G108" i="1" s="1"/>
  <c r="U31" i="2"/>
  <c r="L31" i="1"/>
  <c r="U31" i="1" s="1"/>
  <c r="V25" i="1"/>
  <c r="O59" i="1"/>
  <c r="N1" i="9"/>
  <c r="N10" i="5"/>
  <c r="F15" i="2"/>
  <c r="I4" i="2"/>
  <c r="I15" i="1"/>
  <c r="I4" i="1" s="1"/>
  <c r="V85" i="1"/>
  <c r="M108" i="2"/>
  <c r="M108" i="1" s="1"/>
  <c r="M113" i="2"/>
  <c r="M113" i="1" s="1"/>
  <c r="M40" i="2"/>
  <c r="M40" i="1" s="1"/>
  <c r="M60" i="2"/>
  <c r="M60" i="1" s="1"/>
  <c r="M36" i="2"/>
  <c r="M36" i="1" s="1"/>
  <c r="M32" i="2"/>
  <c r="M32" i="1" s="1"/>
  <c r="U35" i="2"/>
  <c r="L35" i="1"/>
  <c r="U35" i="1" s="1"/>
  <c r="V71" i="1"/>
  <c r="O4" i="1"/>
  <c r="T13" i="1"/>
  <c r="F11" i="1"/>
  <c r="T11" i="1" s="1"/>
  <c r="R13" i="1"/>
  <c r="T50" i="1"/>
  <c r="V50" i="1" s="1"/>
  <c r="L30" i="2"/>
  <c r="R77" i="2"/>
  <c r="T112" i="2"/>
  <c r="V112" i="2" s="1"/>
  <c r="F112" i="1"/>
  <c r="R112" i="2"/>
  <c r="R107" i="2"/>
  <c r="T107" i="2"/>
  <c r="F107" i="1"/>
  <c r="O12" i="7"/>
  <c r="K2" i="10"/>
  <c r="O7" i="7"/>
  <c r="C13" i="7"/>
  <c r="F46" i="2" s="1"/>
  <c r="O10" i="7"/>
  <c r="K57" i="2"/>
  <c r="V93" i="2"/>
  <c r="O113" i="2"/>
  <c r="O113" i="1" s="1"/>
  <c r="O60" i="2"/>
  <c r="O60" i="1" s="1"/>
  <c r="O36" i="2"/>
  <c r="O36" i="1" s="1"/>
  <c r="O32" i="2"/>
  <c r="O32" i="1" s="1"/>
  <c r="O108" i="2"/>
  <c r="O108" i="1" s="1"/>
  <c r="O40" i="2"/>
  <c r="O40" i="1" s="1"/>
  <c r="U10" i="1"/>
  <c r="V10" i="1" s="1"/>
  <c r="O8" i="1"/>
  <c r="U112" i="2"/>
  <c r="L112" i="1"/>
  <c r="U112" i="1" s="1"/>
  <c r="O106" i="2"/>
  <c r="O111" i="2"/>
  <c r="O30" i="2"/>
  <c r="O4" i="2"/>
  <c r="O34" i="2"/>
  <c r="T11" i="2"/>
  <c r="V11" i="2" s="1"/>
  <c r="P57" i="2"/>
  <c r="P59" i="1"/>
  <c r="D13" i="7"/>
  <c r="G46" i="2" s="1"/>
  <c r="O8" i="7"/>
  <c r="V94" i="2"/>
  <c r="F40" i="1"/>
  <c r="U107" i="2"/>
  <c r="L107" i="1"/>
  <c r="U107" i="1" s="1"/>
  <c r="L4" i="2"/>
  <c r="N7" i="5"/>
  <c r="F9" i="2"/>
  <c r="V16" i="2"/>
  <c r="N104" i="5"/>
  <c r="F45" i="2"/>
  <c r="E13" i="7"/>
  <c r="H46" i="2" s="1"/>
  <c r="N5" i="5"/>
  <c r="F6" i="2"/>
  <c r="U50" i="2"/>
  <c r="V50" i="2" s="1"/>
  <c r="V43" i="2"/>
  <c r="F32" i="1"/>
  <c r="I29" i="2"/>
  <c r="I30" i="1"/>
  <c r="I29" i="1" s="1"/>
  <c r="T12" i="1"/>
  <c r="V12" i="1" s="1"/>
  <c r="L34" i="2"/>
  <c r="M38" i="1"/>
  <c r="T24" i="1"/>
  <c r="V24" i="1" s="1"/>
  <c r="F13" i="7"/>
  <c r="I46" i="2" s="1"/>
  <c r="N38" i="1"/>
  <c r="R23" i="2"/>
  <c r="T90" i="2"/>
  <c r="V90" i="2" s="1"/>
  <c r="F36" i="1"/>
  <c r="H34" i="2"/>
  <c r="T23" i="2"/>
  <c r="V23" i="2" s="1"/>
  <c r="I33" i="2"/>
  <c r="I34" i="1"/>
  <c r="I33" i="1" s="1"/>
  <c r="T31" i="1"/>
  <c r="V31" i="1" s="1"/>
  <c r="G106" i="2"/>
  <c r="G111" i="2"/>
  <c r="G38" i="2"/>
  <c r="G34" i="2"/>
  <c r="G4" i="2"/>
  <c r="G30" i="2"/>
  <c r="T23" i="1"/>
  <c r="V23" i="1" s="1"/>
  <c r="L106" i="2"/>
  <c r="U58" i="1"/>
  <c r="R58" i="1"/>
  <c r="M8" i="2"/>
  <c r="M9" i="1"/>
  <c r="U9" i="2"/>
  <c r="K30" i="10"/>
  <c r="U59" i="2"/>
  <c r="L59" i="1"/>
  <c r="N13" i="10"/>
  <c r="G13" i="7"/>
  <c r="J46" i="2" s="1"/>
  <c r="N5" i="2"/>
  <c r="N6" i="1"/>
  <c r="P37" i="2"/>
  <c r="P38" i="1"/>
  <c r="P37" i="1" s="1"/>
  <c r="R109" i="2"/>
  <c r="R43" i="1"/>
  <c r="F60" i="1"/>
  <c r="H38" i="1"/>
  <c r="L108" i="2"/>
  <c r="L113" i="2"/>
  <c r="L32" i="2"/>
  <c r="L40" i="2"/>
  <c r="L37" i="2" s="1"/>
  <c r="L60" i="2"/>
  <c r="L57" i="2" s="1"/>
  <c r="L36" i="2"/>
  <c r="U17" i="2"/>
  <c r="R17" i="1"/>
  <c r="I37" i="2"/>
  <c r="I38" i="1"/>
  <c r="I37" i="1" s="1"/>
  <c r="V7" i="2"/>
  <c r="R24" i="1"/>
  <c r="R23" i="1" s="1"/>
  <c r="L111" i="2"/>
  <c r="J119" i="2"/>
  <c r="J38" i="1"/>
  <c r="K77" i="2"/>
  <c r="T77" i="2" s="1"/>
  <c r="V77" i="2" s="1"/>
  <c r="K90" i="1"/>
  <c r="K13" i="10"/>
  <c r="T54" i="2"/>
  <c r="V54" i="2" s="1"/>
  <c r="R54" i="2"/>
  <c r="F54" i="1"/>
  <c r="U38" i="2"/>
  <c r="L38" i="1"/>
  <c r="H13" i="7"/>
  <c r="K46" i="2" s="1"/>
  <c r="P9" i="1"/>
  <c r="P8" i="1" s="1"/>
  <c r="P4" i="1" s="1"/>
  <c r="P8" i="2"/>
  <c r="O38" i="1"/>
  <c r="T109" i="1"/>
  <c r="F52" i="2"/>
  <c r="T35" i="2"/>
  <c r="V35" i="2" s="1"/>
  <c r="R35" i="2"/>
  <c r="F35" i="1"/>
  <c r="Q59" i="1"/>
  <c r="G36" i="2"/>
  <c r="G36" i="1" s="1"/>
  <c r="V43" i="1"/>
  <c r="F113" i="1"/>
  <c r="H30" i="2"/>
  <c r="I110" i="2"/>
  <c r="I111" i="1"/>
  <c r="I110" i="1" s="1"/>
  <c r="V82" i="1"/>
  <c r="U13" i="1"/>
  <c r="L11" i="1"/>
  <c r="U11" i="1" s="1"/>
  <c r="H108" i="2"/>
  <c r="H108" i="1" s="1"/>
  <c r="H113" i="2"/>
  <c r="H113" i="1" s="1"/>
  <c r="H36" i="2"/>
  <c r="H36" i="1" s="1"/>
  <c r="H32" i="2"/>
  <c r="H32" i="1" s="1"/>
  <c r="H60" i="2"/>
  <c r="H60" i="1" s="1"/>
  <c r="H40" i="2"/>
  <c r="H40" i="1" s="1"/>
  <c r="T17" i="2"/>
  <c r="J5" i="2"/>
  <c r="J6" i="1"/>
  <c r="J5" i="1" s="1"/>
  <c r="R12" i="1"/>
  <c r="R11" i="1" s="1"/>
  <c r="Q5" i="2"/>
  <c r="Q6" i="1"/>
  <c r="Q5" i="1" s="1"/>
  <c r="Q4" i="1" s="1"/>
  <c r="U39" i="2"/>
  <c r="L39" i="1"/>
  <c r="U39" i="1" s="1"/>
  <c r="K1" i="9"/>
  <c r="N23" i="5"/>
  <c r="I13" i="7"/>
  <c r="L46" i="2" s="1"/>
  <c r="V99" i="2"/>
  <c r="K6" i="1"/>
  <c r="K5" i="1" s="1"/>
  <c r="K4" i="1" s="1"/>
  <c r="K5" i="2"/>
  <c r="T109" i="2"/>
  <c r="T59" i="2"/>
  <c r="R59" i="2"/>
  <c r="F59" i="1"/>
  <c r="V19" i="2"/>
  <c r="G40" i="2"/>
  <c r="G40" i="1" s="1"/>
  <c r="F108" i="1"/>
  <c r="I57" i="2"/>
  <c r="H111" i="2"/>
  <c r="N108" i="2"/>
  <c r="N108" i="1" s="1"/>
  <c r="N40" i="2"/>
  <c r="N40" i="1" s="1"/>
  <c r="N60" i="2"/>
  <c r="N60" i="1" s="1"/>
  <c r="N36" i="2"/>
  <c r="N36" i="1" s="1"/>
  <c r="N113" i="2"/>
  <c r="N113" i="1" s="1"/>
  <c r="N32" i="2"/>
  <c r="N32" i="1" s="1"/>
  <c r="I105" i="2"/>
  <c r="I106" i="1"/>
  <c r="I105" i="1" s="1"/>
  <c r="V18" i="1"/>
  <c r="U54" i="1"/>
  <c r="U17" i="1"/>
  <c r="V17" i="1" s="1"/>
  <c r="R10" i="1"/>
  <c r="V31" i="2"/>
  <c r="K19" i="10"/>
  <c r="T61" i="2"/>
  <c r="V61" i="2" s="1"/>
  <c r="R61" i="2"/>
  <c r="F61" i="1"/>
  <c r="O11" i="7"/>
  <c r="U15" i="2"/>
  <c r="N15" i="1"/>
  <c r="U15" i="1" s="1"/>
  <c r="J13" i="7"/>
  <c r="Q38" i="1"/>
  <c r="F57" i="1"/>
  <c r="N59" i="1"/>
  <c r="K38" i="2"/>
  <c r="V98" i="2"/>
  <c r="R39" i="2"/>
  <c r="T39" i="2"/>
  <c r="F39" i="1"/>
  <c r="R31" i="2"/>
  <c r="V91" i="1"/>
  <c r="Q113" i="2"/>
  <c r="Q113" i="1" s="1"/>
  <c r="Q108" i="2"/>
  <c r="Q108" i="1" s="1"/>
  <c r="Q60" i="2"/>
  <c r="Q60" i="1" s="1"/>
  <c r="Q36" i="2"/>
  <c r="Q36" i="1" s="1"/>
  <c r="Q32" i="2"/>
  <c r="Q32" i="1" s="1"/>
  <c r="Q40" i="2"/>
  <c r="Q40" i="1" s="1"/>
  <c r="U93" i="1"/>
  <c r="V93" i="1" s="1"/>
  <c r="J108" i="2" l="1"/>
  <c r="J108" i="1" s="1"/>
  <c r="V44" i="1"/>
  <c r="J60" i="2"/>
  <c r="J60" i="1" s="1"/>
  <c r="T60" i="1" s="1"/>
  <c r="G52" i="2"/>
  <c r="G49" i="2" s="1"/>
  <c r="J36" i="2"/>
  <c r="J36" i="1" s="1"/>
  <c r="T36" i="1" s="1"/>
  <c r="J32" i="2"/>
  <c r="J32" i="1" s="1"/>
  <c r="T32" i="1" s="1"/>
  <c r="J113" i="2"/>
  <c r="J113" i="1" s="1"/>
  <c r="R21" i="2"/>
  <c r="N37" i="1"/>
  <c r="N15" i="5"/>
  <c r="J21" i="1"/>
  <c r="J40" i="2"/>
  <c r="R40" i="2" s="1"/>
  <c r="Q57" i="2"/>
  <c r="Q57" i="1" s="1"/>
  <c r="M57" i="2"/>
  <c r="M57" i="1" s="1"/>
  <c r="N37" i="2"/>
  <c r="O13" i="7"/>
  <c r="N57" i="2"/>
  <c r="I27" i="2"/>
  <c r="I41" i="2" s="1"/>
  <c r="I46" i="1"/>
  <c r="I42" i="1" s="1"/>
  <c r="I42" i="2"/>
  <c r="Q37" i="2"/>
  <c r="V109" i="2"/>
  <c r="T35" i="1"/>
  <c r="V35" i="1" s="1"/>
  <c r="R35" i="1"/>
  <c r="H37" i="1"/>
  <c r="N106" i="2"/>
  <c r="N111" i="2"/>
  <c r="N34" i="2"/>
  <c r="N4" i="2"/>
  <c r="N30" i="2"/>
  <c r="U5" i="2"/>
  <c r="M4" i="2"/>
  <c r="M111" i="2"/>
  <c r="U111" i="2" s="1"/>
  <c r="M106" i="2"/>
  <c r="M34" i="2"/>
  <c r="M30" i="2"/>
  <c r="U8" i="2"/>
  <c r="R9" i="2"/>
  <c r="R8" i="2" s="1"/>
  <c r="F8" i="2"/>
  <c r="T8" i="2" s="1"/>
  <c r="F9" i="1"/>
  <c r="T9" i="2"/>
  <c r="V9" i="2" s="1"/>
  <c r="L110" i="2"/>
  <c r="L111" i="1"/>
  <c r="P57" i="1"/>
  <c r="P52" i="2"/>
  <c r="P49" i="2" s="1"/>
  <c r="Q37" i="1"/>
  <c r="H110" i="2"/>
  <c r="H111" i="1"/>
  <c r="H110" i="1" s="1"/>
  <c r="K111" i="2"/>
  <c r="K106" i="2"/>
  <c r="K34" i="2"/>
  <c r="K30" i="2"/>
  <c r="K4" i="2"/>
  <c r="H37" i="2"/>
  <c r="O33" i="2"/>
  <c r="O34" i="1"/>
  <c r="O33" i="1" s="1"/>
  <c r="R107" i="1"/>
  <c r="T107" i="1"/>
  <c r="V107" i="1" s="1"/>
  <c r="V11" i="1"/>
  <c r="O57" i="2"/>
  <c r="J42" i="2"/>
  <c r="J46" i="1"/>
  <c r="J42" i="1" s="1"/>
  <c r="M37" i="1"/>
  <c r="V107" i="2"/>
  <c r="V13" i="1"/>
  <c r="G110" i="2"/>
  <c r="G111" i="1"/>
  <c r="G110" i="1" s="1"/>
  <c r="G105" i="2"/>
  <c r="G106" i="1"/>
  <c r="G105" i="1" s="1"/>
  <c r="Q106" i="2"/>
  <c r="Q111" i="2"/>
  <c r="Q30" i="2"/>
  <c r="Q4" i="2"/>
  <c r="Q34" i="2"/>
  <c r="U38" i="1"/>
  <c r="N5" i="1"/>
  <c r="U6" i="1"/>
  <c r="R39" i="1"/>
  <c r="T39" i="1"/>
  <c r="V39" i="1" s="1"/>
  <c r="T108" i="1"/>
  <c r="L57" i="1"/>
  <c r="L52" i="2"/>
  <c r="F49" i="2"/>
  <c r="L105" i="2"/>
  <c r="L106" i="1"/>
  <c r="H33" i="2"/>
  <c r="H34" i="1"/>
  <c r="H33" i="1" s="1"/>
  <c r="M37" i="2"/>
  <c r="O29" i="2"/>
  <c r="O30" i="1"/>
  <c r="O29" i="1" s="1"/>
  <c r="R31" i="1"/>
  <c r="U32" i="2"/>
  <c r="L32" i="1"/>
  <c r="U32" i="1" s="1"/>
  <c r="U108" i="2"/>
  <c r="L108" i="1"/>
  <c r="U108" i="1" s="1"/>
  <c r="M8" i="1"/>
  <c r="U9" i="1"/>
  <c r="I57" i="1"/>
  <c r="I52" i="2"/>
  <c r="I49" i="2" s="1"/>
  <c r="J106" i="2"/>
  <c r="J111" i="2"/>
  <c r="J34" i="2"/>
  <c r="J4" i="2"/>
  <c r="J30" i="2"/>
  <c r="T54" i="1"/>
  <c r="V54" i="1" s="1"/>
  <c r="R54" i="1"/>
  <c r="V39" i="2"/>
  <c r="V17" i="2"/>
  <c r="H29" i="2"/>
  <c r="H30" i="1"/>
  <c r="H29" i="1" s="1"/>
  <c r="V109" i="1"/>
  <c r="U59" i="1"/>
  <c r="R6" i="2"/>
  <c r="R5" i="2" s="1"/>
  <c r="F5" i="2"/>
  <c r="T6" i="2"/>
  <c r="V6" i="2" s="1"/>
  <c r="F6" i="1"/>
  <c r="O110" i="2"/>
  <c r="O111" i="1"/>
  <c r="O110" i="1" s="1"/>
  <c r="H57" i="2"/>
  <c r="U46" i="2"/>
  <c r="L46" i="1"/>
  <c r="L42" i="2"/>
  <c r="U42" i="2" s="1"/>
  <c r="T113" i="1"/>
  <c r="R109" i="1"/>
  <c r="G29" i="2"/>
  <c r="G30" i="1"/>
  <c r="G29" i="1" s="1"/>
  <c r="L33" i="2"/>
  <c r="L34" i="1"/>
  <c r="O105" i="2"/>
  <c r="O106" i="1"/>
  <c r="O105" i="1" s="1"/>
  <c r="R112" i="1"/>
  <c r="T112" i="1"/>
  <c r="V112" i="1" s="1"/>
  <c r="K46" i="1"/>
  <c r="K42" i="1" s="1"/>
  <c r="K42" i="2"/>
  <c r="H46" i="1"/>
  <c r="H42" i="1" s="1"/>
  <c r="H42" i="2"/>
  <c r="T45" i="2"/>
  <c r="V45" i="2" s="1"/>
  <c r="R45" i="2"/>
  <c r="F45" i="1"/>
  <c r="F42" i="2"/>
  <c r="K52" i="2"/>
  <c r="K49" i="2" s="1"/>
  <c r="K57" i="1"/>
  <c r="H105" i="1"/>
  <c r="U113" i="2"/>
  <c r="L113" i="1"/>
  <c r="U113" i="1" s="1"/>
  <c r="T108" i="2"/>
  <c r="T61" i="1"/>
  <c r="V61" i="1" s="1"/>
  <c r="R61" i="1"/>
  <c r="O37" i="1"/>
  <c r="R90" i="1"/>
  <c r="R77" i="1" s="1"/>
  <c r="K77" i="1"/>
  <c r="T77" i="1" s="1"/>
  <c r="V77" i="1" s="1"/>
  <c r="T90" i="1"/>
  <c r="V90" i="1" s="1"/>
  <c r="U36" i="2"/>
  <c r="L36" i="1"/>
  <c r="U36" i="1" s="1"/>
  <c r="L4" i="1"/>
  <c r="K119" i="2"/>
  <c r="K37" i="2"/>
  <c r="K38" i="1"/>
  <c r="K37" i="1" s="1"/>
  <c r="R113" i="2"/>
  <c r="O37" i="2"/>
  <c r="U60" i="2"/>
  <c r="L60" i="1"/>
  <c r="U60" i="1" s="1"/>
  <c r="G33" i="2"/>
  <c r="G34" i="1"/>
  <c r="G33" i="1" s="1"/>
  <c r="T59" i="1"/>
  <c r="R59" i="1"/>
  <c r="P4" i="2"/>
  <c r="P111" i="2"/>
  <c r="P34" i="2"/>
  <c r="P30" i="2"/>
  <c r="P106" i="2"/>
  <c r="U40" i="2"/>
  <c r="L40" i="1"/>
  <c r="U40" i="1" s="1"/>
  <c r="G37" i="2"/>
  <c r="G38" i="1"/>
  <c r="G37" i="1" s="1"/>
  <c r="I27" i="1"/>
  <c r="I41" i="1" s="1"/>
  <c r="I48" i="1" s="1"/>
  <c r="R15" i="2"/>
  <c r="T15" i="2"/>
  <c r="V15" i="2" s="1"/>
  <c r="F15" i="1"/>
  <c r="H105" i="2"/>
  <c r="G42" i="2"/>
  <c r="G46" i="1"/>
  <c r="G42" i="1" s="1"/>
  <c r="T46" i="2"/>
  <c r="R46" i="2"/>
  <c r="F46" i="1"/>
  <c r="L29" i="2"/>
  <c r="L30" i="1"/>
  <c r="M52" i="2" l="1"/>
  <c r="M49" i="2" s="1"/>
  <c r="R108" i="2"/>
  <c r="J57" i="2"/>
  <c r="J52" i="2" s="1"/>
  <c r="J49" i="2" s="1"/>
  <c r="T40" i="2"/>
  <c r="R60" i="2"/>
  <c r="R57" i="2" s="1"/>
  <c r="R52" i="2" s="1"/>
  <c r="R49" i="2" s="1"/>
  <c r="T60" i="2"/>
  <c r="T113" i="2"/>
  <c r="V113" i="2" s="1"/>
  <c r="T36" i="2"/>
  <c r="R32" i="2"/>
  <c r="Q52" i="2"/>
  <c r="Q49" i="2" s="1"/>
  <c r="U57" i="2"/>
  <c r="J57" i="1"/>
  <c r="R36" i="2"/>
  <c r="R60" i="1"/>
  <c r="R57" i="1" s="1"/>
  <c r="V108" i="2"/>
  <c r="T32" i="2"/>
  <c r="N52" i="2"/>
  <c r="N49" i="2" s="1"/>
  <c r="V36" i="2"/>
  <c r="J40" i="1"/>
  <c r="J37" i="2"/>
  <c r="I48" i="2"/>
  <c r="T21" i="1"/>
  <c r="V21" i="1" s="1"/>
  <c r="R21" i="1"/>
  <c r="V32" i="2"/>
  <c r="N57" i="1"/>
  <c r="J4" i="1"/>
  <c r="U4" i="2"/>
  <c r="O27" i="1"/>
  <c r="O41" i="1" s="1"/>
  <c r="O48" i="1" s="1"/>
  <c r="R42" i="2"/>
  <c r="R4" i="2"/>
  <c r="U37" i="2"/>
  <c r="V113" i="1"/>
  <c r="R36" i="1"/>
  <c r="I101" i="2"/>
  <c r="I104" i="2" s="1"/>
  <c r="I115" i="2" s="1"/>
  <c r="I76" i="1" s="1"/>
  <c r="I52" i="1" s="1"/>
  <c r="I49" i="1" s="1"/>
  <c r="I101" i="1" s="1"/>
  <c r="I104" i="1" s="1"/>
  <c r="I115" i="1" s="1"/>
  <c r="V36" i="1"/>
  <c r="L37" i="1"/>
  <c r="U37" i="1" s="1"/>
  <c r="R113" i="1"/>
  <c r="N105" i="2"/>
  <c r="N106" i="1"/>
  <c r="N105" i="1" s="1"/>
  <c r="P29" i="2"/>
  <c r="P30" i="1"/>
  <c r="P29" i="1" s="1"/>
  <c r="M4" i="1"/>
  <c r="U8" i="1"/>
  <c r="Q33" i="2"/>
  <c r="Q34" i="1"/>
  <c r="Q33" i="1" s="1"/>
  <c r="P110" i="2"/>
  <c r="P111" i="1"/>
  <c r="P110" i="1" s="1"/>
  <c r="V108" i="1"/>
  <c r="L110" i="1"/>
  <c r="M30" i="1"/>
  <c r="M29" i="1" s="1"/>
  <c r="M29" i="2"/>
  <c r="P105" i="2"/>
  <c r="P106" i="1"/>
  <c r="P105" i="1" s="1"/>
  <c r="F111" i="2"/>
  <c r="F30" i="2"/>
  <c r="F106" i="2"/>
  <c r="F38" i="2"/>
  <c r="F34" i="2"/>
  <c r="F4" i="2"/>
  <c r="T5" i="2"/>
  <c r="V5" i="2" s="1"/>
  <c r="T42" i="2"/>
  <c r="V42" i="2" s="1"/>
  <c r="T15" i="1"/>
  <c r="V15" i="1" s="1"/>
  <c r="R15" i="1"/>
  <c r="R45" i="1"/>
  <c r="F42" i="1"/>
  <c r="T42" i="1" s="1"/>
  <c r="T45" i="1"/>
  <c r="V45" i="1" s="1"/>
  <c r="V40" i="2"/>
  <c r="U46" i="1"/>
  <c r="L42" i="1"/>
  <c r="U42" i="1" s="1"/>
  <c r="R108" i="1"/>
  <c r="Q29" i="2"/>
  <c r="Q30" i="1"/>
  <c r="Q29" i="1" s="1"/>
  <c r="M33" i="2"/>
  <c r="M34" i="1"/>
  <c r="M33" i="1" s="1"/>
  <c r="N33" i="2"/>
  <c r="N34" i="1"/>
  <c r="N33" i="1" s="1"/>
  <c r="U34" i="1"/>
  <c r="L33" i="1"/>
  <c r="J29" i="2"/>
  <c r="J30" i="1"/>
  <c r="J29" i="1" s="1"/>
  <c r="Q110" i="2"/>
  <c r="Q111" i="1"/>
  <c r="Q110" i="1" s="1"/>
  <c r="M105" i="2"/>
  <c r="M106" i="1"/>
  <c r="M105" i="1" s="1"/>
  <c r="M110" i="2"/>
  <c r="M111" i="1"/>
  <c r="M110" i="1" s="1"/>
  <c r="L29" i="1"/>
  <c r="K29" i="2"/>
  <c r="K30" i="1"/>
  <c r="K29" i="1" s="1"/>
  <c r="U34" i="2"/>
  <c r="H27" i="1"/>
  <c r="H41" i="1" s="1"/>
  <c r="H48" i="1" s="1"/>
  <c r="J33" i="2"/>
  <c r="J34" i="1"/>
  <c r="J33" i="1" s="1"/>
  <c r="U106" i="2"/>
  <c r="R32" i="1"/>
  <c r="K33" i="2"/>
  <c r="K34" i="1"/>
  <c r="K33" i="1" s="1"/>
  <c r="T9" i="1"/>
  <c r="V9" i="1" s="1"/>
  <c r="R9" i="1"/>
  <c r="R8" i="1" s="1"/>
  <c r="F8" i="1"/>
  <c r="T8" i="1" s="1"/>
  <c r="O27" i="2"/>
  <c r="O41" i="2" s="1"/>
  <c r="O48" i="2" s="1"/>
  <c r="P33" i="2"/>
  <c r="P34" i="1"/>
  <c r="P33" i="1" s="1"/>
  <c r="H52" i="2"/>
  <c r="H57" i="1"/>
  <c r="T57" i="2"/>
  <c r="V57" i="2" s="1"/>
  <c r="L105" i="1"/>
  <c r="J110" i="2"/>
  <c r="J111" i="1"/>
  <c r="J110" i="1" s="1"/>
  <c r="V32" i="1"/>
  <c r="O57" i="1"/>
  <c r="O52" i="2"/>
  <c r="O49" i="2" s="1"/>
  <c r="K105" i="2"/>
  <c r="K106" i="1"/>
  <c r="K105" i="1" s="1"/>
  <c r="V8" i="2"/>
  <c r="L49" i="2"/>
  <c r="Q105" i="2"/>
  <c r="Q106" i="1"/>
  <c r="Q105" i="1" s="1"/>
  <c r="U30" i="2"/>
  <c r="T46" i="1"/>
  <c r="R46" i="1"/>
  <c r="J105" i="2"/>
  <c r="J106" i="1"/>
  <c r="J105" i="1" s="1"/>
  <c r="N4" i="1"/>
  <c r="U5" i="1"/>
  <c r="K110" i="2"/>
  <c r="K111" i="1"/>
  <c r="K110" i="1" s="1"/>
  <c r="N29" i="2"/>
  <c r="N30" i="1"/>
  <c r="N29" i="1" s="1"/>
  <c r="N110" i="2"/>
  <c r="N111" i="1"/>
  <c r="N110" i="1" s="1"/>
  <c r="L27" i="2"/>
  <c r="H27" i="2"/>
  <c r="H41" i="2" s="1"/>
  <c r="H48" i="2" s="1"/>
  <c r="G27" i="1"/>
  <c r="G41" i="1" s="1"/>
  <c r="G48" i="1" s="1"/>
  <c r="V46" i="2"/>
  <c r="G27" i="2"/>
  <c r="G41" i="2" s="1"/>
  <c r="G48" i="2" s="1"/>
  <c r="G101" i="2" s="1"/>
  <c r="G104" i="2" s="1"/>
  <c r="G115" i="2" s="1"/>
  <c r="G76" i="1" s="1"/>
  <c r="G52" i="1" s="1"/>
  <c r="G49" i="1" s="1"/>
  <c r="T6" i="1"/>
  <c r="V6" i="1" s="1"/>
  <c r="R6" i="1"/>
  <c r="R5" i="1" s="1"/>
  <c r="F5" i="1"/>
  <c r="U110" i="2" l="1"/>
  <c r="Q27" i="1"/>
  <c r="Q41" i="1" s="1"/>
  <c r="Q48" i="1" s="1"/>
  <c r="U52" i="2"/>
  <c r="R40" i="1"/>
  <c r="T40" i="1"/>
  <c r="V40" i="1" s="1"/>
  <c r="J37" i="1"/>
  <c r="J27" i="1" s="1"/>
  <c r="J41" i="1" s="1"/>
  <c r="J48" i="1" s="1"/>
  <c r="U33" i="2"/>
  <c r="N27" i="1"/>
  <c r="N41" i="1" s="1"/>
  <c r="N48" i="1" s="1"/>
  <c r="N27" i="2"/>
  <c r="N41" i="2" s="1"/>
  <c r="N48" i="2" s="1"/>
  <c r="N101" i="2" s="1"/>
  <c r="N104" i="2" s="1"/>
  <c r="N115" i="2" s="1"/>
  <c r="N76" i="1" s="1"/>
  <c r="N52" i="1" s="1"/>
  <c r="N49" i="1" s="1"/>
  <c r="U49" i="2"/>
  <c r="U105" i="2"/>
  <c r="Q27" i="2"/>
  <c r="Q41" i="2" s="1"/>
  <c r="Q48" i="2" s="1"/>
  <c r="Q101" i="2" s="1"/>
  <c r="Q104" i="2" s="1"/>
  <c r="Q115" i="2" s="1"/>
  <c r="Q76" i="1" s="1"/>
  <c r="Q52" i="1" s="1"/>
  <c r="Q49" i="1" s="1"/>
  <c r="Q101" i="1" s="1"/>
  <c r="Q104" i="1" s="1"/>
  <c r="Q115" i="1" s="1"/>
  <c r="M27" i="1"/>
  <c r="M41" i="1" s="1"/>
  <c r="M48" i="1" s="1"/>
  <c r="O101" i="2"/>
  <c r="O104" i="2" s="1"/>
  <c r="O115" i="2" s="1"/>
  <c r="O76" i="1" s="1"/>
  <c r="O52" i="1" s="1"/>
  <c r="O49" i="1" s="1"/>
  <c r="O101" i="1" s="1"/>
  <c r="O104" i="1" s="1"/>
  <c r="O115" i="1" s="1"/>
  <c r="K27" i="1"/>
  <c r="K41" i="1" s="1"/>
  <c r="K48" i="1" s="1"/>
  <c r="U33" i="1"/>
  <c r="K27" i="2"/>
  <c r="K41" i="2" s="1"/>
  <c r="K48" i="2" s="1"/>
  <c r="K101" i="2" s="1"/>
  <c r="K104" i="2" s="1"/>
  <c r="K115" i="2" s="1"/>
  <c r="K76" i="1" s="1"/>
  <c r="K52" i="1" s="1"/>
  <c r="K49" i="1" s="1"/>
  <c r="K101" i="1" s="1"/>
  <c r="K104" i="1" s="1"/>
  <c r="K115" i="1" s="1"/>
  <c r="P27" i="1"/>
  <c r="P41" i="1" s="1"/>
  <c r="P48" i="1" s="1"/>
  <c r="V46" i="1"/>
  <c r="U111" i="1"/>
  <c r="T5" i="1"/>
  <c r="V5" i="1" s="1"/>
  <c r="F4" i="1"/>
  <c r="U110" i="1"/>
  <c r="P27" i="2"/>
  <c r="P41" i="2" s="1"/>
  <c r="P48" i="2" s="1"/>
  <c r="P101" i="2" s="1"/>
  <c r="P104" i="2" s="1"/>
  <c r="P115" i="2" s="1"/>
  <c r="P76" i="1" s="1"/>
  <c r="P52" i="1" s="1"/>
  <c r="P49" i="1" s="1"/>
  <c r="L41" i="2"/>
  <c r="T4" i="2"/>
  <c r="V4" i="2" s="1"/>
  <c r="M27" i="2"/>
  <c r="M41" i="2" s="1"/>
  <c r="M48" i="2" s="1"/>
  <c r="M101" i="2" s="1"/>
  <c r="M104" i="2" s="1"/>
  <c r="M115" i="2" s="1"/>
  <c r="M76" i="1" s="1"/>
  <c r="M52" i="1" s="1"/>
  <c r="M49" i="1" s="1"/>
  <c r="U29" i="2"/>
  <c r="V8" i="1"/>
  <c r="U106" i="1"/>
  <c r="U4" i="1"/>
  <c r="J27" i="2"/>
  <c r="J41" i="2" s="1"/>
  <c r="J48" i="2" s="1"/>
  <c r="J101" i="2" s="1"/>
  <c r="J104" i="2" s="1"/>
  <c r="J115" i="2" s="1"/>
  <c r="J76" i="1" s="1"/>
  <c r="J52" i="1" s="1"/>
  <c r="J49" i="1" s="1"/>
  <c r="F33" i="2"/>
  <c r="T33" i="2" s="1"/>
  <c r="T34" i="2"/>
  <c r="V34" i="2" s="1"/>
  <c r="R34" i="2"/>
  <c r="R33" i="2" s="1"/>
  <c r="F34" i="1"/>
  <c r="T38" i="2"/>
  <c r="V38" i="2" s="1"/>
  <c r="R38" i="2"/>
  <c r="R37" i="2" s="1"/>
  <c r="F37" i="2"/>
  <c r="T37" i="2" s="1"/>
  <c r="V37" i="2" s="1"/>
  <c r="F38" i="1"/>
  <c r="T106" i="2"/>
  <c r="V106" i="2" s="1"/>
  <c r="F105" i="2"/>
  <c r="T105" i="2" s="1"/>
  <c r="R106" i="2"/>
  <c r="R105" i="2" s="1"/>
  <c r="F106" i="1"/>
  <c r="U29" i="1"/>
  <c r="L27" i="1"/>
  <c r="V42" i="1"/>
  <c r="R30" i="2"/>
  <c r="R29" i="2" s="1"/>
  <c r="F29" i="2"/>
  <c r="T30" i="2"/>
  <c r="V30" i="2" s="1"/>
  <c r="F30" i="1"/>
  <c r="U57" i="1"/>
  <c r="R4" i="1"/>
  <c r="R42" i="1"/>
  <c r="T111" i="2"/>
  <c r="V111" i="2" s="1"/>
  <c r="R111" i="2"/>
  <c r="R110" i="2" s="1"/>
  <c r="F110" i="2"/>
  <c r="T110" i="2" s="1"/>
  <c r="V110" i="2" s="1"/>
  <c r="F111" i="1"/>
  <c r="U105" i="1"/>
  <c r="G101" i="1"/>
  <c r="G104" i="1" s="1"/>
  <c r="G115" i="1" s="1"/>
  <c r="T57" i="1"/>
  <c r="U30" i="1"/>
  <c r="H49" i="2"/>
  <c r="T49" i="2" s="1"/>
  <c r="T52" i="2"/>
  <c r="V52" i="2" l="1"/>
  <c r="N101" i="1"/>
  <c r="N104" i="1" s="1"/>
  <c r="N115" i="1" s="1"/>
  <c r="J101" i="1"/>
  <c r="J104" i="1" s="1"/>
  <c r="J115" i="1" s="1"/>
  <c r="V49" i="2"/>
  <c r="M101" i="1"/>
  <c r="M104" i="1" s="1"/>
  <c r="M115" i="1" s="1"/>
  <c r="V33" i="2"/>
  <c r="P101" i="1"/>
  <c r="P104" i="1" s="1"/>
  <c r="P115" i="1" s="1"/>
  <c r="U27" i="1"/>
  <c r="L41" i="1"/>
  <c r="T34" i="1"/>
  <c r="V34" i="1" s="1"/>
  <c r="F33" i="1"/>
  <c r="T33" i="1" s="1"/>
  <c r="V33" i="1" s="1"/>
  <c r="R34" i="1"/>
  <c r="R33" i="1" s="1"/>
  <c r="U27" i="2"/>
  <c r="H101" i="2"/>
  <c r="H104" i="2" s="1"/>
  <c r="H115" i="2" s="1"/>
  <c r="H76" i="1" s="1"/>
  <c r="H52" i="1" s="1"/>
  <c r="H49" i="1" s="1"/>
  <c r="H101" i="1" s="1"/>
  <c r="H104" i="1" s="1"/>
  <c r="H115" i="1" s="1"/>
  <c r="V57" i="1"/>
  <c r="R30" i="1"/>
  <c r="R29" i="1" s="1"/>
  <c r="F29" i="1"/>
  <c r="T30" i="1"/>
  <c r="V30" i="1" s="1"/>
  <c r="T29" i="2"/>
  <c r="V29" i="2" s="1"/>
  <c r="F27" i="2"/>
  <c r="T111" i="1"/>
  <c r="V111" i="1" s="1"/>
  <c r="F110" i="1"/>
  <c r="T110" i="1" s="1"/>
  <c r="V110" i="1" s="1"/>
  <c r="R111" i="1"/>
  <c r="R110" i="1" s="1"/>
  <c r="L48" i="2"/>
  <c r="U41" i="2"/>
  <c r="R106" i="1"/>
  <c r="R105" i="1" s="1"/>
  <c r="T106" i="1"/>
  <c r="V106" i="1" s="1"/>
  <c r="F105" i="1"/>
  <c r="T105" i="1" s="1"/>
  <c r="T4" i="1"/>
  <c r="V4" i="1" s="1"/>
  <c r="F37" i="1"/>
  <c r="T37" i="1" s="1"/>
  <c r="V37" i="1" s="1"/>
  <c r="T38" i="1"/>
  <c r="V38" i="1" s="1"/>
  <c r="R38" i="1"/>
  <c r="R37" i="1" s="1"/>
  <c r="F27" i="1" l="1"/>
  <c r="T29" i="1"/>
  <c r="V29" i="1" s="1"/>
  <c r="L48" i="1"/>
  <c r="U41" i="1"/>
  <c r="L101" i="2"/>
  <c r="U48" i="2"/>
  <c r="R27" i="2"/>
  <c r="R41" i="2" s="1"/>
  <c r="R48" i="2" s="1"/>
  <c r="R101" i="2" s="1"/>
  <c r="R104" i="2" s="1"/>
  <c r="R115" i="2" s="1"/>
  <c r="T27" i="2"/>
  <c r="V27" i="2" s="1"/>
  <c r="F41" i="2"/>
  <c r="U48" i="1" l="1"/>
  <c r="T41" i="2"/>
  <c r="V41" i="2" s="1"/>
  <c r="F48" i="2"/>
  <c r="L104" i="2"/>
  <c r="U101" i="2"/>
  <c r="R27" i="1"/>
  <c r="R41" i="1" s="1"/>
  <c r="R48" i="1" s="1"/>
  <c r="T27" i="1"/>
  <c r="V27" i="1" s="1"/>
  <c r="F41" i="1"/>
  <c r="U104" i="2" l="1"/>
  <c r="L115" i="2"/>
  <c r="T41" i="1"/>
  <c r="V41" i="1" s="1"/>
  <c r="F48" i="1"/>
  <c r="F101" i="2"/>
  <c r="T48" i="2"/>
  <c r="V48" i="2" s="1"/>
  <c r="T101" i="2" l="1"/>
  <c r="V101" i="2" s="1"/>
  <c r="F104" i="2"/>
  <c r="T48" i="1"/>
  <c r="V48" i="1" s="1"/>
  <c r="U115" i="2"/>
  <c r="L76" i="1"/>
  <c r="U76" i="1" l="1"/>
  <c r="L52" i="1"/>
  <c r="T104" i="2"/>
  <c r="V104" i="2" s="1"/>
  <c r="F115" i="2"/>
  <c r="T115" i="2" l="1"/>
  <c r="V115" i="2" s="1"/>
  <c r="F76" i="1"/>
  <c r="L49" i="1"/>
  <c r="U52" i="1"/>
  <c r="U49" i="1" l="1"/>
  <c r="L101" i="1"/>
  <c r="T76" i="1"/>
  <c r="V76" i="1" s="1"/>
  <c r="R76" i="1"/>
  <c r="R52" i="1" s="1"/>
  <c r="R49" i="1" s="1"/>
  <c r="R101" i="1" s="1"/>
  <c r="R104" i="1" s="1"/>
  <c r="R115" i="1" s="1"/>
  <c r="F52" i="1"/>
  <c r="T52" i="1" l="1"/>
  <c r="V52" i="1" s="1"/>
  <c r="F49" i="1"/>
  <c r="U101" i="1"/>
  <c r="L104" i="1"/>
  <c r="U104" i="1" l="1"/>
  <c r="L115" i="1"/>
  <c r="U115" i="1" s="1"/>
  <c r="T49" i="1"/>
  <c r="V49" i="1" s="1"/>
  <c r="F101" i="1"/>
  <c r="F104" i="1" l="1"/>
  <c r="T101" i="1"/>
  <c r="V101" i="1" s="1"/>
  <c r="F115" i="1" l="1"/>
  <c r="T115" i="1" s="1"/>
  <c r="V115" i="1" s="1"/>
  <c r="T104" i="1"/>
  <c r="V10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tc={295aeb89-09f6-49cb-b76d-3e151cf4923d}</author>
    <author>tc={72d38862-3e4c-4c27-ab4f-921aca0acdcf}</author>
    <author>tc={6b2ec77e-71df-4d8a-ab35-c4dc1328069f}</author>
    <author>tc={e4ddb6ad-e466-41e6-9410-71e3462a8d5b}</author>
    <author>tc={e9288af5-81cd-47cb-85ed-9084a37e984e}</author>
    <author>tc={b0bbd875-907c-4863-b0a5-387cf565f000}</author>
    <author>tc={309e1a76-2c56-4393-a800-9c72298b5f1d}</author>
    <author>tc={8a9c91c9-917b-4b03-9ce3-6ce57bb084e3}</author>
    <author>tc={e3ef0db1-918f-4de1-abef-507bceb94591}</author>
    <author>tc={981f288e-7dc8-4284-b7bd-81c911eedc6d}</author>
  </authors>
  <commentList>
    <comment ref="I51" authorId="0" shapeId="0" xr:uid="{295AEB89-09F6-49CB-B76D-3E151CF4923D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*Anúncios expansão - Facebook: R$ 11.78,21
* Campanhas retroativas 2025: R$ 6.714,28
</t>
        </r>
      </text>
    </comment>
    <comment ref="G70" authorId="1" shapeId="0" xr:uid="{72D38862-3E4C-4C27-AB4F-921ACA0ACDC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Aumento programado com as adições da Clariane e Bruna - o Marcelo possui o detalhamento.
</t>
        </r>
      </text>
    </comment>
    <comment ref="F73" authorId="2" shapeId="0" xr:uid="{6B2EC77E-71DF-4D8A-AB35-C4DC1328069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Pagamento à Bruna como PJ
</t>
        </r>
      </text>
    </comment>
    <comment ref="G78" authorId="3" shapeId="0" xr:uid="{E4DDB6AD-E466-41E6-9410-71E3462A8D5B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Condomínio de janeiro + fevereiro
</t>
        </r>
      </text>
    </comment>
    <comment ref="G80" authorId="4" shapeId="0" xr:uid="{E9288AF5-81CD-47CB-85ED-9084A37E984E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Recarga dos números pré-pagos, realizada a cada 2 meses, no valor de R$ 690
</t>
        </r>
      </text>
    </comment>
    <comment ref="I80" authorId="5" shapeId="0" xr:uid="{B0BBD875-907C-4863-B0A5-387CF565F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Recarga dos números pré-pagos, realizada a cada 2 meses, no valor de R$ 735
</t>
        </r>
      </text>
    </comment>
    <comment ref="I83" authorId="6" shapeId="0" xr:uid="{309E1A76-2C56-4393-A800-9C72298B5F1D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*ALTERAÇÃO CONTRATUAL SPDX: R$ 2.000
</t>
        </r>
      </text>
    </comment>
    <comment ref="F86" authorId="7" shapeId="0" xr:uid="{8A9C91C9-917B-4B03-9CE3-6CE57BB084E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Houve o pagamentod e 2 parcelas do RD Station (Cada parcela é R$ 1.2619,60 - são 3 parcelas)
</t>
        </r>
      </text>
    </comment>
    <comment ref="I86" authorId="8" shapeId="0" xr:uid="{E3EF0DB1-918F-4DE1-ABEF-507BCEB9459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Aumento provocado por:
- Contratação do LinkedIn anual: R$ 7.319,88
- Contratação Kommo: R$ 1.323,32
- Pagamento anual Miro: R$ R$ 1.076,56
- Despesas extras com o GITHUB: R$ 921
</t>
        </r>
      </text>
    </comment>
    <comment ref="I100" authorId="9" shapeId="0" xr:uid="{981F288E-7DC8-4284-B7BD-81C911EEDC6D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Pagamentos anuais do servidor do iFormei.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tc={88e0fb8f-e321-4bfb-ae02-359a97eb4e95}</author>
    <author>tc={42c78626-2817-4d60-8036-e25fe59354bc}</author>
    <author>tc={698a45ef-dfb9-41fb-a7a6-6e20aaca59b5}</author>
    <author>tc={9bdfb646-bd9c-4874-8d27-fab6429eb5f3}</author>
    <author>tc={a9ac35eb-b39d-41ed-ab1f-2911a5a92098}</author>
    <author>tc={ed8f8ba4-68bb-4f99-81b0-754e7403a805}</author>
    <author>tc={e4f38876-4511-42b6-8420-3cd72ce59952}</author>
    <author>tc={c2d3c4a4-524b-437c-aa2a-4b00d8d3b446}</author>
    <author>tc={a1bdd1c4-cd5e-4ad3-846e-3a9877c3b7a7}</author>
    <author>tc={888ac30e-ea34-4efc-ab0a-f47347747372}</author>
    <author>tc={5ff60108-0991-4255-8c8e-0b6d0cf3d577}</author>
    <author>tc={a2bf591a-60cc-4917-aebc-20812596aac8}</author>
    <author>tc={68c29db5-9932-476d-a4bb-5079b965f82c}</author>
    <author>tc={e7ae1f49-44fa-4f34-9670-8b4c19065c3d}</author>
  </authors>
  <commentList>
    <comment ref="J18" authorId="0" shapeId="0" xr:uid="{88E0FB8F-E321-4BFB-AE02-359A97EB4E95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Início do faturamento via Filial. ISS em Chácara 2%. Todos, exceto Viva JF
</t>
        </r>
      </text>
    </comment>
    <comment ref="J38" authorId="1" shapeId="0" xr:uid="{42C78626-2817-4D60-8036-E25FE59354BC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Novo cálculo de ISS considerando a V E Filial
</t>
        </r>
      </text>
    </comment>
    <comment ref="J46" authorId="2" shapeId="0" xr:uid="{698A45EF-DFB9-41FB-A7A6-6E20AACA59B5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Viagens do Squad de Fotos em Outras Despesas Administrativas
</t>
        </r>
      </text>
    </comment>
    <comment ref="K46" authorId="3" shapeId="0" xr:uid="{9BDFB646-BD9C-4874-8D27-FAB6429EB5F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Viagem Jhonny e Dionisio para Consultoria Vinci em Consultorias e Treinamentos
</t>
        </r>
      </text>
    </comment>
    <comment ref="F53" authorId="4" shapeId="0" xr:uid="{A9AC35EB-B39D-41ED-AB1F-2911A5A9209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6.766,50 - Clari - Apenas em Janeiro
</t>
        </r>
      </text>
    </comment>
    <comment ref="F54" authorId="5" shapeId="0" xr:uid="{ED8F8BA4-68BB-4F99-81B0-754E7403A805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203 - Clari - Apenas em Janeiro
</t>
        </r>
      </text>
    </comment>
    <comment ref="F56" authorId="6" shapeId="0" xr:uid="{E4F38876-4511-42B6-8420-3CD72CE59952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608,99 - Clari - Apenas em Janeiro
</t>
        </r>
      </text>
    </comment>
    <comment ref="F61" authorId="7" shapeId="0" xr:uid="{C2D3C4A4-524B-437C-AA2A-4B00D8D3B446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541,32 - Clari - Apenas em Janeiro
</t>
        </r>
      </text>
    </comment>
    <comment ref="F65" authorId="8" shapeId="0" xr:uid="{A1BDD1C4-CD5E-4AD3-846E-3A9877C3B7A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R$ 695 - Bruna - Apenas em Janeiro
R$ 600 - Clari - Apenas em Janeiro
</t>
        </r>
      </text>
    </comment>
    <comment ref="F73" authorId="9" shapeId="0" xr:uid="{888AC30E-EA34-4EFC-AB0A-F47347747372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R$ 6.402,31 - Bruna - Apenas em Janeiro
</t>
        </r>
      </text>
    </comment>
    <comment ref="J87" authorId="10" shapeId="0" xr:uid="{5FF60108-0991-4255-8C8E-0B6D0CF3D57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Viagens do Squad de Fotos em Outras Despesas Administrativas
</t>
        </r>
      </text>
    </comment>
    <comment ref="K90" authorId="11" shapeId="0" xr:uid="{A2BF591A-60CC-4917-AEBC-20812596AAC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Viagem Jhonny e Dionisio para Consultoria Vinci em Consultorias e Treinamentos
</t>
        </r>
      </text>
    </comment>
    <comment ref="F106" authorId="12" shapeId="0" xr:uid="{68C29DB5-9932-476D-A4BB-5079B965F82C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APROVEITOU-SE MAIS CRÉDITO DO QUE O VALOR A SER PAGO NA COMPETÊNCIA.
Lembrar que o aproveitamento soma no trimestre e aqui é uma provisão de impostos.
</t>
        </r>
      </text>
    </comment>
    <comment ref="I111" authorId="13" shapeId="0" xr:uid="{E7AE1F49-44FA-4F34-9670-8B4C19065C3D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Começa a valer o novo CSLL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tc={a3269aea-1c3c-42a4-9f67-7f682607c774}</author>
    <author>tc={9d4aae5d-d474-4ec2-b923-9a609e93e7db}</author>
    <author>tc={95ec6fc1-6dc9-4238-96fb-55c0f0385944}</author>
    <author>tc={2ba2e915-6f50-4ed7-bde4-fe4433e76f42}</author>
    <author>tc={2f76357e-7d71-4128-9be9-34f65fb821f3}</author>
    <author>tc={7cab9294-7b62-4946-b32d-f84e343e08e9}</author>
    <author>tc={c9c532c2-f2f6-4bcc-9d4d-fd45615208fd}</author>
    <author>tc={78b14b03-e87f-4213-a500-5dce75c0a5b7}</author>
    <author>tc={90f5823f-f833-4f31-a6cf-6f94eda9c3f0}</author>
    <author>tc={762458c4-de55-45de-a18d-52e7cc36cd70}</author>
    <author>tc={f9c700a9-76fe-486b-a6e9-616722436328}</author>
    <author>tc={2651838a-3366-40a6-8529-c3d612bfe889}</author>
    <author>tc={a7e622e2-7c73-4875-a6e9-724ae5c32156}</author>
    <author>tc={77f09943-4595-4434-af3d-c0076a31ff21}</author>
    <author>tc={6c65c6f2-c011-4c81-96cb-71bbc7fe09d8}</author>
    <author>tc={b5d7042a-93bc-43da-86b4-8ca375565bcc}</author>
    <author>tc={502b993a-8dd5-43f8-99e5-b2634d5556e3}</author>
    <author>tc={0186da6d-49b8-44e5-9550-0a10396c3d91}</author>
  </authors>
  <commentList>
    <comment ref="G17" authorId="0" shapeId="0" xr:uid="{A3269AEA-1C3C-42A4-9F67-7F682607C77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Dataforte + V Company
</t>
        </r>
      </text>
    </comment>
    <comment ref="G19" authorId="1" shapeId="0" xr:uid="{9D4AAE5D-D474-4EC2-B923-9A609E93E7DB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na Dataforte + V Company
</t>
        </r>
      </text>
    </comment>
    <comment ref="A24" authorId="2" shapeId="0" xr:uid="{95EC6FC1-6DC9-4238-96FB-55C0F038594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Rendimento de aplicações - todas as contas, exceto unificadas e LP Rend do BB (por data de emissão)
</t>
        </r>
      </text>
    </comment>
    <comment ref="E24" authorId="3" shapeId="0" xr:uid="{2BA2E915-6F50-4ED7-BDE4-FE4433E76F42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tem registro em abril
</t>
        </r>
      </text>
    </comment>
    <comment ref="G27" authorId="4" shapeId="0" xr:uid="{2F76357E-7D71-4128-9BE9-34F65FB821F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partir dessa data, faremos a competência correta.
1. Valor gerado na base de recorrência;
2. Valores pagos em junho, de compatência de meses anteriores (exceto maio);
3. NÃO CONSIDERAR NENHUM RECEBIMENTO DE RECORRÊNCIA DE JUNHO DE 2026 EM DIANTE FORA DA COMPETÊNCIA (Fechamentos continuam sendo na data do fechamento)
</t>
        </r>
      </text>
    </comment>
    <comment ref="G28" authorId="5" shapeId="0" xr:uid="{7CAB9294-7B62-4946-B32D-F84E343E08E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Considerar valores recebidos, que não são recorrentes e são de meses anteriores
</t>
        </r>
      </text>
    </comment>
    <comment ref="H28" authorId="6" shapeId="0" xr:uid="{C9C532C2-F2F6-4BCC-9D4D-FD45615208FD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Tudo o que tem lançado sem ser pós - VIA OMIE
</t>
        </r>
      </text>
    </comment>
    <comment ref="H29" authorId="7" shapeId="0" xr:uid="{78B14B03-E87F-4213-A500-5DCE75C0A5B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Tirar toda a competência de junho de 2026 em diante, pois é a data de corte (de junho em diante, já entram por competência, independente de qualquer coisa.
Os de fechamentos, avaliar caso a caso se está sendo cobrado algo que deveria ter sido pago de junho em diante. Caso sim, desconsiderar esses valores. Ex. Fundo X pagou 1000 no fechamento, mas desses 1000, 100 sao de junho e 50 de julho de 26, então o valor que entra no fechamento e deve ser considerado é de 850
</t>
        </r>
      </text>
    </comment>
    <comment ref="H30" authorId="8" shapeId="0" xr:uid="{90F5823F-F833-4F31-A6CF-6F94EDA9C3F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Tudo que foi pago no mês, mas nao é competência de junho 26 em diante.
</t>
        </r>
      </text>
    </comment>
    <comment ref="G31" authorId="9" shapeId="0" xr:uid="{762458C4-DE55-45DE-A18D-52E7CC36CD7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gerado na base
</t>
        </r>
      </text>
    </comment>
    <comment ref="H31" authorId="10" shapeId="0" xr:uid="{F9C700A9-76FE-486B-A6E9-61672243632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Base gerada
</t>
        </r>
      </text>
    </comment>
    <comment ref="G42" authorId="11" shapeId="0" xr:uid="{2651838A-3366-40A6-8529-C3D612BFE88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Excluir JDF no fornecedor da Omie
</t>
        </r>
      </text>
    </comment>
    <comment ref="H46" authorId="12" shapeId="0" xr:uid="{A7E622E2-7C73-4875-A6E9-724AE5C32156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Tirei o valor pela base que é gerada para o lukinha, apenas tirei Viva JF. (unidade 2)
</t>
        </r>
      </text>
    </comment>
    <comment ref="F60" authorId="13" shapeId="0" xr:uid="{77F09943-4595-4434-AF3D-C0076A31FF2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Considerando os de fechamentos pois foram da Viva JF
</t>
        </r>
      </text>
    </comment>
    <comment ref="C92" authorId="14" shapeId="0" xr:uid="{6C65C6F2-C011-4C81-96CB-71BBC7FE09D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Considerar esse valor a partir de fevereiro: Clariane + Bruna
</t>
        </r>
      </text>
    </comment>
    <comment ref="A103" authorId="15" shapeId="0" xr:uid="{B5D7042A-93BC-43DA-86B4-8CA375565BCC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DRE por data de pagamento, filtrar projeto
Reply:
	NÃO CONSIDERAR TARIFAS, pois já estão na categoria de tarifas que nao recebe separação por projetos
</t>
        </r>
      </text>
    </comment>
    <comment ref="B105" authorId="16" shapeId="0" xr:uid="{502B993A-8DD5-43F8-99E5-B2634D5556E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 + 2026
</t>
        </r>
      </text>
    </comment>
    <comment ref="B106" authorId="17" shapeId="0" xr:uid="{0186DA6D-49B8-44E5-9550-0A10396C3D9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2025 + 2026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tc={a5ba054f-96a3-4055-a73a-764cb44513ef}</author>
    <author>tc={31072e62-ab4a-4758-8741-82ec6842fb64}</author>
  </authors>
  <commentList>
    <comment ref="E12" authorId="0" shapeId="0" xr:uid="{A5BA054F-96A3-4055-A73A-764CB44513E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-2801,96: valor da viagem do Regis e Barbara para SP. Eles foram para evento, então entra como Treinamento. Será inserido pelos lançamentos mesmo.
</t>
        </r>
      </text>
    </comment>
    <comment ref="H13" authorId="1" shapeId="0" xr:uid="{31072E62-AB4A-4758-8741-82EC6842FB6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Viagem lançada nos lançamentos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tc={96f9f145-9b9a-4b28-82e0-bf35c0ad578b}</author>
    <author>tc={8acb1554-f862-4dac-8ddf-e27943082db8}</author>
    <author>tc={5fa233b8-5340-4732-90df-27f1425d4388}</author>
    <author>tc={e96315f2-3e7f-4e1d-90f2-9a4e414e8ae9}</author>
  </authors>
  <commentList>
    <comment ref="F48" authorId="0" shapeId="0" xr:uid="{96F9F145-9B9A-4B28-82E0-BF35C0AD578B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INSS
</t>
        </r>
      </text>
    </comment>
    <comment ref="F65" authorId="1" shapeId="0" xr:uid="{8ACB1554-F862-4DAC-8DDF-E27943082DB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INSS
</t>
        </r>
      </text>
    </comment>
    <comment ref="J608" authorId="2" shapeId="0" xr:uid="{5FA233B8-5340-4732-90DF-27F1425D438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Férias
</t>
        </r>
      </text>
    </comment>
    <comment ref="G618" authorId="3" shapeId="0" xr:uid="{E96315F2-3E7F-4E1D-90F2-9A4E414E8AE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Quebra do contrato de experiência.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tc={beff20d7-d21e-447e-b769-1ba5b323fd58}</author>
  </authors>
  <commentList>
    <comment ref="H9" authorId="0" shapeId="0" xr:uid="{BEFF20D7-D21E-447E-B769-1BA5B323FD5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E_MAIL: CONCILIAÇÃO NOTAS "PERDIDAS" PERSE - FUNDO JOÃO PEDRO-CONDÉ UNIFEN-MEDICI 2026-2 (ASS)#6592#BHZ - RP 861427
</t>
        </r>
      </text>
    </comment>
  </commentList>
</comments>
</file>

<file path=xl/sharedStrings.xml><?xml version="1.0" encoding="utf-8"?>
<sst xmlns="http://schemas.openxmlformats.org/spreadsheetml/2006/main" count="27210" uniqueCount="3332">
  <si>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</si>
  <si>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</si>
  <si>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</si>
  <si>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</si>
  <si>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</si>
  <si>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</si>
  <si>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</si>
  <si>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</si>
  <si>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</si>
  <si>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</si>
  <si>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</si>
  <si>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</si>
  <si>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1 SEM </t>
  </si>
  <si>
    <t>2 SEM</t>
  </si>
  <si>
    <t>Receita Operacional Bruta</t>
  </si>
  <si>
    <t>Royalties</t>
  </si>
  <si>
    <t>Royalties - Recorrentes</t>
  </si>
  <si>
    <t>Royalties - Fechamentos</t>
  </si>
  <si>
    <t>Fundo de Marketing</t>
  </si>
  <si>
    <t>Fundo de Marketing - Recorrentes</t>
  </si>
  <si>
    <t>Fundo de Marketing - Fechamentos</t>
  </si>
  <si>
    <t>Taxas de Franquias</t>
  </si>
  <si>
    <t>Taxa Inicial de Franquia</t>
  </si>
  <si>
    <t>Renovação de Franquias</t>
  </si>
  <si>
    <t>Receita com Patrocínios</t>
  </si>
  <si>
    <t>Receita SPDX</t>
  </si>
  <si>
    <t>Receitas - Taxa Mundo Viva</t>
  </si>
  <si>
    <t>Receitas - Markup de Tarifas</t>
  </si>
  <si>
    <t>Markup de Liquidação de boletos</t>
  </si>
  <si>
    <t>Markup de cartão</t>
  </si>
  <si>
    <t>Markup de tarifas bancárias</t>
  </si>
  <si>
    <t>Receitas - Festas de Arrecadação</t>
  </si>
  <si>
    <t>Receita com Projetos</t>
  </si>
  <si>
    <t>Receitas - Assessoria CSC</t>
  </si>
  <si>
    <t>Assessoria CSC - Quokka</t>
  </si>
  <si>
    <t>Assessoria Central de Talentos</t>
  </si>
  <si>
    <t>Assessoria CSC - Atendimento</t>
  </si>
  <si>
    <t>Deduções de Receita</t>
  </si>
  <si>
    <t>Devoluções de Vendas de Serviços Prestados</t>
  </si>
  <si>
    <t>PIS</t>
  </si>
  <si>
    <t>PIS - V E</t>
  </si>
  <si>
    <t>PIS - SPDX</t>
  </si>
  <si>
    <t>PIS - Dataforte</t>
  </si>
  <si>
    <t>COFINS</t>
  </si>
  <si>
    <t>COFINS - V E</t>
  </si>
  <si>
    <t>COFINS - SPDX</t>
  </si>
  <si>
    <t>COFINS - Dataforte</t>
  </si>
  <si>
    <t>ISS</t>
  </si>
  <si>
    <t>ISS - V E</t>
  </si>
  <si>
    <t>ISS - SPDX</t>
  </si>
  <si>
    <t>ISS - Dataforte</t>
  </si>
  <si>
    <t>Receita Operacional Líquida</t>
  </si>
  <si>
    <t>Custos com os Serviços Prestados</t>
  </si>
  <si>
    <t>Comissões</t>
  </si>
  <si>
    <t>Custos com Festas de Arrecadação</t>
  </si>
  <si>
    <t>Custos com Treinamentos</t>
  </si>
  <si>
    <t>Custos Serviços Prestados - Diárias Consultorias</t>
  </si>
  <si>
    <t>Custo de Seguro da Arrecadação</t>
  </si>
  <si>
    <t>Lucro Operacional Bruto</t>
  </si>
  <si>
    <t>Despesas Operacionais</t>
  </si>
  <si>
    <t>Despesas de Vendas e Marketing</t>
  </si>
  <si>
    <t>Marketing</t>
  </si>
  <si>
    <t>Despesas com Pessoal</t>
  </si>
  <si>
    <t>Salários</t>
  </si>
  <si>
    <t>Férias</t>
  </si>
  <si>
    <t>Rescisões</t>
  </si>
  <si>
    <t>13º Salário</t>
  </si>
  <si>
    <t>INSS</t>
  </si>
  <si>
    <t>INSS - V E</t>
  </si>
  <si>
    <t>INSS - SPDX</t>
  </si>
  <si>
    <t>INSS - Dataforte</t>
  </si>
  <si>
    <t>FGTS</t>
  </si>
  <si>
    <t>IRRF</t>
  </si>
  <si>
    <t>Pensão Alimentícia</t>
  </si>
  <si>
    <t>Assistência Médica</t>
  </si>
  <si>
    <t>Benefícios Flexíveis</t>
  </si>
  <si>
    <t>Vale Transporte / Mobilidade</t>
  </si>
  <si>
    <t>Seguro de Vida</t>
  </si>
  <si>
    <t>Refeições</t>
  </si>
  <si>
    <t>Auxílio Home Office</t>
  </si>
  <si>
    <t>Pró Labore Sócios</t>
  </si>
  <si>
    <t>Bônus EBITDA</t>
  </si>
  <si>
    <t>Outros ( Contribuição Sindical - PCMO, Exames...)</t>
  </si>
  <si>
    <t>Contratados Pessoas Jurídicas</t>
  </si>
  <si>
    <t>Ações Endomarketing</t>
  </si>
  <si>
    <t>Transporte e Hospedagem Colaboradores para Sede da Empresa</t>
  </si>
  <si>
    <t>Participação nos Lucros e Resultados</t>
  </si>
  <si>
    <t>Despesas Administrativas</t>
  </si>
  <si>
    <t>Aluguel</t>
  </si>
  <si>
    <t>Energia Elétrica</t>
  </si>
  <si>
    <t>Telefonia e Internet</t>
  </si>
  <si>
    <t>Manutenção de Imobilizado</t>
  </si>
  <si>
    <t>Seguros</t>
  </si>
  <si>
    <t>Contabilidade</t>
  </si>
  <si>
    <t>Advogados</t>
  </si>
  <si>
    <t>Segurança</t>
  </si>
  <si>
    <t>Softwares, Sistemas e Servidores</t>
  </si>
  <si>
    <t>Outras Despesas Administrativas</t>
  </si>
  <si>
    <t>Material Limpeza / Escritório / Mercado / Padaria</t>
  </si>
  <si>
    <t>Fretes e Transportes em Geral</t>
  </si>
  <si>
    <t>Consultorias e Treinamentos</t>
  </si>
  <si>
    <t>Associações de Classe</t>
  </si>
  <si>
    <t>Taxas Municipais</t>
  </si>
  <si>
    <t>Despesas Financeiras / Bancos</t>
  </si>
  <si>
    <t>Juros sobre Empréstimos</t>
  </si>
  <si>
    <t>Multas</t>
  </si>
  <si>
    <t>Tarifas Bancárias</t>
  </si>
  <si>
    <t>IOF</t>
  </si>
  <si>
    <t>Outras Despesas</t>
  </si>
  <si>
    <t>Doações</t>
  </si>
  <si>
    <t>Pesquisa e Desenvolvimento</t>
  </si>
  <si>
    <t>Lucro ou Prejuízo Operacional</t>
  </si>
  <si>
    <t>Receitas Não Operacionais</t>
  </si>
  <si>
    <t>Despesas Não Operacionais</t>
  </si>
  <si>
    <t>Resultado do Exercicio Antes IR e CS</t>
  </si>
  <si>
    <t>IRPJ</t>
  </si>
  <si>
    <t>IRPJ - V E</t>
  </si>
  <si>
    <t>IRPJ - SPDX</t>
  </si>
  <si>
    <t>IRPJ - Dataforte</t>
  </si>
  <si>
    <t>IRPJ - Rendimentos</t>
  </si>
  <si>
    <t>Contribuição Social</t>
  </si>
  <si>
    <t>CSLL - V E</t>
  </si>
  <si>
    <t>CSLL - SPDX</t>
  </si>
  <si>
    <t>CSLL - Dataforte</t>
  </si>
  <si>
    <t>CSLL - Rendimentos</t>
  </si>
  <si>
    <t>Resultado Após IR e CS</t>
  </si>
  <si>
    <t>Empresa</t>
  </si>
  <si>
    <t>Tipo</t>
  </si>
  <si>
    <t>Categoria</t>
  </si>
  <si>
    <t>Cliente ou Fornecedor (Nome Fantasia)</t>
  </si>
  <si>
    <t>Descrição</t>
  </si>
  <si>
    <t>Mês da Emissão</t>
  </si>
  <si>
    <t>Pago ou Recebido</t>
  </si>
  <si>
    <t>Valor da Conta</t>
  </si>
  <si>
    <t>Conta DRE</t>
  </si>
  <si>
    <t>Setor</t>
  </si>
  <si>
    <t>Observação</t>
  </si>
  <si>
    <t>V EVENTOS BRASIL LTDA</t>
  </si>
  <si>
    <t>2. Contas a Pagar</t>
  </si>
  <si>
    <t>Ações de Endomarketing (*)</t>
  </si>
  <si>
    <t>46.067.579 MICHELE SOARES HENRIQUES</t>
  </si>
  <si>
    <t>PIX - REF AÇÃO DIA DAS MULHERES 2026</t>
  </si>
  <si>
    <t>Março</t>
  </si>
  <si>
    <t>Gestão de Pessoas</t>
  </si>
  <si>
    <t>ALEXANDER DE BARROS ARAUJO</t>
  </si>
  <si>
    <t>PIX - REF AO HAPPY DE CARNAVAL - VALOR DO ORÇAMENTO</t>
  </si>
  <si>
    <t>Fevereiro</t>
  </si>
  <si>
    <t>BK BRINDES E BEEK</t>
  </si>
  <si>
    <t>DIN - COMPRA DE BRINDES FIM DE ANO COLABORADORES - ENVIAR DIN PARA SALVATERRA MATRIZ  - detalhes em anexo</t>
  </si>
  <si>
    <t>Janeiro</t>
  </si>
  <si>
    <t>DIN - COMPRA DE BRINDES FIM DE ANO COLABORADORES - ENVIAR DIN PARA CUBO  - detalhes em anexo</t>
  </si>
  <si>
    <t>CVC BRASIL</t>
  </si>
  <si>
    <t>BOL - REF A VIAGEM 10 ANOS - THOMAS - PARCELA xx/04</t>
  </si>
  <si>
    <t>Abril</t>
  </si>
  <si>
    <t>CVC JF NORTE VIAGENS LTDA</t>
  </si>
  <si>
    <t>PIX- REF A VIAGEM 10 ANOS - THOMAS - ENTRADA</t>
  </si>
  <si>
    <t>PIX- REF A VIAGEM 10 ANOS - CRIS - ENTRADA</t>
  </si>
  <si>
    <t>DIONISIO SOUZA LOURO</t>
  </si>
  <si>
    <t>PIX - REF A AÇÃO TIME MKT</t>
  </si>
  <si>
    <t>Marketing e Growth</t>
  </si>
  <si>
    <t>DIVERSOS</t>
  </si>
  <si>
    <t>DIN -  Compras para reunião lançamento de quarter DIA 20/01/2026</t>
  </si>
  <si>
    <t>Gestão</t>
  </si>
  <si>
    <t>PIX - REF A AÇÃO DO MÊS DE JANEIRO - TIME QUOKKA</t>
  </si>
  <si>
    <t>Financeiro CSC</t>
  </si>
  <si>
    <t>DIN - Ação roleta de aniversário - ganhador João</t>
  </si>
  <si>
    <t>EMPORIO DOS PAES JF LTDA</t>
  </si>
  <si>
    <t>PIX - REF A AÇÃO DO MÊS DE FEVEREIRO - TIME QUOKKA</t>
  </si>
  <si>
    <t>Pix - ref a ação aniversario do mês time Cash Out</t>
  </si>
  <si>
    <t>Financeiro Cash Out</t>
  </si>
  <si>
    <t>INSTITUTO AMARGEN</t>
  </si>
  <si>
    <t>PIX - Referente a impressão de cartões de aniversário para as ações de endomkt</t>
  </si>
  <si>
    <t>INTERURB SERVICOS POSTAIS LTDA - BANCO DO BRASIL</t>
  </si>
  <si>
    <t>DEP - Referente ao envio do Brinde de fim de ano do Wender.</t>
  </si>
  <si>
    <t>JEFFERSON LUIZ DE BRITO FERREIRA</t>
  </si>
  <si>
    <t>PIX - REF A AÇÃO VIVA EM MOVIMENTO</t>
  </si>
  <si>
    <t>JESSICA APARECIDA DE ALMEIDA PAIVA</t>
  </si>
  <si>
    <t>CIN - REF AO CHOCOLATE AÇÃO VOLTA DE FERIAS - TIME CSC QUOKKA</t>
  </si>
  <si>
    <t>JESSICA DA SILVA CARVALHO</t>
  </si>
  <si>
    <t>PIX - REF A COMPRA REFRI - aniversario do mês - TIME CSC QUOKKA E CASH OUT</t>
  </si>
  <si>
    <t>PIX - REF A COMPRA CHOCOLATE AÇÃO VOLTA FERIAS TIME CSC QUOKKA</t>
  </si>
  <si>
    <t>KARINE ROCHA AZEVEDO E SILVA COSTA</t>
  </si>
  <si>
    <t>REF A AÇÕES : 6 bolinhos de aniversário - 72,00 + Ação de Páscoa - R$1.550,00</t>
  </si>
  <si>
    <t>PIX - Ref a 4 bolinhos de aniversário para abril - r$ 12,00 CADA</t>
  </si>
  <si>
    <t>PIX - REF A COMPRA DE 8 BOLOS NO PONTE PARA ANIVERSÁRIOS HUB</t>
  </si>
  <si>
    <t>PIX - ref ao bolo de pote para aniversários colaboradores - 4 unidades * R$ 12,00</t>
  </si>
  <si>
    <t>LUCAS BELLINI MEIRELES</t>
  </si>
  <si>
    <t>MARCELA DE SOUZA</t>
  </si>
  <si>
    <t>MICHELE SOARES HENRIQUES</t>
  </si>
  <si>
    <t>PIX - REF AO PGT DE 6 AULAS DE YOGA 2026</t>
  </si>
  <si>
    <t>PEDRO PAULO DIAS DE SOUZA</t>
  </si>
  <si>
    <t>BOL - REF A REUNIÃO ATD - FEV / MARÇO / ABRIL</t>
  </si>
  <si>
    <t>Atendimento</t>
  </si>
  <si>
    <t>THOMAS SOUZA REIS</t>
  </si>
  <si>
    <t>PIX- REF A VIAGEM 10 ANOS - THOMAS</t>
  </si>
  <si>
    <t>Previsão</t>
  </si>
  <si>
    <t>PIX - REF A AÇÃO CARRETA FURACÃO ESTORNO DE 195,77 NO DIA 22/04/2026</t>
  </si>
  <si>
    <t>PIX - REF A AÇÃO TIME CAF</t>
  </si>
  <si>
    <t>Pós Vendas e CAF</t>
  </si>
  <si>
    <t>TRINCA CAMISAS PERSONALIZADAS</t>
  </si>
  <si>
    <t>Incluído pela importação a partir de um código de barras. BOL - Ref a compra de camisas para venda da lojinha - campanha viva 2026 - venda master plan</t>
  </si>
  <si>
    <t>UBER DO BRASIL TECNOLOGIA LTDA.</t>
  </si>
  <si>
    <t>REF UBER - REGIS - Vt festa final de ano</t>
  </si>
  <si>
    <t>REF UBER - Guilherme - Visita tecnica brinde final de ano R$ 35,83 +  Comboio do bem R$ 48,82</t>
  </si>
  <si>
    <t>ASSUNTA</t>
  </si>
  <si>
    <t>Incluído a partir do recebimento da NF-e. PIX- REUNIÃO DE SÓCIOS 15/01</t>
  </si>
  <si>
    <t>Diretoria</t>
  </si>
  <si>
    <t>COMERCIAL MEGA BRINDES</t>
  </si>
  <si>
    <t>Incluído a partir do recebimento da NF-e. BOL - REF A COMPRA DE ITENS PARA O KIT ONBOARDING</t>
  </si>
  <si>
    <t>V COMPANY</t>
  </si>
  <si>
    <t>EMPRESA FUNERARIA NOSSA SENHORA DA CANDELARIA LTDA</t>
  </si>
  <si>
    <t>PIX - Referente a compra e envio de uma coroa de flores para o velório do pai da Nath. CHAVE : 21.567.458/0001-05</t>
  </si>
  <si>
    <t>FEAT PRODUCOES</t>
  </si>
  <si>
    <t>DIN - Ref a compra de 22 unidades de capivaras de pelúcia para a Lojinha da Viva</t>
  </si>
  <si>
    <t>GUILHERME GONCALVES MELLO</t>
  </si>
  <si>
    <t>DIN REF A AÇÃO DO ROLETA ANIVERSARIO</t>
  </si>
  <si>
    <t>PIX - ref a compra de isqueiro para utilizar nas ações aniversario do hub - Chave Pix: 24992683148 - Xp</t>
  </si>
  <si>
    <t>LAURA CACADOR BRANCO</t>
  </si>
  <si>
    <t>DIN - REF A AÇÃO - ROLETA ANIVERSARIO</t>
  </si>
  <si>
    <t>LEONARDO BOTTI - TRINCA - CC 01081662-4</t>
  </si>
  <si>
    <t>DEP - REF A 10 CAMISAS VENDIDAS NO TREINAMENTO DE NOVOS FRANQUEADOS- chave pix 09578809603</t>
  </si>
  <si>
    <t>DEP - REF A 2 CAMISAS AÇÃO ENCONTRO DOS SÓCIOS</t>
  </si>
  <si>
    <t>MIRKO BABIO</t>
  </si>
  <si>
    <t>Incluído a partir do recebimento da NF-e. BOL - Referente a compra das mochilas para Kit Onboarding.</t>
  </si>
  <si>
    <t>NAYARA SGRANCE DOS SANTOS</t>
  </si>
  <si>
    <t>PIX- REF A AÇÃO ROLETA ANIVERSARIO - Chave pix: 32 99135-1285</t>
  </si>
  <si>
    <t>REGIS ADRIANO DA COSTA</t>
  </si>
  <si>
    <t>PIX - REF AO LUCRO LOJINHA BEM LARANJA - VENDA TREINAMENTO NOVOS FRANQUEADOS  PIX: regis@vivaeventos.com.br</t>
  </si>
  <si>
    <t>Renato Francisco de Araujo</t>
  </si>
  <si>
    <t>15/01 MP*MERCADOLIVRE - ROLETA ANIVERSARIO - ENDOKT</t>
  </si>
  <si>
    <t>Ticruz</t>
  </si>
  <si>
    <t>19/02 MP*COMEMORATIO - Chapeuzinho de Aniversario</t>
  </si>
  <si>
    <t>SPDX ADMINISTRADORA DE FUNDOS DE FORMATURA LTDA</t>
  </si>
  <si>
    <t>GOMES CARVALHO SOCIEDADE INDIVIDUAL DE ADVOCACIA</t>
  </si>
  <si>
    <t>BOL - REF AO PAGAMENTO HONORÁRIOS - COMP 04/2026</t>
  </si>
  <si>
    <t>BOL - REF AO PAGAMENTO HONORÁRIOS - COMP 02/2026</t>
  </si>
  <si>
    <t>BOL - REF AO PAGAMENTO HONORÁRIOS - COMP 01/2026</t>
  </si>
  <si>
    <t>BOL - REF AO PAGAMENTO HONORÁRIOS - COMP 03/2026</t>
  </si>
  <si>
    <t>ZANIN SOCIEDADE INDIVIDUAL DE ADVOCACIA</t>
  </si>
  <si>
    <t>BOL REF AO HONORÁRIO - COMP 04/2026</t>
  </si>
  <si>
    <t>BOL REF AO HONORÁRIO - COMP 02/2025</t>
  </si>
  <si>
    <t>BOL REF AO HONORÁRIO - COMP  01/2026</t>
  </si>
  <si>
    <t>BOL REF AO HONORÁRIO - COMP 03/2026</t>
  </si>
  <si>
    <t>DATAFORTE</t>
  </si>
  <si>
    <t>COWORKING GIARDINO</t>
  </si>
  <si>
    <t>PAGAMENTO COWORKING GIARDINO - RECEBEMOS NF POR EMAIL</t>
  </si>
  <si>
    <t>DESPESAS GERAIS</t>
  </si>
  <si>
    <t>REGUS DO BRASIL LTDA</t>
  </si>
  <si>
    <t>BOL REF COWORKING SPDX - COMP 04/2026</t>
  </si>
  <si>
    <t>BOL REF COWORKING SPDX - COMP 02/2025</t>
  </si>
  <si>
    <t>BOL REF COWORKING SPDX - COMP 01/2026</t>
  </si>
  <si>
    <t>BOL REF COWORKING SPDX - COMP 03/2026</t>
  </si>
  <si>
    <t>SGX ADMINISTRACAO, EMPREENDIMENTOS E PARTICIPACAO LTDA</t>
  </si>
  <si>
    <t>BOL REF A PAGAMENTO ALUGUEL HUB - COMP 04/2026</t>
  </si>
  <si>
    <t>PIX - REF A PAGAMENTO ALUGUEL - COMP 02/2025</t>
  </si>
  <si>
    <t>BOL REF A PAGAMENTO ALUGUEL HUB - COMP 01/2026</t>
  </si>
  <si>
    <t>BOL REF A PAGAMENTO ALUGUEL HUB - COMP 03/2026</t>
  </si>
  <si>
    <t>SABIN SINAI</t>
  </si>
  <si>
    <t>BOL. SABIN SINAI - COMP.: 04/2026</t>
  </si>
  <si>
    <t>BOL. SABIN SINAI - MENSALIDADE - COMP.: 04/2026</t>
  </si>
  <si>
    <t>PIX - REF A AÇÃO DIAS DAS MÊS</t>
  </si>
  <si>
    <t>Maio</t>
  </si>
  <si>
    <t>BOL. SABIN SINAI - COMP.: 02/2026</t>
  </si>
  <si>
    <t>SABIN SINAI - MENSLIDADE- COMP.: 02/2026</t>
  </si>
  <si>
    <t>PAGAMENTO COWORKING GIARDINO</t>
  </si>
  <si>
    <t>Junho</t>
  </si>
  <si>
    <t>BOL. SABIN SINAI - COMP.: 01/2026</t>
  </si>
  <si>
    <t>SABIN SINAI - MENSLIDADE- COMP.: 01/2026</t>
  </si>
  <si>
    <t>Julho</t>
  </si>
  <si>
    <t>BOL. SABIN SINAI - MENSALIDADE - COMP.: 03/2026</t>
  </si>
  <si>
    <t>BOL. SABIN SINAI - COMP.: 03/2026</t>
  </si>
  <si>
    <t>Associações de classe</t>
  </si>
  <si>
    <t>ABEFORM - ASSOCIACAO BRASILEIRA DE EMPRESAS DE FORMATURA E AFINS</t>
  </si>
  <si>
    <t>BOL REF MENSALIDADE ABEFORM - COMP 04/2026</t>
  </si>
  <si>
    <t>BOL REF MENSALIDADE ABEFORM - COMP 02/2026</t>
  </si>
  <si>
    <t>BOL REF MENSALIDADE ABEFORM - COMP 01/2026</t>
  </si>
  <si>
    <t>BOL REF MENSALIDADE ABEFORM - COMP 03/2026</t>
  </si>
  <si>
    <t>DIretoria</t>
  </si>
  <si>
    <t>ABF - ASSOCIACAO BRASILEIRA DE FRANCHISING</t>
  </si>
  <si>
    <t>BOL - MENSALIDADE ASSOCIAÇÃO BRASILEIRA DE FRANCHISING - COMP 04/2026</t>
  </si>
  <si>
    <t>BOL - MENSALIDADE ASSOCIAÇÃO BRASILEIRA DE FRANCHISING - COMP 02/2026</t>
  </si>
  <si>
    <t>BOL - MENSALIDADE ASSOCIAÇÃO BRASILEIRA DE FRANCHISING - COMP 01/2026</t>
  </si>
  <si>
    <t>BOL - MENSALIDADE ASSOCIAÇÃO BRASILEIRA DE FRANCHISING - COMP 03/2026</t>
  </si>
  <si>
    <t>ASSOCIACAO BRASILEIRA DOS PROMOTORES DE EVENTOS ABRAPE</t>
  </si>
  <si>
    <t>BOL - Renovação Anuidade 2026 ABRAPE -  31/03/2026 à 30/03/2027</t>
  </si>
  <si>
    <t>ORDEM DOS ADVOGADOS DO BRASIL SECAO MINAS GERAIS</t>
  </si>
  <si>
    <t>REF A ANUIDADE 2026 - OAB VITOR PEDROSA  SITE:  https://www.oabmg.org.br/tesouraria/anuidade n° ordem: 107755 cpf 05253792660 pagar a vista</t>
  </si>
  <si>
    <t>Bens de pequeno valor</t>
  </si>
  <si>
    <t>C g center games ltda</t>
  </si>
  <si>
    <t>23/01 MP*2PRODUTOS - COMPRA DE 1 CELULAR PARA PARA ADM</t>
  </si>
  <si>
    <t>CAPEX</t>
  </si>
  <si>
    <t>J A Equipamentos</t>
  </si>
  <si>
    <t>Incluído a partir do recebimento da NF-e. BOL REF A COMPRA DE BATERIA PARA NOBREAKS</t>
  </si>
  <si>
    <t>Administrativo</t>
  </si>
  <si>
    <t>BOL REF A COMPRA DE BATERIA PARA NOBREAKS ** PAGAR PELO BB POR CAUSA DO DESCONTO DO BOLETO **</t>
  </si>
  <si>
    <t>MIANOFIX LTDA</t>
  </si>
  <si>
    <t>19/01 MP*MAQUINHAMP - PASSADOR DE SLIDE</t>
  </si>
  <si>
    <t>PALACIO DAS FERRAMENTAS E PARAFUSOS LTDA</t>
  </si>
  <si>
    <t>22/01 MP*2PRODUTOS - FURADEIRA HUB</t>
  </si>
  <si>
    <t>PHAETON</t>
  </si>
  <si>
    <t>Microfone Sem Fio Ulanzi - PARA O MKT</t>
  </si>
  <si>
    <t>19/02 MP*2PRODUTOS - Microfone Ulanzi J12 2 Microfones Sem Fio - PARA O HUB</t>
  </si>
  <si>
    <t>R7 SOLUCOES EM TECNOLOGIA LTDA</t>
  </si>
  <si>
    <t>Teclado E Mouse Sem Fio Dell - Para o Vitor</t>
  </si>
  <si>
    <t>SET-SERVICOS TECNICOS EM INFORMATICA LTDA</t>
  </si>
  <si>
    <t>PIX - REF A COMPRA DE FOTE PC JESSICA CARVALHO</t>
  </si>
  <si>
    <t>WS SMARTHOME</t>
  </si>
  <si>
    <t>06/01 MP*MERCADOLIVRE - Ref a compra de 02 fontes para roteadores wifi</t>
  </si>
  <si>
    <t>Bens de pequeno valor (*)</t>
  </si>
  <si>
    <t>R10 COMERCIO E SERVICOS DE INFORMATICA LTDA</t>
  </si>
  <si>
    <t>17/03 MP*MERCADOLIVRE -compra roteador TP LINK TL ER</t>
  </si>
  <si>
    <t>SEBASTIAO ROCHA REIS</t>
  </si>
  <si>
    <t>PIX - REF A COMPRA DE ESTABILIZADOR GIMBAL</t>
  </si>
  <si>
    <t>Bonificações (*)</t>
  </si>
  <si>
    <t>ANA CLARA COLOMBO</t>
  </si>
  <si>
    <t>PIX - REF A CAMPANHA NPS - FDM LUCAS.HERNANDES UFSM-MED 2029.1 (PAC) · Porto Alegre - ORÇAMENTO NPS</t>
  </si>
  <si>
    <t>FUNDO DE MARKETING</t>
  </si>
  <si>
    <t>ANNA DUENHA GARANHANI</t>
  </si>
  <si>
    <t>PIX - REF A CAMPANHA NPS - FDM ISADORA-GUIMARÃES MED-UEMS 2027-2 VIVA (PAC) · Campo Grande - ORÇAMENTO NPS</t>
  </si>
  <si>
    <t>CARTAO DE CREDITO SANTANDER</t>
  </si>
  <si>
    <t>REF - 02/02 THE WALT DISNEY COMPANY - ASSINATURA DISNEY + CAMPANHA VIVA Round PIX - **PAGAR NA CONTA SANTANDER DO VITOR ** FATURA 01</t>
  </si>
  <si>
    <t>REF - 02/01 THE WALT DISNEY COMPANY - ASSINATURA DISNEY + CAMPANHA VIVA Round PIX  - **PAGAR NA CONTA SANTANDER DO VITOR ** FATURA 01</t>
  </si>
  <si>
    <t>FRANQUIA MONTES CLAROS</t>
  </si>
  <si>
    <t>PIX - premiação puxada pós vendas - 2026-1</t>
  </si>
  <si>
    <t>JOSE FELLIPE SANTIAGO DE SOUSA</t>
  </si>
  <si>
    <t>PIX - REF AO PROJETO DE ENTREVISTAS DO MKT</t>
  </si>
  <si>
    <t>LUIS DE PAULA MOURA PASCOAL DE OLIVEIRA</t>
  </si>
  <si>
    <t>Incluído pela importação a partir de um código de barras. BOL - Ref a ação : To fechado com a VIVA</t>
  </si>
  <si>
    <t>LUIZA PEREIRA - LINHARES - POUPANÇA</t>
  </si>
  <si>
    <t>MARIA DAS GRACAS ALVES FERREIRA</t>
  </si>
  <si>
    <t>PIX - REF A CAMPANHA NPS - FDM GABRIELA-TONIETO UNIFAGOC-ENF-UNIFICADA 2027-2 (PAC) · Uba - ORÇAMENTO NPS</t>
  </si>
  <si>
    <t>MARIA FERNANDA DE OLIVEIRA VIEIRA</t>
  </si>
  <si>
    <t>PIX - REF A CAMPANHA NPS - FDM IVES.CARVALHO MED-UNIDOMPEDRO 2029-2 (PAC) · Salvador - ORÇAMENTO NPS</t>
  </si>
  <si>
    <t>THE WALT DISNEY COMPANY (BRASIL) LTDA</t>
  </si>
  <si>
    <t>02/03 Disney Plus - ASSINATURA DISNEY + CAMPANHA VIVA Round PIX</t>
  </si>
  <si>
    <t>02/04 Disney Plus- - ASSINATURA DISNEY + CAMPANHA VIVA Round PIX ** CARTÃO PJ **</t>
  </si>
  <si>
    <t>VALENTINA RIBEIRO PIRES DA SILVA</t>
  </si>
  <si>
    <t>PIX - REF A CAMPANHA NPS - FDM JOÃO.GABRIEL UFSC FARM 2027/1 (PAC) · Florianópolis - ORÇAMENTO NPS</t>
  </si>
  <si>
    <t>VIVA EVENTOS RECIFE</t>
  </si>
  <si>
    <t>Condomínio</t>
  </si>
  <si>
    <t>SALVATERRA EMPREENDIMENTOS E PARTICIPACOES IMOBILIARIAS S.A</t>
  </si>
  <si>
    <t>PIX - REF AO PGT DO CONDOMÍNIO SALVATERRA MALL AUTORIZADO PELO MARCELO COMP 04/2026</t>
  </si>
  <si>
    <t>PIX - REF AO PGT DO CONDOMÍNIO SALVATERRA MALL AUTORIZADO PELO MARCELO COMP 01/2026 e 02/2026</t>
  </si>
  <si>
    <t>PIX - REF AO PGT DO CONDOMÍNIO SALVATERRA MALL AUTORIZADO PELO MARCELO COMP 03/2026</t>
  </si>
  <si>
    <t>VINCI - BRAND &amp; REVENUE</t>
  </si>
  <si>
    <t>PIX - REF A CONSULTORIA PARA EMPRESA - PARCELA 04/04</t>
  </si>
  <si>
    <t>PIX - REF A CONSULTORIA PARA EMPRESA - PARCELA 02/04</t>
  </si>
  <si>
    <t>PIX - REF A CONSULTORIA PARA EMPRESA  - PARCELA 01/04</t>
  </si>
  <si>
    <t>PIX - REF A CONSULTORIA PARA EMPRESA - PARCELA 03/04</t>
  </si>
  <si>
    <t>Consultorias e Treinamentos (*)</t>
  </si>
  <si>
    <t>ALURA</t>
  </si>
  <si>
    <t>27/06 ALURA PARC 09/12</t>
  </si>
  <si>
    <t>27/06 ALURA PARC 07/12 - REF A ASSINATURA DA PLATAFORMA DE CURSOS</t>
  </si>
  <si>
    <t>27/06 ALURA PARC 06/12   - REF A ASSINATURA DA PLATAFORMA DE CURSOS</t>
  </si>
  <si>
    <t>Consultorias e treinamentos (*)</t>
  </si>
  <si>
    <t>27/06 ALURA PARC 08/12</t>
  </si>
  <si>
    <t>CONQUER</t>
  </si>
  <si>
    <t>09/01 CONQUER - ref ao valor para validar o cartão</t>
  </si>
  <si>
    <t>REF CONQUER CURSOS **PAGAR NA CONTA SANTANDER DO VITOR ** FATURA 02</t>
  </si>
  <si>
    <t>REF CONQUER CURSOS - 02/01  **PAGAR NA CONTA SANTANDER DO VITOR ** FATURA 2</t>
  </si>
  <si>
    <t>PIX - REF A AÇÃO TIME POS VENDA</t>
  </si>
  <si>
    <t>Mês</t>
  </si>
  <si>
    <t>ONFLY</t>
  </si>
  <si>
    <t>VIAGEM REGIS E BARBARA - VALOR DA PLANILHA DE VIAGENS</t>
  </si>
  <si>
    <t>BR PEOPLE SOLUCOES EM DP LTDA</t>
  </si>
  <si>
    <t>BOL REF A CONTABILIDADE REF.04/2026- ROTINA DE DEPARTAMENTO DE PESSOAL</t>
  </si>
  <si>
    <t>BOL REF A CONTABILIDADE REF. 04/2026 - ROTINA DE DEPARTAMENTO DE PESSOAL</t>
  </si>
  <si>
    <t>DEP REF A CONTABILIDADE REF. 02/2026 - ROTINA DE DEPARTAMENTO DE PESSOAL</t>
  </si>
  <si>
    <t>BOL REF A CONTABILIDADE REF.01/2026 - ROTINA DE DEPARTAMENTO DE PESSOAL</t>
  </si>
  <si>
    <t>BOL REF A CONTABILIDADE REF. 01/2026 - ROTINA DE DEPARTAMENTO DE PESSOAL</t>
  </si>
  <si>
    <t>BOL- REF A CONTABILIDADE REF. 03/2026 - ROTINA DE DEPARTAMENTO DE PESSOAL</t>
  </si>
  <si>
    <t>BOL - REF A CONTABILIDADE REF. 03/2026 - ROTINA DE DEPARTAMENTO DE PESSOAL</t>
  </si>
  <si>
    <t>BRIT CONTABILIDADE LTDA</t>
  </si>
  <si>
    <t>BOL REF A CONTABILIDADE REF. 04/2026</t>
  </si>
  <si>
    <t>Dep ref ao reembolso Brit - Serviços Adicionais Ref. OneFlow Omie - COMP 04/2026</t>
  </si>
  <si>
    <t>BOL REF A CONTABILIDADE REF. 02/2026</t>
  </si>
  <si>
    <t>BOL REF A CONTABILIDADE REF.: 02/2026</t>
  </si>
  <si>
    <t>Dep ref ao reembolso Brit - Serviços Adicionais Ref. OneFlow Omie - COMP02/2026</t>
  </si>
  <si>
    <t>BOL REF A CONTABILIDADE REF. 01/2026  4,26%, conforme o índice IPCA</t>
  </si>
  <si>
    <t>Incluído pela importação a partir de um código de barras. BOL ref ao reembolso Brit - Serviços Adicionais Ref. OneFlow Omie - COMP 01/2026</t>
  </si>
  <si>
    <t>DEP REF A CONTABILIDADE REF. 03/2026</t>
  </si>
  <si>
    <t>Dep ref ao reembolso Brit - Serviços Adicionais Ref. OneFlow Omie - COMP 03/2026</t>
  </si>
  <si>
    <t>BOL REF A CONTABILIDADE REF. 03/2026</t>
  </si>
  <si>
    <t>DG CONTABILIDADE LTDA</t>
  </si>
  <si>
    <t>DEP - REF A ALTERAÇÃO CONTRATUAL 2026</t>
  </si>
  <si>
    <t>SABIN SINAI - COPART/MENS - COMP 07/2026</t>
  </si>
  <si>
    <t>SABIN SINAI - COPART/MENS - COMP 01/2026</t>
  </si>
  <si>
    <t>PIX PAGAR SOMENTE COM O RECEBIMENTO DA ATA  BOL - REF A ATA SPDX</t>
  </si>
  <si>
    <t>PIX- REF A ATA DA FRANQUEADORA</t>
  </si>
  <si>
    <t>SABIN SINAI - COPART/MENS - COMP 05/2026</t>
  </si>
  <si>
    <t>SABIN SINAI - COPART/MENS - COMP 02/2026</t>
  </si>
  <si>
    <t>DIONISIO LOURO</t>
  </si>
  <si>
    <t xml:space="preserve">SALARIO PJ </t>
  </si>
  <si>
    <t>ELPIDIO JOSE FRANCISCO FILHO</t>
  </si>
  <si>
    <t>DEP - SALARIO PJ - COMP 04/2026 não teve desconto da cirurgia autorizado Marcela</t>
  </si>
  <si>
    <t>DEP - SALARIO PJ - COMP 02/2026 VALOR R$ 1250,00 - r$ 800,00 ( V COMPANY ) PAGAMENTO EMPRÉSTIMO CIRURGIA</t>
  </si>
  <si>
    <t>DEP - SALARIO PJ - COMP 01/2026 VALOR R$ 1250,00 - r$ 800,00 ( V COMPANY ) PAGAMENTO EMPRÉSTIMO CIRURGIA</t>
  </si>
  <si>
    <t>DEP - SALARIO PJ - COMP 03/2026 - emitir nota fiscal de R$ 100,00 VALOR R$ 1250,00 - r$ 800,00 ( V COMPANY ) PAGAMENTO EMPRÉSTIMO CIRURGIA</t>
  </si>
  <si>
    <t>HOTMART</t>
  </si>
  <si>
    <t>Incluído pela importação a partir de um código de barras. BOL - Curso GP - People Summit ** FORA DO ORÇAMENTO - FALTA AUTORIZAÇÃO VITOR **</t>
  </si>
  <si>
    <t>POTTENCIAL SEGURADORA S.A.</t>
  </si>
  <si>
    <t>APÓLICE Nº: 0306920269907760075702000 nome ANA CLARA ELI DE CARVALHO</t>
  </si>
  <si>
    <t>ESTORNO TAXA DO MUNDO VIVA - fundo: SUPERINTEGRADA TÉCNICO DE ENFERMAGEM SEG 2026-1 (SI) RP 837100</t>
  </si>
  <si>
    <t>VIVA EVENTOS ITAPERUNA - 3PS</t>
  </si>
  <si>
    <t>DEP - ESTORNO DE FDM ** PAGAR PELA CONTA FDM**</t>
  </si>
  <si>
    <t>ANNA-LUIZA-DE-CAMPOS-BRAGA FASA-MED 2026-1 (PAC) (MED T5 FASA)#6816#VEDIG</t>
  </si>
  <si>
    <t>ref ao roy pago a maior - email Conciliação VIVA GO</t>
  </si>
  <si>
    <t>Agosto</t>
  </si>
  <si>
    <t>Incluído pela importação a partir de um código de barras. BOL - ESTORNO FDM PAGAR PELA CONTA : Banco do Brasil - FDM</t>
  </si>
  <si>
    <t>Incluído pela importação a partir de um código de barras. BOL - ESTORNO ROY</t>
  </si>
  <si>
    <t>VIVA EVENTOS PORTO ALEGRE</t>
  </si>
  <si>
    <t>DEP - ESTORNO DE FDM ** PAGAR PELA CONTA FDM** MOTIVO: no fechamento do fundo, foram identificados boletos de repasse da Uniticket relativos a pré-eventos de arrecadação (fora do projeto) que não são taxados.</t>
  </si>
  <si>
    <t>DEP - ESTORNO DE ROYALTIES ** PAGAR PELA CONTA 123049-2** motivo: no fechamento do fundo, foram identificados boletos de repasse da Uniticket relativos a pré-eventos de arrecadação (fora do projeto) que não são taxados.</t>
  </si>
  <si>
    <t>VIVA SÃO PAULO</t>
  </si>
  <si>
    <t>BOL - ESTORNO DE FDM ** PAGAR PELA CONTA FDM**</t>
  </si>
  <si>
    <t>BOL - ESTORNO DE ROYALTIES ** PAGAR PELA CONTA 123049-2**</t>
  </si>
  <si>
    <t>CARLA.JUSTO ENFERMAGEM IBMR 25.1 (PAC)#7548#RIO</t>
  </si>
  <si>
    <t>ESTORNO ROYALTIES</t>
  </si>
  <si>
    <t>PPV EVENTOS - CC INTER</t>
  </si>
  <si>
    <t>BOL - ESTORNO DE ROYALTIES  ** PAGAR PELA CONTA 123049-2**</t>
  </si>
  <si>
    <t>LANÇAMENTO MANUAL</t>
  </si>
  <si>
    <t>Retorno dos valores das vendas das Franquias HERO - Ilhéus/Itabuna e Vitória da Conquista (e-mail RESCISÃO FRANQUIAS HERO - Ilhéus/Itabuna e Vitória da Conquista)</t>
  </si>
  <si>
    <t>Expansão</t>
  </si>
  <si>
    <t>LUIZA PEREIRA - LINHARES</t>
  </si>
  <si>
    <t>ESTORNO DE VALOR FECHAMENTO DO FUNDO LINHARES - ANA.THOMAZELLI MULTIVIX-SÃO MATEUS 25-2</t>
  </si>
  <si>
    <t>VIVA EVENTOS JUIZ DE FORA</t>
  </si>
  <si>
    <t>FUNDACAO ABAN</t>
  </si>
  <si>
    <t>DEP REF DOAÇÃO PARA FUNDAÇÃO ABAN - PGTO DA INTERNET (MEGACOM)- COMP 04/2026</t>
  </si>
  <si>
    <t>DEP REF DOAÇÃO PARA FUNDAÇÃO ABAN - PGTO DA INTERNET (MEGACOM)- COMP 02/2026</t>
  </si>
  <si>
    <t>DEP REF DOAÇÃO PARA FUNDAÇÃO ABAN - PGTO DA INTERNET (MEGACOM)- COMP 01/2026</t>
  </si>
  <si>
    <t>DEP REF DOAÇÃO PARA FUNDAÇÃO ABAN - PGTO DA INTERNET (MEGACOM)- COMP 03/2026</t>
  </si>
  <si>
    <t>PAES E DOCES NOVA FANTASTICA LTDA</t>
  </si>
  <si>
    <t>Incluído a partir do recebimento da NF-e. Ref ao café pago para os freelas que trabalharam na semana de doações SOS zona da mata no Terrazzo . Essa despesa não é para vincular ao projeto</t>
  </si>
  <si>
    <t>CEMIG D</t>
  </si>
  <si>
    <t>REF A ENERGIA ELÉTRICA DO HUB - MATRICULA 3002374539 - COMP 04/2026 MEDIA DE CONSUMO 2371 KW/H * R$1,12 Pagamento feito para a ABD Holding</t>
  </si>
  <si>
    <t>DIN REF A ENERGIA ELÉTRICA DO HUB - MATRICULA 3002374539 - COMP 02/2026 MEDIA DE CONSUMO 2677 KW/H * R$ 3.025,01 Pagamento feito para a ABD Holding</t>
  </si>
  <si>
    <t>DIN- REF A ENERGIA ELÉTRICA DO HUB - MATRICULA 3002374539  - COMP 01/2026 MEDIA DE CONSUMO 2335KW/H * r$ 1,11 Pagamento feito para a ABD Holding</t>
  </si>
  <si>
    <t>DIN - REF A ENERGIA ELÉTRICA DO HUB - MATRICULA 3002374539 - COMP 03/2026 MEDIA DE CONSUMO 2446 KW/H * R$1,12 Pagamento feito para a ABD Holding</t>
  </si>
  <si>
    <t>Equipamentos de Informática</t>
  </si>
  <si>
    <t>AGP</t>
  </si>
  <si>
    <t>20/01 MLP*KaBuM Ace PARC 01/10 - REF A COMPRA NOTEBOOK GUILHERME GP</t>
  </si>
  <si>
    <t>20/01 MLP*KaBuM Ace PARC 02/10 - REF A COMPRA NOTEBOOK GUILHERME GP</t>
  </si>
  <si>
    <t>KALUNGA SA</t>
  </si>
  <si>
    <t>23/05 MagaluPay*Mag PARC 10/10 - COMPRAS DE 3 NOTES</t>
  </si>
  <si>
    <t>23/05 MagaluPay*Mag PARC 08/10 - COMPRAS DE 3 NOTES</t>
  </si>
  <si>
    <t>23/05 MagaluPay*Mag PARC 09/10 - COMPRAS DE 3 NOTES</t>
  </si>
  <si>
    <t>THRANSPORTA ENTREGA LTDA</t>
  </si>
  <si>
    <t>BOL - REF AO MOTOBOY COMP 04/2026</t>
  </si>
  <si>
    <t>BOL - REF AO MOTOBOY COMP 02/2026 ** PAGAR PELO BB POR CAUSA DO COD DE BARRAS **</t>
  </si>
  <si>
    <t>BOL- REF AO MOTOBOY COMP 01/2026</t>
  </si>
  <si>
    <t>DEP - REF AO MOTOBOY COMP 03/2026</t>
  </si>
  <si>
    <t>REF UBER - Alexander - IDA/VOLTA evento sabin sinai - R$ 53,19 + Gravacao TV integracao comboio do bem-  R$ 22,92</t>
  </si>
  <si>
    <t>Fretes e Transportes em Geral (*)</t>
  </si>
  <si>
    <t>AMAZON.COM.BR</t>
  </si>
  <si>
    <t>27/12 AmazonPrimeBR - PLATAFORMA DE COMPRAS COM FRETE GRÁTIS</t>
  </si>
  <si>
    <t>ESTACIONAMENTOS ADMINISTRATIVOS</t>
  </si>
  <si>
    <t>DIN - REF AO ESTACIONAMENTO BANCO - r$ 29,00 - Estacionamento banco dia 07/04 + r$ 11,00 - Estacionamento banco dia 31/03 + r$ 17,00 - Estacionamento + gasolina banco dia 01/04</t>
  </si>
  <si>
    <t>DIN - Estacionamento banco dia 14/04</t>
  </si>
  <si>
    <t>DIN - ESTACIONAMENTO SERVIÇO DE BANCO - 10,00 - Estacionamento banco dia 19/02 18,00 - Estacionamento banco dia 25/02 10,50 - Estacionamento banco dia 26/02</t>
  </si>
  <si>
    <t>DIN - ESTACIONAMENTO SERVIÇO DE BANCO r$ 13,00 - Estacionamento banco dia 27/01 + r$ 21,00 - Estacionamento banco dia 29/01 + r$ 16,50 - Estacionamento banco dia 03/02</t>
  </si>
  <si>
    <t>DIN ESTACIONAMENTO - r$ 3,00 - Estacionamento banco dia 12/02 + r$ 21,50 - Estacionamento banco dia 10/2</t>
  </si>
  <si>
    <t>DIN - ESTACIONAMENTO SERVIÇO DO BANCO - r$13,00 - Estacionamento banco dia 22/01 + r$ 20,00 - Estacionamento banco dia 20/01</t>
  </si>
  <si>
    <t>DIN - Estacionamento banco dia 06/01</t>
  </si>
  <si>
    <t>DIN - Estacionamento banco dia 13/01</t>
  </si>
  <si>
    <t>DIN - ESTACIONAMENTO E UBER SERVIÇO DE BANCO - 21,50 - Estacionamento banco dia 03/03 14,00 - Estacionamento banco dia 05/03 82,70 - Reembolso Marina Uber e estacionamento dias 04/03 e 10/03</t>
  </si>
  <si>
    <t>DIN - REF AO ESTACIONAMENTO DO UBER - 7,00 - Estacionamento banco dia 13/03 18,00 - Estacionamento banco dia 17/03 16,50 - Estacionamento banco dia 23/03 12,50 - Estacionamento banco dia 24/03 7,00 - Estacionamento banco dia 25/03 24,00 - Estacionamento banco dia 26/03</t>
  </si>
  <si>
    <t>DEP - REF AO ESTACIONAMENTO REUNIÃO DIGITAL CONTABILIDADE</t>
  </si>
  <si>
    <t>PIX - REF AO REEMBOLSO ESTACIONAMENTO BANCO</t>
  </si>
  <si>
    <t>REF AO UBER JANETE - BANCO - MARÇO / 2026</t>
  </si>
  <si>
    <t>REF AO UBER -Bem laranja + Buscar camisas na trinca - Laura Branco</t>
  </si>
  <si>
    <t>BEM LARANJA</t>
  </si>
  <si>
    <t>REF AO UBER - Guilherme Gonçalves -SOS JF - 01/03</t>
  </si>
  <si>
    <t>REF AO UBER MERCADO - COMPRAS HUB - Larissa Militino</t>
  </si>
  <si>
    <t>REF AO UBER - Retorno hora extra bem laranja - 03/06/2026 - Alexander Barros</t>
  </si>
  <si>
    <t>Ref ao uber - Larissa Militino - compras hub</t>
  </si>
  <si>
    <t>REF AO UBER AÇÃO VIVA JF - Gustavo Otoni</t>
  </si>
  <si>
    <t>Consultoria e Performance</t>
  </si>
  <si>
    <t>REF AO UBER JANETE - BANCO - FEVEREIRO / 2026</t>
  </si>
  <si>
    <t>REF AO UBER - HAPPY DE CARNAVAL - GUILHERME</t>
  </si>
  <si>
    <t>DIN - REF AO UBER BANCO - r$ 35,29 - Uber Marina banco dia 06/04 + r$66,55 - Uber Marina e Livia banco dia 02/04</t>
  </si>
  <si>
    <t>DIN - Uber Livia banco dia 05/02</t>
  </si>
  <si>
    <t>REF AO UBER SERVIÇO DE BANCO - COMP 12/2025</t>
  </si>
  <si>
    <t>UBER TIME GESTÃO DE PESSOAS : ALEXANDER - R$ 18,00 + GUILHERRME - R$ 27,64 + LAURA - R$ 140,95 + RÉGIS - R$ 21,48 + LARISSA - R$ 34,36</t>
  </si>
  <si>
    <t>REF UBER - Larissa Felicio - exame prevenir- r$ 39,72 + GESTUR - r$ 35,44</t>
  </si>
  <si>
    <t>REF UBER - Laura - Gestur - R$ 17,95 +- Envelope Mariana Bellei - R$ 11,53</t>
  </si>
  <si>
    <t>REF UBER - REGIS -  Entrega decoracao de natal R$ 17,85 + Treinamento moinhor$ 83,01</t>
  </si>
  <si>
    <t>REF AO UBER IDA E VOLTA - SERVIÇO DE BANCO - JANETE - 12/2025</t>
  </si>
  <si>
    <t>REF UBER - Larissa Militino - Compras HUB</t>
  </si>
  <si>
    <t>UBER BANCO JANETE - COMP 01/2026</t>
  </si>
  <si>
    <t>COMPRAS HUB</t>
  </si>
  <si>
    <t>Projeto Bem-estar - Guilherme</t>
  </si>
  <si>
    <t>IOF s/ Aplicação Financeira</t>
  </si>
  <si>
    <t>Não informado</t>
  </si>
  <si>
    <t>IOF sobre resgates no mês 02/2026</t>
  </si>
  <si>
    <t>I.O.F RENDA FIXA MÊS DE FEVEREIRO/26</t>
  </si>
  <si>
    <t>IOF sobre resgates no mês 01/2026</t>
  </si>
  <si>
    <t>SABIN SINAI - COPART/MENS - COMP 03/2026</t>
  </si>
  <si>
    <t>I.O.F 01/2026</t>
  </si>
  <si>
    <t>IOF sobre resgates no mês 03/2026</t>
  </si>
  <si>
    <t>SABIN SINAI  - COMP 06/2026</t>
  </si>
  <si>
    <t>I.O.F RENDA FIXA MÊS DE MARÇO/26</t>
  </si>
  <si>
    <t>IR s/ Aplicação Financeira</t>
  </si>
  <si>
    <t>IR sobre resgates no mês 02/2026</t>
  </si>
  <si>
    <t>IR s/ Rendimentos (Lançamentos fora da planilha SPDX)</t>
  </si>
  <si>
    <t>I.R. RENDA FIXA MÊS DE FEVEREIRO/26</t>
  </si>
  <si>
    <t>IR sobre resgates no mês 01/2026</t>
  </si>
  <si>
    <t>I.R. 01/2026</t>
  </si>
  <si>
    <t>IR Retido 01/2026</t>
  </si>
  <si>
    <t>SABIN SINAI - COPART/MENS - COMP.: 04/2026</t>
  </si>
  <si>
    <t>IR sobre resgates no mês 03/2026</t>
  </si>
  <si>
    <t>IR Retido CONTAMAX 03/2026</t>
  </si>
  <si>
    <t>I.R. RENDA FIXA MÊS DE MARÇO/26</t>
  </si>
  <si>
    <t>41.362.810 LISIA JANNUZZI FAQUIM</t>
  </si>
  <si>
    <t>PIX - REF A ADESIVAÇÃO PORTARIA HUB</t>
  </si>
  <si>
    <t>EBENEZER MATERIAIS ELETRICOS</t>
  </si>
  <si>
    <t>Incluído a partir do recebimento da NF-e. BOL REF A COMPRA DE LÂMPADAS PARA O HUB</t>
  </si>
  <si>
    <t>BOL - REF A MANUTENÇÃO DE 6 NO-BREAKS</t>
  </si>
  <si>
    <t>Contratados Pessoas Jurídicas (*)</t>
  </si>
  <si>
    <t>DEP SALÁRIO - COMP 04/2026</t>
  </si>
  <si>
    <t>PIX - Ref a  2 unidades de adaptador HDMI para VGA.</t>
  </si>
  <si>
    <t>Manutenção de Imobilizado (*)</t>
  </si>
  <si>
    <t>AMAZON SERVICOS DE VAREJO DO BRASIL LTDA.</t>
  </si>
  <si>
    <t>05/03 AMAZONMKTPLC -defletores para ar-condicionado</t>
  </si>
  <si>
    <t>LEONARDO RIBEIRO ALMEIDA</t>
  </si>
  <si>
    <t>REF AO CONSERTO DO PROJETO DO HUB</t>
  </si>
  <si>
    <t>marcelo bahia de souza</t>
  </si>
  <si>
    <t>PIX - REF A MANUTENÇÃO NOTEBOOK ALEXANDER - GP - conferido orçamento</t>
  </si>
  <si>
    <t>PIX - Manutenção notebook Barbara - setor CAF - conferido orçamento</t>
  </si>
  <si>
    <t>PIX - REF AO CONVERTO NOTEBOOK PARA ESTOQUE DA FRANQUEADORA + CONCERTO NOTEBOOK VITORIA EXPANSÃO</t>
  </si>
  <si>
    <t>PIX - REF A MANUTENÇÃO NET LUIZ CONSULTORIA</t>
  </si>
  <si>
    <t>PIX - REF AO CONSERTO NOTEBOOK LUCAS QUOKKA</t>
  </si>
  <si>
    <t>ROMERO TAVARES - CONTA POUPANÇA</t>
  </si>
  <si>
    <t>DEP - REF A MANUTENÇÃO DOS APARELHOS AR CONDICIONADO - SPLITS E CENTRAIS - **ORÇADO EM MANUTENÇÃO DO HUB**</t>
  </si>
  <si>
    <t>BOL - Inscrição Selo de Excelência 2026</t>
  </si>
  <si>
    <t>CIRURGICA SAUDE</t>
  </si>
  <si>
    <t>Incluído a partir do recebimento da NF-e. BOL - REF A COMPRA DE JALECO - CAMPANHA 2025 - Meu Jaleco por Conta da Viva</t>
  </si>
  <si>
    <t>FACEBOOK SERVICOS ONLINE DO BRASIL LTDA.</t>
  </si>
  <si>
    <t>REF ANÚNCIOS EXPANSÃO - **CARTÃO PJ** 04/04 FACEBK *HT7K9LRKL2 R$ 4.825,93 + 3/04 FACEBK *ZTZ8CNHKL2 R$ 2.148,04</t>
  </si>
  <si>
    <t>13/03 FACEBK *5QFKNH5KL2 - ANÚNCIOS</t>
  </si>
  <si>
    <t>DIN - REF AO REEMBOLSO PAGO ERRADO NA CUBO : registro do domínio mednation.com.br - solicitação Jhonny - leozinho pediu a Lari para pagar na cubo - - ref ao projeto em analise do mkt da franqueadora com o MEDgrupo.</t>
  </si>
  <si>
    <t>GOOGLE BRASIL INTERNET LTDA</t>
  </si>
  <si>
    <t>01/04 Google ADS4958468139 - ANÚNCIOS YOUTUBE EXPANSÃO **CARTÃO PJ**</t>
  </si>
  <si>
    <t>01/03 Google ADS4958468139 ANÚNCIOS YOUTUBE EXPANSÃO</t>
  </si>
  <si>
    <t>01/01 DL *GOOGLE ADS49584681 SAO PAULO - ANÚNCIOS YOUTUBE EXPANSÃO</t>
  </si>
  <si>
    <t>01/12 Google ADS4958468139 SAO PAULO -  ANÚNCIOS YOUTUBE EXPANSÃO</t>
  </si>
  <si>
    <t>01/02 Google ADS4958468139 - ANÚNCIOS YOUTUBE EXPANSÃO</t>
  </si>
  <si>
    <t>GUSTAVO ALVES DA SILVA 70028760158</t>
  </si>
  <si>
    <t>PIX - REF AO PAGAMENTO CRIAÇÃO MASCOTE - ** FORA DO ORÇAMENTO - AUTORIZADO PELO RENATO ** Mascote seria do pedido 35288 no Sults - fundo: 8861 LUCAS.HERNANDES UFSM-MED 2029.1 (PAC) para a franquia de Porto Alegre, em acordo com o Diego.</t>
  </si>
  <si>
    <t>JULIA GALLO BERTOLLA LTDA</t>
  </si>
  <si>
    <t>Ref a campanha Viva em Dia março - **CARTÃO PJ**</t>
  </si>
  <si>
    <t>OBVIO BRASIL</t>
  </si>
  <si>
    <t>BOL ASSINATURA PLATAFORMA RECLAME AQUI</t>
  </si>
  <si>
    <t>Incluído pela importação a partir de um código de barras. BOL ASSINATURA PLATAFORMA RECLAME AQUI</t>
  </si>
  <si>
    <t>Incluído a partir do recebimento da NF-e. DEP - REF A COMPRAS PARA COFFE - REUNIÃO COM ALUNO MEDICIA - JHONNY, HUMBERTO E RENATO ** FORA DO ORÇAMENTO - AUTORIZADO PELO RENATO **</t>
  </si>
  <si>
    <t>QUEIJARIA LA PORTA</t>
  </si>
  <si>
    <t>PIX - REF A COMPRA DE BRINDES PARA PARCEIROS - FINANCEIRO QUOKKA estorno imposto : R$ 10,22</t>
  </si>
  <si>
    <t>SAD CONSULTORIA LTDA.</t>
  </si>
  <si>
    <t>BOL REF A PAGAMENTO PLATAFORMA - COMP 04/2025</t>
  </si>
  <si>
    <t>BOL REF A PAGAMENTO PLATAFORMA - COMP 02/2026</t>
  </si>
  <si>
    <t>BOL REF A PAGAMENTO PLATAFORMA - COMP 01/2026</t>
  </si>
  <si>
    <t>BOL REF A PAGAMENTO PLATAFORMA - COMP 03/2026</t>
  </si>
  <si>
    <t>Estava Fevereiro</t>
  </si>
  <si>
    <t>SMASHPOINTS TECNOLOGIA LTDA.</t>
  </si>
  <si>
    <t>STRIPE BRASIL SOLUCOES DE PAGAMENTO INSTITUICAO DE PAGAMENTO LTDA</t>
  </si>
  <si>
    <t>Incluído pela importação a partir de um código de barras. BOL - REF A CAMPANHA VIVA EM DIA - Campanhas de adesão, fundos e adimplência</t>
  </si>
  <si>
    <t>VITORIA DUTRA ZANCANELA</t>
  </si>
  <si>
    <t>BOL - REF AO SERVIÇO DE MKT FREELA SOCIAL MEDIA - 05/04 A 11/04</t>
  </si>
  <si>
    <t>BOL - REF AO SERVIÇO DE MKT FREELA SOCIAL MEDIA - 12/04 A 25/04</t>
  </si>
  <si>
    <t>BOL - REF AO SERVIÇO DE MKT FREELA SOCIAL MEDIA - 26/04 A 01/05</t>
  </si>
  <si>
    <t>DIN - REF AO ESTACIONAMENTO BANCO -  3,00 - Estacionamento dia 28/07 + 6,00 - Estacionamento dia 16/07 +  9,00 - Estacionamento dia 16/07 +  11,00 - Estacionamento dia 21/07 + 9,00 - Estacionamento dia 23/07</t>
  </si>
  <si>
    <t>Marketing (*)</t>
  </si>
  <si>
    <t>Ref a campanha Viva em Dia março - compra de kindle- **CARTÃO PJ**</t>
  </si>
  <si>
    <t>Ref a campanha Viva em Dia março - compra de headphone - **CARTÃO PJ**</t>
  </si>
  <si>
    <t>BNI BRASIL</t>
  </si>
  <si>
    <t>ENCONTRO Evento BNI ZMV Empreendedores - 06/01/2025 solicitação Marcos - JSR Negócios Nome fornecedor</t>
  </si>
  <si>
    <t>DARCY DE ALMEIDA MOTA JUNIOR</t>
  </si>
  <si>
    <t>PIX - Puxada de Vendas - MARÇO /2026 - VIVA SÃO PAULO</t>
  </si>
  <si>
    <t>EMKT LTDA</t>
  </si>
  <si>
    <t>DIN - ENVIADO PARA O CAIXA DA FEAT - 
comp  04/2026 e 05/2026</t>
  </si>
  <si>
    <t>01/01 FACEBK *2TLFLCVCK2 - REF - FACEBOOK - WPP Business Expansão - R$ 100,03 + R$3,50 IOF - COMP 01/2026</t>
  </si>
  <si>
    <t>27/11 FACEBK *JYKJ98HCK2 r$ 334,83 + IOF 11,71  - WPP Business Expansão</t>
  </si>
  <si>
    <t>JSR NEGOCIOS</t>
  </si>
  <si>
    <t>** PREVISÃO ** PIX - REF AO CURSO BNI - REF A XX//2026 - https://go.novoingresso.com.br/bni-zmv-empreendedores</t>
  </si>
  <si>
    <t>CONFIRMAR COM O MARCOS - PIX - REF AO CURSO BNI - REF A FEV/2026</t>
  </si>
  <si>
    <t>PIX - REF AO CURSO BNI - REF A FEV/2026</t>
  </si>
  <si>
    <t>PIX - REF AO CURSO BNI - DEZEMBRO</t>
  </si>
  <si>
    <t>PIX - REF AO CURSO BNI - REF A MARÇO /2026</t>
  </si>
  <si>
    <t>CATEGORIA</t>
  </si>
  <si>
    <t>MARCOS MAINI DUQUE - SANTANDER - Cc 01033275</t>
  </si>
  <si>
    <t>DEP - REF AO REEMBOLSO DESPESAS Presencial BNI :: 07/04/2026</t>
  </si>
  <si>
    <t>DEP - Ref almoço Gêneses multi franqueado</t>
  </si>
  <si>
    <t>RENAN SOTRATE FERREIRA</t>
  </si>
  <si>
    <t>PIX -  Puxada de Vendas - JAN / FEV - 2026 - VIVA Volta Redonda</t>
  </si>
  <si>
    <t>COBERTURA EVENTO DIA 18/01/26</t>
  </si>
  <si>
    <t>PIX - REF A COBERTURA DO EVENTO NOVOS FRANQUEADOS -não é despesa do evento é despesa do fdm</t>
  </si>
  <si>
    <t>VIVA CASCAVEL</t>
  </si>
  <si>
    <t>PIX -  Puxada de Vendas - JAN / FEV - 2026</t>
  </si>
  <si>
    <t>PIX - Puxada de Vendas - MARÇO /2026</t>
  </si>
  <si>
    <t>VIVA EVENTOS LAVRAS</t>
  </si>
  <si>
    <t>Material de Limpeza / Escritório / Mercado / Padaria (*)</t>
  </si>
  <si>
    <t>DIN - Compra de desentupidor para o Hub</t>
  </si>
  <si>
    <t>DIN - Compra de itens de cozinha para o Hub (autorizado Marcela)</t>
  </si>
  <si>
    <t>BARAOSHOP VARIEDADES LTDA</t>
  </si>
  <si>
    <t>23/01 MP*MERCADOLIVRE - compras de etiquetas para o hab</t>
  </si>
  <si>
    <t>Doce Minas</t>
  </si>
  <si>
    <t>Incluído a partir do recebimento da NF-e. BOL - REF A COMPRA DE BISCOITO SALAS DE REUNIÕES HUB</t>
  </si>
  <si>
    <t>Incluído a partir do recebimento da NF-e. BOL - REF A COMPRAS DE BISCOITOS PARA O HUB</t>
  </si>
  <si>
    <t>EMBALART</t>
  </si>
  <si>
    <t>Incluído a partir do recebimento da NF-e. BOL REF A COMPRA DE AROMATIZANTE PARA O HUB</t>
  </si>
  <si>
    <t>Incluído a partir do recebimento da NF-e.</t>
  </si>
  <si>
    <t>FABIO GOMES DOS SANTOS E-COMERCE</t>
  </si>
  <si>
    <t>02/03 MP*GOFERRAMENTAS - compra de ESTILETE para caixinha</t>
  </si>
  <si>
    <t>FACILITART</t>
  </si>
  <si>
    <t>Incluído a partir do recebimento da NF-e. BOL REF A COMPRA DE PAPEL HIGIÊNICO PARA HUB PAPEL BOBINA PARA HUB</t>
  </si>
  <si>
    <t>Incluído a partir do recebimento da NF-e. BOL REF A COMPRA DE PAPEL TOALHA PARA HUB</t>
  </si>
  <si>
    <t>Incluído a partir do recebimento da NF-e. BOL - Ref a compra de papel higiênico e papel toalha para o Hub</t>
  </si>
  <si>
    <t>FATO COMERCIO ONLINE LTDA</t>
  </si>
  <si>
    <t>19/02 MP*MERCADOLIVRE - Relogio de Parede</t>
  </si>
  <si>
    <t>IFOOD BENEFICIOS E SERVICOS LTDA.</t>
  </si>
  <si>
    <t>BOL - CRÉDITO CARTÃO EMPRESA - COMP 04/2026 PAGAR PELO BB COMPRAS MENSAL HUB R$ 936,39 01/04/2026 ---- SALDO r$ 1.563,61</t>
  </si>
  <si>
    <t>BOL - CRÉDITO CARTÃO EMPRESA - COMP 02/2026 PAGAR PELO BB ---- R$ 2.324,65 - Compras HUB ----- saldo R$175,35 R$ 175,35 compras hub 04/03/2026</t>
  </si>
  <si>
    <t>Crédito</t>
  </si>
  <si>
    <t>PIX - RECARGA COMPLEMENTAR CARTÃO EMPRESA PARA TNF 26.1 - PAGAR PELO BB 00020101021226850014br.gov.bcb.pix2563qrcode.zoop.com.br/dynamic/d89dd049-3529-4fde-ae5f-2ec9263dc10f5204000053039865802BR5925ZOOP TECNOLOGIA &amp; INSTITU6009Sao Paulo610901227-20062070503***63043CA3 --- compras para o hub</t>
  </si>
  <si>
    <t>Invente Personalizados</t>
  </si>
  <si>
    <t>Incluído pela importação a partir de um código de barras. BOL - REF A COMPRA DE CRACHÁS: Babi Sales, André Gonzaga, Marley Moraes, Alexandre Massacani e Gustavo Otoni.</t>
  </si>
  <si>
    <t>IRMAOS SOLDATI LTDA - POUPANÇA</t>
  </si>
  <si>
    <t>Incluído a partir do recebimento da NF-e. DEP - Ref compra de copos descartáveis para o HUB.</t>
  </si>
  <si>
    <t>Incluído a partir do recebimento da NF-e. DEP - Referente à compra de insumos para o HUB.</t>
  </si>
  <si>
    <t>Incluído a partir do recebimento da NF-e. DEP - Referente a  compra de sacos de lixo para o HUB.</t>
  </si>
  <si>
    <t>Incluído a partir do recebimento da NF-e. DEP - Referente a  compra descartáveis  para o HUB.</t>
  </si>
  <si>
    <t>Incluído a partir do recebimento da NF-e. DEP - Referente a compra de descartáveis para o HUB</t>
  </si>
  <si>
    <t>Incluído a partir do recebimento da NF-e. As compras foram realizadas para o HUB</t>
  </si>
  <si>
    <t>Incluído a partir do recebimento da NF-e. DEP - referente a compra de insumos para o HUB.</t>
  </si>
  <si>
    <t>Incluído a partir do recebimento da NF-e. DEP - referente a compra de insumos para o HUB</t>
  </si>
  <si>
    <t>Incluído pela importação a partir de um código de barras. BOL - ref a compra de pilhas AA e pilhas AAA para o HUB</t>
  </si>
  <si>
    <t>MARIA DE FATIMA BARBOZA GOMES LTDA</t>
  </si>
  <si>
    <t>19/02 MP*MERCADOLIVRE - Suporte Inox de Vassoura</t>
  </si>
  <si>
    <t>Mega Loja comercio de produtos ilimitados LTDA</t>
  </si>
  <si>
    <t>02/03 MP*MERCADOLIVRE - compra Tesoura para caixinha</t>
  </si>
  <si>
    <t>MERCADO PAGO.COM REPRESENTAÇÕES LTDA</t>
  </si>
  <si>
    <t>20/02 MP*19PRODUTOS - ITENS PARA CAIXINHA - REF AS NOTAS : 176.469 / 5.034 / 8.229.488 / 22.279/ 5.033/ 50.686/ 591.628/ 74.869/ 12.014/ 201.624/ 165.010/ 2.407.846/ 2.491/ 33.563/ 25.426/ 56.778</t>
  </si>
  <si>
    <t>PIX - Ref a 05 suportes para notebook de alumínio para a franqueadora.</t>
  </si>
  <si>
    <t>MG PRINT</t>
  </si>
  <si>
    <t>PREVISÃO - BOL ref a recarga da impressa - mes XX</t>
  </si>
  <si>
    <t>BOL ref a recarga da impressa - mes janeiro</t>
  </si>
  <si>
    <t>MUNDO FIT SPORTWEAR LTDA</t>
  </si>
  <si>
    <t>19/01 MERCADOLIVRE*MUNDOFIT - Rolo de papel Kraft para o Hub</t>
  </si>
  <si>
    <t>Incluído pela importação a partir de um código de barras. BOL - REF A COMPRA DE 3 CARTÕES VIAGEM ONFLY</t>
  </si>
  <si>
    <t>Capacitação e Treinamentos (*)</t>
  </si>
  <si>
    <t>DARINO MOREIRA TENORIO</t>
  </si>
  <si>
    <t>DEP REF CONSULTORIA/TREINAMENTOS - COMP 02/2026 e 04/2026</t>
  </si>
  <si>
    <t>JOAO AUGUSTO FERREIRA RESENDE</t>
  </si>
  <si>
    <t>Outras Despesas Administrativas (*)</t>
  </si>
  <si>
    <t>CARTORIO ORMINDO MAIA FILHO</t>
  </si>
  <si>
    <t>DIN REF AO CARTÓRIO RECONHECIMENTO DE FIRMA - registro bem laranja</t>
  </si>
  <si>
    <t>N/D</t>
  </si>
  <si>
    <t>IOF sobre resgates no mês 06/2026</t>
  </si>
  <si>
    <t>DIN - FREELA LIMPEZA DIA 10/04</t>
  </si>
  <si>
    <t>DIN - FREELA LIMPEZA DIA 17/04</t>
  </si>
  <si>
    <t>DIN - FREELA LIMPEZA DIA 24/04</t>
  </si>
  <si>
    <t>DIN - Referente ao serviço de freela de limpeza hoje no HUB</t>
  </si>
  <si>
    <t>DIN - Referente ao serviço de freela de limpeza hoje no HUB - 13/02</t>
  </si>
  <si>
    <t>DIN - REF AO FREELA LIMPEZA HUB - 20/02</t>
  </si>
  <si>
    <t>DIN - Cópia de chave camarim 3º andar</t>
  </si>
  <si>
    <t>DIN -  Referente ao serviço de freela de limpeza hoje no HUB</t>
  </si>
  <si>
    <t>DIN - r$5,00 - Abastecimento moto Livia - Banco dia 25/03</t>
  </si>
  <si>
    <t>DIN - REF AO FREELA LIMPEZA HUB - 06/03</t>
  </si>
  <si>
    <t>DIN - REF AO FREELA LIMPEZA HUB - 20/03</t>
  </si>
  <si>
    <t>DIN - REF A FREELA LIMPEZA - 27/03</t>
  </si>
  <si>
    <t>JANETE DE ALMEIDA</t>
  </si>
  <si>
    <t>PIX - Ref a limpeza do Hub - dia 02/01</t>
  </si>
  <si>
    <t>MARCELO GOMES DE ALMEIDA GONCALVES</t>
  </si>
  <si>
    <t>DEP - REF AO REEMBOLSO DESPESAS MARCELO : VIAGEM INGRESSE - VALOR DESLOCAMENTO JF X GOIANÁ R$ 644,40 + COMPRA DE CORA DE FLORES PARA O VELÓRIO DO SERGIO IRMÃO SOTRATE R$ 300,00</t>
  </si>
  <si>
    <t>10/03 ONF *AER*03UUI7 - AÉREO VIAGEM RENATO SÃO PAULO</t>
  </si>
  <si>
    <t>24/03 ONF *HTL*03XDAW - HOTEL - VIAGEM RENATO SÃO PAULO</t>
  </si>
  <si>
    <t>REGISTRO DE TITULOS E DOCUMENTOS</t>
  </si>
  <si>
    <t>DIN - Custas de cartório para registro da Associação Bem Laranja</t>
  </si>
  <si>
    <t>RENATO MENEZES - BB Cc 18869</t>
  </si>
  <si>
    <t>DEP Ref ao reembolso viagem Diretoria - SP - Curso xp Rumo ao topo experience</t>
  </si>
  <si>
    <t>PIX - Ref ao reembolso presente de um parceiro da empresa - Batista Euphoria ** FORA DO ORÇAMENTO - AUTORIZADO PELO RENATO **</t>
  </si>
  <si>
    <t>REF AO UBER - viagem Renato - Ingresse SP</t>
  </si>
  <si>
    <t>VALTAIR LIMA DA SILVA</t>
  </si>
  <si>
    <t>PIX - AÇÃO INTERNA SÓCIOS</t>
  </si>
  <si>
    <t>1. Contas a Receber</t>
  </si>
  <si>
    <t>Outras Receitas</t>
  </si>
  <si>
    <t>FABIO NOBREGA LOPES - FRANQUIA VIVA EVENTOS ARACAJU</t>
  </si>
  <si>
    <t>Conta a receber referente a: - Recibo: 0000000655 - RPS: 0000081710 - NFS-e: 110836</t>
  </si>
  <si>
    <t>Viva Academy</t>
  </si>
  <si>
    <t>Conta a receber referente a: - Recibo: 0000000598 - RPS: 0000079211 - NFS-e: 108336</t>
  </si>
  <si>
    <t>FILGUEIRAS EVENTOS LTDA - VIVA RIO</t>
  </si>
  <si>
    <t>Conta a receber referente a: - Recibo: 0000000725 - RPS: 0000087532 - NFS-e: 115656</t>
  </si>
  <si>
    <t>Conta a receber referente a: - Recibo: 0000000652 - RPS: 0000081707 - NFS-e: 110833</t>
  </si>
  <si>
    <t>Conta a receber referente a: - Recibo: 0000000616 - RPS: 0000079231 - NFS-e: 108356</t>
  </si>
  <si>
    <t>Conta a receber referente a: - Recibo: 0000000677 - RPS: 0000084987 - NFS-e: 113112</t>
  </si>
  <si>
    <t>FRANQUIA CACOAL</t>
  </si>
  <si>
    <t>Conta a receber referente a: - Recibo: 0000000755 - RPS: 0000087565 - NFS-e: 115689</t>
  </si>
  <si>
    <t>Conta a receber referente a: - Recibo: 0000000668 - RPS: 0000081724 - NFS-e: 110850</t>
  </si>
  <si>
    <t>Conta a receber referente a: - Recibo: 0000000625 - RPS: 0000079242 - NFS-e: 108367</t>
  </si>
  <si>
    <t>Conta a receber referente a: - Recibo: 0000000678 - RPS: 0000084988 - NFS-e: 113113</t>
  </si>
  <si>
    <t>FRANQUIA CAMPO GRANDE</t>
  </si>
  <si>
    <t>Conta a receber referente a: - Recibo: 0000000722 - RPS: 0000087529 - NFS-e: 115653</t>
  </si>
  <si>
    <t>Conta a receber referente a: - Recibo: 0000000638 - RPS: 0000081691 - NFS-e: 110817</t>
  </si>
  <si>
    <t>Conta a receber referente a: - Recibo: 0000000601 - RPS: 0000079214 - NFS-e: 108339</t>
  </si>
  <si>
    <t>Conta a receber referente a: - Recibo: 0000000679 - RPS: 0000084989 - NFS-e: 113114</t>
  </si>
  <si>
    <t>FRANQUIA CASCAVEL</t>
  </si>
  <si>
    <t>Conta a receber referente a: - Recibo: 0000000757 - RPS: 0000087567 - NFS-e: 115691</t>
  </si>
  <si>
    <t>Conta a receber referente a: - Recibo: 0000000675 - RPS: 0000081731 - NFS-e: 110857</t>
  </si>
  <si>
    <t>Conta a receber referente a: - Recibo: 0000000626 - RPS: 0000079243 - NFS-e: 108368</t>
  </si>
  <si>
    <t>Conta a receber referente a: - Recibo: 0000000680 - RPS: 0000084990 - NFS-e: 113115</t>
  </si>
  <si>
    <t>FRANQUIA LONDRINA</t>
  </si>
  <si>
    <t>Conta a receber referente a: - Recibo: 0000000756 - RPS: 0000087566 - NFS-e: 115690</t>
  </si>
  <si>
    <t>Conta a receber referente a: - Recibo: 0000000674 - RPS: 0000081730 - NFS-e: 110856</t>
  </si>
  <si>
    <t>Conta a receber referente a: - Recibo: 0000000627 - RPS: 0000079244 - NFS-e: 108369</t>
  </si>
  <si>
    <t>Conta a receber referente a: - Recibo: 0000000689 - RPS: 0000084999 - NFS-e: 113124</t>
  </si>
  <si>
    <t>Conta a receber referente a: - Recibo: 0000000747 - RPS: 0000087555 - NFS-e: 115679</t>
  </si>
  <si>
    <t>Conta a receber referente a: - Recibo: 0000000667 - RPS: 0000081723 - NFS-e: 110849</t>
  </si>
  <si>
    <t>Conta a receber referente a: - Recibo: 0000000622 - RPS: 0000079238 - NFS-e: 108363</t>
  </si>
  <si>
    <t>Conta a receber referente a: - Recibo: 0000000691 - RPS: 0000085001 - NFS-e: 113126</t>
  </si>
  <si>
    <t>FRANQUIA NATAL</t>
  </si>
  <si>
    <t>Conta a receber referente a: - Recibo: 0000000759 - RPS: 0000087570 - NFS-e: 115694</t>
  </si>
  <si>
    <t>Conta a receber referente a: - Recibo: 0000000719 - RPS: 0000085029 - NFS-e: 113154</t>
  </si>
  <si>
    <t>FRANQUIA REGIAO DOS LAGOS</t>
  </si>
  <si>
    <t>Conta a receber referente a: - Recibo: 0000000726 - RPS: 0000087533 - NFS-e: 115657</t>
  </si>
  <si>
    <t>Conta a receber referente a: - Recibo: 0000000645 - RPS: 0000081700 - NFS-e: 110826</t>
  </si>
  <si>
    <t>Conta a receber referente a: - Recibo: 0000000636 - RPS: 0000079253 - NFS-e: 108378</t>
  </si>
  <si>
    <t>Conta a receber referente a: - Recibo: 0000000700 - RPS: 0000085010 - NFS-e: 113135</t>
  </si>
  <si>
    <t>FRANQUIA SALVADOR</t>
  </si>
  <si>
    <t>Conta a receber referente a: - Recibo: 0000000727 - RPS: 0000087534 - NFS-e: 115658</t>
  </si>
  <si>
    <t>Conta a receber referente a: - Recibo: 0000000656 - RPS: 0000081711 - NFS-e: 110837</t>
  </si>
  <si>
    <t>Conta a receber referente a: - Recibo: 0000000623 - RPS: 0000079239 - NFS-e: 108364</t>
  </si>
  <si>
    <t>Conta a receber referente a: - Recibo: 0000000702 - RPS: 0000085012 - NFS-e: 113137</t>
  </si>
  <si>
    <t>FRANQUIA SETE LAGOAS</t>
  </si>
  <si>
    <t>Conta a receber referente a: - Recibo: 0000000748 - RPS: 0000087557 - NFS-e: 115681</t>
  </si>
  <si>
    <t>Conta a receber referente a: - Recibo: 0000000669 - RPS: 0000081725 - NFS-e: 110851</t>
  </si>
  <si>
    <t>Conta a receber referente a: - Recibo: 0000000624 - RPS: 0000079241 - NFS-e: 108366</t>
  </si>
  <si>
    <t>Conta a receber referente a: - Recibo: 0000000705 - RPS: 0000085015 - NFS-e: 113140</t>
  </si>
  <si>
    <t>FRANQUIA VALE DO AÇO - VIVA IPATINGA</t>
  </si>
  <si>
    <t>Conta a receber referente a: - Recibo: 0000000728 - RPS: 0000087535 - NFS-e: 115659</t>
  </si>
  <si>
    <t>Conta a receber referente a: - Recibo: 0000000666 - RPS: 0000081722 - NFS-e: 110848</t>
  </si>
  <si>
    <t>Conta a receber referente a: - Recibo: 0000000629 - RPS: 0000079246 - NFS-e: 108371</t>
  </si>
  <si>
    <t>Conta a receber referente a: - Recibo: 0000000683 - RPS: 0000084993 - NFS-e: 113118</t>
  </si>
  <si>
    <t>GLAYDES BRAGA LUNIERE GOMES - SOCIO INVESTIDOR FRANQUIA MANAUS</t>
  </si>
  <si>
    <t>Conta a receber referente a: - Recibo: 0000000718 - RPS: 0000085028 - NFS-e: 113153</t>
  </si>
  <si>
    <t>LEONARDO ALEXANDRE MONTEIRO DA SILVA - FRANQUIA PASSOS</t>
  </si>
  <si>
    <t>Conta a receber referente a: - Recibo: 0000000749 - RPS: 0000087558 - NFS-e: 115682</t>
  </si>
  <si>
    <t>Conta a receber referente a: - Recibo: 0000000672 - RPS: 0000081728 - NFS-e: 110854</t>
  </si>
  <si>
    <t>Conta a receber referente a: - Recibo: 0000000630 - RPS: 0000079247 - NFS-e: 108372</t>
  </si>
  <si>
    <t>VIVA EVENTOS ARACAJU</t>
  </si>
  <si>
    <t>Conta a receber referente a: - Recibo: 0000000708 - RPS: 0000085018 - NFS-e: 113143</t>
  </si>
  <si>
    <t>VIVA EVENTOS BARBACENA</t>
  </si>
  <si>
    <t>Conta a receber referente a: - Recibo: 0000000729 - RPS: 0000087536 - NFS-e: 115660</t>
  </si>
  <si>
    <t>Conta a receber referente a: - Recibo: 0000000661 - RPS: 0000081717 - NFS-e: 110843</t>
  </si>
  <si>
    <t>Conta a receber referente a: - Recibo: 0000000599 - RPS: 0000079212 - NFS-e: 108337</t>
  </si>
  <si>
    <t>Conta a receber referente a: - Recibo: 0000000709 - RPS: 0000085019 - NFS-e: 113144</t>
  </si>
  <si>
    <t>VIVA EVENTOS BELO HORIZONTE</t>
  </si>
  <si>
    <t>Conta a receber referente a: - Recibo: 0000000745 - RPS: 0000087553 - NFS-e: 115677</t>
  </si>
  <si>
    <t>Conta a receber referente a: - Recibo: 0000000637 - RPS: 0000081690 - NFS-e: 110816</t>
  </si>
  <si>
    <t>Conta a receber referente a: - Recibo: 0000000606 - RPS: 0000079219 - NFS-e: 108344</t>
  </si>
  <si>
    <t>Conta a receber referente a: - Recibo: 0000000710 - RPS: 0000085020 - NFS-e: 113145</t>
  </si>
  <si>
    <t>VIVA EVENTOS CONTAGEM</t>
  </si>
  <si>
    <t>Conta a receber referente a: - Recibo: 0000000758 - RPS: 0000087568 - NFS-e: 115692</t>
  </si>
  <si>
    <t>Conta a receber referente a: - Recibo: 0000000662 - RPS: 0000081718 - NFS-e: 110844</t>
  </si>
  <si>
    <t>Conta a receber referente a: - Recibo: 0000000617 - RPS: 0000079232 - NFS-e: 108357</t>
  </si>
  <si>
    <t>Conta a receber referente a: - Recibo: 0000000711 - RPS: 0000085021 - NFS-e: 113146</t>
  </si>
  <si>
    <t>VIVA EVENTOS CUIABA</t>
  </si>
  <si>
    <t>Conta a receber referente a: - Recibo: 0000000752 - RPS: 0000087562 - NFS-e: 115686</t>
  </si>
  <si>
    <t>Conta a receber referente a: - Recibo: 0000000659 - RPS: 0000081715 - NFS-e: 110841</t>
  </si>
  <si>
    <t>Conta a receber referente a: - Recibo: 0000000602 - RPS: 0000079215 - NFS-e: 108340</t>
  </si>
  <si>
    <t>Conta a receber referente a: - Recibo: 0000000712 - RPS: 0000085022 - NFS-e: 113147</t>
  </si>
  <si>
    <t>VIVA EVENTOS CURITIBA</t>
  </si>
  <si>
    <t>Conta a receber referente a: - Recibo: 0000000723 - RPS: 0000087530 - NFS-e: 115654</t>
  </si>
  <si>
    <t>Conta a receber referente a: - Recibo: 0000000639 - RPS: 0000081692 - NFS-e: 110818</t>
  </si>
  <si>
    <t>Conta a receber referente a: - Recibo: 0000000600 - RPS: 0000079213 - NFS-e: 108338</t>
  </si>
  <si>
    <t>Conta a receber referente a: - Recibo: 0000000713 - RPS: 0000085023 - NFS-e: 113148</t>
  </si>
  <si>
    <t>VIVA EVENTOS DIVINOPOLIS</t>
  </si>
  <si>
    <t>Conta a receber referente a: - Recibo: 0000000744 - RPS: 0000087552 - NFS-e: 115676</t>
  </si>
  <si>
    <t>Conta a receber referente a: - Recibo: 0000000665 - RPS: 0000081721 - NFS-e: 110847</t>
  </si>
  <si>
    <t>Conta a receber referente a: - Recibo: 0000000610 - RPS: 0000079223 - NFS-e: 108348</t>
  </si>
  <si>
    <t>Conta a receber referente a: - Recibo: 0000000714 - RPS: 0000085024 - NFS-e: 113149</t>
  </si>
  <si>
    <t>VIVA EVENTOS FLORIANOPOLIS</t>
  </si>
  <si>
    <t>Conta a receber referente a: - Recibo: 0000000751 - RPS: 0000087561 - NFS-e: 115685</t>
  </si>
  <si>
    <t>Conta a receber referente a: - Recibo: 0000000650 - RPS: 0000081705 - NFS-e: 110831</t>
  </si>
  <si>
    <t>Conta a receber referente a: - Recibo: 0000000609 - RPS: 0000079222 - NFS-e: 108347</t>
  </si>
  <si>
    <t>Conta a receber referente a: - Recibo: 0000000715 - RPS: 0000085025 - NFS-e: 113150</t>
  </si>
  <si>
    <t>VIVA EVENTOS FORTALEZA</t>
  </si>
  <si>
    <t>Conta a receber referente a: - Recibo: 0000000750 - RPS: 0000087560 - NFS-e: 115684</t>
  </si>
  <si>
    <t>Conta a receber referente a: - Recibo: 0000000673 - RPS: 0000081729 - NFS-e: 110855</t>
  </si>
  <si>
    <t>Conta a receber referente a: - Recibo: 0000000628 - RPS: 0000079245 - NFS-e: 108370</t>
  </si>
  <si>
    <t>Conta a receber referente a: - Recibo: 0000000681 - RPS: 0000084991 - NFS-e: 113116</t>
  </si>
  <si>
    <t>VIVA EVENTOS GOVERNADOR VALADAES</t>
  </si>
  <si>
    <t>Conta a receber referente a: - Recibo: 0000000741 - RPS: 0000087549 - NFS-e: 115673</t>
  </si>
  <si>
    <t>Conta a receber referente a: - Recibo: 0000000646 - RPS: 0000081701 - NFS-e: 110827</t>
  </si>
  <si>
    <t>Conta a receber referente a: - Recibo: 0000000603 - RPS: 0000079216 - NFS-e: 108341</t>
  </si>
  <si>
    <t>Conta a receber referente a: - Recibo: 0000000682 - RPS: 0000084992 - NFS-e: 113117</t>
  </si>
  <si>
    <t>Conta a receber referente a: - Recibo: 0000000730 - RPS: 0000087537 - NFS-e: 115661</t>
  </si>
  <si>
    <t>Conta a receber referente a: - Recibo: 0000000647 - RPS: 0000081702 - NFS-e: 110828</t>
  </si>
  <si>
    <t>Conta a receber referente a: - Recibo: 0000000620 - RPS: 0000079236 - NFS-e: 108361</t>
  </si>
  <si>
    <t>Conta a receber referente a: - Recibo: 0000000684 - RPS: 0000084994 - NFS-e: 113119</t>
  </si>
  <si>
    <t>VIVA EVENTOS JOAO PESSOA</t>
  </si>
  <si>
    <t>Conta a receber referente a: - Recibo: 0000000685 - RPS: 0000084995 - NFS-e: 113120</t>
  </si>
  <si>
    <t>Conta a receber referente a: - Recibo: 0000000724 - RPS: 0000087531 - NFS-e: 115655</t>
  </si>
  <si>
    <t>Conta a receber referente a: - Recibo: 0000000640 - RPS: 0000081693 - NFS-e: 110819</t>
  </si>
  <si>
    <t>Conta a receber referente a: - Recibo: 0000000607 - RPS: 0000079220 - NFS-e: 108345</t>
  </si>
  <si>
    <t>Conta a receber referente a: - Recibo: 0000000686 - RPS: 0000084996 - NFS-e: 113121</t>
  </si>
  <si>
    <t>Conta a receber referente a: - Recibo: 0000000740 - RPS: 0000087548 - NFS-e: 115672</t>
  </si>
  <si>
    <t>Conta a receber referente a: - Recibo: 0000000663 - RPS: 0000081719 - NFS-e: 110845</t>
  </si>
  <si>
    <t>Conta a receber referente a: - Recibo: 0000000613 - RPS: 0000079226 - NFS-e: 108351</t>
  </si>
  <si>
    <t>Conta a receber referente a: - Recibo: 0000000687 - RPS: 0000084997 - NFS-e: 113122</t>
  </si>
  <si>
    <t>VIVA EVENTOS LINHARES</t>
  </si>
  <si>
    <t>Conta a receber referente a: - Recibo: 0000000731 - RPS: 0000087538 - NFS-e: 115662</t>
  </si>
  <si>
    <t>Conta a receber referente a: - Recibo: 0000000648 - RPS: 0000081703 - NFS-e: 110829</t>
  </si>
  <si>
    <t>Conta a receber referente a: - Recibo: 0000000614 - RPS: 0000079228 - NFS-e: 108353</t>
  </si>
  <si>
    <t>Conta a receber referente a: - Recibo: 0000000688 - RPS: 0000084998 - NFS-e: 113123</t>
  </si>
  <si>
    <t>VIVA EVENTOS MACEIO</t>
  </si>
  <si>
    <t>Conta a receber referente a: - Recibo: 0000000690 - RPS: 0000085000 - NFS-e: 113125</t>
  </si>
  <si>
    <t>VIVA EVENTOS MANAUS</t>
  </si>
  <si>
    <t>Conta a receber referente a: - Recibo: 0000000760 - RPS: 0000087571 - NFS-e: 115695</t>
  </si>
  <si>
    <t>VIVA EVENTOS PASSOS</t>
  </si>
  <si>
    <t>Conta a receber referente a: - Recibo: 0000000692 - RPS: 0000085002 - NFS-e: 113127</t>
  </si>
  <si>
    <t>VIVA EVENTOS PETROPOLIS</t>
  </si>
  <si>
    <t>Conta a receber referente a: - Recibo: 0000000721 - RPS: 0000087528 - NFS-e: 115652</t>
  </si>
  <si>
    <t>Conta a receber referente a: - Recibo: 0000000641 - RPS: 0000081694 - NFS-e: 110820</t>
  </si>
  <si>
    <t>Conta a receber referente a: - Recibo: 0000000608 - RPS: 0000079221 - NFS-e: 108346</t>
  </si>
  <si>
    <t>Conta a receber referente a: - Recibo: 0000000693 - RPS: 0000085003 - NFS-e: 113128</t>
  </si>
  <si>
    <t>VIVA EVENTOS PIRACICABA</t>
  </si>
  <si>
    <t>Conta a receber referente a: - Recibo: 0000000761 - RPS: 0000087572 - NFS-e: 115696</t>
  </si>
  <si>
    <t>Conta a receber referente a: - Recibo: 0000000664 - RPS: 0000081720 - NFS-e: 110846</t>
  </si>
  <si>
    <t>Conta a receber referente a: - Recibo: 0000000694 - RPS: 0000085004 - NFS-e: 113129</t>
  </si>
  <si>
    <t>VIVA EVENTOS POCOS DE CALDAS</t>
  </si>
  <si>
    <t>Conta a receber referente a: - Recibo: 0000000732 - RPS: 0000087539 - NFS-e: 115663</t>
  </si>
  <si>
    <t>Conta a receber referente a: - Recibo: 0000000676 - RPS: 0000081732 - NFS-e: 110858</t>
  </si>
  <si>
    <t>Conta a receber referente a: - Recibo: 0000000631 - RPS: 0000079248 - NFS-e: 108377</t>
  </si>
  <si>
    <t>Conta a receber referente a: - Recibo: 0000000695 - RPS: 0000085005 - NFS-e: 113130</t>
  </si>
  <si>
    <t>Conta a receber referente a: - Recibo: 0000000733 - RPS: 0000087540 - NFS-e: 115664</t>
  </si>
  <si>
    <t>Conta a receber referente a: - Recibo: 0000000658 - RPS: 0000081714 - NFS-e: 110840</t>
  </si>
  <si>
    <t>Conta a receber referente a: - Recibo: 0000000632 - RPS: 0000079249 - NFS-e: 108373</t>
  </si>
  <si>
    <t>Conta a receber referente a: - Recibo: 0000000696 - RPS: 0000085006 - NFS-e: 113131</t>
  </si>
  <si>
    <t>VIVA EVENTOS PORTO VELHO</t>
  </si>
  <si>
    <t>Conta a receber referente a: - Recibo: 0000000754 - RPS: 0000087564 - NFS-e: 115688</t>
  </si>
  <si>
    <t>Conta a receber referente a: - Recibo: 0000000671 - RPS: 0000081727 - NFS-e: 110853</t>
  </si>
  <si>
    <t>Conta a receber referente a: - Recibo: 0000000633 - RPS: 0000079250 - NFS-e: 108374</t>
  </si>
  <si>
    <t>Conta a receber referente a: - Recibo: 0000000697 - RPS: 0000085007 - NFS-e: 113132</t>
  </si>
  <si>
    <t>VIVA EVENTOS POUSO ALEGRE</t>
  </si>
  <si>
    <t>Conta a receber referente a: - Recibo: 0000000734 - RPS: 0000087541 - NFS-e: 115665</t>
  </si>
  <si>
    <t>Conta a receber referente a: - Recibo: 0000000660 - RPS: 0000081716 - NFS-e: 110842</t>
  </si>
  <si>
    <t>Conta a receber referente a: - Recibo: 0000000634 - RPS: 0000079251 - NFS-e: 108375</t>
  </si>
  <si>
    <t>Conta a receber referente a: - Recibo: 0000000698 - RPS: 0000085008 - NFS-e: 113133</t>
  </si>
  <si>
    <t>Conta a receber referente a: - Recibo: 0000000735 - RPS: 0000087542 - NFS-e: 115666</t>
  </si>
  <si>
    <t>Conta a receber referente a: - Recibo: 0000000657 - RPS: 0000081712 - NFS-e: 110838</t>
  </si>
  <si>
    <t>Conta a receber referente a: - Recibo: 0000000618 - RPS: 0000079233 - NFS-e: 108358</t>
  </si>
  <si>
    <t>Conta a receber referente a: - Recibo: 0000000699 - RPS: 0000085009 - NFS-e: 113134</t>
  </si>
  <si>
    <t>VIVA EVENTOS RIO BRANCO</t>
  </si>
  <si>
    <t>Conta a receber referente a: - Recibo: 0000000753 - RPS: 0000087563 - NFS-e: 115687</t>
  </si>
  <si>
    <t>Conta a receber referente a: - Recibo: 0000000670 - RPS: 0000081726 - NFS-e: 110852</t>
  </si>
  <si>
    <t>Conta a receber referente a: - Recibo: 0000000635 - RPS: 0000079252 - NFS-e: 108376</t>
  </si>
  <si>
    <t>Conta a receber referente a: - Recibo: 0000000701 - RPS: 0000085011 - NFS-e: 113136</t>
  </si>
  <si>
    <t>VIVA EVENTOS SANTA MARIA</t>
  </si>
  <si>
    <t>Conta a receber referente a: - Recibo: 0000000762 - RPS: 0000087573 - NFS-e: 115697</t>
  </si>
  <si>
    <t>Conta a receber referente a: - Recibo: 0000000703 - RPS: 0000085013 - NFS-e: 113138</t>
  </si>
  <si>
    <t>VIVA EVENTOS UBA</t>
  </si>
  <si>
    <t>Conta a receber referente a: - Recibo: 0000000739 - RPS: 0000087547 - NFS-e: 115671</t>
  </si>
  <si>
    <t>Conta a receber referente a: - Recibo: 0000000654 - RPS: 0000081709 - NFS-e: 110835</t>
  </si>
  <si>
    <t>Conta a receber referente a: - Recibo: 0000000615 - RPS: 0000079229 - NFS-e: 108354</t>
  </si>
  <si>
    <t>Conta a receber referente a: - Recibo: 0000000706 - RPS: 0000085016 - NFS-e: 113141</t>
  </si>
  <si>
    <t>VIVA EVENTOS VITORIA - VIVA VIX</t>
  </si>
  <si>
    <t>Conta a receber referente a: - Recibo: 0000000738 - RPS: 0000087546 - NFS-e: 115670</t>
  </si>
  <si>
    <t>Conta a receber referente a: - Recibo: 0000000653 - RPS: 0000081708 - NFS-e: 110834</t>
  </si>
  <si>
    <t>Conta a receber referente a: - Recibo: 0000000612 - RPS: 0000079225 - NFS-e: 108350</t>
  </si>
  <si>
    <t>Conta a receber referente a: - Recibo: 0000000707 - RPS: 0000085017 - NFS-e: 113142</t>
  </si>
  <si>
    <t>VIVA GO</t>
  </si>
  <si>
    <t>Conta a receber referente a: - Recibo: 0000000737 - RPS: 0000087545 - NFS-e: 115669</t>
  </si>
  <si>
    <t>Conta a receber referente a: - Recibo: 0000000642 - RPS: 0000081695 - NFS-e: 110821</t>
  </si>
  <si>
    <t>Conta a receber referente a: - Recibo: 0000000619 - RPS: 0000079235 - NFS-e: 108360</t>
  </si>
  <si>
    <t>Conta a receber referente a: - Recibo: 0000000716 - RPS: 0000085026 - NFS-e: 113151</t>
  </si>
  <si>
    <t>VIVA MIXX - VOLTA REDONDA</t>
  </si>
  <si>
    <t>Conta a receber referente a: - Recibo: 0000000720 - RPS: 0000087527 - NFS-e: 115651</t>
  </si>
  <si>
    <t>Conta a receber referente a: - Recibo: 0000000643 - RPS: 0000081696 - NFS-e: 110822</t>
  </si>
  <si>
    <t>Conta a receber referente a: - Recibo: 0000000605 - RPS: 0000079218 - NFS-e: 108343</t>
  </si>
  <si>
    <t>Conta a receber referente a: - Recibo: 0000000717 - RPS: 0000085027 - NFS-e: 113152</t>
  </si>
  <si>
    <t>Conta a receber referente a: - Recibo: 0000000736 - RPS: 0000087543 - NFS-e: 115667</t>
  </si>
  <si>
    <t>Conta a receber referente a: - Recibo: 0000000649 - RPS: 0000081704 - NFS-e: 110830</t>
  </si>
  <si>
    <t>Conta a receber referente a: - Recibo: 0000000611 - RPS: 0000079224 - NFS-e: 108349</t>
  </si>
  <si>
    <t>Conta a receber referente a: - Recibo: 0000000704 - RPS: 0000085014 - NFS-e: 113139</t>
  </si>
  <si>
    <t>PREVENIR ASSESSORIA EM SAUDE OCUPACIONAL EIRELI</t>
  </si>
  <si>
    <t>BOL PREVENIR - COMP.: 04/2026</t>
  </si>
  <si>
    <t>BOL. PREVENIR- COMP.: 04/2026</t>
  </si>
  <si>
    <t>TIAGO MOURA HENRIQUES DE MENDONCA</t>
  </si>
  <si>
    <t>BOL PREVENIR - COMP.: 02/2026</t>
  </si>
  <si>
    <t>BOL. PREVENIR- COMP.: 02/2026</t>
  </si>
  <si>
    <t>BOL PREVENIR - COMP.: 01/2026</t>
  </si>
  <si>
    <t>BOL. PREVENIR- COMP.: 01/2026</t>
  </si>
  <si>
    <t>BOLETO CONTABILIDADE MENSALIDADE R$ 846,00 VALOR POR FUNCIONARIO R$18,80 senha: 49343</t>
  </si>
  <si>
    <t>BOL PREVENIR - COMP.: 03/2026</t>
  </si>
  <si>
    <t>BOL. PREVENIR- COMP.: 03/2026</t>
  </si>
  <si>
    <t>Receita Não Operacional</t>
  </si>
  <si>
    <t>vendas de itens lojinha encontro novos franqueados</t>
  </si>
  <si>
    <t>ref a compra de camisa de corrida - Colaborador Pedro</t>
  </si>
  <si>
    <t>Gerado automaticamente pela importação do extrato. Pix recebido de VICTORIA REITER COTTA - COMPRA CAMISA VICTORIA</t>
  </si>
  <si>
    <t>Receita Não Operacional (inativa)</t>
  </si>
  <si>
    <t>Conta a Receber importada automaticamente em 30/06/2025 às 11:55. Conta a Receber importada automaticamente em 21/01/2025 às 10:57. RENEGOCIAÇÃO QUITAÇÃO EMPRESTIMO HERO + JUROS - EMAIL E SIMULAÇÃO ANEXADOS NA PARCELA DO DIA 10/02/2025. ALINHADO COM MARCELA DE RECEBER EM DINHEIRO E PASSAR PELA V COMPANY APARTIR DESSA DATA</t>
  </si>
  <si>
    <t>I.O.F RENDA FIXA MÊS DE JUNHO/26</t>
  </si>
  <si>
    <t>Conta a Receber importada automaticamente em 30/06/2025 às 11:55. JUROS REF SALDO NEGATIVO FUNDOS VIVA GO ref. a competencia anterior link da planilha para consultar e atualizar valor mensal https://docs.google.com/spreadsheets/u/1/d/1J_t3vKhN3G21NT-9e24vTR-KWw1LVjQJ_N5_m0e0jEM/edit?gid=159875182&amp;urp=gmail_link#gid=159875182</t>
  </si>
  <si>
    <t>Conta a Receber importada automaticamente em 30/06/2025 às 11:55. JUROS REF SALDO NEGATIVO FUNDOS VIVA GO ref. a competencia anterior link da planilha para consultar e atualizar valor mensal   https://docs.google.com/spreadsheets/u/1/d/1J_t3vKhN3G21NT-9e24vTR-KWw1LVjQJ_N5_m0e0jEM/edit?gid=159875182&amp;urp=gmail_link#gid=159875182</t>
  </si>
  <si>
    <t>FELIPE HENRIQUES CRIVELLARI - PICNIC</t>
  </si>
  <si>
    <t>REF - Ao almoço HUB 31/03 a 13/04 - 1 REFEIÇÃO - R$ 18,00 CADA - COMPLEMENTO</t>
  </si>
  <si>
    <t>REF - Ao almoço HUB 31/03 a 13/04 - 73 REFEIÇÕES- R$ 18,00 CADA</t>
  </si>
  <si>
    <t>REF - Ao almoço HUB 14/04 a 27/04 - 86 REFEIÇÃO - R$ 18,00 CADA</t>
  </si>
  <si>
    <t>REF AO FECHAMENTO DO ALMOÇO 14/04 a 27/04 - 126 REFEIÇÕES - r$ 18,00 CADA</t>
  </si>
  <si>
    <t>REF AO FECHAMENTO DO ALMOÇO 31/03 a 13/04 - 2 REFEIÇÕES - r$ 18,00 CADA - COMPLEMENTO</t>
  </si>
  <si>
    <t>REF AO FECHAMENTO DO ALMOÇO 31/03 a 13/04 - 118 REFEIÇÕES - r$ 18,00 CADA</t>
  </si>
  <si>
    <t>REF - Ao almoço HUB 16/02 a 02/03 - 46 REFEIÇÕES- R$ 18,00 CADA</t>
  </si>
  <si>
    <t>REF - Ao almoço HUB 04/02 a 13/02 - 72 REFEIÇÕES- R$ 18,00 CADA</t>
  </si>
  <si>
    <t>REF AO FECHAMENTO DO ALMOÇO 04/02 a 13/02 - 112 REFEIÇÕES - r$ 18,00 CADA</t>
  </si>
  <si>
    <t>REF AO FECHAMENTO DO ALMOÇO 16/02 a 02/03 - 64 REFEIÇÕES - r$ 18,00 CADA</t>
  </si>
  <si>
    <t>REF - Ao almoço HUB  19/01 a 03/02 -  89  REFEIÇÕES</t>
  </si>
  <si>
    <t>REF - Ao almoço HUB 06/01 A 16/01 -  91  REFEIÇÕES</t>
  </si>
  <si>
    <t>REF AO FECHAMENTO DO ALMOÇO  19/01 a 03/02 - 127 REFEIÇÕES</t>
  </si>
  <si>
    <t>REF AO FECHAMENTO DO ALMOÇO 06/01 A 16/01 - 108 REFEIÇÕES</t>
  </si>
  <si>
    <t>REF - Ao almoço HUB 03/03 a 16/03 - 107 REFEIÇÕES- R$ 18,00 CADA</t>
  </si>
  <si>
    <t>REF - Ao almoço HUB 17/03 a 30/03 - 101 REFEIÇÕES- R$ 18,00 CADA</t>
  </si>
  <si>
    <t>REF AO FECHAMENTO DO ALMOÇO 03/03 a 16/03 - 137 REFEIÇÕES - r$ 18,00 CADA</t>
  </si>
  <si>
    <t>REF AO FECHAMENTO DO ALMOÇO 17/03 a 30/03 - 104 REFEIÇÕES - r$ 18,00 CADA</t>
  </si>
  <si>
    <t>PANELINHA COMIDA FIT LTDA</t>
  </si>
  <si>
    <t>REF AO FECHAMENTO DO ALMOÇO- 31/03 a 13/04 - 129 REFEIÇÕES - r$ 16,90 CADA</t>
  </si>
  <si>
    <t>REF AO FECHAMENTO DO ALMOÇO- 14/04 a 27/04 - 99 REFEIÇÕES - r$ 16,90 CADA</t>
  </si>
  <si>
    <t>REF AO FECHAMENTO DO ALMOÇO - 14/04 a 27/04 - 136 REFEIÇÕES - R$ 16,90 CADA</t>
  </si>
  <si>
    <t>REF AO FECHAMENTO DO ALMOÇO - 31/03 a 13/04 - 166 REFEIÇÕES - R$ 16,90 CADA</t>
  </si>
  <si>
    <t>REF AO FECHAMENTO DO ALMOÇO- 16/02 a 02/03- 90 REFEIÇÕES - r$ 16,90 CADA</t>
  </si>
  <si>
    <t>REF AO FECHAMENTO DO ALMOÇO - 04/02 a 13/02 - 159 REFEIÇÕES - R$ 16,90 CADA</t>
  </si>
  <si>
    <t>REF AO FECHAMENTO DO ALMOÇO - 19/01 a 03/02 - 222 REFEIÇÕES</t>
  </si>
  <si>
    <t>REF AO FECHAMENTO DO ALMOÇO- 04/02 a 13/02 - 91 REFEIÇÕES - r$ 16,90 CADA</t>
  </si>
  <si>
    <t>REF AO FECHAMENTO DO ALMOÇO - 16/02 a 02/03 - 132 REFEIÇÕES - R$ 16,90 CADA</t>
  </si>
  <si>
    <t>REF AO FECHAMENTO DO ALMOÇO 06/01 A 16/01-   133 REFEIÇÕES</t>
  </si>
  <si>
    <t>REF AO FECHAMENTO DO ALMOÇO- 19/01 a 03/02 -  147 REFEIÇÕES</t>
  </si>
  <si>
    <t>REF AO FECHAMENTO DO ALMOÇO - 06/01/2026 A 16/01/2026 -  191 REFEIÇÕES</t>
  </si>
  <si>
    <t>REF AO FECHAMENTO DO ALMOÇO- 17/03 a 30/03 - 113 REFEIÇÕES - r$ 16,90 CADA</t>
  </si>
  <si>
    <t>REF AO FECHAMENTO DO ALMOÇO- 03/03 a 16/03 - 120 REFEIÇÕES - r$ 16,90 CADA</t>
  </si>
  <si>
    <t>REF AO FECHAMENTO DO ALMOÇO - 03/03 a 16/03 - 188 REFEIÇÕES - R$ 16,90 CADA</t>
  </si>
  <si>
    <t>REF AO FECHAMENTO DO ALMOÇO - 17/03 a 30/03 - 176 REFEIÇÕES - R$ 16,90 CADA</t>
  </si>
  <si>
    <t>Refeições (*)</t>
  </si>
  <si>
    <t>VITOR PEDROSA -  BB Cc</t>
  </si>
  <si>
    <t>DIN - ENVIAR O DINHEIRO PARA FEAT - REF A PERMUTE NA FEAT 02/2026 - r$ 18,00 REF A REFEIÇÃO + r$ 16,00 DESCONTO DO PRO-LABORE</t>
  </si>
  <si>
    <t>BOLETO CONTABILIDADE MENSALIDADE R$792,00 VALOR POR FUNCIONARIO R$17,59 senha: 49343</t>
  </si>
  <si>
    <t>Rendimentos de Aplicações</t>
  </si>
  <si>
    <t>Rendimentos no mês 02/2026</t>
  </si>
  <si>
    <t>Rendimentos da Conta (Lançamentos fora da planilha SPDX)</t>
  </si>
  <si>
    <t>Rendimento RENDA FIXA MÊS DE FEVEREIRO/26</t>
  </si>
  <si>
    <t>Rendimentos no mês 01/2026</t>
  </si>
  <si>
    <t>Rendimento Bruto 01/2026</t>
  </si>
  <si>
    <t>Rendimentos no mês 03/2026</t>
  </si>
  <si>
    <t>Rendimento RENDA FIXA MÊS DE MARÇO/26</t>
  </si>
  <si>
    <t>Rendimentos no mês03/2026</t>
  </si>
  <si>
    <t>55 TELECOM</t>
  </si>
  <si>
    <t>Bol ref a plataforma do teleatendimento - 04/2026</t>
  </si>
  <si>
    <t>- Bol ref a plataforma do teleatendimento - 02/2026</t>
  </si>
  <si>
    <t>Bol ref a plataforma do teleatendimento - 01/2025</t>
  </si>
  <si>
    <t>Bol ref a plataforma do teleatendimento - 03/2026</t>
  </si>
  <si>
    <t>AGENCIA COMERCIAL E DESENVOLVIMENTO ECONOMICO</t>
  </si>
  <si>
    <t>BOL - CONSULTA SCPC - COMP 04/2026</t>
  </si>
  <si>
    <t>BOL - CONSULTA SCPC - COMP 02/2026</t>
  </si>
  <si>
    <t>BOL - CONSULTA SCPC - COMP 01/2026</t>
  </si>
  <si>
    <t>BOL - CONSULTA SCPC - COMP 03/2026</t>
  </si>
  <si>
    <t>AMAZON AWS SERVICOS BRASIL LTDA</t>
  </si>
  <si>
    <t>02/01 AWS Brazil</t>
  </si>
  <si>
    <t>TI</t>
  </si>
  <si>
    <t>Data alterada para janeiro (estava fevereiro)</t>
  </si>
  <si>
    <t>01/02 AWS Brazil - ID : 677276101401 - TIME TI</t>
  </si>
  <si>
    <t>PAIVA</t>
  </si>
  <si>
    <t>01/02 AWS Brazil - ID : 677276101401</t>
  </si>
  <si>
    <t>ASSOCIACAO COMERCIAL E EMPRESARIAL DE MATIAS BARBOSA</t>
  </si>
  <si>
    <t>BOL - CONSULTAS NO SERASA - COMP 02/2026</t>
  </si>
  <si>
    <t>BOL - CONSULTAS NO SERASA - COMP 01/2026</t>
  </si>
  <si>
    <t>BOL - CONSULTAS NO SERASA - COMP 03/2026</t>
  </si>
  <si>
    <t>Softwares, Sistemas e Servidores (*)</t>
  </si>
  <si>
    <t>AMAZON AWS</t>
  </si>
  <si>
    <t>01/03 AWS Brazil - ref ao mundo viva - n de acesso 913892422951</t>
  </si>
  <si>
    <t>CLICKSIGN</t>
  </si>
  <si>
    <t>22/01 CLICKSIGN*Clicksi</t>
  </si>
  <si>
    <t>22/12 CLICKSIGN*Clicksi</t>
  </si>
  <si>
    <t>01/03 AWS Brazil - ref ao mundo viva COD: 803335749310</t>
  </si>
  <si>
    <t>22/02 CLICKSIGN*Clicksi</t>
  </si>
  <si>
    <t>Estava Abril</t>
  </si>
  <si>
    <t>02/03 AWS Brazil - TIME TI - COD: 677276101401</t>
  </si>
  <si>
    <t>Dropbox International Unlimited Company</t>
  </si>
  <si>
    <t>23/01 DM *DropboxZXHRGVT9Q71 - COMP 01 franq R$ 335,26  rede - R$502,89</t>
  </si>
  <si>
    <t>23/12 DM*DropboxBBPYWW-  franq R$ 351,96  rede - R$ 527,95</t>
  </si>
  <si>
    <t>01/03 AWS Brazil - REF CONTA - 794431322895 - viva academy - time de gestão de pessoas</t>
  </si>
  <si>
    <t>GO ON DATA ASSESSORIA DE CREDITO LTDA</t>
  </si>
  <si>
    <t>BOL - Ref as consultas período de 01/02 a 28/02</t>
  </si>
  <si>
    <t>BOL  - Ref as consultas período de 01/01 a 31/01</t>
  </si>
  <si>
    <t>BOL - Ref as consultas período de 01/03/2026 a 31/03/2026</t>
  </si>
  <si>
    <t>27/01 AmazonPrimeBR - PLATAFORMA DE COMPRAS COM FRETE GRÁTIS</t>
  </si>
  <si>
    <t>Estava Março</t>
  </si>
  <si>
    <t>APPLE COMPUTER BRASIL LTDA</t>
  </si>
  <si>
    <t>21/03 APPLECOMBILL - instagram siga viva</t>
  </si>
  <si>
    <t>BOL - CONSULTAS NO SERASA - COMP 04/2026</t>
  </si>
  <si>
    <t>GOOGLE CLOUD BRASIL COMPUTACAO E SERVICOS DE DADOS LTDA.</t>
  </si>
  <si>
    <t>01/01 Google Workspace_gviva.SAO PAULO - REDE r$ 8.857,74 FRANQUEADORA E QUOKKA r$1505,00</t>
  </si>
  <si>
    <t>01/12 Google GSUITE_gviva.comSAO PAULO REDE r$  8.819,36 FRANQUEADORA E QUOKKA r$1505,00</t>
  </si>
  <si>
    <t>ATLASSIAN CO</t>
  </si>
  <si>
    <t>11/03 ATLASSIAN r$ 97,98 + r$ IOF 3,42</t>
  </si>
  <si>
    <t>01/02 Google Workspace_gviva.SAO PAULO REDE r$ 8.932,24 FRANQUEADORA E QUOKKA r$1505,00</t>
  </si>
  <si>
    <t>01/02 Google Workspace_iformeSAO PAULO - NOVO PAINEL DE EMAILS - IFORMEI E BRIXMART - IFORMEI - R$2,96</t>
  </si>
  <si>
    <t>Iformei</t>
  </si>
  <si>
    <t>CANVA MARKETING LTDA</t>
  </si>
  <si>
    <t>15/01 EBN*CANVA0476 PARC 03/12</t>
  </si>
  <si>
    <t>GUPY TECNOLOGIA EM RECRUTAMENTO</t>
  </si>
  <si>
    <t>Bol ref a plataforma de atração e seleção de pessoas Período 01/02 A 28/02 FAZER RATEIO NO DEPARTAMENTO DE ACORDO COM AS VAGAS DO PROCESSO SELETIVO DA V COMPANY</t>
  </si>
  <si>
    <t>Bol ref a plataforma de atração e seleção de pessoas Período 01/01 a 31/01 FAZER RATEIO NO DEPARTAMENTO DE ACORDO COM AS VAGAS DO PROCESSO SELETIVO DA V COMPANY</t>
  </si>
  <si>
    <t>Bol ref a plataforma de atração e seleção de pessoas Período 01/03 A 31/03 FAZER RATEIO NO DEPARTAMENTO DE ACORDO COM AS VAGAS DO PROCESSO SELETIVO DA V COMPANY</t>
  </si>
  <si>
    <t>22/03 CLICKSIGN*Clicksi</t>
  </si>
  <si>
    <t>HUGGY</t>
  </si>
  <si>
    <t>27/12 HUGGY</t>
  </si>
  <si>
    <t>https://docs.google.com/spreadsheets/d/1lBQpBsSs90rIaon1jQUCdzyjA4uGu_1uOPxvwrm-ToM/edit?gid=675069016#gid=675069016</t>
  </si>
  <si>
    <t>Incluído pela importação a partir de um código de barras. BOL REF - 1x 553230037122 - Mensagens de Marketing (Janeiro): 2500 / 1x 553230037122 - Mensagens de Serviço (Janeiro): 50790 / 1x 553230037122 - Mensagens de Utilidade (Janeiro): 108616 atendimento R$ R$ 2.165,67 + csc R$ 7,87</t>
  </si>
  <si>
    <t>Incluído pela importação a partir de um código de barras. BOL - 1x 553230037122 - Mensagens de Marketing (Fevereiro): 2154 / 1x 553230037122 - Mensagens de Serviço (Fevereiro): 51531 / 1x 553230037122 - Mensagens de Utilidade (Fevereiro): 1437</t>
  </si>
  <si>
    <t>27/03 HUGGY - **CARTÃO PJ**</t>
  </si>
  <si>
    <t>DIGITAL PRESENC X LTDA</t>
  </si>
  <si>
    <t>17/03 PG *DIGITAL - PRESE WASE - ASSINATURA ANUAL- plataforma fora do orçamento do ATD - aprovado pelo vitor -</t>
  </si>
  <si>
    <t>JUSBRASIL</t>
  </si>
  <si>
    <t>05/01 PG *JUSBRASIL - comp 01/2026</t>
  </si>
  <si>
    <t>06/12 PG *JUSBRASIL</t>
  </si>
  <si>
    <t>04/02 PG *JUSBRASIL</t>
  </si>
  <si>
    <t>BOLETO CONTABILIDADE MENSALIDADE R$792,00 VALOR POR FUNCIONARIO R$17,59</t>
  </si>
  <si>
    <t>23/03 DM*DropboxGNMCY3 franqueadora R$ 198,43 rede R$297,66</t>
  </si>
  <si>
    <t>REF A ASSINATURA DA PLATAFORMA - COMP 02/2026</t>
  </si>
  <si>
    <t>REF A ASSINATURA DA PLATAFORMA - COMP  01/2026</t>
  </si>
  <si>
    <t>REF A ASSINATURA DA PLATAFORMA - COMP 03/2026</t>
  </si>
  <si>
    <t>RD STATION</t>
  </si>
  <si>
    <t>Incluído pela importação a partir de um código de barras. Bol ref a renovação da plataforma RD - PARCELA 03 /03</t>
  </si>
  <si>
    <t>Incluído pela importação a partir de um código de barras. Bol ref a renovação da plataforma RD - PARCELA 01/03</t>
  </si>
  <si>
    <t>Incluído pela importação a partir de um código de barras. Bol ref a renovação da plataforma RD - PARCELA 02 /03</t>
  </si>
  <si>
    <t>RF CERTIFICADOS</t>
  </si>
  <si>
    <t>Incluído pela importação a partir de um código de barras. BOL - REF AO CERTIFICADO DIGITAL A1 EMPRESA</t>
  </si>
  <si>
    <t>SOCIALHUB SERVICOS DIGITAIS LTDA</t>
  </si>
  <si>
    <t>REF A PLATAFORMA PARALELA DISPARADOR DE WHATSAPP - COMP 02/2026 disparos e atendimentos de campanhas</t>
  </si>
  <si>
    <t>REF A PLATAFORMA PARALELA DISPARADOR DE WHATSAPP - COMP 01/2025 disparos e atendimentos de campanhas</t>
  </si>
  <si>
    <t>REF A PLATAFORMA PARALELA DISPARADOR DE WHATSAPP - COMP 03/2026 disparos e atendimentos de campanhas</t>
  </si>
  <si>
    <t>SOLIDES</t>
  </si>
  <si>
    <t>BOL REF A PLATAFORMA SOLIDES - COMP 02/2026</t>
  </si>
  <si>
    <t>BOL REF A PLATAFORMA SOLIDES - COMP 01/2026</t>
  </si>
  <si>
    <t>BOL REF A PLATAFORMA SOLIDES - COMP 03/2026</t>
  </si>
  <si>
    <t>GITHUB</t>
  </si>
  <si>
    <t>11/03 GITHUB, INC- R$ 209,38 + r$ 7,32 IOF</t>
  </si>
  <si>
    <t>SULTS</t>
  </si>
  <si>
    <t>BOL REF A PLATAFORMA TIME DE CONSULTORIA - COMP 02/2026</t>
  </si>
  <si>
    <t>BOL REF A PLATAFORMA TIME DE CONSULTORIA - COMP 01/2025</t>
  </si>
  <si>
    <t>02/03 GITHUB, INC. R$ 56,39 + R$ 1,81 IOF</t>
  </si>
  <si>
    <t>BOL REF A PLATAFORMA TIME DE CONSULTORIA - COMP 03/2026</t>
  </si>
  <si>
    <t>SURVEYMONKEY BRASIL INTERNET LTDA</t>
  </si>
  <si>
    <t>06/01 SurveyMonkey</t>
  </si>
  <si>
    <t>29/03 GITHUB, INC. - R$ 54,47 + R$ 1,90 IOF - REF A PLATAFORMA TI - 10 DOLARES ** CARTÃO PJ **</t>
  </si>
  <si>
    <t>01/03 GITHUB, INC. - R$ 217,83 + IOF R$ 7,62 - 2 ASSINATURA</t>
  </si>
  <si>
    <t>TURBO CLOUD</t>
  </si>
  <si>
    <t>19/01 PG *TURBO CLOUD</t>
  </si>
  <si>
    <t>26/12 PG *TURBO CLOUD</t>
  </si>
  <si>
    <t>27/03 GITHUB, INC - R$ 35,09 + R$ 1,22 IOF ** CARTÃO PJ **</t>
  </si>
  <si>
    <t>19/02 PG *TURBO CLOUD</t>
  </si>
  <si>
    <t>BOL - Ref as consultas período de 01/04 a 30/04</t>
  </si>
  <si>
    <t>01/04 Google Workspace_iforme - NOVO PAINEL DE EMAILS - IFORMEI E BRIXMART - **CARTÃO PJ** IFORMEI - 1 conta - r$ 73,50 VILLAGE 7 contas - r$514,5</t>
  </si>
  <si>
    <t>01/03 Google Workspace_iformeSAO PAULO NOVO PAINEL DE EMAILS - IFORMEI E BRIXMART - IFORMEI - 1 conta - r$ 59,71 VILLAGE 7 contas - r$418,04</t>
  </si>
  <si>
    <t>01/03 Google Workspace_gviva.SAO PAULO REDE r$ 8.994,33 FRANQUEADORA E QUOKKA r$1505,00</t>
  </si>
  <si>
    <t>02/02 AWS Brazil - ID 794431322895 - viva academy - time de gestão de pessoas</t>
  </si>
  <si>
    <t>REF A PLATAFORMA DE ASSINATURA ELETRÔNICA - DATA DA COMPENSAÇÃO DO CREDITO 01/01 - **PAGAR NA CONTA SANTANDER DO VITOR ** n de acesso 913892422951 FATURA 01</t>
  </si>
  <si>
    <t>REF A PLATAFORMA DE ASSINATURA ELETRÔNICA - DATA DA COMPENSAÇÃO DO CREDITO 02/12 - **PAGAR NA CONTA SANTANDER DO VITOR ** COD: 677276101401 - FATURA 01</t>
  </si>
  <si>
    <t>REF A PLATAFORMA DE ASSINATURA ELETRÔNICA - DATA DA COMPENSAÇÃO DO CREDITO 01/01  - **PAGAR NA CONTA SANTANDER DO VITOR ** viva academy - time de gestão de pessoas - N ACESSO 794431322895 FATURA 01</t>
  </si>
  <si>
    <t>01/02 AWS Brazil</t>
  </si>
  <si>
    <t>02/02 AWS Brazil</t>
  </si>
  <si>
    <t>01/04 DL *GOOGLE CLOUD - expansão para gerar uma API integrada à Huggy - ** FORA DO ORÇAMENTO - AUTORIZADO VITOR ** - ** CARTÃO PJ **</t>
  </si>
  <si>
    <t>27/11 AmazonPrimeBR -  PLATAFORMA DE COMPRAS COM FRETE GRÁTIS</t>
  </si>
  <si>
    <t>Bol ref a plataforma de atração e seleção de pessoas Período 01/04 A 30/04 FAZER RATEIO NO DEPARTAMENTO DE ACORDO COM AS VAGAS DO PROCESSO SELETIVO DA V COMPANY</t>
  </si>
  <si>
    <t>21/02 APPLECOMBILL- assinatura instagram siga a viva</t>
  </si>
  <si>
    <t>Incluído pela importação a partir de um código de barras. BOL - 1x 553230037122 - Mensagens de Marketing (Março/26): 3836 / 1x 553230037122 - Mensagens de Serviço (Março/26): 78452 / 1x 553230037122 - Mensagens de Utilidade (Março/26): 2006</t>
  </si>
  <si>
    <t>11/01 ATLASSIAN - r$ 101,96 + IOF R$ 3,56 - COMP 01/2026</t>
  </si>
  <si>
    <t>11/01 ATLASSIAN - r$ 101,96 + IOF R$ 3,56 -  COMP  01/2026</t>
  </si>
  <si>
    <t>11/02 ATLASSIAN - r$118,48 +IOF r$ 4,14</t>
  </si>
  <si>
    <t>27/02 HUGGY - 1x Plano Avançado (27/02/2026 à 27/03/2026) / 1x Agentes adicionais / 1x Agentes adicionais / 5x Agentes adicionais / 2x Agentes adicionais / 1x Agentes adicionais / 2x Agentes adicionais / 3x Agentes adicionais / 1x Agentes adicionais / 3x Agentes adicionais / 2x Agentes adicionais - Código da fatura: #109212</t>
  </si>
  <si>
    <t>15/01 EBN*CANVA0476 PARC 01/12</t>
  </si>
  <si>
    <t>15/01 EBN*CANVA0476 PARC 02/12</t>
  </si>
  <si>
    <t>REF - 08/02 GITHUB - R$ 217,35 + R$ 7,67 IOF - COMP 02/2026 - **PAGAR NA CONTA SANTANDER DO VITOR ** FATURA 01</t>
  </si>
  <si>
    <t>REF  10/01 MIDJOURNEY INC- R$ 1.644,13  + IOF R$ 57,54 -  **PAGAR NA CONTA SANTANDER DO VITOR ** FATURA 02</t>
  </si>
  <si>
    <t>REF - 01/01 SINCH MAILGUN - r$ 970,07 + r$  33,95 IOF - COMP 12/2025 - **PAGAR NA CONTA SANTANDER DO VITOR ** FATURA 01</t>
  </si>
  <si>
    <t>REF - 02/01 OPENAI *CHATGPT  - r$ 349,93 + r$ 12,25 IOF -  COMP 01/2026 - **PAGAR NA CONTA SANTANDER DO VITOR ** FATURA 01</t>
  </si>
  <si>
    <t>REF -21/01 APPLE COM/BILL  VALIDAÇÃO INSTAGRAM SIGAVIVA- **PAGAR NA CONTA SANTANDER DO VITOR ** FATURA 01</t>
  </si>
  <si>
    <t>REF - COMPLEMENTO : 08/01 GITHUB - r$ 222,73 +  IOF r$ 7,80 - COMP 01/2026  - **PAGAR NA CONTA SANTANDER DO VITOR ** FATURA 01</t>
  </si>
  <si>
    <t>REF -  14/12 PIPEFY COM - r$ R$ 661,11 + r$ 22,53 - COMP 12/2025 - **PAGAR NA CONTA SANTANDER DO VITOR ** R$   227,88  - GP R$ 227,88  - Quokka R$    227,88  - YM FATURA 01</t>
  </si>
  <si>
    <t>REF - 08/03 GITHUB - R$ 216,80 + R$ 7,59 IOF - COMP 03/2026 - **PAGAR NA CONTA SANTANDER DO VITOR **</t>
  </si>
  <si>
    <t>CLARIANE QUARESMA</t>
  </si>
  <si>
    <t>PIX - Ref ao credito na plataforma landing.ai.</t>
  </si>
  <si>
    <t>06/03 PG *JUSBRASIL</t>
  </si>
  <si>
    <t>23/02 DM *DropboxKCPH5JYH4X9 DUBLIN franq R$ 260,60 rede - R$ 390,88</t>
  </si>
  <si>
    <t>KOMMO</t>
  </si>
  <si>
    <t>02/03 EBURY*QSOFT LLC - KOMMO</t>
  </si>
  <si>
    <t>linkedin business</t>
  </si>
  <si>
    <t>04/03 LINKEDIN - ASSINATURA ANUAL</t>
  </si>
  <si>
    <t>LOCAWEB</t>
  </si>
  <si>
    <t>Incluído pela importação a partir de um código de barras. Bol - referente ao certificado de segurança SSL. - renovação anual</t>
  </si>
  <si>
    <t>LOVABLE</t>
  </si>
  <si>
    <t>12/03 LOVABLE r$26,83 + r$ 0,93 IOF</t>
  </si>
  <si>
    <t>12/04 LOVABLE - R$ 26,12 + R$ 0,91 IOF ** CARTÃO PJ **</t>
  </si>
  <si>
    <t>11/01 GITHUB, INC. - R$ 217,83 + IOF R$ 7,62 - COMP 01/2026</t>
  </si>
  <si>
    <t>DEP - REF A CONTRATAÇÃO DE PLATAFORMAS - ** FORA DO ORÇAMENTO - AUTORIZADO PELO MARCELO **</t>
  </si>
  <si>
    <t>MIRO</t>
  </si>
  <si>
    <t>05/03 MIRO.COM - r$ 1.040,16 + r$ 36,40 IOF</t>
  </si>
  <si>
    <t>MIXED ANALYTICS</t>
  </si>
  <si>
    <t>15/03 MIXED ANALYTICS - r$ 158,46 + r$ 5,54 IOF</t>
  </si>
  <si>
    <t>11/02 GITHUB, INC. - R$ 211,00 + r$ 7,38 IOF</t>
  </si>
  <si>
    <t>02/02 GITHUB, INC. - R$ 54,39 + R$ 1,90 IOF</t>
  </si>
  <si>
    <t>BOL REF A ASSINATURA DA PLATAFORMA - COMP 04/2026</t>
  </si>
  <si>
    <t>27/11 HUGGY - 104121 csc R$ 719,68</t>
  </si>
  <si>
    <t>LANDING AI</t>
  </si>
  <si>
    <t>02/02 LANDINGAI - r$ 1.364,82 + r$ 47,76 IOF - créditos na plataforma estrangeira landing.ai.</t>
  </si>
  <si>
    <t>OpenAI, LLC - CHATGPT</t>
  </si>
  <si>
    <t>02/03 OPENAI *CHATGPT - r$ 321,33 + r$ IOF 11,24 - COMP 03/2026</t>
  </si>
  <si>
    <t>04/01 LINKEDIN</t>
  </si>
  <si>
    <t>04/12 LINKEDIN</t>
  </si>
  <si>
    <t>04/02 LINKEDIN</t>
  </si>
  <si>
    <t>PIPEFY.COM</t>
  </si>
  <si>
    <t>14/03 PIPEFY.COM - r$ 628,39 + r$21,99 IOF GP r$ 162,59+ QUOKKA r$ 162,59 + FEAT r$162,59 + YM r$162,59</t>
  </si>
  <si>
    <t>12/01 LOVABLE - R$ 139,64 + IOF R$ 4,88 - COMP 01/2026</t>
  </si>
  <si>
    <t>12/02 LOVABLE - R$ 134,77 + r$ 4,71 IOF</t>
  </si>
  <si>
    <t>MARCELO GOMES - SANTANDER</t>
  </si>
  <si>
    <t>DEP - REF AO REEMBOLSO CARTÃO - PLATAFORMAS : 12/12 LOVABLE R$ 148,75 + 29/12 SYNTHESIA R$ 176,29</t>
  </si>
  <si>
    <t>DEP - REF AO REEMBOLSO CARTÃO - PLATAFORMAS</t>
  </si>
  <si>
    <t>PORTAL MAKE</t>
  </si>
  <si>
    <t>08/03 WWW.MAKE.COM - r$ 58,24 - r$2,03 IOF</t>
  </si>
  <si>
    <t>16/01 MIXED ANALYTICS - R$ 162,40 + IOF R$ 3,32 - COMP 01/2026</t>
  </si>
  <si>
    <t>16/01 MIXED ANALYTICS - R$ 162,40 + IOF R$  3,32 - COMP 01/2026</t>
  </si>
  <si>
    <t>15/02 MIXED ANALYTICS - r$ 157,70 + r$ 5,51IOF</t>
  </si>
  <si>
    <t>NIC. BR</t>
  </si>
  <si>
    <t>Incluído pela importação a partir de um código de barras. BOL - REF AO DOMÍNIO IFORMEI</t>
  </si>
  <si>
    <t>ROTIK</t>
  </si>
  <si>
    <t>17/03 IG*GOPWR -rotik MENSAL - plataforma fora do orçamento do ATD - aprovado pelo vitor -</t>
  </si>
  <si>
    <t>02/02 OPENAI *CHATGPT SUBSCR OPENAI.COM - r$ 326,36 + r$ IOF 11,42 - COMP 02/2026</t>
  </si>
  <si>
    <t>SINCH BR S.A</t>
  </si>
  <si>
    <t>02/04 SINCH MAILGUN - r$ 717,07 + IOF R$ 28,09 - COMP 04/2026 ** CARTÃO PJ **</t>
  </si>
  <si>
    <t>REF A PLATAFORMA PARALELA DISPARADOR DE WHATSAPP - COMP 04/2026 disparos e atendimentos de campanhas</t>
  </si>
  <si>
    <t>BOL REF A PLATAFORMA SOLIDES - COMP 04/2026</t>
  </si>
  <si>
    <t>14/01 PIPEFY.COM - R$ 643,02 + IOF r$ 22,50 - COMP 01/2026 GP r$ 332,76 QUOKKA r$332,76</t>
  </si>
  <si>
    <t>STAPE, INC.</t>
  </si>
  <si>
    <t>01/04 STAPE, INC.. - R$ 54,28 + R$ 1,89 IOF - ** CARTÃO PJ **</t>
  </si>
  <si>
    <t>14/02 PIPEFY.COM - r$625,37 + r$ 21,88 IOF - GP r$ 323,63 + QUOKKA r$323,63</t>
  </si>
  <si>
    <t>BOL REF A PLATAFORMA TIME DE CONSULTORIA - COMP 04/2026</t>
  </si>
  <si>
    <t>08/01 WWW.MAKE.COM - R$ 59,34 + IOF r$ 2,07</t>
  </si>
  <si>
    <t>08/02 WWW.MAKE.COM - r$ 57,65 + R$ 2,01 IOF - COMP 02/2026</t>
  </si>
  <si>
    <t>01/05 Google Workspace_iforme -  NOVO PAINEL DE EMAILS - IFORMEI E BRIXMART -  **CARTÃO PJ** IFORMEI - 1 conta - r$ 138,73 VILLAGE 7 contas - r$971,11</t>
  </si>
  <si>
    <t>THIAGO VALERIO LOPES</t>
  </si>
  <si>
    <t>BOL - Ref servidor sistema iFORMEI - comp 02/2025 a 04/2026 - estava no orçamento de 2025 - autorizado pelo marcelo.</t>
  </si>
  <si>
    <t>TRELLO</t>
  </si>
  <si>
    <t>03/03 TRELLO.COM - R$ 648,92 + r$ 22,71 IOF - ASSINATURA ANUAL Gestão R$ 167,90 Pos venda R$ 167,90 Ym R$ 167,90 Cubo R$ 167,90</t>
  </si>
  <si>
    <t>02/02 SINCH MAILGUN - r$ 914,78 + IOF R$ 21,01 - COMP 01/2026</t>
  </si>
  <si>
    <t>02/03 SINCH MAILGUN r$ 736,43 + IOF R$ 25,77 - COMP 03/2026</t>
  </si>
  <si>
    <t>19/03 PG *TURBO CLOUD</t>
  </si>
  <si>
    <t>VERCEL INC.</t>
  </si>
  <si>
    <t>19/04 CLAUDE.AI - R$ 550,00 + R$ 19,25 IOF - ** FORA DO ORÇAMENTO - AUTORIZADO MARCELO ** - ** CARTÃO PJ **</t>
  </si>
  <si>
    <t>09/04 VERCEL INC. - R$ 105,87 + R$ 3,70 IOF - ** FORA DO ORÇAMENTO - AUTORIZADO MARCELO ** - ** CARTÃO PJ **</t>
  </si>
  <si>
    <t>Zoom.Us</t>
  </si>
  <si>
    <t>06/03 ZOOM.COM 888-799-966 - r$ 92,67 + r$ IOF 3,24</t>
  </si>
  <si>
    <t>17/01 ZOOM.COM 888-799-9666 - R$ 95,06 + R$ 5,68 - COMP 01/2026</t>
  </si>
  <si>
    <t>BANCO DO BRASIL SA</t>
  </si>
  <si>
    <t>26/01 ENCARGOS FINANC ROTATIVO</t>
  </si>
  <si>
    <t>02/02 IOF DIAR ROT PJ REF.01/26 BR 0,89 02/02 IOF ADIC ROT PJ REF.01/26 BR 20,57</t>
  </si>
  <si>
    <t>BANCO SANTANDER (BRASIL) S.A.</t>
  </si>
  <si>
    <t>ANUIDADE **PAGAR NA CONTA SANTANDER DO VITOR ** FATURA 01</t>
  </si>
  <si>
    <t>MULT-ELETRONICA</t>
  </si>
  <si>
    <t>PIX - REF AO CONSERTO TV HUB - SALA 1</t>
  </si>
  <si>
    <t>Gerado automaticamente pelo Omie.CASH. Trata-se da tarifa referente ao Pix enviado em 07/04/2026 para: THOMAS SOUZA REIS (097.174.676-17) Instituição: 260 Agência: 0001 Conta: 1201493-3 Número da Transação: E132033542026040718201C96D8A0D56</t>
  </si>
  <si>
    <t>Gerado automaticamente pelo Omie.CASH. Trata-se da tarifa referente ao Pix enviado em 07/04/2026 para: CRISTIANE LEITE BRAGA (080.991.806-40) Instituição: 260 Agência: 0001 Conta: 96210-2 Número da Transação: E13203354202604071820D80E819B494</t>
  </si>
  <si>
    <t>Gerado automaticamente pelo Omie.CASH. Trata-se da tarifa referente ao Pix enviado em 07/04/2026 para: JHONATAS SILVA FRANCO (091.220.926-76) Instituição: 260 Agência: 0001 Conta: 6901574-7 Número da Transação: E13203354202604071820A4732E8D1AA</t>
  </si>
  <si>
    <t>Gerado automaticamente pelo Omie.CASH. Trata-se da tarifa referente ao Pix enviado em 07/04/2026 para: MARCOS ANTONIO MAINI DUQUE (087.323.606-81) Instituição: 033 Agência: 0179 Conta: 1033275-2 Número da Transação: E13203354202604071820D71C6ECE5B3</t>
  </si>
  <si>
    <t>Gerado automaticamente pelo Omie.CASH. Trata-se da tarifa referente ao Pix enviado em 07/04/2026 para: ELPIDIO JOSE FRANCISCO FILHO (504.686.937-34) Instituição: 033 Agência: 4535 Conta: 1025752-3 Número da Transação: E13203354202604071821B87EEEEAF74</t>
  </si>
  <si>
    <t>PIX - REF A COMPRA DOS INGRESSOS PARA VIAGEM SELO DE EXCELÊNCIA 2026 - JA ESTA PAGO - FALTA CONCILIAR</t>
  </si>
  <si>
    <t>Gerado automaticamente pelo Omie.CASH. Trata-se da tarifa referente ao Pix enviado em 07/04/2026 para: REGIS ADRIANO DA COSTA (103.945.056-38) Instituição: 260 Agência: 0001 Conta: 7083172-1 Número da Transação: E13203354202604071820213151CB5BB</t>
  </si>
  <si>
    <t>Gerado automaticamente pelo Omie.CASH. Trata-se da tarifa referente ao Pix enviado em 07/04/2026 para: EVERDAN ELIAS COELHO (058.382.626-13) Instituição: 260 Agência: 0001 Conta: 20377589-9 Número da Transação: E13203354202604071820F59EC89FA65</t>
  </si>
  <si>
    <t>Gerado automaticamente pelo Omie.CASH. Trata-se da tarifa referente ao Pix enviado em 07/04/2026 para: LUCAS SOBRINHO TEIXEIRA (073.847.576-90) Instituição: 260 Agência: 0001 Conta: 7002586-8 Número da Transação: E1320335420260407182138421AE7932</t>
  </si>
  <si>
    <t>DIN - REF A FREELA LIMPEZA - 02/04</t>
  </si>
  <si>
    <t>Gerado automaticamente pelo Omie.CASH. Trata-se da tarifa referente ao Pix enviado em 07/04/2026 para: MARCELA DE SOUZA (083.892.026-89) Instituição: 260 Agência: 0001 Conta: 19753868-1 Número da Transação: E132033542026040718202E5C96E76B3</t>
  </si>
  <si>
    <t>Gerado automaticamente pelo Omie.CASH. Trata-se da tarifa referente ao Pix enviado em 16/04/2026 para: CAIXA ECONOMICA FEDERAL (00.360.305/0001-04) Instituição: 104 Agência: 0647 Conta: 9999000537000360305-5 Número da Transação: E132033542026041618382258496ED52</t>
  </si>
  <si>
    <t>MONICA APARECIDA FERNANDO - FREELA LIMPEZA</t>
  </si>
  <si>
    <t>DEP REF AO PGT FREELA DA LIMPEZA 03/07</t>
  </si>
  <si>
    <t>Gerado automaticamente pelo Omie.CASH. Trata-se da tarifa referente ao Pix enviado em 14/04/2026 para: 54.971.070 felipe henriques crivellari (54.971.070/0001-16) Instituição: 336 Agência: 0001 Conta: 32629505-4 Número da Transação: E13203354202604141952B15688F7A85</t>
  </si>
  <si>
    <t>Gerado automaticamente pelo Omie.CASH. Trata-se da tarifa referente ao Pix enviado em 20/04/2026 para: MARCELO GOMES DE ALMEIDA GONCALVES (916.055.556-49) Instituição: 001 Agência: 5888 Conta: 40755-0 Número da Transação: E13203354202604201459DB12718F969</t>
  </si>
  <si>
    <t>Gerado automaticamente pelo Omie.CASH. Trata-se da tarifa referente ao Pix enviado em 22/04/2026 para: 54.971.070 felipe henriques crivellari (54.971.070/0001-16) Instituição: 336 Agência: 0001 Conta: 32629505-4 Número da Transação: E13203354202604221424185CEB164E4</t>
  </si>
  <si>
    <t>Gerado automaticamente pelo Omie.CASH. Trata-se da tarifa referente à transferência enviada em 24/04/2026 para: SPDX ADMINISTRADORA DE FUNDOS DE FORMATURA LTDA (15.136.961/0001-03) Instituição: 001 Agência: 0024 Conta: 148550-4 Número da Transação: 11537067</t>
  </si>
  <si>
    <t>BOL TREINAMENTO NR5 COMP: 05/2026</t>
  </si>
  <si>
    <t>Gerado automaticamente pelo Omie.CASH. Trata-se da tarifa referente ao Pix enviado em 14/04/2026 para: PANELINHA COMIDA FIT LTDA (26.151.284/0001-00) Instituição: 001 Agência: 5888 Conta: 54940-1 Número da Transação: E132033542026041419527BA07EADB78</t>
  </si>
  <si>
    <t>Gerado automaticamente pelo Omie.CASH. Trata-se da tarifa referente ao Pix enviado em 29/04/2026 para: 54.971.070 felipe henriques crivellari (54.971.070/0001-16) Instituição: 336 Agência: 0001 Conta: 32629505-4 Número da Transação: E13203354202604291801F3B236280D2</t>
  </si>
  <si>
    <t>Gerado automaticamente pelo Omie.CASH. Trata-se da tarifa referente ao Pix enviado em 29/04/2026 para: PANELINHA COMIDA FIT LTDA (26.151.284/0001-00) Instituição: 001 Agência: 5888 Conta: 54940-1 Número da Transação: E1320335420260429180182CE84E5792</t>
  </si>
  <si>
    <t>Gerado automaticamente pelo Omie.CASH. Trata-se da tarifa referente ao Pix enviado em 30/04/2026 para: JF NORTE VIAGENS LTDA (42.652.998/0001-59) Instituição: 237 Agência: 3832 Conta: 327850-6 Número da Transação: E1320335420260430184439AE799F8B9</t>
  </si>
  <si>
    <t>Gerado automaticamente pelo Omie.CASH. Trata-se da tarifa referente ao Pix enviado em 30/04/2026 para: 3Ps EVENTOS (27.254.075/0001-55) Instituição: 756 Agência: 3118 Conta: 381804-7 Número da Transação: E13203354202604301845297563771EE</t>
  </si>
  <si>
    <t>Gerado automaticamente pelo Omie.CASH. Trata-se da tarifa referente ao Pix enviado em 30/04/2026 para: MARCOS ANTONIO MAINI DUQUE (087.323.606-81) Instituição: 033 Agência: 0179 Conta: 1033275-2 Número da Transação: E13203354202604301844653DF125932</t>
  </si>
  <si>
    <t>Gerado automaticamente pelo Omie.CASH. Trata-se da tarifa referente ao Pix enviado em 29/04/2026 para: 54.971.070 felipe henriques crivellari (54.971.070/0001-16) Instituição: 336 Agência: 0001 Conta: 32629505-4 Número da Transação: E132033542026042918042C98DB9FCF0</t>
  </si>
  <si>
    <t>Gerado automaticamente pelo Omie.CASH. Trata-se da tarifa referente ao Pix enviado em 30/04/2026 para: 3Ps EVENTOS (27.254.075/0001-55) Instituição: 756 Agência: 3118 Conta: 381804-7 Número da Transação: E1320335420260430184538CE66D854A</t>
  </si>
  <si>
    <t>Gerado automaticamente pelo Omie.CASH. Trata-se da tarifa referente ao Pix enviado em 27/04/2026 para: CIRURGICA SAUDE DE MANHUACU LTDA (02.482.104/0001-05) Instituição: ID177 Agência: 4346 Conta: 35413-9 Número da Transação: E132033542026042720408F27D67C532</t>
  </si>
  <si>
    <t>Gerado automaticamente pelo Omie.CASH. Trata-se da tarifa referente ao Pix enviado em 29/04/2026 para: PANELINHA COMIDA FIT LTDA (26.151.284/0001-00) Instituição: 001 Agência: 5888 Conta: 54940-1 Número da Transação: E132033542026042918046261E9C68B8</t>
  </si>
  <si>
    <t>Gerado automaticamente pelo Omie.CASH. Trata-se da tarifa de liquidação de boleto. Número da Transação: 26857581</t>
  </si>
  <si>
    <t>Gerado automaticamente pelo Omie.CASH. Trata-se da tarifa referente ao Pix enviado em 29/04/2026 para: JF NORTE VIAGENS LTDA (42.652.998/0001-59) Instituição: 237 Agência: 3832 Conta: 327850-6 Número da Transação: E13203354202604291804198653D3A58</t>
  </si>
  <si>
    <t>Gerado automaticamente pelo Omie.CASH. Trata-se da tarifa referente ao boleto 0020155100000587 com vencimento em 30/04/2026 emitido para: ABREU E ROCHA EVENTOS LTDA (48.362.017/0001-15) Número da Transação: 5932390</t>
  </si>
  <si>
    <t>Gerado automaticamente pelo Omie.CASH. Trata-se da tarifa referente ao Pix enviado em 30/04/2026 para: JF NORTE VIAGENS LTDA (42.652.998/0001-59) Instituição: 237 Agência: 3832 Conta: 327850-6 Número da Transação: E1320335420260430184403D9D2EAC44</t>
  </si>
  <si>
    <t>Gerado automaticamente pelo Omie.CASH. Trata-se da tarifa referente ao boleto 0020155100000585 com vencimento em 30/04/2026 emitido para: SUL MINAS EVENTOS LTDA (24.207.538/0001-30) Número da Transação: 5931041</t>
  </si>
  <si>
    <t>Gerado automaticamente pelo Omie.CASH. Trata-se da tarifa referente ao Pix enviado em 28/04/2026 para: O.R.V. ELETRONICA LTDA (03.631.863/0001-55) Instituição: ID247 Agência: 3137 Conta: 26269-2 Número da Transação: E13203354202604281234621D53892E0</t>
  </si>
  <si>
    <t>Gerado automaticamente pelo Omie.CASH. Trata-se da tarifa referente ao Pix enviado em 28/04/2026 para: JF NORTE VIAGENS LTDA (42.652.998/0001-59) Instituição: 237 Agência: 3832 Conta: 327850-6 Número da Transação: E13203354202604282023AF2AB853ACA</t>
  </si>
  <si>
    <t>JUROS EMPRÉSTIMO VIVAS HERO - CURITIBA</t>
  </si>
  <si>
    <t>WANESSA.ARAUJO ULBRA-ENF-25/2 (PAC)#8980#Palmas</t>
  </si>
  <si>
    <t>margem RP 837429 - MARGEM PALMAS - ESTÁ FICANDO NO CAIXA DA V COMPANY</t>
  </si>
  <si>
    <t>Gerado automaticamente pelo Omie.CASH. Trata-se da tarifa referente ao Pix enviado em 02/04/2026 para: MARCELA DE SOUZA (083.892.026-89) Instituição: 260 Agência: 0001 Conta: 19753868-1 Número da Transação: E13203354202604021223B011C4CB0FE</t>
  </si>
  <si>
    <t>Gerado automaticamente pelo Omie.CASH. Trata-se da tarifa referente ao Pix enviado em 09/04/2026 para: Marcos Vinicius Soldate (055.442.346-47) Instituição: 237 Agência: 3832 Conta: 1002963-5 Número da Transação: E132033542026040916586ABCE8C8C20</t>
  </si>
  <si>
    <t>Gerado automaticamente pelo Omie.CASH. Trata-se da tarifa referente ao Pix enviado em 02/04/2026 para: HOTEL NACIONAL INN RECIFE LTDA (04.673.297/0001-07) Instituição: 341 Agência: 0364 Conta: 64064-9 Número da Transação: E13203354202604021223A784CE8ECA4</t>
  </si>
  <si>
    <t>Gerado automaticamente pelo Omie.CASH. Trata-se da tarifa referente ao Pix enviado em 07/04/2026 para: JHONATAS SILVA FRANCO (091.220.926-76) Instituição: 260 Agência: 0001 Conta: 6901574-7 Número da Transação: E13203354202604071809831718D8260</t>
  </si>
  <si>
    <t>Gerado automaticamente pelo Omie.CASH. Trata-se da tarifa referente ao Pix enviado em 07/04/2026 para: HUMBERTO SALES DE ALMEIDA (112.339.986-76) Instituição: 348 Agência: 0001 Conta: 951216-4 Número da Transação: E132033542026040718097A9BA563CEA</t>
  </si>
  <si>
    <t>Gerado automaticamente pelo Omie.CASH. Trata-se da tarifa referente ao Pix enviado em 06/04/2026 para: RENATO MENEZES FILGUEIRAS (060.840.216-89) Instituição: 001 Agência: 2995 Conta: 18869-7 Número da Transação: E1320335420260406204278E48A18D34</t>
  </si>
  <si>
    <t>Gerado automaticamente pelo Omie.CASH. Trata-se da tarifa referente ao Pix enviado em 07/04/2026 para: CRISTIANE LEITE BRAGA (080.991.806-40) Instituição: 260 Agência: 0001 Conta: 96210-2 Número da Transação: E1320335420260407180944E06F1B299</t>
  </si>
  <si>
    <t>Gerado automaticamente pelo Omie.CASH. Trata-se da tarifa referente ao Pix enviado em 09/04/2026 para: A J S A EVENTOS LTDA (41.430.388/0001-48) Instituição: 336 Agência: 0001 Conta: 30890543-1 Número da Transação: E13203354202604091658151E4939157</t>
  </si>
  <si>
    <t>Gerado automaticamente pelo Omie.CASH. Trata-se da tarifa referente ao Pix enviado em 07/04/2026 para: MARCELA DE SOUZA (083.892.026-89) Instituição: 260 Agência: 0001 Conta: 19753868-1 Número da Transação: E132033542026040718093CEB02570E5</t>
  </si>
  <si>
    <t>Gerado automaticamente pelo Omie.CASH. Trata-se da tarifa referente ao Pix enviado em 09/04/2026 para: JUNIOR &amp; ACHETE LTDA (61.247.781/0001-08) Instituição: 260 Agência: 0001 Conta: 821961011-9 Número da Transação: E13203354202604091658C614B6793F7</t>
  </si>
  <si>
    <t>Gerado automaticamente pelo Omie.CASH. Trata-se da tarifa referente ao Pix enviado em 09/04/2026 para: DARCY DE ALMEIDA MOTA JUNIOR (170.839.968-22) Instituição: 341 Agência: 9718 Conta: 1618-2 Número da Transação: E132033542026040916580A8DE5A2123</t>
  </si>
  <si>
    <t>Gerado automaticamente pelo Omie.CASH. Trata-se da tarifa referente ao Pix enviado em 07/04/2026 para: THOMAS SOUZA REIS (097.174.676-17) Instituição: 260 Agência: 0001 Conta: 1201493-3 Número da Transação: E13203354202604071809787C2A19AB2</t>
  </si>
  <si>
    <t>Gerado automaticamente pelo Omie.CASH. Trata-se da tarifa referente ao Pix enviado em 09/04/2026 para: GABRIEL ARAUJO MORANDI (120.096.427-67) Instituição: 001 Agência: 3194 Conta: 32152-4 Número da Transação: E132033542026040916588EDC9B82195</t>
  </si>
  <si>
    <t>Gerado automaticamente pelo Omie.CASH. Trata-se da tarifa referente ao Pix enviado em 07/04/2026 para: Karine Rocha Azevedo e Silva Costa (112.016.427-36) Instituição: 260 Agência: 0001 Conta: 74924668-3 Número da Transação: E13203354202604071809B0E4E8471B8</t>
  </si>
  <si>
    <t>Gerado automaticamente pelo Omie.CASH. Trata-se da tarifa referente ao Pix enviado em 09/04/2026 para: ABREU ROCHA E TOMIMOTO EVENTOS LTDA (48.362.017/0001-15) Instituição: 403 Agência: 0001 Conta: 4245139-4 Número da Transação: E132033542026040916582878E4DADC1</t>
  </si>
  <si>
    <t>Gerado automaticamente pelo Omie.CASH. Trata-se da tarifa referente ao Pix enviado em 09/04/2026 para: LUIZA PEREIRA HARGREAVES CARVALHO (098.620.426-99) Instituição: 237 Agência: 3265 Conta: 576090-9 Número da Transação: E132033542026040916587B115F0A2B4</t>
  </si>
  <si>
    <t>Gerado automaticamente pelo Omie.CASH. Trata-se da tarifa referente ao Pix enviado em 10/04/2026 para: VITOR DE OLIVEIRA PEDROSA (052.537.926-60) Instituição: 001 Agência: 2995 Conta: 40754-2 Número da Transação: E132033542026041015499F619569425</t>
  </si>
  <si>
    <t>Gerado automaticamente pelo Omie.CASH. Trata-se da tarifa referente ao Pix enviado em 09/04/2026 para: RENAN SOTRATE FERREIRA (102.584.736-90) Instituição: 001 Agência: 4766 Conta: 43891-0 Número da Transação: E1320335420260409165870ED11C2A46</t>
  </si>
  <si>
    <t>Gerado automaticamente pelo Omie.CASH. Trata-se da tarifa referente ao Pix enviado em 02/04/2026 para: Jessica da Silva Carvalho (128.332.986-76) Instituição: 260 Agência: 0001 Conta: 68099234-2 Número da Transação: E132033542026040212231B122C24726</t>
  </si>
  <si>
    <t>Gerado automaticamente pelo Omie.CASH. Trata-se da tarifa referente ao Pix enviado em 09/04/2026 para: PACHECO E BOTELHO EVENTOS LTDA (20.506.190/0001-20) Instituição: 001 Agência: 0364 Conta: 102519-8 Número da Transação: E1320335420260409165858F29049535</t>
  </si>
  <si>
    <t>Gerado automaticamente pelo Omie.CASH. Trata-se da tarifa referente ao Pix enviado em 07/04/2026 para: MARCOS ANTONIO MAINI DUQUE (087.323.606-81) Instituição: 033 Agência: 0179 Conta: 1033275-2 Número da Transação: E13203354202604071809ACE031D7F7E</t>
  </si>
  <si>
    <t>Gerado automaticamente pelo Omie.CASH. Trata-se da tarifa referente ao Pix enviado em 06/04/2026 para: RENATO MENEZES FILGUEIRAS (060.840.216-89) Instituição: 001 Agência: 2995 Conta: 18869-7 Número da Transação: E132033542026040620425E23F6960CE</t>
  </si>
  <si>
    <t>Gerado automaticamente pelo Omie.CASH. Trata-se da tarifa referente ao Pix enviado em 07/04/2026 para: BUSINESS NETWORKING MASTER FRANQUIA BRASIL LTDA (04.362.235/0001-84) Instituição: ID645 Agência: 0001 Conta: 575887-5 Número da Transação: E13203354202604071712F90C77B775A</t>
  </si>
  <si>
    <t>Gerado automaticamente pelo Omie.CASH. Trata-se da tarifa referente ao Pix enviado em 07/04/2026 para: EVERDAN ELIAS COELHO (058.382.626-13) Instituição: 260 Agência: 0001 Conta: 20377589-9 Número da Transação: E132033542026040718097B71EA002F8</t>
  </si>
  <si>
    <t>Gerado automaticamente pelo Omie.CASH. Trata-se da tarifa referente ao Pix enviado em 09/04/2026 para: LUIZA PEREIRA HARGREAVES CARVALHO (098.620.426-99) Instituição: 237 Agência: 3265 Conta: 576090-9 Número da Transação: E132033542026040916586CFEC310850</t>
  </si>
  <si>
    <t>Gerado automaticamente pelo Omie.CASH. Trata-se da tarifa referente ao Pix enviado em 09/04/2026 para: JUNIOR &amp; ACHETE LTDA (61.247.781/0001-08) Instituição: 260 Agência: 0001 Conta: 821961011-9 Número da Transação: E13203354202604091658A1215732150</t>
  </si>
  <si>
    <t>Gerado automaticamente pelo Omie.CASH. Trata-se da tarifa referente ao Pix enviado em 07/04/2026 para: ELBA RAYANA DE PAIVA RIBAS (094.469.336-92) Instituição: 260 Agência: 0001 Conta: 80243916-3 Número da Transação: E132033542026040718096F6D3B2D2A7</t>
  </si>
  <si>
    <t>Gerado automaticamente pelo Omie.CASH. Trata-se da tarifa referente ao Pix enviado em 07/04/2026 para: LUCAS SOBRINHO TEIXEIRA (073.847.576-90) Instituição: 260 Agência: 0001 Conta: 7002586-8 Número da Transação: E13203354202604071809CFB675B8EA1</t>
  </si>
  <si>
    <t>Gerado automaticamente pelo Omie.CASH. Trata-se da tarifa referente ao Pix enviado em 07/04/2026 para: REGIS ADRIANO DA COSTA (103.945.056-38) Instituição: 260 Agência: 0001 Conta: 7083172-1 Número da Transação: E1320335420260407180903AA38184E7</t>
  </si>
  <si>
    <t>Gerado automaticamente pelo Omie.CASH. Trata-se da tarifa referente ao boleto 0020155100000582 com vencimento em 01/04/2026 emitido para: ABREU E ROCHA EVENTOS LTDA (48.362.017/0001-15) Número da Transação: 26019853</t>
  </si>
  <si>
    <t>Gerado automaticamente pelo Omie.CASH. Trata-se da tarifa referente ao Pix enviado em 22/04/2026 para: 54.971.070 felipe henriques crivellari (54.971.070/0001-16) Instituição: 336 Agência: 0001 Conta: 32629505-4 Número da Transação: E1320335420260422155370B5C855E1A</t>
  </si>
  <si>
    <t>Gerado automaticamente pelo Omie.CASH. Trata-se da tarifa referente ao Pix enviado em 14/04/2026 para: Thomas Souza Reis (097.174.676-17) Instituição: 260 Agência: 0001 Conta: 1201493-3 Número da Transação: E1320335420260414194654887237581</t>
  </si>
  <si>
    <t>Gerado automaticamente pelo Omie.CASH. Trata-se da tarifa referente ao Pix enviado em 14/04/2026 para: 54.971.070 felipe henriques crivellari (54.971.070/0001-16) Instituição: 336 Agência: 0001 Conta: 32629505-4 Número da Transação: E13203354202604141946E6D531146A0</t>
  </si>
  <si>
    <t>Gerado automaticamente pelo Omie.CASH. Trata-se da tarifa referente ao Pix enviado em 14/04/2026 para: Jessica da Silva Carvalho (128.332.986-76) Instituição: 260 Agência: 0001 Conta: 68099234-2 Número da Transação: E13203354202604141946F2D37751696</t>
  </si>
  <si>
    <t>Gerado automaticamente pelo Omie.CASH. Trata-se da tarifa referente ao Pix enviado em 23/04/2026 para: VITOR DE OLIVEIRA PEDROSA (052.537.926-60) Instituição: 001 Agência: 5888 Conta: 40754-2 Número da Transação: E13203354202604231729F9868273CEE</t>
  </si>
  <si>
    <t>Gerado automaticamente pelo Omie.CASH. Trata-se da tarifa referente ao Pix enviado em 16/04/2026 para: ASSOCIACAO BENEFICENTE E CULTURAL AMIGOS DO NOIVO (04.704.512/0001-90) Instituição: 756 Agência: 4149 Conta: 14765-6 Número da Transação: E13203354202604161802F542EF5725C</t>
  </si>
  <si>
    <t>Gerado automaticamente pelo Omie.CASH. Trata-se da tarifa referente ao Pix enviado em 24/04/2026 para: MARIA DAS GRACAS ALVES FERREIRA (686.167.916-04) Instituição: 756 Agência: 3118 Conta: 62938626-9 Número da Transação: E13203354202604241727E10B94A2859</t>
  </si>
  <si>
    <t>Gerado automaticamente pelo Omie.CASH. Trata-se da tarifa referente à transferência enviada em 16/04/2026 para: PAES E DOCES NOVA FANTASTICA LTDA (13.462.169/0001-05) Instituição: 033 Agência: 4454 Conta: 13000298-2 Número da Transação: 11527123</t>
  </si>
  <si>
    <t>Gerado automaticamente pelo Omie.CASH. Trata-se da tarifa referente ao Pix enviado em 23/04/2026 para: Marcelo Bahia de Souza (780.364.616-68) Instituição: 260 Agência: 0001 Conta: 95411218-4 Número da Transação: E132033542026042317296024B07B118</t>
  </si>
  <si>
    <t>Gerado automaticamente pelo Omie.CASH. Trata-se da tarifa referente ao Pix enviado em 16/04/2026 para: RENAISSANCE SOLUTIONS LTDA (56.912.999/0001-08) Instituição: 208 Agência: 0050 Conta: 844637-6 Número da Transação: E13203354202604161810517301B6D1A</t>
  </si>
  <si>
    <t>Gerado automaticamente pelo Omie.CASH. Trata-se da tarifa referente ao Pix enviado em 24/04/2026 para: ANA CLARA COLOMBO (035.265.430-97) Instituição: ID407 Agência: 0167 Conta: 91727-5 Número da Transação: E132033542026042417287BC39A48752</t>
  </si>
  <si>
    <t>BANCO SICOOB</t>
  </si>
  <si>
    <t>CRÉDITO DISTRIBUIÇÃO DE SOBRAS DA COOPERATIVA</t>
  </si>
  <si>
    <t>Gerado automaticamente pelo Omie.CASH. Trata-se da tarifa referente ao Pix enviado em 14/04/2026 para: VITOR DE OLIVEIRA PEDROSA (052.537.926-60) Instituição: 001 Agência: 5888 Conta: 40754-2 Número da Transação: E13203354202604141946EBFFBB457DD</t>
  </si>
  <si>
    <t>Gerado automaticamente pelo Omie.CASH. Trata-se da tarifa referente ao Pix enviado em 23/04/2026 para: VIVA MIXX EVENTOS E FORMATURAS LTDA - ME (21.156.081/0001-93) Instituição: 001 Agência: 0024 Conta: 123408-0 Número da Transação: E132033542026042317306D5B94A5399</t>
  </si>
  <si>
    <t>Gerado automaticamente pelo Omie.CASH. Trata-se da tarifa referente ao Pix enviado em 14/04/2026 para: Karine Rocha Azevedo e Silva Costa (112.016.427-36) Instituição: 260 Agência: 0001 Conta: 74924668-3 Número da Transação: E132033542026041419467065F2651DA</t>
  </si>
  <si>
    <t>Gerado automaticamente pelo Omie.CASH. Trata-se da tarifa referente ao Pix enviado em 24/04/2026 para: ADRIANA CLAUDIA RIBEIRO PIRES (420.546.720-68) Instituição: 041 Agência: 0410 Conta: 358541641-1 Número da Transação: E13203354202604241727CBFCB4FD161</t>
  </si>
  <si>
    <t>Gerado automaticamente pelo Omie.CASH. Trata-se da tarifa referente ao Pix enviado em 14/04/2026 para: DIONISIO SOUZA LOURO (015.301.116-50) Instituição: 033 Agência: 3499 Conta: 1010225-2 Número da Transação: E132033542026041419467A80446A877</t>
  </si>
  <si>
    <t>Gerado automaticamente pelo Omie.CASH. Trata-se da tarifa referente ao Pix enviado em 22/04/2026 para: MARCELO GOMES DE ALMEIDA GONCALVES (916.055.556-49) Instituição: 001 Agência: 5888 Conta: 40755-0 Número da Transação: E1320335420260422155376B5A824108</t>
  </si>
  <si>
    <t>Gerado automaticamente pelo Omie.CASH. Trata-se da tarifa referente ao Pix enviado em 24/04/2026 para: MARIA FERNANDA DE OLIVEIRA VIEIRA (098.670.433-40) Instituição: 104 Agência: 4413 Conta: 1288000000789625789-1 Número da Transação: E1320335420260424172750480BA2EE3</t>
  </si>
  <si>
    <t>Gerado automaticamente pelo Omie.CASH. Trata-se da tarifa referente ao Pix enviado em 14/04/2026 para: PANELINHA COMIDA FIT LTDA (26.151.284/0001-00) Instituição: 001 Agência: 5888 Conta: 54940-1 Número da Transação: E13203354202604141946F079F75F455</t>
  </si>
  <si>
    <t>Gerado automaticamente pelo Omie.CASH. Trata-se da tarifa referente ao Pix enviado em 24/04/2026 para: Anna Duenha Garanhani (453.378.668-50) Instituição: ID781 Agência: 0001 Conta: 1715883-7 Número da Transação: E13203354202604241727B381FCF6200</t>
  </si>
  <si>
    <t>Gerado automaticamente pelo Omie.CASH. Trata-se da tarifa referente ao Pix enviado em 14/04/2026 para: 46.067.579 MICHELE SOARES HENRIQUES (46.067.579/0001-00) Instituição: 290 Agência: 0001 Conta: 35692008-2 Número da Transação: E132033542026041419464ACA2F3E3B9</t>
  </si>
  <si>
    <t>IOF sobre resgates no mês 05/2026</t>
  </si>
  <si>
    <t>IOF sobre resgates no mês 04/2026</t>
  </si>
  <si>
    <t>BRUNA BELTANTE ASSIS</t>
  </si>
  <si>
    <t>BOL - REF A REUNIÃO ATD - MAIO</t>
  </si>
  <si>
    <t>Gerado automaticamente pelo Omie.CASH. Trata-se da tarifa referente à transferência enviada em 19/02/2026 para: BARBARA DIAS SALES (126.613.976-12) Instituição: 260 Agência: 0001 Conta: 89943947-2 Número da Transação: 11447631</t>
  </si>
  <si>
    <t>Gerado automaticamente pelo Omie.CASH. Trata-se da tarifa referente ao boleto 0020155100000567 com vencimento em 20/02/2026 emitido para: PACHECO E BOTELHO EVENTOS LTDA (20.506.190/0001-20) Número da Transação: 21975842</t>
  </si>
  <si>
    <t>Gerado automaticamente pelo Omie.CASH. Trata-se da tarifa referente ao boleto 0020155100000575 com vencimento em 28/02/2026 emitido para: VILLAGE EMPREENDIMENTOS E PARTICIPACOES S.A. (12.078.696/0001-58) Número da Transação: 24278284</t>
  </si>
  <si>
    <t>Gerado automaticamente pelo Omie.CASH. Trata-se da tarifa referente ao Pix enviado em 03/02/2026 para: MARCELA DE SOUZA (083.892.026-89) Instituição: 033 Agência: 3177 Conta: 1014042-0 Número da Transação: E13203354202602031819A149EFD19B7</t>
  </si>
  <si>
    <t>Gerado automaticamente pelo Omie.CASH. Trata-se da tarifa referente ao Pix enviado em 03/02/2026 para: PANELINHA COMIDA FIT LTDA (26.151.284/0001-00) Instituição: 001 Agência: 2995 Conta: 54940-1 Número da Transação: E132033542026020318214446A7664A3</t>
  </si>
  <si>
    <t>Gerado automaticamente pelo Omie.CASH. Trata-se da tarifa referente ao Pix enviado em 03/02/2026 para: Vitoria Dutra Zancanela (118.694.546-00) Instituição: 380 Agência: 0001 Conta: 13509985-4 Número da Transação: E132033542026020317021FBE4DA3CD6</t>
  </si>
  <si>
    <t>Gerado automaticamente pelo Omie.CASH. Trata-se da tarifa referente à transferência enviada em 06/02/2026 para: CRISTIANE LEITE BRAGA (080.991.806-40) Instituição: 260 Agência: 0001 Conta: 96210-2 Número da Transação: 11428820</t>
  </si>
  <si>
    <t>Gerado automaticamente pelo Omie.CASH. Trata-se da tarifa referente ao Pix enviado em 04/02/2026 para: 54.971.070 felipe henriques crivellari (54.971.070/0001-16) Instituição: 336 Agência: 0001 Conta: 32629505-4 Número da Transação: E13203354202602042144EF2008E7221</t>
  </si>
  <si>
    <t>Gerado automaticamente pelo Omie.CASH. Trata-se da tarifa referente ao Pix enviado em 04/02/2026 para: SEBASTIAO ROCHA REIS (065.103.616-04) Instituição: 001 Agência: 2592 Conta: 125782-0 Número da Transação: E132033542026020421447297FF83CD7</t>
  </si>
  <si>
    <t>Gerado automaticamente pelo Omie.CASH. Trata-se da tarifa referente ao Pix enviado em 04/02/2026 para: VOXLAB MIDIA E PRODUTORA LTDA (59.585.628/0001-49) Instituição: 403 Agência: 0001 Conta: 5730433-2 Número da Transação: E13203354202602042144C51C09EA872</t>
  </si>
  <si>
    <t>Gerado automaticamente pelo Omie.CASH. Trata-se da tarifa referente ao Pix enviado em 05/02/2026 para: ELBA RAYANA DE PAIVA RIBAS (094.469.336-92) Instituição: 260 Agência: 0001 Conta: 80243916-3 Número da Transação: E1320335420260205184298D6DA2B145</t>
  </si>
  <si>
    <t>Gerado automaticamente pelo Omie.CASH. Trata-se da tarifa referente ao Pix enviado em 03/02/2026 para: PANELINHA COMIDA FIT LTDA (26.151.284/0001-00) Instituição: 001 Agência: 2995 Conta: 54940-1 Número da Transação: E13203354202602031821C7D8F2FBCF9</t>
  </si>
  <si>
    <t>Gerado automaticamente pelo Omie.CASH. Trata-se da tarifa referente ao Pix enviado em 05/02/2026 para: Karine Rocha Azevedo e Silva Costa (112.016.427-36) Instituição: 260 Agência: 0001 Conta: 74924668-3 Número da Transação: E132033542026020518422F33DD60C55</t>
  </si>
  <si>
    <t>Gerado automaticamente pelo Omie.CASH. Trata-se da tarifa referente ao Pix enviado em 05/02/2026 para: Luciene Martins Dias dos Reis (789.975.856-49) Instituição: 260 Agência: 0001 Conta: 94837899-4 Número da Transação: E13203354202602051843882F6215469</t>
  </si>
  <si>
    <t>Gerado automaticamente pelo Omie.CASH. Trata-se da tarifa referente ao Pix enviado em 06/02/2026 para: 61.995.913 THAMIRIS COUTINHO (61.995.913/0001-80) Instituição: 260 Agência: 0001 Conta: 627250229-9 Número da Transação: E132033542026020614363DFE005FFB3</t>
  </si>
  <si>
    <t>Gerado automaticamente pelo Omie.CASH. Trata-se da tarifa referente ao Pix enviado em 06/02/2026 para: CRISTIANE LEITE BRAGA (080.991.806-40) Instituição: 260 Agência: 0001 Conta: 96210-2 Número da Transação: E13203354202602061436A49370DD55A</t>
  </si>
  <si>
    <t>Gerado automaticamente pelo Omie.CASH. Trata-se da tarifa referente ao Pix enviado em 04/02/2026 para: 54.971.070 felipe henriques crivellari (54.971.070/0001-16) Instituição: 336 Agência: 0001 Conta: 32629505-4 Número da Transação: E13203354202602041345F451D50FD62</t>
  </si>
  <si>
    <t>Gerado automaticamente pelo Omie.CASH. Trata-se da tarifa referente ao Pix enviado em 06/02/2026 para: EVERDAN ELIAS COELHO (058.382.626-13) Instituição: 260 Agência: 0001 Conta: 20377589-9 Número da Transação: E13203354202602061436C2F79611AE9</t>
  </si>
  <si>
    <t>Gerado automaticamente pelo Omie.CASH. Trata-se da tarifa referente ao Pix enviado em 06/02/2026 para: HUMBERTO SALES DE ALMEIDA (112.339.986-76) Instituição: 348 Agência: 0001 Conta: 951216-4 Número da Transação: E13203354202602061436596AAD110EE</t>
  </si>
  <si>
    <t>Gerado automaticamente pelo Omie.CASH. Trata-se da tarifa referente ao Pix enviado em 05/02/2026 para: ELPIDIO JOSE FRANCISCO FILHO (504.686.937-34) Instituição: 033 Agência: 4535 Conta: 1025752-3 Número da Transação: E132033542026020519072FDA5235BE7</t>
  </si>
  <si>
    <t>Gerado automaticamente pelo Omie.CASH. Trata-se da tarifa referente ao Pix enviado em 06/02/2026 para: JHONATAS SILVA FRANCO (091.220.926-76) Instituição: 260 Agência: 0001 Conta: 6901574-7 Número da Transação: E13203354202602061436C54DE2AEEEC</t>
  </si>
  <si>
    <t>Gerado automaticamente pelo Omie.CASH. Trata-se da tarifa referente ao Pix enviado em 06/02/2026 para: EVERDAN ELIAS COELHO (058.382.626-13) Instituição: 260 Agência: 0001 Conta: 20377589-9 Número da Transação: E13203354202602061434AC47000B7D0</t>
  </si>
  <si>
    <t>Gerado automaticamente pelo Omie.CASH. Trata-se da tarifa referente ao Pix enviado em 06/02/2026 para: LUCAS SOBRINHO TEIXEIRA (073.847.576-90) Instituição: 260 Agência: 0001 Conta: 7002586-8 Número da Transação: E13203354202602061436292A61AA4BB</t>
  </si>
  <si>
    <t>Gerado automaticamente pelo Omie.CASH. Trata-se da tarifa referente ao Pix enviado em 06/02/2026 para: JHONATAS SILVA FRANCO (091.220.926-76) Instituição: 260 Agência: 0001 Conta: 6901574-7 Número da Transação: E132033542026020614340C6EDF55399</t>
  </si>
  <si>
    <t>Gerado automaticamente pelo Omie.CASH. Trata-se da tarifa referente ao Pix enviado em 06/02/2026 para: LUCAS SOBRINHO TEIXEIRA (073.847.576-90) Instituição: 260 Agência: 0001 Conta: 7002586-8 Número da Transação: E13203354202602061434D08041C4B85</t>
  </si>
  <si>
    <t>Gerado automaticamente pelo Omie.CASH. Trata-se da tarifa referente ao Pix enviado em 06/02/2026 para: MARCELA DE SOUZA (083.892.026-89) Instituição: 260 Agência: 0001 Conta: 19753868-1 Número da Transação: E1320335420260206143445E5D2D4256</t>
  </si>
  <si>
    <t>Gerado automaticamente pelo Omie.CASH. Trata-se da tarifa referente ao Pix enviado em 06/02/2026 para: MARCOS ANTONIO MAINI DUQUE (087.323.606-81) Instituição: 033 Agência: 0179 Conta: 1033275-2 Número da Transação: E132033542026020614368340EEB09AC</t>
  </si>
  <si>
    <t>Gerado automaticamente pelo Omie.CASH. Trata-se da tarifa referente ao Pix enviado em 06/02/2026 para: MARCELO GOMES DE ALMEIDA GONCALVES (916.055.556-49) Instituição: 001 Agência: 2995 Conta: 40755-0 Número da Transação: E132033542026020617246C6CCAABD43</t>
  </si>
  <si>
    <t>Gerado automaticamente pelo Omie.CASH. Trata-se da tarifa referente ao Pix enviado em 06/02/2026 para: REGIS ADRIANO DA COSTA (103.945.056-38) Instituição: 260 Agência: 0001 Conta: 7083172-1 Número da Transação: E13203354202602061436182D157C38E</t>
  </si>
  <si>
    <t>Gerado automaticamente pelo Omie.CASH. Trata-se da tarifa referente ao Pix enviado em 06/02/2026 para: RENATO MENEZES FILGUEIRAS (060.840.216-89) Instituição: 001 Agência: 2995 Conta: 18869-7 Número da Transação: E1320335420260206153337198134329</t>
  </si>
  <si>
    <t>Gerado automaticamente pelo Omie.CASH. Trata-se da tarifa referente ao Pix enviado em 06/02/2026 para: SGX ADMINISTRACAO, EMPREENDIMENTOS E PARTICIPACAO LTDA (15.371.703/0001-01) Instituição: 001 Agência: 0024 Conta: 123398-0 Número da Transação: E132033542026020614368A519E1851E</t>
  </si>
  <si>
    <t>Gerado automaticamente pelo Omie.CASH. Trata-se da tarifa referente ao Pix enviado em 06/02/2026 para: MARCOS ANTONIO MAINI DUQUE (087.323.606-81) Instituição: 033 Agência: 0179 Conta: 1033275-2 Número da Transação: E13203354202602061434AD8867090C1</t>
  </si>
  <si>
    <t>Gerado automaticamente pelo Omie.CASH. Trata-se da tarifa referente ao Pix enviado em 06/02/2026 para: THOMAS SOUZA REIS (097.174.676-17) Instituição: 260 Agência: 0001 Conta: 1201493-3 Número da Transação: E1320335420260206143620032D31FEB</t>
  </si>
  <si>
    <t>Gerado automaticamente pelo Omie.CASH. Trata-se da tarifa referente ao Pix enviado em 10/02/2026 para: EVERDAN ELIAS COELHO (058.382.626-13) Instituição: 260 Agência: 0001 Conta: 20377589-9 Número da Transação: E132033542026021017189F16EC4D58B</t>
  </si>
  <si>
    <t>Gerado automaticamente pelo Omie.CASH. Trata-se da tarifa referente ao Pix enviado em 10/02/2026 para: Jefferson Luiz de Brito Ferreira (098.518.536-82) Instituição: 260 Agência: 0001 Conta: 90722341-5 Número da Transação: E13203354202602101718C44163FD937</t>
  </si>
  <si>
    <t>Gerado automaticamente pelo Omie.CASH. Trata-se da tarifa referente ao Pix enviado em 10/02/2026 para: VITOR DE OLIVEIRA PEDROSA (052.537.926-60) Instituição: 001 Agência: 2995 Conta: 40754-2 Número da Transação: E13203354202602101718156A6C686FF</t>
  </si>
  <si>
    <t>Gerado automaticamente pelo Omie.CASH. Trata-se da tarifa referente ao Pix enviado em 12/02/2026 para: Marcelo Bahia de Souza (780.364.616-68) Instituição: 260 Agência: 0001 Conta: 95411218-4 Número da Transação: E132033542026021217392FF9556E865</t>
  </si>
  <si>
    <t>Gerado automaticamente pelo Omie.CASH. Trata-se da tarifa referente ao Pix enviado em 12/02/2026 para: MARCOS ANTONIO MAINI DUQUE (087.323.606-81) Instituição: 033 Agência: 0179 Conta: 1033275-2 Número da Transação: E13203354202602121739522A40F19D0</t>
  </si>
  <si>
    <t>Gerado automaticamente pelo Omie.CASH. Trata-se da tarifa referente ao Pix enviado em 06/02/2026 para: REGIS ADRIANO DA COSTA (103.945.056-38) Instituição: 260 Agência: 0001 Conta: 7083172-1 Número da Transação: E1320335420260206143461F855EEB31</t>
  </si>
  <si>
    <t>Gerado automaticamente pelo Omie.CASH. Trata-se da tarifa referente ao Pix enviado em 06/02/2026 para: THOMAS SOUZA REIS (097.174.676-17) Instituição: 260 Agência: 0001 Conta: 1201493-3 Número da Transação: E13203354202602061434D437790F77B</t>
  </si>
  <si>
    <t>Gerado automaticamente pelo Omie.CASH. Trata-se da tarifa referente ao Pix enviado em 13/02/2026 para: 54.971.070 felipe henriques crivellari (54.971.070/0001-16) Instituição: 336 Agência: 0001 Conta: 32629505-4 Número da Transação: E13203354202602131733C9DAA348F78</t>
  </si>
  <si>
    <t>Gerado automaticamente pelo Omie.CASH. Trata-se da tarifa referente ao Pix enviado em 13/02/2026 para: ELBA RAYANA DE PAIVA RIBAS (094.469.336-92) Instituição: 260 Agência: 0001 Conta: 80243916-3 Número da Transação: E13203354202602131354064FF94619F</t>
  </si>
  <si>
    <t>Gerado automaticamente pelo Omie.CASH. Trata-se da tarifa referente ao Pix enviado em 13/02/2026 para: EMPORIO DOS PAES JF LTDA (31.401.866/0001-38) Instituição: ID247 Agência: 3137 Conta: 16580-8 Número da Transação: E132033542026021314271727FFEE3E4</t>
  </si>
  <si>
    <t>Gerado automaticamente pelo Omie.CASH. Trata-se da tarifa referente ao Pix enviado em 13/02/2026 para: INTERURB SERVICOS POSTAIS LTDA (42.933.416/0001-02) Instituição: 001 Agência: 3139 Conta: 3658-7 Número da Transação: E13203354202602131354E27C1F916C6</t>
  </si>
  <si>
    <t>Gerado automaticamente pelo Omie.CASH. Trata-se da tarifa referente ao Pix enviado em 12/02/2026 para: REGIS ADRIANO DA COSTA (103.945.056-38) Instituição: 260 Agência: 0001 Conta: 7083172-1 Número da Transação: E132033542026021218270817D59FAB7</t>
  </si>
  <si>
    <t>Gerado automaticamente pelo Omie.CASH. Trata-se da tarifa referente ao Pix enviado em 13/02/2026 para: PANELINHA COMIDA FIT LTDA (26.151.284/0001-00) Instituição: 001 Agência: 2995 Conta: 54940-1 Número da Transação: E1320335420260213173265195C4A4E6</t>
  </si>
  <si>
    <t>Gerado automaticamente pelo Omie.CASH. Trata-se da tarifa referente ao Pix enviado em 19/02/2026 para: Alexander de Barros Araújo (142.156.236-77) Instituição: 260 Agência: 0001 Conta: 96164-9 Número da Transação: E13203354202602191902731C6278185</t>
  </si>
  <si>
    <t>Gerado automaticamente pelo Omie.CASH. Trata-se da tarifa referente ao Pix enviado em 19/02/2026 para: ASSOCIACAO BENEFICENTE E CULTURAL AMIGOS DO NOIVO (04.704.512/0001-90) Instituição: 756 Agência: 4149 Conta: 14765-6 Número da Transação: E132033542026021917546E1DBFE3A76</t>
  </si>
  <si>
    <t>Gerado automaticamente pelo Omie.CASH. Trata-se da tarifa referente ao Pix enviado em 19/02/2026 para: EVERDAN ELIAS COELHO (058.382.626-13) Instituição: 260 Agência: 0001 Conta: 20377589-9 Número da Transação: E132033542026021917548628835834B</t>
  </si>
  <si>
    <t>Gerado automaticamente pelo Omie.CASH. Trata-se da tarifa referente ao Pix enviado em 19/02/2026 para: MARCELA DE SOUZA (083.892.026-89) Instituição: 260 Agência: 0001 Conta: 19753868-1 Número da Transação: E13203354202602191754358E9E4B836</t>
  </si>
  <si>
    <t>Gerado automaticamente pelo Omie.CASH. Trata-se da tarifa referente ao Pix enviado em 19/02/2026 para: Marcos Vinicius Soldate (055.442.346-47) Instituição: 237 Agência: 3832 Conta: 1002963-5 Número da Transação: E13203354202602191754FEF3FC45E46</t>
  </si>
  <si>
    <t>Gerado automaticamente pelo Omie.CASH. Trata-se da tarifa referente ao Pix enviado em 19/02/2026 para: RENAISSANCE SOLUTIONS LTDA (56.912.999/0001-08) Instituição: 208 Agência: 0050 Conta: 844637-6 Número da Transação: E132033542026021917548B9C237EC71</t>
  </si>
  <si>
    <t>Gerado automaticamente pelo Omie.CASH. Trata-se da tarifa referente ao Pix enviado em 19/02/2026 para: SGX ADMINISTRACAO, EMPREENDIMENTOS E PARTICIPACAO LTDA (15.371.703/0001-01) Instituição: 450 Agência: 0001 Conta: 8682853437-5 Número da Transação: E132033542026021917545C0B903F373</t>
  </si>
  <si>
    <t>Gerado automaticamente pelo Omie.CASH. Trata-se da tarifa referente ao Pix enviado em 20/02/2026 para: CAIXA ECONOMICA FEDERAL (00.360.305/0001-04) Instituição: 104 Agência: 0647 Conta: 9999000537000360305-5 Número da Transação: E13203354202602201534C4507CFD307</t>
  </si>
  <si>
    <t>Gerado automaticamente pelo Omie.CASH. Trata-se da tarifa referente ao Pix enviado em 13/02/2026 para: 54.971.070 felipe henriques crivellari (54.971.070/0001-16) Instituição: 336 Agência: 0001 Conta: 32629505-4 Número da Transação: E132033542026021317339594B3CB243</t>
  </si>
  <si>
    <t>Gerado automaticamente pelo Omie.CASH. Trata-se da tarifa referente ao Pix enviado em 24/02/2026 para: GUSTAVO ALVES DA SILVA 70028760158 (36.405.395/0001-50) Instituição: 260 Agência: 0001 Conta: 10365667-1 Número da Transação: E13203354202602242007B822B5EEE84</t>
  </si>
  <si>
    <t>Gerado automaticamente pelo Omie.CASH. Trata-se da tarifa referente ao Pix enviado em 24/02/2026 para: INSTITUTO AMARGEN (41.159.241/0001-65) Instituição: 290 Agência: 0001 Conta: 29414947-1 Número da Transação: E132033542026022416441B481005976</t>
  </si>
  <si>
    <t>Gerado automaticamente pelo Omie.CASH. Trata-se da tarifa referente ao Pix enviado em 13/02/2026 para: PANELINHA COMIDA FIT LTDA (26.151.284/0001-00) Instituição: 001 Agência: 2995 Conta: 54940-1 Número da Transação: E132033542026021317323B8EAAB896A</t>
  </si>
  <si>
    <t>Gerado automaticamente pelo Omie.CASH. Trata-se da tarifa referente ao Pix enviado em 20/02/2026 para: CAIXA ECONOMICA FEDERAL (00.360.305/0001-04) Instituição: 104 Agência: 0647 Conta: 9999000537000360305-5 Número da Transação: E13203354202602201628EAF141CBD69</t>
  </si>
  <si>
    <t>Gerado automaticamente pelo Omie.CASH. Trata-se da tarifa referente ao Pix enviado em 25/02/2026 para: Marcelo Bahia de Souza (780.364.616-68) Instituição: 260 Agência: 0001 Conta: 95411218-4 Número da Transação: E132033542026022516583FB7E61A6B7</t>
  </si>
  <si>
    <t>Gerado automaticamente pelo Omie.CASH. Trata-se da tarifa referente ao Pix enviado em 26/02/2026 para: 3Ps EVENTOS (27.254.075/0001-55) Instituição: 756 Agência: 3118 Conta: 381804-7 Número da Transação: E132033542026022620529A23C8FAD30</t>
  </si>
  <si>
    <t>Gerado automaticamente pelo Omie.CASH. Trata-se da tarifa referente ao Pix enviado em 26/02/2026 para: 3Ps EVENTOS (27.254.075/0001-55) Instituição: 756 Agência: 3118 Conta: 381804-7 Número da Transação: E13203354202602262052B0546637908</t>
  </si>
  <si>
    <t>Gerado automaticamente pelo Omie.CASH. Trata-se da tarifa referente ao Pix enviado em 26/02/2026 para: 3Ps EVENTOS (27.254.075/0001-55) Instituição: 756 Agência: 3118 Conta: 381804-7 Número da Transação: E13203354202602262052C5185877985</t>
  </si>
  <si>
    <t>Gerado automaticamente pelo Omie.CASH. Trata-se da tarifa referente ao Pix enviado em 26/02/2026 para: 41.362.810 LISIA JANNUZZI FAQUIM (41.362.810/0001-75) Instituição: 290 Agência: 0001 Conta: 24318374-6 Número da Transação: E13203354202602262052DEFCAB4F5D2</t>
  </si>
  <si>
    <t>Gerado automaticamente pelo Omie.CASH. Trata-se da tarifa referente ao Pix enviado em 26/02/2026 para: RONALDO DE OLIVEIRA PIRES (073.061.106-08) Instituição: 260 Agência: 0001 Conta: 5715249-6 Número da Transação: E13203354202602262054AAFDF52EDE4</t>
  </si>
  <si>
    <t>Gerado automaticamente pelo Omie.CASH. Trata-se da tarifa referente ao Pix enviado em 26/02/2026 para: V.R. EVENTOS LTDA (16.422.009/0001-20) Instituição: 756 Agência: 3008 Conta: 259431-5 Número da Transação: E132033542026022620516AFE538B21C</t>
  </si>
  <si>
    <t>Gerado automaticamente pelo Omie.CASH. Trata-se da tarifa referente ao Pix enviado em 27/02/2026 para: ASSOCIACAO AMOR NAO TEM RACA JF (48.118.169/0001-77) Instituição: ID168 Agência: 4030 Conta: 55597-5 Número da Transação: E13203354202602271545987F366DB44</t>
  </si>
  <si>
    <t>Gerado automaticamente pelo Omie.CASH. Trata-se da tarifa referente ao Pix enviado em 27/02/2026 para: REGIS ADRIANO DA COSTA (103.945.056-38) Instituição: 336 Agência: 0001 Conta: 28540884-4 Número da Transação: E13203354202602271741BF7EBDF0F66</t>
  </si>
  <si>
    <t>Gerado automaticamente pelo Omie.CASH. Trata-se da tarifa referente ao Pix enviado em 27/02/2026 para: REGIS ADRIANO DA COSTA (103.945.056-38) Instituição: 336 Agência: 0001 Conta: 28540884-4 Número da Transação: E13203354202602271743796CF124295</t>
  </si>
  <si>
    <t>Gerado automaticamente pelo Omie.CASH. Trata-se da tarifa referente ao Pix enviado em 24/02/2026 para: MARCELA DE SOUZA (083.892.026-89) Instituição: 260 Agência: 0001 Conta: 19753868-1 Número da Transação: E132033542026022419423C10627B535</t>
  </si>
  <si>
    <t>Gerado automaticamente pelo Omie.CASH. Trata-se da tarifa referente ao Pix enviado em 24/02/2026 para: MARCELA DE SOUZA (083.892.026-89) Instituição: 260 Agência: 0001 Conta: 19753868-1 Número da Transação: E13203354202602241943782FD0D691D</t>
  </si>
  <si>
    <t>TAR DEBITO AUTOMATICO EFETIVADO</t>
  </si>
  <si>
    <t>Tar Pag Salár Créd Conta Cobrança referente 06/02/2026</t>
  </si>
  <si>
    <t>TAR PAG SALÁR CRÉD CONTA COBRANÇA REFERENTE 13022026</t>
  </si>
  <si>
    <t>TARIFA DÉBITO AUTOMÁTICO TAR AGRUPADAS OCORRENCIA 05022026</t>
  </si>
  <si>
    <t>TARIFA MANUTCONTA ATIVA</t>
  </si>
  <si>
    <t>TARIFA MENSALIDADE PACOTE SERVICOS JANEIRO 2026</t>
  </si>
  <si>
    <t>TARIFA PACOTE DE SERVIÇOS COBRANÇA REFERENTE 05022026</t>
  </si>
  <si>
    <t>TARIFA PACOTE DE SERVIÇOS COBRANÇA REFERENTE 10022026</t>
  </si>
  <si>
    <t>TARIFA PIX ENVIADO TAR AGRUPADAS OCORRENCIA 10022026</t>
  </si>
  <si>
    <t>TARIFA PIX ENVIADO TAR AGRUPADAS OCORRENCIA 11022026</t>
  </si>
  <si>
    <t>TARIFA PIX ENVIADO TAR AGRUPADAS OCORRENCIA 13022026</t>
  </si>
  <si>
    <t>TARIFA PIX ENVIADO TAR AGRUPADAS OCORRENCIA 18022026</t>
  </si>
  <si>
    <t>TARIFA PIX ENVIADO TAR AGRUPADAS OCORRENCIA 20022026</t>
  </si>
  <si>
    <t>TARIFA PIX ENVIADO TAR AGRUPADAS OCORRENCIA 24022026</t>
  </si>
  <si>
    <t>TARIFA PIX ENVIADO TAR AGRUPADAS OCORRENCIA 25022026</t>
  </si>
  <si>
    <t>TARIFA PIX ENVIADO TAR AGRUPADAS OCORRENCIA 26022026</t>
  </si>
  <si>
    <t>IR sobre resgates no mês 05/2026</t>
  </si>
  <si>
    <t>IR sobre resgates no mês 06/2026</t>
  </si>
  <si>
    <t>IR sobre resgates no mês 04/2026</t>
  </si>
  <si>
    <t>PODER EXECUTIVO MUNICIPAL</t>
  </si>
  <si>
    <t>TX LICENCA LOCALIZACAO</t>
  </si>
  <si>
    <t>Gerado automaticamente pelo Omie.CASH. Trata-se da tarifa referente ao Pix enviado em 06/01/2026 para:  BRIT CONTABILIDADE LTDA (21.690.430/0001-52) Instituição: 033 Agência: 3181 Conta: 13003156-6 Número da Transação: E13203354202601061821D395146A2F9</t>
  </si>
  <si>
    <t>Gerado automaticamente pelo Omie.CASH. Trata-se da tarifa referente ao Pix enviado em 07/01/2026 para:  THOMAS SOUZA REIS (097.174.676-17) Instituição: 260 Agência: 0001 Conta: 1201493-3 Número da Transação: E13203354202601071600FD1E32CD680</t>
  </si>
  <si>
    <t>Gerado automaticamente pelo Omie.CASH. Trata-se da tarifa referente ao Pix enviado em 07/01/2026 para:  HUMBERTO SALES DE ALMEIDA (112.339.986-76) Instituição: 348 Agência: 0001 Conta: 951216-4 Número da Transação: E132033542026010716001DCB191DFE2</t>
  </si>
  <si>
    <t>Gerado automaticamente pelo Omie.CASH. Trata-se da tarifa referente ao Pix enviado em 07/01/2026 para:  EVERDAN ELIAS COELHO (058.382.626-13) Instituição: 260 Agência: 0001 Conta: 20377589-9 Número da Transação: E132033542026010716001F6CFE18443</t>
  </si>
  <si>
    <t>Gerado automaticamente pelo Omie.CASH. Trata-se da tarifa referente ao Pix enviado em 05/01/2026 para:  WEBPAG INTERMEDIACAO DE PAGAMENTOS LTDA (25.229.750/0001-60) Instituição: 001 Agência: 8315 Conta: 388-3 Número da Transação: E1320335420260105150151B5F10A712</t>
  </si>
  <si>
    <t>Gerado automaticamente pelo Omie.CASH. Trata-se da tarifa referente ao Pix enviado em 05/01/2026 para:  JANETE DE ALMEIDA (830.565.646-20) Instituição: 237 Agência: 3832 Conta: 1005098-7 Número da Transação: E13203354202601051501C40AF030B14</t>
  </si>
  <si>
    <t>Gerado automaticamente pelo Omie.CASH. Trata-se da tarifa referente ao Pix enviado em 07/01/2026 para:  JHONATAS SILVA FRANCO (091.220.926-76) Instituição: 260 Agência: 0001 Conta: 6901574-7 Número da Transação: E13203354202601071600D179D644D04</t>
  </si>
  <si>
    <t>Gerado automaticamente pelo Omie.CASH. Trata-se da tarifa referente ao boleto 0020155100000557 com vencimento em 07/01/2026 emitido para:  V. R. EVENTOS LTDA (16.422.009/0001-20) Número da Transação: 21612195</t>
  </si>
  <si>
    <t>Gerado automaticamente pelo Omie.CASH. Trata-se da tarifa referente ao boleto 0020155100000566 com vencimento em 20/01/2026 emitido para:  PACHECO E BOTELHO EVENTOS LTDA (20.506.190/0001-20) Número da Transação: 21975281</t>
  </si>
  <si>
    <t>Gerado automaticamente pelo Omie.CASH. Trata-se da tarifa referente ao Pix enviado em 06/01/2026 para:  FILIPE AUGUSTO DE SOUZA MONTEIRO SONORIZACAO E ILUMINACAO DE (24.341.073/0001-05) Instituição: 341 Agência: 3172 Conta: 29130-8 Número da Transação: E132033542026010618219A7505E6BC6</t>
  </si>
  <si>
    <t>Gerado automaticamente pelo Omie.CASH. Trata-se da tarifa referente ao Pix enviado em 07/01/2026 para:  MARCOS ANTONIO MAINI DUQUE (087.323.606-81) Instituição: 033 Agência: 0179 Conta: 1033275-2 Número da Transação: E13203354202601071600A921AA9041A</t>
  </si>
  <si>
    <t>Gerado automaticamente pelo Omie.CASH. Trata-se da tarifa referente ao Pix enviado em 07/01/2026 para:  REGIS ADRIANO DA COSTA (103.945.056-38) Instituição: 260 Agência: 0001 Conta: 7083172-1 Número da Transação: E13203354202601071600061C023935A</t>
  </si>
  <si>
    <t>Gerado automaticamente pelo Omie.CASH. Trata-se da tarifa referente ao Pix enviado em 07/01/2026 para:  CRISTIANE LEITE BRAGA (080.991.806-40) Instituição: 260 Agência: 0001 Conta: 96210-2 Número da Transação: E132033542026010716011AB141062E7</t>
  </si>
  <si>
    <t>Gerado automaticamente pelo Omie.CASH. Trata-se da tarifa referente ao Pix enviado em 07/01/2026 para:  MARCELA DE SOUZA (083.892.026-89) Instituição: 260 Agência: 0001 Conta: 19753868-1 Número da Transação: E132033542026010716008E74BC885F4</t>
  </si>
  <si>
    <t>Gerado automaticamente pelo Omie.CASH. Trata-se da tarifa referente ao Pix enviado em 07/01/2026 para:  LUCAS SOBRINHO TEIXEIRA (073.847.576-90) Instituição: 260 Agência: 0001 Conta: 7002586-8 Número da Transação: E132033542026010716003E1CCBFB232</t>
  </si>
  <si>
    <t>Gerado automaticamente pelo Omie.CASH. Trata-se da tarifa referente ao Pix enviado em 07/01/2026 para:  ELBA RAYANA DE PAIVA RIBAS (094.469.336-92) Instituição: 260 Agência: 0001 Conta: 80243916-3 Número da Transação: E132033542026010716018CB4F9C2C51</t>
  </si>
  <si>
    <t>Gerado automaticamente pelo Omie.CASH. Trata-se da tarifa referente ao Pix enviado em 08/01/2026 para:  REGIS ADRIANO DA COSTA (103.945.056-38) Instituição: 336 Agência: 0001 Conta: 28540884-4 Número da Transação: E1320335420260108174818C8288E015</t>
  </si>
  <si>
    <t>Gerado automaticamente pelo Omie.CASH. Trata-se da tarifa referente ao Pix enviado em 13/01/2026 para:  41.362.810 LISIA JANNUZZI FAQUIM (41.362.810/0001-75) Instituição: 290 Agência: 0001 Conta: 24318374-6 Número da Transação: E132033542026011318461165BA7AAC7</t>
  </si>
  <si>
    <t>Gerado automaticamente pelo Omie.CASH. Trata-se da tarifa referente ao Pix enviado em 15/01/2026 para:  Luciene Martins Dias dos Reis (789.975.856-49) Instituição: 260 Agência: 0001 Conta: 94837899-4 Número da Transação: E132033542026011517242B993277BA6</t>
  </si>
  <si>
    <t>Gerado automaticamente pelo Omie.CASH. Trata-se da tarifa referente ao Pix enviado em 16/01/2026 para:  BR PEOPLE SOLUCOES EM DP LTDA (52.582.766/0001-25) Instituição: 001 Agência: 3068 Conta: 100125-6 Número da Transação: E132033542026011614335957AC52F69</t>
  </si>
  <si>
    <t>Gerado automaticamente pelo Omie.CASH. Trata-se da tarifa referente ao Pix enviado em 20/01/2026 para:  Alessandro Aloísio de Souza Machado (127.651.786-66) Instituição: 260 Agência: 0001 Conta: 48942633-6 Número da Transação: E1320335420260120190095F766FA371</t>
  </si>
  <si>
    <t>Gerado automaticamente pelo Omie.CASH. Trata-se da tarifa referente ao Pix enviado em 20/01/2026 para:  ACHEI COMERCIO DE TROFEUS LTDA (51.799.511/0001-56) Instituição: ID330 Agência: 3123 Conta: 80807-5 Número da Transação: E13203354202601201853DF89DEA0EB4</t>
  </si>
  <si>
    <t>Gerado automaticamente pelo Omie.CASH. Trata-se da tarifa referente ao Pix enviado em 08/01/2026 para:  Marcelo Bahia de Souza (780.364.616-68) Instituição: 260 Agência: 0001 Conta: 95411218-4 Número da Transação: E132033542026010817488E34BDBFE31</t>
  </si>
  <si>
    <t>Gerado automaticamente pelo Omie.CASH. Trata-se da tarifa referente ao Pix enviado em 20/01/2026 para:  Karine Rocha Azevedo e Silva Costa (112.016.427-36) Instituição: 260 Agência: 0001 Conta: 74924668-3 Número da Transação: E1320335420260120190058E725DF54A</t>
  </si>
  <si>
    <t>Gerado automaticamente pelo Omie.CASH. Trata-se da tarifa referente ao Pix enviado em 09/01/2026 para:  MARCELO GOMES DE ALMEIDA GONCALVES (916.055.556-49) Instituição: 033 Agência: 0179 Conta: 1029129-1 Número da Transação: E13203354202601091453BAEEEFD2AA9</t>
  </si>
  <si>
    <t>Gerado automaticamente pelo Omie.CASH. Trata-se da tarifa referente ao Pix enviado em 09/01/2026 para:  SET SERVICOS TECNICOS EM INFORMATICA LTDA (23.393.267/0001-91) Instituição: 077 Agência: 0001 Conta: 34412618-8 Número da Transação: E1320335420260109145353A423CE4EA</t>
  </si>
  <si>
    <t>Gerado automaticamente pelo Omie.CASH. Trata-se da tarifa referente ao Pix enviado em 15/01/2026 para:  MICHELE SOARES HENRIQUES (105.114.716-61) Instituição: 001 Agência: 0504 Conta: 57855-0 Número da Transação: E13203354202601151723367EF655CE5</t>
  </si>
  <si>
    <t>Gerado automaticamente pelo Omie.CASH. Trata-se da tarifa referente ao Pix enviado em 13/01/2026 para:  41.362.810 LISIA JANNUZZI FAQUIM (41.362.810/0001-75) Instituição: 290 Agência: 0001 Conta: 24318374-6 Número da Transação: E13203354202601131846A40EB82D066</t>
  </si>
  <si>
    <t>Gerado automaticamente pelo Omie.CASH. Trata-se da tarifa referente ao Pix enviado em 13/01/2026 para:  41.362.810 LISIA JANNUZZI FAQUIM (41.362.810/0001-75) Instituição: 290 Agência: 0001 Conta: 24318374-6 Número da Transação: E13203354202601131846B9D36B73C36</t>
  </si>
  <si>
    <t>Gerado automaticamente pelo Omie.CASH. Trata-se da tarifa referente ao Pix enviado em 14/01/2026 para:  CAIXA ECONOMICA FEDERAL (00.360.305/0001-04) Instituição: 104 Agência: 0647 Conta: 9999000537000360305-5 Número da Transação: E13203354202601142239D5A9F5B6F39</t>
  </si>
  <si>
    <t>Gerado automaticamente pelo Omie.CASH. Trata-se da tarifa referente ao Pix enviado em 08/01/2026 para:  LATICINIO TRESCE LTDA (43.751.349/0001-78) Instituição: 033 Agência: 4211 Conta: 13002315-5 Número da Transação: E132033542026010817504C8210AC610</t>
  </si>
  <si>
    <t>Gerado automaticamente pelo Omie.CASH. Trata-se da tarifa referente ao Pix enviado em 13/01/2026 para:  Marcos Vinicius Soldate (055.442.346-47) Instituição: 237 Agência: 3832 Conta: 1002963-5 Número da Transação: E1320335420260113184622F846E32C3</t>
  </si>
  <si>
    <t>Gerado automaticamente pelo Omie.CASH. Trata-se da tarifa referente ao Pix enviado em 13/01/2026 para:  41.362.810 LISIA JANNUZZI FAQUIM (41.362.810/0001-75) Instituição: 290 Agência: 0001 Conta: 24318374-6 Número da Transação: E13203354202601131846DB5E8222A21</t>
  </si>
  <si>
    <t>Gerado automaticamente pelo Omie.CASH. Trata-se da tarifa referente ao Pix enviado em 15/01/2026 para:  VALTAIR LIMA DA SILVA (975.732.216-49) Instituição: 237 Agência: 3265 Conta: 12733-7 Número da Transação: E1320335420260115172494761C8B1F8</t>
  </si>
  <si>
    <t>Gerado automaticamente pelo Omie.CASH. Trata-se da tarifa referente ao Pix enviado em 09/01/2026 para:  WEBPAG INTERMEDIACAO DE PAGAMENTOS LTDA (25.229.750/0001-60) Instituição: 001 Agência: 8315 Conta: 388-3 Número da Transação: E132033542026010912459A851B455E7</t>
  </si>
  <si>
    <t>Gerado automaticamente pelo Omie.CASH. Trata-se da tarifa referente ao Pix enviado em 09/01/2026 para:  SHPP BRASIL INSTITUICAO DE PAGAMENTO E SERVICOS DE PAGAMENTOS LTDA (38.372.267/0001-82) Instituição: 033 Agência: 3689 Conta: 00013023089-6 Número da Transação: E132033542026010914536E7F8E236F9</t>
  </si>
  <si>
    <t>Gerado automaticamente pelo Omie.CASH. Trata-se da tarifa referente ao Pix enviado em 09/01/2026 para:  SHPP BRASIL INSTITUICAO DE PAGAMENTO E SERVICOS DE PAGAMENTOS LTDA (38.372.267/0001-82) Instituição: 033 Agência: 3689 Conta: 00013023089-6 Número da Transação: E13203354202601091707EDABB38EA26</t>
  </si>
  <si>
    <t>Gerado automaticamente pelo Omie.CASH. Trata-se da tarifa referente ao Pix enviado em 20/01/2026 para:  Raquel Barbosa de Oliveira Silva (031.783.086-44) Instituição: 260 Agência: 0001 Conta: 79463962-0 Número da Transação: E13203354202601201900DEF04538799</t>
  </si>
  <si>
    <t>Gerado automaticamente pelo Omie.CASH. Trata-se da tarifa referente ao Pix enviado em 20/01/2026 para:  ASSOCIACAO BENEFICENTE E CULTURAL AMIGOS DO NOIVO (04.704.512/0001-90) Instituição: 756 Agência: 4149 Conta: 14765-6 Número da Transação: E13203354202601201900FED34BF5E85</t>
  </si>
  <si>
    <t>Gerado automaticamente pelo Omie.CASH. Trata-se da tarifa referente ao Pix enviado em 20/01/2026 para:  54 971 070 felipe henriques crivellari (54.971.070/0001-16) Instituição: 336 Agência: 0001 Conta: 32629505-4 Número da Transação: E1320335420260120190064AA2986AB1</t>
  </si>
  <si>
    <t>Gerado automaticamente pelo Omie.CASH. Trata-se da tarifa referente ao boleto 0020155100000559 com vencimento em 30/12/2025 emitido para:  LM SALVADOR FORMATURAS E EVENTOS LTDA (57.053.909/0001-25) Número da Transação: 21613083</t>
  </si>
  <si>
    <t>Gerado automaticamente pelo Omie.CASH. Trata-se da tarifa referente ao Pix enviado em 16/01/2026 para:  INTERURB SERVICOS POSTAIS LTDA (42.933.416/0001-02) Instituição: 001 Agência: 3139 Conta: 3658-7 Número da Transação: E13203354202601161433327C5387A9C</t>
  </si>
  <si>
    <t>Gerado automaticamente pelo Omie.CASH. Trata-se da tarifa referente ao Pix enviado em 13/01/2026 para:  CLARIANE DE OLIVEIRA QUARESMA (094.237.806-79) Instituição: 033 Agência: 0179 Conta: 1034295-7 Número da Transação: E132033542026011318465E05491E799</t>
  </si>
  <si>
    <t>Gerado automaticamente pelo Omie.CASH. Trata-se da tarifa referente ao Pix enviado em 13/01/2026 para:  DIOGO DE CASTRO DA SILVA (46.810.711/0001-22) Instituição: ID327 Agência: 0723 Conta: 94918-6 Número da Transação: E132033542026011318461ED0D8A3C65</t>
  </si>
  <si>
    <t>Gerado automaticamente pelo Omie.CASH. Trata-se da tarifa referente ao Pix enviado em 15/01/2026 para:  LEONARDO RIBEIRO ALMEIDA (050.940.996-20) Instituição: 033 Agência: 3177 Conta: 1008621-2 Número da Transação: E13203354202601151723968EA8D8E4A</t>
  </si>
  <si>
    <t>Gerado automaticamente pelo Omie.CASH. Trata-se da tarifa referente ao Pix enviado em 20/01/2026 para:  Rafael Castilho Simões (061.121.446-62) Instituição: 290 Agência: 0001 Conta: 12368957-2 Número da Transação: E13203354202601201900EEAE29B9A7A</t>
  </si>
  <si>
    <t>Gerado automaticamente pelo Omie.CASH. Trata-se da tarifa referente ao Pix enviado em 13/01/2026 para:  Marcos Vinicius Soldate (055.442.346-47) Instituição: 237 Agência: 3832 Conta: 1002963-5 Número da Transação: E1320335420260113184698B3EE84FDD</t>
  </si>
  <si>
    <t>Gerado automaticamente pelo Omie.CASH. Trata-se da tarifa referente ao Pix enviado em 14/01/2026 para:  CAIXA ECONOMICA FEDERAL (00.360.305/0001-04) Instituição: 104 Agência: 0647 Conta: 9999000537000360305-5 Número da Transação: E13203354202601142239072C65A07B9</t>
  </si>
  <si>
    <t>Gerado automaticamente pelo Omie.CASH. Trata-se da tarifa referente ao Pix enviado em 20/01/2026 para:  PAES E DOCES NOVA FANTASTICA LTDA (13.462.169/0001-05) Instituição: 033 Agência: 4454 Conta: 13000298-2 Número da Transação: E132033542026012019008CDAA4FDA8B</t>
  </si>
  <si>
    <t>Gerado automaticamente pelo Omie.CASH. Trata-se da tarifa referente ao Pix enviado em 20/01/2026 para:  CASANOVA COMERCIO DE ALIMENTOS E BEBIDAS LTDA (10.742.493/0001-99) Instituição: 237 Agência: 3832 Conta: 317934-6 Número da Transação: E13203354202601201901C5CA8F44B04</t>
  </si>
  <si>
    <t>Gerado automaticamente pelo Omie.CASH. Trata-se da tarifa referente ao Pix enviado em 14/01/2026 para:  CAIXA ECONOMICA FEDERAL (00.360.305/0001-04) Instituição: 104 Agência: 0647 Conta: 9999000537000360305-5 Número da Transação: E132033542026011415514F5725D1258</t>
  </si>
  <si>
    <t>Gerado automaticamente pelo Omie.CASH. Trata-se da tarifa referente ao Pix enviado em 16/01/2026 para:  FORTE JUIZ DE FORA VIGILANCIA &amp; SEGURANCA FEF LTDA (04.514.387/0001-55) Instituição: 260 Agência: 0001 Conta: 81882286-1 Número da Transação: E132033542026011614338E6F0505EA2</t>
  </si>
  <si>
    <t>Gerado automaticamente pelo Omie.CASH. Trata-se da tarifa referente ao Pix enviado em 20/01/2026 para:  INSTITUTO AMARGEN (41.159.241/0001-65) Instituição: 290 Agência: 0001 Conta: 29414947-1 Número da Transação: E13203354202601201900BA96960C1E3</t>
  </si>
  <si>
    <t>Gerado automaticamente pelo Omie.CASH. Trata-se da tarifa referente ao Pix enviado em 27/01/2026 para:  INSTITUTO AMARGEN (41.159.241/0001-65) Instituição: 290 Agência: 0001 Conta: 29414947-1 Número da Transação: E132033542026012717213A5A3181CF2</t>
  </si>
  <si>
    <t>Gerado automaticamente pelo Omie.CASH. Trata-se da tarifa referente ao Pix enviado em 29/01/2026 para:  RODRIGO VIEIRA KAFURI (123.977.266-10) Instituição: 237 Agência: 3265 Conta: 13369-8 Número da Transação: E132033542026012917210F83A430BD6</t>
  </si>
  <si>
    <t>Gerado automaticamente pelo Omie.CASH. Trata-se da tarifa referente ao Pix enviado em 20/01/2026 para:  JHONATAS SILVA FRANCO (091.220.926-76) Instituição: 260 Agência: 0001 Conta: 6901574-7 Número da Transação: E13203354202601201931B28C0C1351A</t>
  </si>
  <si>
    <t>Gerado automaticamente pelo Omie.CASH. Trata-se da tarifa referente ao Pix enviado em 20/01/2026 para:  RENAISSANCE SOLUTIONS LTDA (56.912.999/0001-08) Instituição: 208 Agência: 0050 Conta: 844637-6 Número da Transação: E1320335420260120190096AAB686A92</t>
  </si>
  <si>
    <t>Gerado automaticamente pelo Omie.CASH. Trata-se da tarifa referente ao boleto 0020155100000564 com vencimento em 30/12/2025 emitido para:  NEW FOTOS EVENTOS LTDA (47.973.422/0001-07) Número da Transação: 21675284</t>
  </si>
  <si>
    <t>Gerado automaticamente pelo Omie.CASH. Trata-se da tarifa referente ao Pix enviado em 29/01/2026 para:  Marcos Vinicius Soldate (055.442.346-47) Instituição: 237 Agência: 3832 Conta: 1002963-5 Número da Transação: E132033542026012917215291208C50F</t>
  </si>
  <si>
    <t>Gerado automaticamente pelo Omie.CASH. Trata-se da tarifa referente à transferência enviada em 22/01/2026 para:  VIVA MIXX EVENTOS E FORMATURAS LTDA - ME (21.156.081/0001-93) Instituição: 001 Agência: 0024 Conta: 123408-0 Número da Transação: 11411494</t>
  </si>
  <si>
    <t>Gerado automaticamente pelo Omie.CASH. Trata-se da tarifa referente ao boleto 0020155100000571 com vencimento em 30/01/2026 emitido para:  ABREU E ROCHA EVENTOS LTDA (48.362.017/0001-15) Número da Transação: 22611796</t>
  </si>
  <si>
    <t>Gerado automaticamente pelo Omie.CASH. Trata-se da tarifa referente ao boleto 0020155100000573 com vencimento em 30/01/2026 emitido para:  UAI EVENTOS LTDA (32.488.320/0001-29) Número da Transação: 22622402</t>
  </si>
  <si>
    <t>Gerado automaticamente pelo Omie.CASH. Trata-se da tarifa referente ao Pix enviado em 22/01/2026 para:  LA TRAVIATA ESPACO GASTRONOMICO LTDA (10.554.140/0001-65) Instituição: 237 Agência: 0080 Conta: 301917-9 Número da Transação: E1320335420260122180278A459F2334</t>
  </si>
  <si>
    <t>Gerado automaticamente pelo Omie.CASH. Trata-se da tarifa referente ao Pix enviado em 27/01/2026 para:  DG COBRANCAS LTDA (44.319.464/0001-30) Instituição: 260 Agência: 0001 Conta: 38569297-8 Número da Transação: E13203354202601271721D3189970329</t>
  </si>
  <si>
    <t>Gerado automaticamente pelo Omie.CASH. Trata-se da tarifa referente ao boleto 0020155100000569 com vencimento em 30/01/2026 emitido para:  YOUNG MED INTELIGENCIA CORPORATIVA LTDA (58.908.944/0001-41) Número da Transação: 22610107</t>
  </si>
  <si>
    <t>Gerado automaticamente pelo Omie.CASH. Trata-se da tarifa referente ao Pix enviado em 30/01/2026 para:  José Fellipe Santiago de Sousa (045.880.893-82) Instituição: 260 Agência: 0001 Conta: 65568670-3 Número da Transação: E132033542026013013009DDA18E7C6C</t>
  </si>
  <si>
    <t>Gerado automaticamente pelo Omie.CASH. Trata-se da tarifa referente ao Pix enviado em 22/01/2026 para:  SPOT SONORIZACAO E ILUMINACAO LTDA (11.418.465/0001-83) Instituição: ID181 Agência: 4149 Conta: 50905001-8 Número da Transação: E13203354202601221802C706B17E8A7</t>
  </si>
  <si>
    <t>Gerado automaticamente pelo Omie.CASH. Trata-se da tarifa referente ao Pix enviado em 26/01/2026 para:  MEU MERCADO DE SORVETES SAO PEDRO JF LTDA (60.988.055/0001-83) Instituição: 341 Agência: 6699 Conta: 99110-2 Número da Transação: E132033542026012617591BDB85095DA</t>
  </si>
  <si>
    <t>Gerado automaticamente pelo Omie.CASH. Trata-se da tarifa referente ao Pix enviado em 29/01/2026 para:  22.082.897 JOHNNY CARVALHO (22.082.897/0001-82) Instituição: 260 Agência: 0001 Conta: 417798994-1 Número da Transação: E132033542026012917216100A04BF96</t>
  </si>
  <si>
    <t>Gerado automaticamente pelo Omie.CASH. Trata-se da tarifa referente ao Pix enviado em 23/01/2026 para:  EMPORIO DOS PAES JF LTDA (31.401.866/0001-38) Instituição: ID247 Agência: 3137 Conta: 16580-8 Número da Transação: E13203354202601231847FAD0CBF82F5</t>
  </si>
  <si>
    <t>Gerado automaticamente pelo Omie.CASH. Trata-se da tarifa referente ao boleto 0020155100000568 com vencimento em 30/01/2026 emitido para:  CGR FEST FORMATURAS CERIMONIAIS E EVENTOS LTDA (49.363.739/0001-57) Número da Transação: 22604158</t>
  </si>
  <si>
    <t>Gerado automaticamente pelo Omie.CASH. Trata-se da tarifa referente ao Pix enviado em 30/01/2026 para:  MARCOS ANTONIO MAINI DUQUE (087.323.606-81) Instituição: 033 Agência: 0179 Conta: 1033275-2 Número da Transação: E13203354202601301452AE75C041E40</t>
  </si>
  <si>
    <t>Gerado automaticamente pelo Omie.CASH. Trata-se da tarifa referente ao Pix enviado em 22/01/2026 para:  V. R. EVENTOS LTDA (16.422.009/0001-20) Instituição: ID039 Agência: 3008 Conta: 259431-5 Número da Transação: E1320335420260122180244A2B4C5F39</t>
  </si>
  <si>
    <t>Gerado automaticamente pelo Omie.CASH. Trata-se da tarifa referente ao Pix enviado em 22/01/2026 para:  SAUL RODRIGUES DE CARVALHO 11758718692 (34.829.660/0001-00) Instituição: 260 Agência: 0001 Conta: 71690704-6 Número da Transação: E13203354202601221802631A389A747</t>
  </si>
  <si>
    <t>Gerado automaticamente pelo Omie.CASH. Trata-se da tarifa referente ao Pix enviado em 29/01/2026 para:  Larissa Militino da Silva (117.097.326-44) Instituição: 260 Agência: 0001 Conta: 78531403-8 Número da Transação: E132033542026012917213B1E8C9C071</t>
  </si>
  <si>
    <t>Gerado automaticamente pelo Omie.CASH. Trata-se da tarifa referente ao boleto 0020155100000570 com vencimento em 30/01/2026 emitido para:  VILLAGE EMPREENDIMENTOS E PARTICIPACOES S.A. (12.078.696/0001-58) Número da Transação: 22611147</t>
  </si>
  <si>
    <t>Gerado automaticamente pelo Omie.CASH. Trata-se da tarifa referente ao Pix enviado em 29/01/2026 para:  UP TEXTIL LTDA (97.527.575/0001-07) Instituição: 001 Agência: 2995 Conta: 43645-3 Número da Transação: E13203354202601291721D023CFD2236</t>
  </si>
  <si>
    <t>Gerado automaticamente pelo Omie.CASH. Trata-se da tarifa referente ao Pix enviado em 23/01/2026 para:  WEBPAG INTERMEDIACAO DE PAGAMENTOS LTDA (25.229.750/0001-60) Instituição: 001 Agência: 8315 Conta: 388-3 Número da Transação: E13203354202601231922B5415F29CB8</t>
  </si>
  <si>
    <t>Gerado automaticamente pelo Omie.CASH. Trata-se da tarifa referente ao Pix enviado em 26/01/2026 para:  VALTAIR LIMA DA SILVA (975.732.216-49) Instituição: 237 Agência: 3265 Conta: 12733-7 Número da Transação: E13203354202601261759EE730BEB17A</t>
  </si>
  <si>
    <t>Gerado automaticamente pelo Omie.CASH. Trata-se da tarifa referente ao Pix enviado em 26/01/2026 para:  LA TRAVIATA ESPACO GASTRONOMICO LTDA (10.554.140/0001-65) Instituição: 237 Agência: 0080 Conta: 301917-9 Número da Transação: E132033542026012618565329D35CBAA</t>
  </si>
  <si>
    <t>Gerado automaticamente pelo Omie.CASH. Trata-se da tarifa referente ao Pix enviado em 29/01/2026 para:  Marcelo Bahia de Souza (780.364.616-68) Instituição: 260 Agência: 0001 Conta: 95411218-4 Número da Transação: E1320335420260129135697A6C108871</t>
  </si>
  <si>
    <t>Gerado automaticamente pelo Omie.CASH. Trata-se da tarifa referente ao Pix enviado em 30/01/2026 para:  ALESSANDRA HELUEY CARVALHO (112.580.147-69) Instituição: 033 Agência: 4454 Conta: 1019490-9 Número da Transação: E13203354202601301452D9F8AFF594D</t>
  </si>
  <si>
    <t>Gerado automaticamente pelo Omie.CASH. Trata-se da tarifa referente ao boleto 0020155100000572 com vencimento em 30/01/2026 emitido para:  NEW FOTOS EVENTOS LTDA (47.973.422/0001-07) Número da Transação: 22618500</t>
  </si>
  <si>
    <t>Gerado automaticamente pelo Omie.CASH. Trata-se da tarifa referente ao Pix enviado em 29/01/2026 para:  Larissa Militino da Silva (117.097.326-44) Instituição: 260 Agência: 0001 Conta: 78531403-8 Número da Transação: E13203354202601291721233783E8BD2</t>
  </si>
  <si>
    <t>Gerado automaticamente pelo Omie.CASH. Trata-se da tarifa referente ao Pix enviado em 27/01/2026 para:  Régis Adriano da Costa (103.945.056-38) Instituição: 260 Agência: 0001 Conta: 7083172-1 Número da Transação: E1320335420260127172268CEE5ABD39</t>
  </si>
  <si>
    <t>Gerado automaticamente pelo Omie.CASH. Trata-se da tarifa referente ao Pix enviado em 29/01/2026 para:  Larissa Militino da Silva (117.097.326-44) Instituição: 260 Agência: 0001 Conta: 78531403-8 Número da Transação: E1320335420260129173072D47EB0213</t>
  </si>
  <si>
    <t>Gerado automaticamente pelo Omie.CASH. Trata-se da tarifa referente ao Pix enviado em 20/01/2026 para:  CAIXA ECONOMICA FEDERAL (00.360.305/0001-04) Instituição: 104 Agência: 0647 Conta: 9999000537000360305-5 Número da Transação: E1320335420260120190020FF1C3ACD0</t>
  </si>
  <si>
    <t>Gerado automaticamente pelo Omie.CASH. Trata-se da tarifa referente ao Pix enviado em 20/01/2026 para:  PANELINHA COMIDA FIT LTDA (26.151.284/0001-00) Instituição: 001 Agência: 2995 Conta: 54940-1 Número da Transação: E13203354202601201900D245B462722</t>
  </si>
  <si>
    <t>Gerado automaticamente pelo Omie.CASH. Trata-se da tarifa referente ao Pix enviado em 05/01/2026 para:  BRIT CONTABILIDADE LTDA (21.690.430/0001-52) Instituição: 033 Agência: 3181 Conta: 13003156-6 Número da Transação: E13203354202601051541C56C2B3B608</t>
  </si>
  <si>
    <t>Gerado automaticamente pelo Omie.CASH. Trata-se da tarifa referente ao Pix enviado em 07/01/2026 para:  MARCOS ANTONIO MAINI DUQUE (087.323.606-81) Instituição: 033 Agência: 0179 Conta: 1033275-2 Número da Transação: E132033542026010715221EDC15CBF3C</t>
  </si>
  <si>
    <t>Gerado automaticamente pelo Omie.CASH. Trata-se da tarifa referente ao Pix enviado em 07/01/2026 para:  THOMAS SOUZA REIS (097.174.676-17) Instituição: 260 Agência: 0001 Conta: 1201493-3 Número da Transação: E13203354202601071522CDEE9DC0893</t>
  </si>
  <si>
    <t>Gerado automaticamente pelo Omie.CASH. Trata-se da tarifa referente ao Pix enviado em 07/01/2026 para:  JHONATAS SILVA FRANCO (091.220.926-76) Instituição: 260 Agência: 0001 Conta: 6901574-7 Número da Transação: E132033542026010715220138D195320</t>
  </si>
  <si>
    <t>Gerado automaticamente pelo Omie.CASH. Trata-se da tarifa referente ao Pix enviado em 07/01/2026 para:  MARCELA DE SOUZA (083.892.026-89) Instituição: 260 Agência: 0001 Conta: 19753868-1 Número da Transação: E132033542026010715227A5B2CAEE1B</t>
  </si>
  <si>
    <t>Gerado automaticamente pelo Omie.CASH. Trata-se da tarifa referente ao Pix enviado em 07/01/2026 para:  ELPIDIO JOSE FRANCISCO FILHO (504.686.937-34) Instituição: 033 Agência: 4535 Conta: 1025752-3 Número da Transação: E13203354202601071522B584FAF8078</t>
  </si>
  <si>
    <t>Gerado automaticamente pelo Omie.CASH. Trata-se da tarifa referente ao Pix enviado em 20/01/2026 para:  PANELINHA COMIDA FIT LTDA (26.151.284/0001-00) Instituição: 001 Agência: 2995 Conta: 54940-1 Número da Transação: E13203354202601201907DCC93988C19</t>
  </si>
  <si>
    <t>Gerado automaticamente pelo Omie.CASH. Trata-se da tarifa referente ao Pix enviado em 07/01/2026 para:  LUCAS SOBRINHO TEIXEIRA (073.847.576-90) Instituição: 260 Agência: 0001 Conta: 7002586-8 Número da Transação: E13203354202601071522436E0152709</t>
  </si>
  <si>
    <t>Gerado automaticamente pelo Omie.CASH. Trata-se da tarifa referente ao Pix enviado em 16/01/2026 para:  BR PEOPLE SOLUCOES EM DP LTDA (52.582.766/0001-25) Instituição: 001 Agência: 3068 Conta: 100125-6 Número da Transação: E132033542026011614257CAD81855B0</t>
  </si>
  <si>
    <t>Gerado automaticamente pelo Omie.CASH. Trata-se da tarifa referente ao Pix enviado em 15/01/2026 para:  REGIS ADRIANO DA COSTA (103.945.056-38) Instituição: 260 Agência: 0001 Conta: 7083172-1 Número da Transação: E132033542026011514428338DE29F6A</t>
  </si>
  <si>
    <t>Gerado automaticamente pelo Omie.CASH. Trata-se da tarifa referente ao Pix enviado em 20/01/2026 para:  54 971 070 felipe henriques crivellari (54.971.070/0001-16) Instituição: 336 Agência: 0001 Conta: 32629505-4 Número da Transação: E1320335420260120190610774AE9E3A</t>
  </si>
  <si>
    <t>Gerado automaticamente pelo Omie.CASH. Trata-se da tarifa referente ao Pix enviado em 20/01/2026 para:  CAIXA ECONOMICA FEDERAL (00.360.305/0001-04) Instituição: 104 Agência: 0647 Conta: 9999000537000360305-5 Número da Transação: E13203354202601201906552DA1C1306</t>
  </si>
  <si>
    <t>Gerado automaticamente pelo Omie.CASH. Trata-se da tarifa referente ao Pix enviado em 22/01/2026 para:  DG COBRANCAS LTDA (44.319.464/0001-30) Instituição: 260 Agência: 0001 Conta: 38569297-8 Número da Transação: E13203354202601221847743AED19CE3</t>
  </si>
  <si>
    <t>Gerado automaticamente pelo Omie.CASH. Trata-se da tarifa referente ao Pix enviado em 07/01/2026 para:  REGIS ADRIANO DA COSTA (103.945.056-38) Instituição: 260 Agência: 0001 Conta: 7083172-1 Número da Transação: E13203354202601071522ACD4C084810</t>
  </si>
  <si>
    <t>Gerado automaticamente pelo Omie.CASH. Trata-se da tarifa referente ao Pix enviado em 07/01/2026 para:  CRISTIANE LEITE BRAGA (080.991.806-40) Instituição: 260 Agência: 0001 Conta: 96210-2 Número da Transação: E1320335420260107152287B18974CCF</t>
  </si>
  <si>
    <t>Gerado automaticamente pelo Omie.CASH. Trata-se da tarifa referente ao Pix enviado em 07/01/2026 para:  EVERDAN ELIAS COELHO (058.382.626-13) Instituição: 260 Agência: 0001 Conta: 20377589-9 Número da Transação: E13203354202601071522B053D981B8F</t>
  </si>
  <si>
    <t>TARIFA PACOTE DE SERVIÇOS COBRANÇA REFERENTE 06012026</t>
  </si>
  <si>
    <t>TAR PAG SALÁR CRÉD CONTA COBRANÇA REFERENTE 07012026</t>
  </si>
  <si>
    <t>TARIFA PIX ENVIADO TAR AGRUPADAS OCORRENCIA 20012026</t>
  </si>
  <si>
    <t>TARIFA PACOTE DE SERVIÇOS COBRANÇA REFERENTE 12012026</t>
  </si>
  <si>
    <t>TARIFA MENSALIDADE PACOTE SERVICOS DEZEMBRO 2025</t>
  </si>
  <si>
    <t>TARIFA AVULSA ENVIO PIX 07012026</t>
  </si>
  <si>
    <t>TARIFA PIX ENVIADO TAR AGRUPADAS OCORRENCIA 22012026</t>
  </si>
  <si>
    <t>TARIFA DÉBITO AUTOMÁTICO TAR AGRUPADAS OCORRENCIA 14012026</t>
  </si>
  <si>
    <t>TARIFA DÉBITO AUTOMÁTICO TAR AGRUPADAS OCORRENCIA 16012026</t>
  </si>
  <si>
    <t>Seguro Conta</t>
  </si>
  <si>
    <t>RENOVAÇÃO CERTIFICADO DIGITAL</t>
  </si>
  <si>
    <t>PREVISAO BOL MEDICINA DO TRABALHO -COMP</t>
  </si>
  <si>
    <t>BOL MEDICINA DO TRABALHO -COMP 05/2026</t>
  </si>
  <si>
    <t>BOL REFERENTE A TREINAMENTO SEG. DO TRABALHO - COMP: 06/2026</t>
  </si>
  <si>
    <t>BOL MEDICINA DO TRABALHO -COMP 03/2026</t>
  </si>
  <si>
    <t>BOL MEDICINA DO TRABALHO COMP.: 07/2026</t>
  </si>
  <si>
    <t>BOL MEDICINA DO TRABALHO -COMP 02/2026</t>
  </si>
  <si>
    <t>Gerado automaticamente pelo Omie.CASH. Trata-se da tarifa referente ao Pix enviado em 03/03/2026 para: PANELINHA COMIDA FIT LTDA (26.151.284/0001-00) Instituição: 001 Agência: 2995 Conta: 54940-1 Número da Transação: E13203354202603031922B8261CF70C6</t>
  </si>
  <si>
    <t>Gerado automaticamente pelo Omie.CASH. Trata-se da tarifa referente ao Pix enviado em 03/03/2026 para: 54.971.070 felipe henriques crivellari (54.971.070/0001-16) Instituição: 336 Agência: 0001 Conta: 32629505-4 Número da Transação: E1320335420260303192231D0CC5E0D9</t>
  </si>
  <si>
    <t>Gerado automaticamente pelo Omie.CASH. Trata-se da tarifa referente ao Pix enviado em 06/03/2026 para: THOMAS SOUZA REIS (097.174.676-17) Instituição: 260 Agência: 0001 Conta: 1201493-3 Número da Transação: E132033542026030615549D72FFD4584</t>
  </si>
  <si>
    <t>Gerado automaticamente pelo Omie.CASH. Trata-se da tarifa referente ao Pix enviado em 06/03/2026 para: MARCOS ANTONIO MAINI DUQUE (087.323.606-81) Instituição: 033 Agência: 0179 Conta: 1033275-2 Número da Transação: E132033542026030620477565A2D224A</t>
  </si>
  <si>
    <t>Gerado automaticamente pelo Omie.CASH. Trata-se da tarifa referente ao Pix enviado em 31/03/2026 para: PANELINHA COMIDA FIT LTDA (26.151.284/0001-00) Instituição: 001 Agência: 5888 Conta: 54940-1 Número da Transação: E1320335420260331161092B77AA06A3</t>
  </si>
  <si>
    <t>TARIFA PIX ENVIADO TAR AGRUPADAS OCORRENCIA 18032026</t>
  </si>
  <si>
    <t>Gerado automaticamente pelo Omie.CASH. Trata-se da tarifa referente ao Pix enviado em 06/03/2026 para: LUCAS SOBRINHO TEIXEIRA (073.847.576-90) Instituição: 260 Agência: 0001 Conta: 7002586-8 Número da Transação: E13203354202603061554CBE204DCD7D</t>
  </si>
  <si>
    <t>Gerado automaticamente pelo Omie.CASH. Trata-se da tarifa referente ao Pix enviado em 06/03/2026 para: JHONATAS SILVA FRANCO (091.220.926-76) Instituição: 260 Agência: 0001 Conta: 6901574-7 Número da Transação: E132033542026030615554BABC20947A</t>
  </si>
  <si>
    <t>Tar Pag Salár Créd Conta Cobrança referente 06/03/2026</t>
  </si>
  <si>
    <t>Gerado automaticamente pelo Omie.CASH. Trata-se da tarifa referente ao Pix enviado em 10/03/2026 para: MARCELA DE SOUZA (083.892.026-89) Instituição: 260 Agência: 0001 Conta: 19753868-1 Número da Transação: E1320335420260310200481ABD6F807E</t>
  </si>
  <si>
    <t>TARIFA PIX ENVIADO TAR AGRUPADAS OCORRENCIA 27032026</t>
  </si>
  <si>
    <t>Gerado automaticamente pelo Omie.CASH. Trata-se da tarifa referente ao Pix enviado em 10/03/2026 para: LUCAS SOBRINHO TEIXEIRA (073.847.576-90) Instituição: 260 Agência: 0001 Conta: 7002586-8 Número da Transação: E13203354202603102017A468171D81A</t>
  </si>
  <si>
    <t>Gerado automaticamente pelo Omie.CASH. Trata-se da tarifa referente ao Pix enviado em 06/03/2026 para: MARCELO GOMES DE ALMEIDA GONCALVES (916.055.556-49) Instituição: 001 Agência: 2995 Conta: 40755-0 Número da Transação: E132033542026030615546EB73D81035</t>
  </si>
  <si>
    <t>Gerado automaticamente pelo Omie.CASH. Trata-se da tarifa referente ao Pix enviado em 06/03/2026 para: EVERDAN ELIAS COELHO (058.382.626-13) Instituição: 260 Agência: 0001 Conta: 20377589-9 Número da Transação: E13203354202603061555296895B9BBB</t>
  </si>
  <si>
    <t>Gerado automaticamente pelo Omie.CASH. Trata-se da tarifa referente ao Pix enviado em 06/03/2026 para: ELPIDIO JOSE FRANCISCO FILHO (504.686.937-34) Instituição: 033 Agência: 4535 Conta: 1025752-3 Número da Transação: E1320335420260306155560DD4F1ED83</t>
  </si>
  <si>
    <t>TARIFA PACOTE DE SERVIÇOS COBRANÇA REFERENTE 05032026</t>
  </si>
  <si>
    <t>Gerado automaticamente pelo Omie.CASH. Trata-se da tarifa referente ao Pix enviado em 17/03/2026 para: 54.971.070 felipe henriques crivellari (54.971.070/0001-16) Instituição: 336 Agência: 0001 Conta: 32629505-4 Número da Transação: E13203354202603171516EDA5C835225</t>
  </si>
  <si>
    <t>Gerado automaticamente pelo Omie.CASH. Trata-se da tarifa referente ao Pix enviado em 19/03/2026 para: CAIXA ECONOMICA FEDERAL (00.360.305/0001-04) Instituição: 104 Agência: 0647 Conta: 9999000537000360305-5 Número da Transação: E13203354202603191723D24A3694B92</t>
  </si>
  <si>
    <t>Gerado automaticamente pelo Omie.CASH. Trata-se da tarifa referente ao Pix enviado em 31/03/2026 para: 54.971.070 felipe henriques crivellari (54.971.070/0001-16) Instituição: 336 Agência: 0001 Conta: 32629505-4 Número da Transação: E13203354202603311610A545D335A20</t>
  </si>
  <si>
    <t>Gerado automaticamente pelo Omie.CASH. Trata-se da tarifa referente ao Pix enviado em 10/03/2026 para: MARCELA DE SOUZA (083.892.026-89) Instituição: 260 Agência: 0001 Conta: 19753868-1 Número da Transação: E13203354202603102004EECAE518E98</t>
  </si>
  <si>
    <t>Gerado automaticamente pelo Omie.CASH. Trata-se da tarifa referente ao Pix enviado em 10/03/2026 para: LUCAS SOBRINHO TEIXEIRA (073.847.576-90) Instituição: 260 Agência: 0001 Conta: 7002586-8 Número da Transação: E132033542026031020175CC57EBC6F5</t>
  </si>
  <si>
    <t>Gerado automaticamente pelo Omie.CASH. Trata-se da tarifa referente ao Pix enviado em 17/03/2026 para: PANELINHA COMIDA FIT LTDA (26.151.284/0001-00) Instituição: 001 Agência: 2995 Conta: 54940-1 Número da Transação: E13203354202603171516B1E9A63B522</t>
  </si>
  <si>
    <t>Gerado automaticamente pelo Omie.CASH. Trata-se da tarifa referente ao Pix enviado em 06/03/2026 para: MARCELA DE SOUZA (083.892.026-89) Instituição: 260 Agência: 0001 Conta: 19753868-1 Número da Transação: E13203354202603061554DD8528C4ED4</t>
  </si>
  <si>
    <t>Gerado automaticamente pelo Omie.CASH. Trata-se da tarifa referente ao Pix enviado em 10/03/2026 para: LUCAS SOBRINHO TEIXEIRA (073.847.576-90) Instituição: 260 Agência: 0001 Conta: 7002586-8 Número da Transação: E13203354202603102017739C6BA3A20</t>
  </si>
  <si>
    <t>Gerado automaticamente pelo Omie.CASH. Trata-se da tarifa referente ao Pix enviado em 06/03/2026 para: CRISTIANE LEITE BRAGA (080.991.806-40) Instituição: 260 Agência: 0001 Conta: 96210-2 Número da Transação: E132033542026030615555A5FEFD892D</t>
  </si>
  <si>
    <t>Gerado automaticamente pelo Omie.CASH. Trata-se da tarifa referente à transferência enviada em 06/03/2026 para: REGIS ADRIANO DA COSTA (103.945.056-38) Instituição: 260 Agência: 0001 Conta: 7083172-1 Número da Transação: 11467246</t>
  </si>
  <si>
    <t>TARIFA PIX RECEBIDO TAR AGRUPADAS OCORRENCIA 03032026</t>
  </si>
  <si>
    <t>TARIFA PIX RECEBIDO TAR AGRUPADAS OCORRENCIA 02032026</t>
  </si>
  <si>
    <t>Gerado automaticamente pelo Omie.CASH. Trata-se da tarifa referente ao boleto 0020155100000580 com vencimento em 28/02/2026 emitido para: ABREU E ROCHA EVENTOS LTDA (48.362.017/0001-15) Número da Transação: 24361822</t>
  </si>
  <si>
    <t>Gerado automaticamente pelo Omie.CASH. Trata-se da tarifa referente ao Pix enviado em 03/03/2026 para: 54.971.070 felipe henriques crivellari (54.971.070/0001-16) Instituição: 336 Agência: 0001 Conta: 32629505-4 Número da Transação: E13203354202603031923EBB51FCD461</t>
  </si>
  <si>
    <t>Gerado automaticamente pelo Omie.CASH. Trata-se da tarifa referente ao boleto 0020155100000581 com vencimento em 28/02/2026 emitido para: NEW FOTOS EVENTOS LTDA (47.973.422/0001-07) Número da Transação: 24363533</t>
  </si>
  <si>
    <t>Gerado automaticamente pelo Omie.CASH. Trata-se da tarifa referente ao Pix enviado em 03/03/2026 para: PANELINHA COMIDA FIT LTDA (26.151.284/0001-00) Instituição: 001 Agência: 2995 Conta: 54940-1 Número da Transação: E13203354202603031923004A152D0E9</t>
  </si>
  <si>
    <t>Gerado automaticamente pelo Omie.CASH. Trata-se da tarifa referente ao boleto 0020155100000578 com vencimento em 28/02/2026 emitido para: UAI EVENTOS LTDA (32.488.320/0001-29) Número da Transação: 24347034</t>
  </si>
  <si>
    <t>TARIFA PIX ENVIADO TAR AGRUPADAS OCORRENCIA 24032026</t>
  </si>
  <si>
    <t>TARIFA DÉBITO AUTOMÁTICO TAR AGRUPADAS OCORRENCIA 05032026</t>
  </si>
  <si>
    <t>TARIFA PIX ENVIADO TAR AGRUPADAS OCORRENCIA 10032026</t>
  </si>
  <si>
    <t>TARIFA PIX ENVIADO TAR AGRUPADAS OCORRENCIA 26032026</t>
  </si>
  <si>
    <t>TARIFA PIX RECEBIDO TAR AGRUPADAS OCORRENCIA 13032026</t>
  </si>
  <si>
    <t>TARIFA PACOTE DE SERVIÇOS COBRANÇA REFERENTE 10032026</t>
  </si>
  <si>
    <t>TARIFA PIX RECEBIDO TAR AGRUPADAS OCORRENCIA 05032026</t>
  </si>
  <si>
    <t>TARIFA PIX ENVIADO TAR AGRUPADAS OCORRENCIA 20032026</t>
  </si>
  <si>
    <t>TARIFA PIX ENVIADO TAR AGRUPADAS OCORRENCIA 25032026</t>
  </si>
  <si>
    <t>TARIFA PIX RECEBIDO TAR AGRUPADAS OCORRENCIA 12032026</t>
  </si>
  <si>
    <t>TARIFA PIX ENVIADO TAR AGRUPADAS OCORRENCIA 19032026</t>
  </si>
  <si>
    <t>TARIFA PIX RECEBIDO TAR AGRUPADAS OCORRENCIA 16032026</t>
  </si>
  <si>
    <t>TARIFA MENSALIDADE PACOTE SERVICOS FEVEREIRO 2026</t>
  </si>
  <si>
    <t>Gerado automaticamente pelo Omie.CASH. Trata-se da tarifa referente ao Pix enviado em 12/03/2026 para: BRUNO AUGUSTO BAPTISTA DE OLIVEIRA (012.079.476-44) Instituição: ID247 Agência: 3137 Conta: 13294-2 Número da Transação: E132033542026031217132FCE3BF3B73</t>
  </si>
  <si>
    <t>Gerado automaticamente pelo Omie.CASH. Trata-se da tarifa referente ao Pix enviado em 17/03/2026 para: PANELINHA COMIDA FIT LTDA (26.151.284/0001-00) Instituição: 001 Agência: 2995 Conta: 54940-1 Número da Transação: E13203354202603171516386519C43A8</t>
  </si>
  <si>
    <t>Gerado automaticamente pelo Omie.CASH. Trata-se da tarifa referente ao Pix enviado em 31/03/2026 para: 54.971.070 felipe henriques crivellari (54.971.070/0001-16) Instituição: 336 Agência: 0001 Conta: 32629505-4 Número da Transação: E1320335420260331160542B6255E5DA</t>
  </si>
  <si>
    <t>Gerado automaticamente pelo Omie.CASH. Trata-se da tarifa referente ao Pix enviado em 06/03/2026 para: CRISTIANE LEITE BRAGA (080.991.806-40) Instituição: 260 Agência: 0001 Conta: 96210-2 Número da Transação: E13203354202603061602323E53C4166</t>
  </si>
  <si>
    <t>Gerado automaticamente pelo Omie.CASH. Trata-se da tarifa referente ao Pix enviado em 10/03/2026 para: JHONATAS SILVA FRANCO (091.220.926-76) Instituição: 260 Agência: 0001 Conta: 6901574-7 Número da Transação: E13203354202603102001CBAD4652940</t>
  </si>
  <si>
    <t>Gerado automaticamente pelo Omie.CASH. Trata-se da tarifa referente ao Pix enviado em 25/03/2026 para: REGIS ADRIANO DA COSTA (103.945.056-38) Instituição: 336 Agência: 0001 Conta: 28540884-4 Número da Transação: E13203354202603251531537528FD028</t>
  </si>
  <si>
    <t>Gerado automaticamente pelo Omie.CASH. Trata-se da tarifa referente ao Pix enviado em 27/03/2026 para: EMPORIO DOS PAES JF LTDA (31.401.866/0001-38) Instituição: ID247 Agência: 3137 Conta: 16580-8 Número da Transação: E13203354202603271445CB8A2772E68</t>
  </si>
  <si>
    <t>Gerado automaticamente pelo Omie.CASH. Trata-se da tarifa referente ao Pix enviado em 06/03/2026 para: EVERDAN ELIAS COELHO (058.382.626-13) Instituição: 260 Agência: 0001 Conta: 20377589-9 Número da Transação: E1320335420260306160268E6A1B095F</t>
  </si>
  <si>
    <t>Gerado automaticamente pelo Omie.CASH. Trata-se da tarifa referente ao Pix enviado em 10/03/2026 para: Cristiane Leite Braga (080.991.806-40) Instituição: 260 Agência: 0001 Conta: 96210-2 Número da Transação: E132033542026031020011366D30FFF5</t>
  </si>
  <si>
    <t>Gerado automaticamente pelo Omie.CASH. Trata-se da tarifa referente ao Pix enviado em 12/03/2026 para: THOMAS SOUZA REIS (097.174.676-17) Instituição: 260 Agência: 0001 Conta: 1201493-3 Número da Transação: E1320335420260312160384DAF3B003E</t>
  </si>
  <si>
    <t>Gerado automaticamente pelo Omie.CASH. Trata-se da tarifa referente ao Pix enviado em 24/03/2026 para: THOMAS SOUZA REIS (097.174.676-17) Instituição: 001 Agência: 2995 Conta: 41890-0 Número da Transação: E132033542026032417023C2E9695719</t>
  </si>
  <si>
    <t>Gerado automaticamente pelo Omie.CASH. Trata-se da tarifa referente ao Pix enviado em 31/03/2026 para: PANELINHA COMIDA FIT LTDA (26.151.284/0001-00) Instituição: 001 Agência: 5888 Conta: 54940-1 Número da Transação: E132033542026033116057B311F430E9</t>
  </si>
  <si>
    <t>Gerado automaticamente pelo Omie.CASH. Trata-se da tarifa referente ao Pix enviado em 05/03/2026 para: MARCOS ANTONIO MAINI DUQUE (087.323.606-81) Instituição: 033 Agência: 0179 Conta: 1033275-2 Número da Transação: E1320335420260305190645D47C7E559</t>
  </si>
  <si>
    <t>Gerado automaticamente pelo Omie.CASH. Trata-se da tarifa referente ao Pix enviado em 06/03/2026 para: LUCAS SOBRINHO TEIXEIRA (073.847.576-90) Instituição: 260 Agência: 0001 Conta: 7002586-8 Número da Transação: E1320335420260306160219EA46D0E07</t>
  </si>
  <si>
    <t>Gerado automaticamente pelo Omie.CASH. Trata-se da tarifa referente ao Pix enviado em 10/03/2026 para: Jefferson Luiz de Brito Ferreira (098.518.536-82) Instituição: 260 Agência: 0001 Conta: 90722341-5 Número da Transação: E13203354202603102000A12739ECA75</t>
  </si>
  <si>
    <t>Gerado automaticamente pelo Omie.CASH. Trata-se da tarifa referente ao Pix enviado em 31/03/2026 para: MARCELO GOMES DE ALMEIDA GONCALVES (916.055.556-49) Instituição: 001 Agência: 2995 Conta: 40755-0 Número da Transação: E132033542026033116055F885F4641E</t>
  </si>
  <si>
    <t>Gerado automaticamente pelo Omie.CASH. Trata-se da tarifa referente ao Pix enviado em 31/03/2026 para: Marcos Vinicius Soldate (055.442.346-47) Instituição: 237 Agência: 3832 Conta: 1002963-5 Número da Transação: E13203354202603311605D7DA5F1BA1C</t>
  </si>
  <si>
    <t>Gerado automaticamente pelo Omie.CASH. Trata-se da tarifa referente ao Pix enviado em 05/03/2026 para: Marcos Vinicius Soldate (055.442.346-47) Instituição: 237 Agência: 3832 Conta: 1002963-5 Número da Transação: E13203354202603051906CB4F70D0E64</t>
  </si>
  <si>
    <t>Gerado automaticamente pelo Omie.CASH. Trata-se da tarifa referente ao Pix enviado em 10/03/2026 para: JHONATAS SILVA FRANCO (091.220.926-76) Instituição: 260 Agência: 0001 Conta: 6901574-7 Número da Transação: E1320335420260310200178E391A063C</t>
  </si>
  <si>
    <t>Gerado automaticamente pelo Omie.CASH. Trata-se da tarifa referente ao Pix enviado em 10/03/2026 para: JHONATAS SILVA FRANCO (091.220.926-76) Instituição: 260 Agência: 0001 Conta: 6901574-7 Número da Transação: E132033542026031020279B526BDC873</t>
  </si>
  <si>
    <t>Gerado automaticamente pelo Omie.CASH. Trata-se da tarifa referente à transferência enviada em 17/03/2026 para: RENATO MENEZES FILGUEIRAS (060.840.216-89) Instituição: 001 Agência: 2995 Conta: 18869-7 Número da Transação: 11482826</t>
  </si>
  <si>
    <t>Gerado automaticamente pelo Omie.CASH. Trata-se da tarifa referente ao Pix enviado em 24/03/2026 para: Barbara Dias Sales (126.613.976-12) Instituição: 260 Agência: 0001 Conta: 89943947-2 Número da Transação: E13203354202603241702EB89119DA46</t>
  </si>
  <si>
    <t>Gerado automaticamente pelo Omie.CASH. Trata-se da tarifa referente ao Pix enviado em 10/03/2026 para: PAES E DOCES NOVA FANTASTICA LTDA (13.462.169/0001-05) Instituição: 341 Agência: 3163 Conta: 98737-7 Número da Transação: E1320335420260310200169867245930</t>
  </si>
  <si>
    <t>Gerado automaticamente pelo Omie.CASH. Trata-se da tarifa referente ao Pix enviado em 06/03/2026 para: REGIS ADRIANO DA COSTA (103.945.056-38) Instituição: 336 Agência: 0001 Conta: 28540884-4 Número da Transação: E13203354202603061846EB987BBC179</t>
  </si>
  <si>
    <t>Gerado automaticamente pelo Omie.CASH. Trata-se da tarifa referente ao Pix enviado em 26/03/2026 para: VIVA MIXX EVENTOS E FORMATURAS LTDA - ME (21.156.081/0001-93) Instituição: 001 Agência: 0024 Conta: 123408-0 Número da Transação: E13203354202603261658FC26675CE7F</t>
  </si>
  <si>
    <t>Gerado automaticamente pelo Omie.CASH. Trata-se da tarifa referente ao Pix enviado em 05/03/2026 para: MARCOS ANTONIO MAINI DUQUE (087.323.606-81) Instituição: 033 Agência: 0179 Conta: 1033275-2 Número da Transação: E13203354202603051906D65D852BA2E</t>
  </si>
  <si>
    <t>Gerado automaticamente pelo Omie.CASH. Trata-se da tarifa referente ao Pix enviado em 06/03/2026 para: VITOR DE OLIVEIRA PEDROSA (052.537.926-60) Instituição: 001 Agência: 2995 Conta: 40754-2 Número da Transação: E132033542026030616027F545439560</t>
  </si>
  <si>
    <t>Gerado automaticamente pelo Omie.CASH. Trata-se da tarifa referente ao Pix enviado em 10/03/2026 para: CRISTIANE LEITE BRAGA (080.991.806-40) Instituição: 260 Agência: 0001 Conta: 96210-2 Número da Transação: E13203354202603102000BB900C7E77B</t>
  </si>
  <si>
    <t>Gerado automaticamente pelo Omie.CASH. Trata-se da tarifa referente ao Pix enviado em 13/03/2026 para: CAIXA ECONOMICA FEDERAL (00.360.305/0001-04) Instituição: 104 Agência: 0647 Conta: 9999000537000360305-5 Número da Transação: E13203354202603131715602EA1C2B61</t>
  </si>
  <si>
    <t>Gerado automaticamente pelo Omie.CASH. Trata-se da tarifa referente ao Pix enviado em 10/03/2026 para: CRISTIANE LEITE BRAGA (080.991.806-40) Instituição: 260 Agência: 0001 Conta: 96210-2 Número da Transação: E13203354202603102027DE9D5438CDF</t>
  </si>
  <si>
    <t>Gerado automaticamente pelo Omie.CASH. Trata-se da tarifa referente ao Pix enviado em 09/03/2026 para: MECPEL PAPELARIA E LIVRARIA LTDA (05.110.163/0001-40) Instituição: 341 Agência: 0352 Conta: 14187-3 Número da Transação: E13203354202603092012E32FF868BA7</t>
  </si>
  <si>
    <t>Gerado automaticamente pelo Omie.CASH. Trata-se da tarifa referente ao Pix enviado em 19/03/2026 para: RENAISSANCE SOLUTIONS LTDA (56.912.999/0001-08) Instituição: 208 Agência: 0050 Conta: 844637-6 Número da Transação: E132033542026031918127E215C4E082</t>
  </si>
  <si>
    <t>Gerado automaticamente pelo Omie.CASH. Trata-se da tarifa referente ao Pix enviado em 31/03/2026 para: Marcos Vinicius Soldate (055.442.346-47) Instituição: 237 Agência: 3832 Conta: 1002963-5 Número da Transação: E13203354202603311605076596F5BF0</t>
  </si>
  <si>
    <t>Gerado automaticamente pelo Omie.CASH. Trata-se da tarifa referente ao Pix enviado em 10/03/2026 para: HUMBERTO SALES DE ALMEIDA (112.339.986-76) Instituição: 348 Agência: 0001 Conta: 951216-4 Número da Transação: E1320335420260310200195C2F7ECA8D</t>
  </si>
  <si>
    <t>Gerado automaticamente pelo Omie.CASH. Trata-se da tarifa referente ao Pix enviado em 26/03/2026 para: V.R. EVENTOS LTDA (16.422.009/0001-20) Instituição: 756 Agência: 3008 Conta: 259431-5 Número da Transação: E13203354202603261658A0D6B199EEE</t>
  </si>
  <si>
    <t>Gerado automaticamente pelo Omie.CASH. Trata-se da tarifa referente à transferência enviada em 27/03/2026 para: MARCELA DE SOUZA (083.892.026-89) Instituição: 260 Agência: 0001 Conta: 19753868-1 Número da Transação: 11496880</t>
  </si>
  <si>
    <t>Gerado automaticamente pelo Omie.CASH. Trata-se da tarifa referente ao Pix enviado em 31/03/2026 para: Marcos Vinicius Soldate (055.442.346-47) Instituição: 237 Agência: 3832 Conta: 1002963-5 Número da Transação: E1320335420260331160504C4AF54099</t>
  </si>
  <si>
    <t>Gerado automaticamente pelo Omie.CASH. Trata-se da tarifa referente ao Pix enviado em 31/03/2026 para: MARCOS ANTONIO MAINI DUQUE (087.323.606-81) Instituição: 033 Agência: 0179 Conta: 1033275-2 Número da Transação: E1320335420260331160533A74238D53</t>
  </si>
  <si>
    <t>Gerado automaticamente pelo Omie.CASH. Trata-se da tarifa referente ao Pix enviado em 06/03/2026 para: RENATO MENEZES FILGUEIRAS (060.840.216-89) Instituição: 001 Agência: 2995 Conta: 18869-7 Número da Transação: E1320335420260306160298957953F34</t>
  </si>
  <si>
    <t>Gerado automaticamente pelo Omie.CASH. Trata-se da tarifa referente ao Pix enviado em 13/03/2026 para: CAIXA ECONOMICA FEDERAL (00.360.305/0001-04) Instituição: 104 Agência: 0647 Conta: 9999000537000360305-5 Número da Transação: E1320335420260313171567DBD5A42F0</t>
  </si>
  <si>
    <t>Gerado automaticamente pelo Omie.CASH. Trata-se da tarifa referente ao Pix enviado em 06/03/2026 para: MARCOS ANTONIO MAINI DUQUE (087.323.606-81) Instituição: 033 Agência: 0179 Conta: 1033275-2 Número da Transação: E13203354202603062047EADEAAF374C</t>
  </si>
  <si>
    <t>Gerado automaticamente pelo Omie.CASH. Trata-se da tarifa referente ao Pix enviado em 06/03/2026 para: MARCELA DE SOUZA (083.892.026-89) Instituição: 260 Agência: 0001 Conta: 19753868-1 Número da Transação: E13203354202603061602AADFF5DB98F</t>
  </si>
  <si>
    <t>Gerado automaticamente pelo Omie.CASH. Trata-se da tarifa referente ao Pix enviado em 17/03/2026 para: 54.971.070 felipe henriques crivellari (54.971.070/0001-16) Instituição: 336 Agência: 0001 Conta: 32629505-4 Número da Transação: E13203354202603171516B76F612DEF4</t>
  </si>
  <si>
    <t>Gerado automaticamente pelo Omie.CASH. Trata-se da tarifa referente ao Pix enviado em 06/03/2026 para: REGIS ADRIANO DA COSTA (103.945.056-38) Instituição: 260 Agência: 0001 Conta: 7083172-1 Número da Transação: E13203354202603061846DB855A24DA3</t>
  </si>
  <si>
    <t>Gerado automaticamente pelo Omie.CASH. Trata-se da tarifa referente ao Pix enviado em 24/03/2026 para: RENATO MENEZES FILGUEIRAS (060.840.216-89) Instituição: 001 Agência: 2995 Conta: 18869-7 Número da Transação: E13203354202603241702157CBCF682C</t>
  </si>
  <si>
    <t>Gerado automaticamente pelo Omie.CASH. Trata-se da tarifa referente ao Pix enviado em 06/03/2026 para: HUMBERTO SALES DE ALMEIDA (112.339.986-76) Instituição: 348 Agência: 0001 Conta: 951216-4 Número da Transação: E13203354202603061602A1C5B4F94A5</t>
  </si>
  <si>
    <t>Gerado automaticamente pelo Omie.CASH. Trata-se da tarifa referente ao Pix enviado em 24/03/2026 para: 41.362.810 LISIA JANNUZZI FAQUIM (41.362.810/0001-75) Instituição: 033 Agência: 2990 Conta: 16036102-1 Número da Transação: E13203354202603241702B7074B1FE27</t>
  </si>
  <si>
    <t>Gerado automaticamente pelo Omie.CASH. Trata-se da tarifa referente ao Pix enviado em 05/03/2026 para: PAES E DOCES NOVA FANTASTICA LTDA (13.462.169/0001-05) Instituição: 341 Agência: 3163 Conta: 98737-7 Número da Transação: E1320335420260305190607C195C8AD2</t>
  </si>
  <si>
    <t>Gerado automaticamente pelo Omie.CASH. Trata-se da tarifa referente ao Pix enviado em 06/03/2026 para: ELBA RAYANA DE PAIVA RIBAS (094.469.336-92) Instituição: 260 Agência: 0001 Conta: 80243916-3 Número da Transação: E132033542026030616030B2F975E5CC</t>
  </si>
  <si>
    <t>Gerado automaticamente pelo Omie.CASH. Trata-se da tarifa referente ao Pix enviado em 06/03/2026 para: JHONATAS SILVA FRANCO (091.220.926-76) Instituição: 260 Agência: 0001 Conta: 6901574-7 Número da Transação: E13203354202603061602310CADCA99A</t>
  </si>
  <si>
    <t>Gerado automaticamente pelo Omie.CASH. Trata-se da tarifa referente ao Pix enviado em 10/03/2026 para: CRISTIANE LEITE BRAGA (080.991.806-40) Instituição: 260 Agência: 0001 Conta: 96210-2 Número da Transação: E13203354202603102001E2086847A3E</t>
  </si>
  <si>
    <t>Gerado automaticamente pelo Omie.CASH. Trata-se da tarifa referente ao Pix enviado em 12/03/2026 para: RONALDO DE OLIVEIRA PIRES (073.061.106-08) Instituição: 260 Agência: 0001 Conta: 5715249-6 Número da Transação: E132033542026031216031B062A52025</t>
  </si>
  <si>
    <t>Gerado automaticamente pelo Omie.CASH. Trata-se da tarifa referente ao Pix enviado em 19/03/2026 para: CAIXA ECONOMICA FEDERAL (00.360.305/0001-04) Instituição: 104 Agência: 0647 Conta: 9999000537000360305-5 Número da Transação: E132033542026031918126F5E7FEB392</t>
  </si>
  <si>
    <t>Gerado automaticamente pelo Omie.CASH. Trata-se da tarifa referente ao Pix enviado em 19/03/2026 para: ASSOCIACAO BENEFICENTE E CULTURAL AMIGOS DO NOIVO (04.704.512/0001-90) Instituição: 756 Agência: 4149 Conta: 14765-6 Número da Transação: E132033542026031918124D0FD46AC36</t>
  </si>
  <si>
    <t>Gerado automaticamente pelo Omie.CASH. Trata-se da tarifa referente ao Pix enviado em 10/03/2026 para: HUMBERTO SALES DE ALMEIDA (112.339.986-76) Instituição: 348 Agência: 0001 Conta: 951216-4 Número da Transação: E13203354202603102001E1D8784B481</t>
  </si>
  <si>
    <t>Gerado automaticamente pelo Omie.CASH. Trata-se da tarifa referente ao Pix enviado em 10/03/2026 para: EVERDAN ELIAS COELHO (058.382.626-13) Instituição: 260 Agência: 0001 Conta: 20377589-9 Número da Transação: E13203354202603102000EFA46A96BCA</t>
  </si>
  <si>
    <t>Gerado automaticamente pelo Omie.CASH. Trata-se da tarifa referente ao Pix enviado em 06/03/2026 para: Cristiane Leite Braga (080.991.806-40) Instituição: 260 Agência: 0001 Conta: 96210-2 Número da Transação: E132033542026030618462752114A785</t>
  </si>
  <si>
    <t>Gerado automaticamente pelo Omie.CASH. Trata-se da tarifa referente ao Pix enviado em 19/03/2026 para: LUIZ EDUARDO RIBEIRO DO NASCIMENTO JUNIOR (097.236.636-94) Instituição: 077 Agência: 0001 Conta: 11545209-5 Número da Transação: E132033542026031918128E4C3F09CC5</t>
  </si>
  <si>
    <t>Gerado automaticamente pelo Omie.CASH. Trata-se da tarifa referente ao Pix enviado em 27/03/2026 para: Lucas Bellini Meireles (115.139.706-74) Instituição: 260 Agência: 0001 Conta: 4477461-3 Número da Transação: E13203354202603271446E2D66202884</t>
  </si>
  <si>
    <t>Gerado automaticamente pelo Omie.CASH. Trata-se da tarifa referente ao Pix enviado em 31/03/2026 para: ROMERO TAVARES (043.642.886-59) Instituição: 104 Agência: 1641 Conta: 765022022-3 Número da Transação: E132033542026033116051996E67B429</t>
  </si>
  <si>
    <t>Gerado automaticamente pelo Omie.CASH. Trata-se da tarifa referente ao Pix enviado em 05/03/2026 para: ALESSANDRA HELUEY CARVALHO (112.580.147-69) Instituição: 033 Agência: 4454 Conta: 1019490-9 Número da Transação: E13203354202603051906B2A1CF18B7B</t>
  </si>
  <si>
    <t>Gerado automaticamente pelo Omie.CASH. Trata-se da tarifa referente ao Pix enviado em 04/03/2026 para: CUBO PRODUCOES DE EVENTOS LTDA (07.809.507/0001-30) Instituição: 001 Agência: 0024 Conta: 128716-8 Número da Transação: E1320335420260304173596B8C97A0A4</t>
  </si>
  <si>
    <t>Gerado automaticamente pelo Omie.CASH. Trata-se da tarifa referente ao Pix enviado em 19/03/2026 para: SALVATERRA EMPREENDIMENTOS E PARTICIPACOES IMOBILIARIAS S.A (09.221.527/0003-82) Instituição: 450 Agência: 0001 Conta: 9385115383-1 Número da Transação: E13203354202603191812F3C8FF7EA52</t>
  </si>
  <si>
    <t>Gerado automaticamente pelo Omie.CASH. Trata-se da tarifa referente ao Pix enviado em 05/03/2026 para: VIVA MIXX EVENTOS E FORMATURAS LTDA - ME (21.156.081/0001-93) Instituição: 001 Agência: 0024 Conta: 123408-0 Número da Transação: E13203354202603051906559B31208E3</t>
  </si>
  <si>
    <t>Gerado automaticamente pelo Omie.CASH. Trata-se da tarifa referente ao Pix enviado em 06/03/2026 para: THOMAS SOUZA REIS (097.174.676-17) Instituição: 260 Agência: 0001 Conta: 1201493-3 Número da Transação: E13203354202603061602A20C5F0D992</t>
  </si>
  <si>
    <t>Gerado automaticamente pelo Omie.CASH. Trata-se da tarifa referente ao Pix enviado em 17/03/2026 para: MARCELO GOMES DE ALMEIDA GONCALVES (916.055.556-49) Instituição: 033 Agência: 0179 Conta: 1029129-1 Número da Transação: E132033542026031715164616BEF54C9</t>
  </si>
  <si>
    <t>Gerado automaticamente pelo Omie.CASH. Trata-se da tarifa referente ao Pix enviado em 09/03/2026 para: SET SERVICOS TECNICOS EM INFORMATICA LTDA (23.393.267/0001-91) Instituição: 077 Agência: 0001 Conta: 34412618-8 Número da Transação: E132033542026030917156ABB73ED7E2</t>
  </si>
  <si>
    <t>TARIFA PIX RECEBIDO TAR AGRUPADAS OCORRENCIA 04032026</t>
  </si>
  <si>
    <t>BOL MEDICINA DO TRABALHO -COMP 01/2026</t>
  </si>
  <si>
    <t>BOL MEDICINA DO TRABALHO COMP.: 04/2026</t>
  </si>
  <si>
    <t>Rendimentos no mês 06/2026</t>
  </si>
  <si>
    <t>Rendimentos no mês 04/2026</t>
  </si>
  <si>
    <t>Rendimentos no mês 05/2026</t>
  </si>
  <si>
    <t>Banco do Brasil - Aplicação</t>
  </si>
  <si>
    <t>PREFEITURA DE JUIZ DE FORA</t>
  </si>
  <si>
    <t>BOL - Alvará de Localização V Eventos</t>
  </si>
  <si>
    <t>RIO DE JANEIRO GABINETE DO PREFEITO</t>
  </si>
  <si>
    <t>BOL - REF AO ALVARÁ DE LOCALIZAÇÃO</t>
  </si>
  <si>
    <t>Telefonia</t>
  </si>
  <si>
    <t>DIN - Compra de chip (celular corporativo Marcela)</t>
  </si>
  <si>
    <t>MEGACOM INTERNET</t>
  </si>
  <si>
    <t>BOL - REF A CONTA DE INTERNET HUB - COMP 04/2026</t>
  </si>
  <si>
    <t>BOL - REF A CONTA DE INTERNET HUB - COMP 02/2026</t>
  </si>
  <si>
    <t>BOL - REF A CONTA DE INTERNET HUB - COMP 01/2026</t>
  </si>
  <si>
    <t>BOL - REF A CONTA DE INTERNET HUB - COMP 03/2026</t>
  </si>
  <si>
    <t>VERO S.A.</t>
  </si>
  <si>
    <t>Incluído pela importação a partir de um código de barras. BOL - PGT DA INTERNET 5° ANDAR - NPSA DA SALV 03 - MAS JÁ AJUSTOU O CADASTRO PARA OS PRÓXIMOS PAGAMENTOS</t>
  </si>
  <si>
    <t>VIVO</t>
  </si>
  <si>
    <t>BOL CONTA EM NOME DA SPDX - N° CONTA 0401265924 COMP 04/2026</t>
  </si>
  <si>
    <t>BOL CONTA EM NOME DA SPDX - N° CONTA 0401265924 COMP 02/2026</t>
  </si>
  <si>
    <t>BOL CONTA EM NOME DA SPDX - N° CONTA 0401265924 COMP 01/2026</t>
  </si>
  <si>
    <t>BOL CONTA EM NOME DA SPDX - N° CONTA 0401265924 COMP 03/2026</t>
  </si>
  <si>
    <t>Telefonia (*)</t>
  </si>
  <si>
    <t>DIN - r$ 22,00 - Compra de 01 chip para o Bem Laranja</t>
  </si>
  <si>
    <t>DIN - REF A COMPRA DE 5 CHIPS PARA O ATENDIMENTO</t>
  </si>
  <si>
    <t>DIN - RECARGA TELEFONE - Janete</t>
  </si>
  <si>
    <t>RECARGAS TELEFONIA CORPORATIVOS</t>
  </si>
  <si>
    <t>RECARGAS NÚMEROS PRE PAGOS FRANQUEADORA 11 * r$ 15,00 = R$165,00 + QUOKKA 38* R$ 15,00 = R$570,00 --- não foi possível Maria Antonia - 99128-6165.</t>
  </si>
  <si>
    <t>DIN RECARGAS NÚMEROS PRE PAGOS</t>
  </si>
  <si>
    <t>RECARGA NOSSO NUMERO ATENDIMENTO BASSANI - TIM - (32) 98709-9587</t>
  </si>
  <si>
    <t>DIN - RECARGA NOVO NUMERO MARCELA - FINANCEIRO 32 98712-4586</t>
  </si>
  <si>
    <t>TIM CELULAR S.A.</t>
  </si>
  <si>
    <t>BOL - REF A CONTA DA TIM SPDX - 04/2026</t>
  </si>
  <si>
    <t>BOL - REF A CONTA DA TIM SPDX - 02/2026</t>
  </si>
  <si>
    <t>BOL - REF A CONTA DA TIM SPDX - 12/2025</t>
  </si>
  <si>
    <t>BOL - REF A CONTA DA TIM SPDX - 03/2026</t>
  </si>
  <si>
    <t>LUCIENE MARTINS DIAS DOS REIS</t>
  </si>
  <si>
    <t>DIN - REF A AÇÃO ANIVERSARIO TIME QUOKKA  - REF AO MÊS DE ABRIL</t>
  </si>
  <si>
    <t>BOL - CRÉDITO CARTÃO EMPRESA - COMP 04/2026 PAGAR PELO BB COMPRAS MENSAL HUB R$ 936,39 01/04/2026 ---- SALDO r$ 1.563,61 08/05 - COMPRAS HUB r$ 1456,41 09/05 PAPEL CREPOM PARA FDM  - r$ 28,80 17/04 Compras reunião GP - endomkt do time - r$ 12,41 ---- SALDO 0,00</t>
  </si>
  <si>
    <t>I.O.F RENDA FIXA MÊS DE ABRIL/26</t>
  </si>
  <si>
    <t>Ref a campanha Viva em Dia abril - **CARTÃO PJ**</t>
  </si>
  <si>
    <t>GABRIEL ARAUJO MORANDI</t>
  </si>
  <si>
    <t>PIX - Puxada de Vendas - ABRIL/2026 - VIVA Linhares</t>
  </si>
  <si>
    <t>01/04 Google ADS4958468139 -  ANÚNCIOS YOUTUBE EXPANSÃO  **CARTÃO PJ**</t>
  </si>
  <si>
    <t>PIX - Puxada de Vendas - ABRIL/2026 - VIVA Cascavel</t>
  </si>
  <si>
    <t>PIX - Puxada de Vendas - ABRIL/2026 - VIVA Santa Maria</t>
  </si>
  <si>
    <t>BOL - VIAGEM 10 ANOS - CRIS - PARCELA 01/05</t>
  </si>
  <si>
    <t>DIN - Ação roleta de aniversário - ganhadora Emilly</t>
  </si>
  <si>
    <t>DIN - Ação roleta de aniversário - ganhadora Gabriel Braz</t>
  </si>
  <si>
    <t>DIN - Ação roleta de aniversário - ganhador Leozinho</t>
  </si>
  <si>
    <t>PIX - REF AO REEMBOLSO - AÇÃO VIVA EM MOVIMENTO</t>
  </si>
  <si>
    <t>PIX - Ref a 7 bolinhos de aniversário para abril - r$ 12,00 CADA</t>
  </si>
  <si>
    <t>LARISSA MILITINO DA SILVA</t>
  </si>
  <si>
    <t>PIX - REF AÇÃO TIME QUOKKA - MÊS DE MAIO</t>
  </si>
  <si>
    <t>PIX - REF AO REEMBOLSO - AÇÃO TIME GP</t>
  </si>
  <si>
    <t>41.173.607 SILVIO RODRIGUES D ASSUNCAO</t>
  </si>
  <si>
    <t>Incluído a partir do recebimento da NF-e. Papel de presente personalizado - Endomkt **CARTÃO PJ**</t>
  </si>
  <si>
    <t>AGILIS EXPRESS</t>
  </si>
  <si>
    <t>PIX - Referente à impressão dos cartões de aniversário.</t>
  </si>
  <si>
    <t>FLAVIANE MENDES DE LIMA</t>
  </si>
  <si>
    <t>REF A COMPRA DE 2 MANTAS BABY - ENDOMKT **CARTÃO PJ**</t>
  </si>
  <si>
    <t>BOL - CRÉDITO CARTÃO EMPRESA - COMP 05/2026
- R$ 78,40 17/04/2026 Compras reunião GP - endomkt do time
---- SALDO r$ 2.421,60
nescau para chocolate quente HUB - Endomkt        R$ 17,98        14/05/2026
chocolate quente HUB - Endomkt        R$ 78,37        22/05/2026
AMACIANTE, LUVAS, PANO DE CHÃO E SACO DE LIXO        R$ 87,38        28/05/2026
compras do mês hub        R$ 1.486,14        03/06/2026
--- saldo R$ R$ 751,73
velas para o endomkt         R$ 15,96        26/06/2026
pano de chão HUB         R$ 10,29        29/06/2026
guardanapo HUB        R$ 9,96        30/06/2026
mercado R$ 715,52
--- saldo 0,00</t>
  </si>
  <si>
    <t>PIX - Prêmio 15 anos | Thiago 00020101021226850014BR.GOV.BCB.PIX2563pix.magalupay.com.br/qr/v2/ab39e613-e0cc-45f9-8b56-6105e122a1cb5204000053039865802BR5925Kabum Comercio Eletronico6009Sao Paulo62070503***6304DD6C</t>
  </si>
  <si>
    <t>BOL - REF AO PAGAMENTO HONORÁRIOS - COMP 05/2026</t>
  </si>
  <si>
    <t>BOL REF AO HONORÁRIO - COMP 05/2026</t>
  </si>
  <si>
    <t>BOL REF AO AO REEMBOLSOS ENVIOS - JAN A MAIO</t>
  </si>
  <si>
    <t>OMIEXPERIENCE LTDA.</t>
  </si>
  <si>
    <t>PLATAFORMA OMIE -  senha boleto 49343</t>
  </si>
  <si>
    <t>1 LP ( VE) + 3 SIMPLES ( SPDX, Dataforte e V Company)</t>
  </si>
  <si>
    <t>BOL REF COWORKING SPDX - COMP 05/2026</t>
  </si>
  <si>
    <t>DEP REF A PAGAMENTO ALUGUEL HUB - COMP 05/2026</t>
  </si>
  <si>
    <t>PLATAFORMA OMIE -  senha boleto 49343 valores simples  R$ 188,19  presumido R$ R$ 249,85</t>
  </si>
  <si>
    <t>BOL. SABIN SINAI - MENSALIDADE - COMP.: 05/2026</t>
  </si>
  <si>
    <t>BOL. SABIN SINAI - COMP.: 05/2026</t>
  </si>
  <si>
    <t>BOL REF MENSALIDADE ABEFORM - COMP 05/2026</t>
  </si>
  <si>
    <t>BOL - MENSALIDADE ASSOCIAÇÃO BRASILEIRA DE FRANCHISING - COMP 05/2026</t>
  </si>
  <si>
    <t>DOG ELETRO LTDA</t>
  </si>
  <si>
    <t>REF A COMPRA DE 05 KITS TECLADOS + MOUSE SEM FIO - HP **CARTÃO PJ**</t>
  </si>
  <si>
    <t>EBAZAR.COM.BR. LTDA</t>
  </si>
  <si>
    <t>REF A COMPRA DE 03 KITS TECLADOS + MOUSE SEM FIO - HP **CARTÃO PJ**</t>
  </si>
  <si>
    <t>DEP - REF AO REEMBOLSO CARTÃO SANTANDER - cabo vitor r$ 234,32</t>
  </si>
  <si>
    <t>DEP - Ref ao pagamento de meta 2026 - detalha em e-mail ** FORA DO ORÇAMENTO - AUTORIZADO RENATO **</t>
  </si>
  <si>
    <t>Incluído pela importação a partir de um código de barras.BOL - Prêmio da campanha de doação de sangue 2024</t>
  </si>
  <si>
    <t>02/05 Disney Plus- - ASSINATURA DISNEY + CAMPANHA VIVA Round PIX ** CARTÃO PJ **</t>
  </si>
  <si>
    <t>PIX - REF A CAMPANHA NPS - FDM ** ja foi pago - so conciliar ** JOÃO.GABRIEL UFSC FARM 2027/1 (PAC) · Florianópolis - ORÇAMENTO NPS chave pix : valribeirop@hotmail.com - banco do Brasil</t>
  </si>
  <si>
    <t>PIX - REF AO PGT DO CONDOMÍNIO SALVATERRA MALL - COMP 05/2026</t>
  </si>
  <si>
    <t>Incluído pela importação a partir de um código de barras. BOL  - Curso GP - People Summit ** FORA DO ORÇAMENTO **</t>
  </si>
  <si>
    <t>CARMEM INVESTIGACOES</t>
  </si>
  <si>
    <t>1ª parcela solicitação Marcos autorizado Marcelo - Contrato - 105111495-89 - ** FORA DO ORÇAMENTO - AUTORIZADO MARCELO **</t>
  </si>
  <si>
    <t>ALURA - PARC 10/12 **CARTÃO PJ**</t>
  </si>
  <si>
    <t>REF CONQUER CURSOS **PAGAR NA CONTA SANTANDER DO VITOR ** chave pix : contasareceber.gviva@gmail.com</t>
  </si>
  <si>
    <t>BRUNO MATEUS PERES E SILVA</t>
  </si>
  <si>
    <t>Roleta de Aniversário - R$50,00</t>
  </si>
  <si>
    <t>ROSANGELA SILVA TAVARES</t>
  </si>
  <si>
    <t>DEP - MENTORIA LIDERANÇA V COMPANY</t>
  </si>
  <si>
    <t>PREVISÃO - DEP REF A CONTABILIDADE REF. XX/XXXX - ROTINA DE DEPARTAMENTO DE PESSOAL</t>
  </si>
  <si>
    <t>PREVISÃO - DEP REF A CONTABILIDADE REF.XX/XXXX - ROTINA DE DEPARTAMENTO DE PESSOAL</t>
  </si>
  <si>
    <t>BOL REF A CONTABILIDADE REF.05/2026</t>
  </si>
  <si>
    <t>BOL REF A CONTABILIDADE REF. 05/2026</t>
  </si>
  <si>
    <t>BOL REF SERVICO DE CONTABILIDADE - REF.: 05/2026</t>
  </si>
  <si>
    <t>Bol ref ao reembolso Brit - Serviços Adicionais Ref. OneFlow Omie - COMP 05/2026</t>
  </si>
  <si>
    <t>PLATAFORMA OMIE -  senha boleto 49343 18 aplicativos no regime Simples Nacional 8 aplicativos no regime Lucro Real ou Presumido</t>
  </si>
  <si>
    <t>DEP SALÁRIO - COMP 05/2026</t>
  </si>
  <si>
    <t>DEP - SALARIO PJ - COMP  05/2026 VALOR R$ 1250,00 - r$ 800,00 ( V COMPANY ) PAGAMENTO EMPRÉSTIMO CIRURGIA</t>
  </si>
  <si>
    <t>DEP REF DOAÇÃO PARA FUNDAÇÃO ABAN - PGTO DA INTERNET (MEGACOM)- COMP 05/2026</t>
  </si>
  <si>
    <t>DIN REF A ENERGIA ELÉTRICA DO HUB - MATRICULA 3002374539 - COMP 05/2026 MEDIA DE CONSUMO 2167 KW/H * R$1,13 Pagamento feito para a ABD Holding</t>
  </si>
  <si>
    <t>KaBuM -PARC 03/10 - REF A COMPRA NOTEBOOK GUILHERME GP **CARTÃO PJ**</t>
  </si>
  <si>
    <t>KaBuM -PARC 04/10 - REF A COMPRA NOTEBOOK GUILHERME GP **CARTÃO PJ**</t>
  </si>
  <si>
    <t>DEP - REF AO MOTOBOY COM 05/2026</t>
  </si>
  <si>
    <t>DIN - REF AO ESTACIONAMENTO : 05/05 - r$ 11,00 23/04 - r$ 6,00 23/04 - r$ 9,00</t>
  </si>
  <si>
    <t>DIN REF AO ESTACIONAMENTO DO BANCO - r$ 6,00 - Estacionamento banco dia 14/05 + r$ 6,00 - Estacionamento banco dia 19/05 + r$ 6,00 - Estacionamento banco dia 21/05</t>
  </si>
  <si>
    <t>INTERURB SERVICOS POSTAIS LTDA</t>
  </si>
  <si>
    <t>DEP - REF A ENVIOS DO CORREIOS</t>
  </si>
  <si>
    <t>REF AO UBER - Régis - Busca cooler pra trenzinho - **CARTÃO PJ**</t>
  </si>
  <si>
    <t>REF AO UBER MERCADO - COMPRAS HUB - Larissa Militino **CARTÃO PJ**</t>
  </si>
  <si>
    <t>PREVISAO PLATAFORMA OMIE - senha boleto 49343</t>
  </si>
  <si>
    <t>IOF Retido CONTAMAX 05/2026</t>
  </si>
  <si>
    <t>I.O.F RENDA FIXA MÊS DE MAIO/26</t>
  </si>
  <si>
    <t>IR Retido CONTAMAX 05/2026</t>
  </si>
  <si>
    <t>PIX - REF A MANUTENÇÃO BARBARA GP</t>
  </si>
  <si>
    <t>PIX - REF A MANUTENÇÃO NOTEBOOK AUGUSTO ATENDIMENTO</t>
  </si>
  <si>
    <t>PIX - REF A MANUTENÇÃO NOTEBOOK Rafael - Expansão</t>
  </si>
  <si>
    <t>PIX - REF A MANUTENÇÃO NOTEBOOK MATEUS ATENDIMENTO</t>
  </si>
  <si>
    <t>REF a compra de película fosca para vidro - manutenção HUB **CARTÃO PJ**</t>
  </si>
  <si>
    <t>PAULO RICARDO PIRES</t>
  </si>
  <si>
    <t>DEP - REF AS PRATELEIRAS NO BANHEIRO FEMININO</t>
  </si>
  <si>
    <t>55.409.310 VICTOR DANIEL MENDES ROCHA</t>
  </si>
  <si>
    <t>PIX - REF AO SERVIÇOS DE MKT - 17/05 à 23/05</t>
  </si>
  <si>
    <t>PIX -  REF AO SERVIÇOS DE MKT - 25/05 A 29/05</t>
  </si>
  <si>
    <t>PIX -  REF AO SERVIÇOS DE MKT - 09/06 A 12/06 - serviço final</t>
  </si>
  <si>
    <t>Pagamento impressão - cartão que será enviado junto com o vale viagem da campanha segue o baile de maio.</t>
  </si>
  <si>
    <t>PIX - REF A IMPRESSÃO FDM</t>
  </si>
  <si>
    <t>REF ANÚNCIOS EXPANSÃO - **CARTÃO PJ** 13/05 FACEBK *HT7K9LRKL2</t>
  </si>
  <si>
    <t>Incluído a partir do recebimento da NF-e. Caixa para campanha de mkt - fundo de mkt **CARTÃO PJ**</t>
  </si>
  <si>
    <t>BOL REF A PAGAMENTO PLATAFORMA - COMP 05/2026</t>
  </si>
  <si>
    <t>BOL - REF AO SERVIÇO DE MKT FREELA SOCIAL MEDIA - 04/05 a 08/05</t>
  </si>
  <si>
    <t>BOL - REF AO SERVIÇO DE MKT FREELA SOCIAL MEDIA - 11/05 a 15/05</t>
  </si>
  <si>
    <t>REF A COMPRA DO TABLET - Campanha Ative o Modo: Segue o Baile - FDM - **CARTÃO PJ**</t>
  </si>
  <si>
    <t>DIN - ENVIADO PARA O CAIXA DA FEAT -  REF AO MKT COMP 06/2026 E 07/2026  - r$  869,00 CADA MÊS</t>
  </si>
  <si>
    <t>PIX - Referente ao envio do prêmio da campanha de mkt da Sofia Nascimento Vasconcellos Martins -</t>
  </si>
  <si>
    <t>JHONATAS SILVA FRANCO</t>
  </si>
  <si>
    <t>DEP - REF A VIAGEM SELO EXCELÊNCIA SÃO PAULO - 08 a 09/05</t>
  </si>
  <si>
    <t>PIX - REF AO CURSO BNI - REF A 05/2026</t>
  </si>
  <si>
    <t>DEP - REF A VIGEM VASSOURAS - 14/05 - FORNECEDOR DE FOTOS - ** FORA DO ORÇAMENTO **</t>
  </si>
  <si>
    <t>Planilha de Viagens</t>
  </si>
  <si>
    <t>DIN - REF A VIGEM VASSOURAS - 14/05 - FORNECEDOR DE FOTOS ** FORA DO ORÇAMENTO **</t>
  </si>
  <si>
    <t>DEP - REF AO REEMBOLSO DESPESAS Presencial BNI :: 05/05</t>
  </si>
  <si>
    <t>DEP - REF A VIGEM VASSOURAS - 27/05 - ALMOÇO FORNECEDOR DE FOTOS ** FORA DO ORÇAMENTO **</t>
  </si>
  <si>
    <t>REF A VIAGEM VASSOURAS - MARCOS, HUMBERTO - DIA 16/05</t>
  </si>
  <si>
    <t>REF A VIAGEM SP MARCOS, ALEXANDRE E HUMBERTO</t>
  </si>
  <si>
    <t>REF A VAIGEM VASSOURAS - HUMBERTO E MARCOS DUA 14/05</t>
  </si>
  <si>
    <t>REF A GARANTIA ESTENDIDA DO MICRO-ONDAS HUB - **CARTÃO PJ**</t>
  </si>
  <si>
    <t>13.710.077 VICTOR LINS DOURADO</t>
  </si>
  <si>
    <t>Incluído a partir do recebimento da NF-e. Adaptador Lightning **CARTÃO PJ**</t>
  </si>
  <si>
    <t>56.143.041 STEFANY CAROLAINE APOLINARIO LIMA</t>
  </si>
  <si>
    <t>Incluído a partir do recebimento da NF-e. Adaptador Para Celular **CARTÃO PJ**</t>
  </si>
  <si>
    <t>A.T SANTOS COMERCIO DE AUDIO E VIDEO LTDA</t>
  </si>
  <si>
    <t>Incluído a partir do recebimento da NF-e. Pen Drive **CARTÃO PJ**</t>
  </si>
  <si>
    <t>PIX - Referente às impressões feitas para o HUB</t>
  </si>
  <si>
    <t>DIAS E BICALHO INDUSTRIA E COMERCIO DE ART TEXTEIS LTDA</t>
  </si>
  <si>
    <t>REF A COMPRA DE COADOR DE CAFÉ PARA HUB **CARTÃO PJ**</t>
  </si>
  <si>
    <t>Incluído a partir do recebimento da NF-e. Micro-ondas hub - **CARTÃO PJ**</t>
  </si>
  <si>
    <t>Incluído a partir do recebimento da NF-e. BOL - REF A COMPRA DE AROMATIZANTE E ÁLCOOL PARA O HUB</t>
  </si>
  <si>
    <t>Incluído a partir do recebimento da NF-e. BOL - REF A COMPRA DE PAPEL HIGIÊNICO E PAPAL TOALHA PARA O HUB</t>
  </si>
  <si>
    <t>Incluído a partir do recebimento da NF-e. BOL REF A COMPRA DE SAQUINHOS PLÁSTICOS PARA ABSORVENTES - HUB</t>
  </si>
  <si>
    <t>IDEALIZA - COMERCIO DE UTILIDADES LTDA</t>
  </si>
  <si>
    <t>Incluído a partir do recebimento da NF-e. Borrifador de água para o HUB **CARTÃO PJ**</t>
  </si>
  <si>
    <t>BOL - CRÉDITO CARTÃO EMPRESA - COMP 05/2026 - R$ 78,40 17/04/2026 Compras reunião GP - endomkt do time ---- SALDO r$ 2.421,60 nescau para chocolate quente HUB - Endomkt R$ 17,98 14/05/2026 chocolate quente HUB - Endomkt R$ 78,37 22/05/2026 AMACIANTE, LUVAS, PANO DE CHÃO E SACO DE LIXO R$ 87,38 28/05/2026 compras do mês hub R$ 1.486,14 03/06/2026 --- saldo R$ R$ 751,73</t>
  </si>
  <si>
    <t>Incluído a partir do recebimento da NF-e. DEP - REF A COMPRA DE DESCARTÁVEIS PARA O HUB</t>
  </si>
  <si>
    <t>JMA PRINT - MG PRINT</t>
  </si>
  <si>
    <t>LEPOK</t>
  </si>
  <si>
    <t>BOL - Referente à compra de um pacote de etiquetas para o HUB.</t>
  </si>
  <si>
    <t>MARQSTORE COMERCIO ELETRONICO LTDA</t>
  </si>
  <si>
    <t>Incluído a partir do recebimento da NF-e. Kit 10 cabos HDMI HUB **CARTÃO PJ**</t>
  </si>
  <si>
    <t>MAXX NA SUA CASA LTDA</t>
  </si>
  <si>
    <t>Incluído a partir do recebimento da NF-e. Apoio Ergonômico **CARTÃO PJ**</t>
  </si>
  <si>
    <t>Incluído a partir do recebimento da NF-e. Apoio Ergonomico **CARTÃO PJ**</t>
  </si>
  <si>
    <t>MED STAR PRODUTOS HOSPITALARES LIMITADA</t>
  </si>
  <si>
    <t>BOL - REF A COMPRA DE SABONETE PARA O HUB</t>
  </si>
  <si>
    <t>V N FERNANDES SOLUCOES DE ECOMMERCE LTDA</t>
  </si>
  <si>
    <t>Ref a compra de 32 pilhas AA - **CARTÃO PJ**</t>
  </si>
  <si>
    <t>Móveis e Utensílios</t>
  </si>
  <si>
    <t>RONALDO MACHADO JUNIOR 0629655960726.559.440/0001-77</t>
  </si>
  <si>
    <t>PIX - REF AO PAGAMENTO DOS MOVEIS SALA FINANCEIRO QUOKKA - REF AO VALOR DA ENTRADA</t>
  </si>
  <si>
    <t>DIN - REF A FREELA LIMPEZA HUB - PERÍODO DE FERIAS ANGELITA - 11/05 a 15/05</t>
  </si>
  <si>
    <t>DIN - REF A FREELA LIMPEZA HUB - PERÍODO DE FERIAS ANGELITA - 04/05 A 08/05</t>
  </si>
  <si>
    <t>DIN - FREELA LIMPEZA DIA 22/05</t>
  </si>
  <si>
    <t>DIN - FREELA LIMPEZA DIA 29/05</t>
  </si>
  <si>
    <t>DEP - REF AO REEMBOLSO CARTÃO SANTANDER - 08/04 ASSUNTA (almoço GALAPOS) r$ 488,19</t>
  </si>
  <si>
    <t>REF A VIAGEM SP RENATO E JHONNY 08/05 A 09/05</t>
  </si>
  <si>
    <t>REF A VIAGEM RENATO E ALEXANDRE SP DIA 12/05 A 15/05</t>
  </si>
  <si>
    <t>REF ONFLY*AER*042GF9 - Aéreo: Alexandre Massacani e Renato - Viagem São Paulo (Ida) - DIA 22/05 - **CARTÃO PJ**</t>
  </si>
  <si>
    <t>REF 30/04 ONFLY*HTL*042GN4 - Hotel: Alexandre Massacani - Viagem São Paulo - DIA 22/05 - **CARTÃO PJ**</t>
  </si>
  <si>
    <t>REF ONFLY*AER*042GIX - Aéreo: Alexandre Massacani - Viagem São Paulo (Volta) - DIA 22/05 - **CARTÃO PJ**</t>
  </si>
  <si>
    <t>REF ONFLY*HTL*042GM0 - Hotel: Alexandre Massacani e Renato - Viagem São Paulo - DIA 22/05 - **CARTÃO PJ**</t>
  </si>
  <si>
    <t>REF ONFLY*HTL*04349H- Hotel - Renato e Jhonny - São Paulo - DIA 12/05 - **CARTÃO PJ**</t>
  </si>
  <si>
    <t>REF ONFLY*ONI*044VKT- Ônibus: Alexandre Massacani - Viagem São Paulo - DIA 22/05 - **CARTÃO PJ**</t>
  </si>
  <si>
    <t>REF ONFLY*AER*042GK7- Aéreo: Renato - Viagem São Paulo (Volta) - DIA 22/05 - **CARTÃO PJ**</t>
  </si>
  <si>
    <t>REF ONFLY*ONI*044VJG - Ônibus: Marcola e Humberto - Viagem São Paulo - DIA 22/05 - **CARTÃO PJ**</t>
  </si>
  <si>
    <t>Conta a receber referente a: - Recibo: 0000000764 - RPS: 0000087821 - NFS-e: 115945</t>
  </si>
  <si>
    <t>Conta a receber referente a: - Recibo: 0000000765 - RPS: 0000087822 - NFS-e: 115946</t>
  </si>
  <si>
    <t>Conta a receber referente a: - Recibo: 0000000766 - RPS: 0000087823 - NFS-e: 115947</t>
  </si>
  <si>
    <t>Conta a receber referente a: - Recibo: 0000000800 - RPS: 0000087858 - NFS-e: 115982</t>
  </si>
  <si>
    <t>Conta a receber referente a: - Recibo: 0000000801 - RPS: 0000087859 - NFS-e: 115983</t>
  </si>
  <si>
    <t>Conta a receber referente a: - Recibo: 0000000782 - RPS: 0000087839 - NFS-e: 115963</t>
  </si>
  <si>
    <t>Conta a receber referente a: - Recibo: 0000000776 - RPS: 0000087833 - NFS-e: 115957</t>
  </si>
  <si>
    <t>Conta a receber referente a: - Recibo: 0000000775 - RPS: 0000087832 - NFS-e: 115956</t>
  </si>
  <si>
    <t>Conta a receber referente a: - Recibo: 0000000768 - RPS: 0000087825 - NFS-e: 115949</t>
  </si>
  <si>
    <t>Conta a receber referente a: - Recibo: 0000000777 - RPS: 0000087834 - NFS-e: 115958</t>
  </si>
  <si>
    <t>Conta a receber referente a: - Recibo: 0000000769 - RPS: 0000087826 - NFS-e: 115950</t>
  </si>
  <si>
    <t>JULIANO PULGATTI - VIVA EVENTOS IMPERATRIZ</t>
  </si>
  <si>
    <t>Conta a receber referente a: - Recibo: 0000000803 - RPS: 0000087861 - NFS-e: 115985</t>
  </si>
  <si>
    <t>Conta a receber referente a: - Recibo: 0000000767 - RPS: 0000087824 - NFS-e: 115948</t>
  </si>
  <si>
    <t>Conta a receber referente a: - Recibo: 0000000772 - RPS: 0000087829 - NFS-e: 115953</t>
  </si>
  <si>
    <t>Conta a receber referente a: - Recibo: 0000000804 - RPS: 0000087863 - NFS-e: 115987</t>
  </si>
  <si>
    <t>Conta a receber referente a: - Recibo: 0000000783 - RPS: 0000087840 - NFS-e: 115964</t>
  </si>
  <si>
    <t>Conta a receber referente a: - Recibo: 0000000780 - RPS: 0000087837 - NFS-e: 115961</t>
  </si>
  <si>
    <t>Conta a receber referente a: - Recibo: 0000000781 - RPS: 0000087838 - NFS-e: 115962</t>
  </si>
  <si>
    <t>Conta a receber referente a: - Recibo: 0000000779 - RPS: 0000087836 - NFS-e: 115960</t>
  </si>
  <si>
    <t>Conta a receber referente a: - Recibo: 0000000778 - RPS: 0000087835 - NFS-e: 115959</t>
  </si>
  <si>
    <t>Conta a receber referente a: - Recibo: 0000000770 - RPS: 0000087827 - NFS-e: 115951</t>
  </si>
  <si>
    <t>Conta a receber referente a: - Recibo: 0000000805 - RPS: 0000087865 - NFS-e: 115989</t>
  </si>
  <si>
    <t>Conta a receber referente a: - Recibo: 0000000771 - RPS: 0000087828 - NFS-e: 115952</t>
  </si>
  <si>
    <t>Conta a receber referente a: - Recibo: 0000000785 - RPS: 0000087842 - NFS-e: 115966</t>
  </si>
  <si>
    <t>Conta a receber referente a: - Recibo: 0000000786 - RPS: 0000087843 - NFS-e: 115967</t>
  </si>
  <si>
    <t>Conta a receber referente a: - Recibo: 0000000802 - RPS: 0000087860 - NFS-e: 115984</t>
  </si>
  <si>
    <t>Conta a receber referente a: - Recibo: 0000000799 - RPS: 0000087857 - NFS-e: 115981</t>
  </si>
  <si>
    <t>Conta a receber referente a: - Recibo: 0000000788 - RPS: 0000087845 - NFS-e: 115969</t>
  </si>
  <si>
    <t>Conta a receber referente a: - Recibo: 0000000793 - RPS: 0000087850 - NFS-e: 115974</t>
  </si>
  <si>
    <t>Conta a receber referente a: - Recibo: 0000000794 - RPS: 0000087851 - NFS-e: 115975</t>
  </si>
  <si>
    <t>Conta a receber referente a: - Recibo: 0000000789 - RPS: 0000087846 - NFS-e: 115970</t>
  </si>
  <si>
    <t>Conta a receber referente a: - Recibo: 0000000791 - RPS: 0000087848 - NFS-e: 115972</t>
  </si>
  <si>
    <t>Conta a receber referente a: - Recibo: 0000000806 - RPS: 0000087866 - NFS-e: 115990</t>
  </si>
  <si>
    <t>Conta a receber referente a: - Recibo: 0000000790 - RPS: 0000087847 - NFS-e: 115971</t>
  </si>
  <si>
    <t>Conta a receber referente a: - Recibo: 0000000797 - RPS: 0000087855 - NFS-e: 115979</t>
  </si>
  <si>
    <t>Conta a receber referente a: - Recibo: 0000000798 - RPS: 0000087856 - NFS-e: 115980</t>
  </si>
  <si>
    <t>Conta a receber referente a: - Recibo: 0000000795 - RPS: 0000087852 - NFS-e: 115976</t>
  </si>
  <si>
    <t>Conta a receber referente a: - Recibo: 0000000796 - RPS: 0000087853 - NFS-e: 115977</t>
  </si>
  <si>
    <t>Conta a receber referente a: - Recibo: 0000000792 - RPS: 0000087849 - NFS-e: 115973</t>
  </si>
  <si>
    <t>Conta a receber referente a: - Recibo: 0000000774 - RPS: 0000087831 - NFS-e: 115955</t>
  </si>
  <si>
    <t>Conta a receber referente a: - Recibo: 0000000773 - RPS: 0000087830 - NFS-e: 115954</t>
  </si>
  <si>
    <t>PREVISÃO - BOL. PREVENIR- COMP.: XX/XXXX</t>
  </si>
  <si>
    <t>PREVISÃO - BOL PREVENIR - COMP.: XX/XXXX</t>
  </si>
  <si>
    <t>REF AO FECHAMENTO DO ALMOÇO 12/05 a 25/05 - 135 REFEIÇÕES - r$ 18,00 CADA</t>
  </si>
  <si>
    <t>REF AO FECHAMENTO DO ALMOÇO 28/04 a 11/05 - 119 REFEIÇÕES - r$ 18,00 CADA</t>
  </si>
  <si>
    <t>REF - Ao almoço HUB 12/05 a 25/05 - 90 REFEIÇÃO - R$ 18,00 CADA</t>
  </si>
  <si>
    <t>REF - Ao almoço HUB 28/04 a 11/05 - 84 REFEIÇÃO - R$ 18,00 CADA</t>
  </si>
  <si>
    <t>REF AO FECHAMENTO DO ALMOÇO - 12/05 a 25/05- 156 REFEIÇÕES - R$ 16,90 CADA</t>
  </si>
  <si>
    <t>BOL - VIAGEM 10 ANOS - CRIS - PARCELA 02/05</t>
  </si>
  <si>
    <t>REF AO FECHAMENTO DO ALMOÇO - 28/04 a 11/05 - 148 REFEIÇÕES - R$ 16,90 CADA</t>
  </si>
  <si>
    <t>REF AO FECHAMENTO DO ALMOÇO- 28/04 a 11/05 - 120 REFEIÇÕES - r$ 16,90 CADA</t>
  </si>
  <si>
    <t>DIN - Din - ref chocolate retorno de férias - Livia - TIME FINANCEIRO CSC</t>
  </si>
  <si>
    <t>PIX - REF AÇÃO TIME FINANCEIRO CSC E CASH OUT</t>
  </si>
  <si>
    <t>REF AO FECHAMENTO DO ALMOÇO- 12/05 a 25/05 - 120 REFEIÇÕES - r$ 16,90 CADA</t>
  </si>
  <si>
    <t>Rendimento R$ RENDA FIXA MÊS DE MAIO/26</t>
  </si>
  <si>
    <t>Santander - Aplicação</t>
  </si>
  <si>
    <t>Rendimento Pago CONTAMAX 05/2026</t>
  </si>
  <si>
    <t>Financeiro cash out</t>
  </si>
  <si>
    <t>EVERDAN ELIAS COELHO</t>
  </si>
  <si>
    <t>DEP - Reembolso Everdan - coffee time de Performance</t>
  </si>
  <si>
    <t>BB FDM - Aplicação</t>
  </si>
  <si>
    <t>João Gilberto Lima Queiroz</t>
  </si>
  <si>
    <t>Pagamento Pizza - Ação de Endomkt</t>
  </si>
  <si>
    <t>Bol ref a plataforma do teleatendimento - 05/2026</t>
  </si>
  <si>
    <t>BOL - CONSULTA SCPC - COMP 05/2026</t>
  </si>
  <si>
    <t>02/04 AWS Brazil - TIME TI - COD: 677276101401 - **CARTÃO PJ**</t>
  </si>
  <si>
    <t>01/04 AWS Brazil - REF CONTA - 794431322895 - viva academy - time de gestão de pessoas ** CARTÃO PJ **</t>
  </si>
  <si>
    <t>Pagamento bolinho de aniversário</t>
  </si>
  <si>
    <t>BOL - CONSULTAS NO SERASA - COMP 05/2026</t>
  </si>
  <si>
    <t>LARA DUARTE BARBOSA DE MATOS</t>
  </si>
  <si>
    <t>PIX - REF AO PAGAMENTO AÇÃO TIME FINANCEIRO CSC E CASH OUT</t>
  </si>
  <si>
    <t>22/04 CLICKSIGN - **CARTÃO PJ**</t>
  </si>
  <si>
    <t>23/04 Dropbox - **CARTÃO PJ**</t>
  </si>
  <si>
    <t>BOL - Ref as consultas período de 01/05 a 31/05</t>
  </si>
  <si>
    <t>01/04 Google Workspace_gviva.- **CARTÃO PJ** REDE r$ 8.994,33 FRANQUEADORA E QUOKKA r$1505,00</t>
  </si>
  <si>
    <t>01/05 Google Workspace_iforme - NOVO PAINEL DE EMAILS - IFORMEI E BRIXMART - **CARTÃO PJ** IFORMEI - 1 conta - r$ 138,73 VILLAGE 7 contas - r$971,11</t>
  </si>
  <si>
    <t>GUPY TECNOLOGIA EM RECRUTAMENTO LTDA</t>
  </si>
  <si>
    <t>Bol ref a plataforma de atração e seleção de pessoas Período 01/05 ao 31/05 FAZER RATEIO NO DEPARTAMENTO DE ACORDO COM AS VAGAS DO PROCESSO SELETIVO DA V COMPANY</t>
  </si>
  <si>
    <t>27/04 HUGGY - ID 112759 - **CARTÃO PJ** VALOR CSC r$794,59</t>
  </si>
  <si>
    <t>27/02 HUGGY - 1x Plano Avançado (27/02/2026 à 27/03/2026) / 1x Agentes adicionais / 1x Agentes adicionais / 5x Agentes adicionais / 2x Agentes adicionais / 1x Agentes adicionais / 2x Agentes adicionais / 3x Agentes adicionais / 1x Agentes adicionais / 3x Agentes adicionais / 2x Agentes adicionais - Código da fatura: #109212 - valor csc R$ 3.027,93</t>
  </si>
  <si>
    <t>05/04 PG *JUSBRASIL **CARTÃO PJ**</t>
  </si>
  <si>
    <t>Tarifa Pacote de Serviços Cobrança referente 11/05/2026</t>
  </si>
  <si>
    <t>REF A ASSINATURA DA PLATAFORMA - COMP 05/2026</t>
  </si>
  <si>
    <t>Incluído pela importação a partir de um código de barras. BOL - REF AO CERTIFICADO DIGITAL A1 - FILIAL</t>
  </si>
  <si>
    <t>REF A PLATAFORMA PARALELA DISPARADOR DE WHATSAPP - COMP 05/2026 disparos e atendimentos de campanhas</t>
  </si>
  <si>
    <t>Reembolso - Livro (ação endomkt time GP)</t>
  </si>
  <si>
    <t>BOL REF A PLATAFORMA SOLIDES - COMP 05/2026</t>
  </si>
  <si>
    <t>BOL REF A PLATAFORMA TIME DE CONSULTORIA - COMP 05/2026</t>
  </si>
  <si>
    <t>20/04 PG *TURBO CLOUD - **CARTÃO PJ**</t>
  </si>
  <si>
    <t>PIX - Pagamento impressão - Ação de endomkt</t>
  </si>
  <si>
    <t>PIX - Pagamento Impressão Agilli - ação de endomkt</t>
  </si>
  <si>
    <t>01/04 AWS Brazil - ref ao mundo viva - n de acesso 913892422951 - **CARTÃO PJ**</t>
  </si>
  <si>
    <t>01/04 AWS Brazil - ref ao mundo viva COD: 803335749310 - **CARTÃO PJ**</t>
  </si>
  <si>
    <t>21/04 APPLECOMBILL- assinatura instagram siga a viva</t>
  </si>
  <si>
    <t>25/04 ATLASSIAN. - R$ 95,06 + R$ 3,32 IOF - ** CARTÃO PJ **</t>
  </si>
  <si>
    <t>CANVA - PARC 04/12 **CARTÃO PJ**</t>
  </si>
  <si>
    <t>CLAUDE AI</t>
  </si>
  <si>
    <t>19/05 CLAUDE.AI - R$ 550,00 + R$ 19,25 IOF - ** FORA DO ORÇAMENTO - AUTORIZADO MARCELO ** - ** CARTÃO PJ **</t>
  </si>
  <si>
    <t>11/04 GITHUB, INC.. - R$ 203,73 + R$ 7,13 IOF ** CARTÃO PJ **</t>
  </si>
  <si>
    <t>27/04 GITHUB, INC - R$ 52,09 + R$ 1,82 IOF ** CARTÃO PJ **</t>
  </si>
  <si>
    <t>DIN - Reembolso - chocolate retorno de férias - Marcela</t>
  </si>
  <si>
    <t>16/04 GITHUB, INC. . - R$ 51,93 + R$ 1,81 IOF - REF A PLATAFORMA TI - 10 DOLARES ** CARTÃO PJ **</t>
  </si>
  <si>
    <t>29/04 GITHUB, INC - R$ 51,87 + R$ 1,81 IOF ** CARTÃO PJ **</t>
  </si>
  <si>
    <t>Pagamento coffee - ação de endomkt</t>
  </si>
  <si>
    <t>14/04 GITHUB, INC. - R$ 21,89 + R$ 0,76 IOF ** CARTÃO PJ **</t>
  </si>
  <si>
    <t>02/04 GITHUB, INC.. - R$ 13,52 + R$ 0,47 IOF ** CARTÃO PJ **</t>
  </si>
  <si>
    <t>01/05 DL *GOOGLE CLOUD - expansão para gerar uma API integrada à Huggy - ** FORA DO ORÇAMENTO - AUTORIZADO VITOR ** - ** CARTÃO PJ **</t>
  </si>
  <si>
    <t>LANDINGAI</t>
  </si>
  <si>
    <t>18/05 LANDINGAI - r$ 1299,92 + r$ 45,49 IOF - plataforma landing.aI ** CARTÃO PJ **</t>
  </si>
  <si>
    <t>12/05 LOVABLE - R$ 25,47 + R$ 0,89 IOF ** CARTÃO PJ **</t>
  </si>
  <si>
    <t>DEP - REF AO REEMBOLSO CARTÃO SANTANDER PLATAFORMAS : claude r$ 869,43 + supabase r$ 144,23</t>
  </si>
  <si>
    <t>15/04 MIXED ANALYTICS. - R$ 150,21 + R$ 5,25 IOF ** CARTÃO PJ **</t>
  </si>
  <si>
    <t>02/04 OPENAI *CHATGPT - r$ 322,02 + r$ IOF 11,27 ** CARTÃO PJ **</t>
  </si>
  <si>
    <t>14/04 PIPEFY.COM. - R$ 600,92 + R$ 21,03 IOF - GP r$ 155,48 + QUOKKA r$ 155,48 + Feat R$ 155,48 + Young R$155,48 - ** CARTÃO PJ **</t>
  </si>
  <si>
    <t>08/04 WWW.MAKE.COM. - R$ 56,86 + R$ 1,99 IOF ** CARTÃO PJ **</t>
  </si>
  <si>
    <t>02/05 SINCH MAILGUN - r$ 625,94 + IOF R$ 21,90 - COMP 05/2026 ** CARTÃO PJ **</t>
  </si>
  <si>
    <t>01/05 STAPE, INC.. - R$ 51,88 + R$ 1,81 IOF - ** CARTÃO PJ **</t>
  </si>
  <si>
    <t>SUPABASE</t>
  </si>
  <si>
    <t>02/05 SUPABASE - r$ 256,86+ r$ 7,27 IOF - plataforma landing.aI ** CARTÃO PJ **</t>
  </si>
  <si>
    <t>09/05 VERCEL INC. - R$ 125,97 + R$ 4,40 IOF - ** FORA DO ORÇAMENTO - AUTORIZADO MARCELO ** - ** CARTÃO PJ **</t>
  </si>
  <si>
    <t>VERSE COMPANY DESIGN LTDA</t>
  </si>
  <si>
    <t>PIX - REF A CONTRATAÇÃO DA PLATAFORMA DESIGN VERSE 00020126380014br.gov.bcb.pix0116pix@portflou.com5204000053039865406529.005802BR5908PORTFLOU6009Sao Paulo62250521mpqrinter1574243082076304A713</t>
  </si>
  <si>
    <t>TARIFA MENSALIDADE PACOTE SERVICOS ABRIL 2026</t>
  </si>
  <si>
    <t>TARIFA PACOTE DE SERVIÇOS COBRANÇA REFERENTE 11052026</t>
  </si>
  <si>
    <t>TARIFA PACOTE DE SERVIÇOS COBRANÇA REFERENTE 06052026</t>
  </si>
  <si>
    <t>TARIFA PACOTE DE SERVIÇOS COBRANÇA REFERENTE 10062026</t>
  </si>
  <si>
    <t>TARIFA DÉBITO AUTOMÁTICO TAR AGRUPADAS OCORRENCIA 13052026</t>
  </si>
  <si>
    <t>TARIFA PIX ENVIADO TAR AGRUPADAS OCORRENCIA 30042026</t>
  </si>
  <si>
    <t>TARIFA PIX ENVIADO TAR AGRUPADAS OCORRENCIA 26052026</t>
  </si>
  <si>
    <t>TARIFA PIX ENVIADO TAR AGRUPADAS OCORRENCIA 25052026</t>
  </si>
  <si>
    <t>TARIFA PIX ENVIADO TAR AGRUPADAS OCORRENCIA 15052026</t>
  </si>
  <si>
    <t>TARIFA PIX ENVIADO TAR AGRUPADAS OCORRENCIA 19052026</t>
  </si>
  <si>
    <t>TARIFA PIX ENVIADO TAR AGRUPADAS OCORRENCIA 28052026</t>
  </si>
  <si>
    <t>TAR PAG SALÁR CRÉD CONTA COBRANÇA REFERENTE 07052026</t>
  </si>
  <si>
    <t>Gerado automaticamente pelo Omie.CASH. Trata-se da tarifa referente ao boleto 0020155100000584 com vencimento em 30/04/2026 emitido para: UAI EVENTOS LTDA (32.488.320/0001-29) Número da Transação: 5930951</t>
  </si>
  <si>
    <t>Gerado automaticamente pelo Omie.CASH. Trata-se da tarifa de liquidação de boleto. Número da Transação: 26853172</t>
  </si>
  <si>
    <t>Gerado automaticamente pelo Omie.CASH. Trata-se da tarifa de liquidação de boleto. Número da Transação: 26846221</t>
  </si>
  <si>
    <t>Gerado automaticamente pelo Omie.CASH. Trata-se da tarifa referente ao boleto 0020155100000589 com vencimento em 30/04/2026 emitido para: NEW FOTOS EVENTOS LTDA (47.973.422/0001-07) Número da Transação: 5932587</t>
  </si>
  <si>
    <t>Gerado automaticamente pelo Omie.CASH. Trata-se da tarifa de liquidação de boleto. Número da Transação: 28123505</t>
  </si>
  <si>
    <t>Gerado automaticamente pelo Omie.CASH. Trata-se da tarifa de liquidação de boleto. Número da Transação: 28136297</t>
  </si>
  <si>
    <t>TARIFA PACOTE DE SERVIÇOS COBRANÇA REFERENTE 10072026</t>
  </si>
  <si>
    <t>TARIFA PIX ENVIADO TAR AGRUPADAS OCORRENCIA 22052026</t>
  </si>
  <si>
    <t>Gerado automaticamente pelo Omie.CASH. Trata-se da tarifa referente ao Pix enviado em 07/05/2026 para: MARCOS ANTONIO MAINI DUQUE (087.323.606-81) Instituição: 033 Agência: 0179 Conta: 1033275-2 Número da Transação: E132033542026050720390F113DF43F3</t>
  </si>
  <si>
    <t>Gerado automaticamente pelo Omie.CASH. Trata-se da tarifa referente ao Pix enviado em 07/05/2026 para: JHONATAS SILVA FRANCO (091.220.926-76) Instituição: 260 Agência: 0001 Conta: 6901574-7 Número da Transação: E132033542026050720399125F06C238</t>
  </si>
  <si>
    <t>Gerado automaticamente pelo Omie.CASH. Trata-se da tarifa referente ao Pix enviado em 07/05/2026 para: EVERDAN ELIAS COELHO (058.382.626-13) Instituição: 260 Agência: 0001 Conta: 20377589-9 Número da Transação: E13203354202605072039FD742359276</t>
  </si>
  <si>
    <t>Gerado automaticamente pelo Omie.CASH. Trata-se da tarifa referente ao Pix enviado em 07/05/2026 para: REGIS ADRIANO DA COSTA (103.945.056-38) Instituição: 260 Agência: 0001 Conta: 7083172-1 Número da Transação: E1320335420260507203917ACD2CF3B1</t>
  </si>
  <si>
    <t>Gerado automaticamente pelo Omie.CASH. Trata-se da tarifa referente ao Pix enviado em 07/05/2026 para: ELPIDIO JOSE FRANCISCO FILHO (504.686.937-34) Instituição: 033 Agência: 4535 Conta: 1025752-3 Número da Transação: E132033542026050720392AFA96CF6A3</t>
  </si>
  <si>
    <t>Gerado automaticamente pelo Omie.CASH. Trata-se da tarifa referente ao Pix enviado em 07/05/2026 para: CRISTIANE LEITE BRAGA (080.991.806-40) Instituição: 260 Agência: 0001 Conta: 96210-2 Número da Transação: E1320335420260507203976BD391482F</t>
  </si>
  <si>
    <t>Gerado automaticamente pelo Omie.CASH. Trata-se da tarifa referente ao Pix enviado em 07/05/2026 para: THOMAS SOUZA REIS (097.174.676-17) Instituição: 260 Agência: 0001 Conta: 1201493-3 Número da Transação: E132033542026050720397E1C9A2FC02</t>
  </si>
  <si>
    <t>Gerado automaticamente pelo Omie.CASH. Trata-se da tarifa referente ao Pix enviado em 12/05/2026 para: MARCELO GOMES DE ALMEIDA GONCALVES (916.055.556-49) Instituição: 033 Agência: 0179 Conta: 1029129-1 Número da Transação: E13203354202605121958F2CCBCDF44F</t>
  </si>
  <si>
    <t>Gerado automaticamente pelo Omie.CASH. Trata-se da tarifa referente ao Pix enviado em 12/05/2026 para: 54.971.070 felipe henriques crivellari (54.971.070/0001-16) Instituição: 336 Agência: 0001 Conta: 32629505-4 Número da Transação: E13203354202605121958150A92141B8</t>
  </si>
  <si>
    <t>Gerado automaticamente pelo Omie.CASH. Trata-se da tarifa referente ao Pix enviado em 07/05/2026 para: LUCAS SOBRINHO TEIXEIRA (073.847.576-90) Instituição: 260 Agência: 0001 Conta: 7002586-8 Número da Transação: E13203354202605072039433FA00F6BC</t>
  </si>
  <si>
    <t>Gerado automaticamente pelo Omie.CASH. Trata-se da tarifa referente ao Pix enviado em 12/05/2026 para: PANELINHA COMIDA FIT LTDA (26.151.284/0001-00) Instituição: 001 Agência: 5888 Conta: 54940-1 Número da Transação: E132033542026051219583964BB0B6B7</t>
  </si>
  <si>
    <t>Gerado automaticamente pelo Omie.CASH. Trata-se da tarifa referente ao Pix enviado em 19/05/2026 para: CAIXA ECONOMICA FEDERAL (00.360.305/0001-04) Instituição: 104 Agência: 0647 Conta: 9999000537000360305-5 Número da Transação: E13203354202605192006BC26BA70B22</t>
  </si>
  <si>
    <t>Gerado automaticamente pelo Omie.CASH. Trata-se da tarifa referente ao Pix enviado em 26/05/2026 para: 54.971.070 felipe henriques crivellari (54.971.070/0001-16) Instituição: 336 Agência: 0001 Conta: 32629505-4 Número da Transação: E1320335420260526190653904A60C77</t>
  </si>
  <si>
    <t>Gerado automaticamente pelo Omie.CASH. Trata-se da tarifa referente ao Pix enviado em 22/05/2026 para: INOVAR OCUPACIONAL LTDA (41.040.286/0001-16) Instituição: ID624 Agência: 4027 Conta: 90611934-0 Número da Transação: E132033542026052217142EEBEC61F99</t>
  </si>
  <si>
    <t>Gerado automaticamente pelo Omie.CASH. Trata-se da tarifa referente ao Pix enviado em 26/05/2026 para: Caio Lucas Sabino (078.476.426-38) Instituição: 380 Agência: 0001 Conta: 88076040-0 Número da Transação: E132033542026052619079B30C4EC663</t>
  </si>
  <si>
    <t>Gerado automaticamente pelo Omie.CASH. Trata-se da tarifa referente ao Pix enviado em 12/05/2026 para: PANELINHA COMIDA FIT LTDA (26.151.284/0001-00) Instituição: 001 Agência: 5888 Conta: 54940-1 Número da Transação: E13203354202605121955B8A561E94F0</t>
  </si>
  <si>
    <t>Gerado automaticamente pelo Omie.CASH. Trata-se da tarifa referente ao Pix enviado em 07/05/2026 para: JHONATAS SILVA FRANCO (091.220.926-76) Instituição: 260 Agência: 0001 Conta: 6901574-7 Número da Transação: E13203354202605072039556F63D5229</t>
  </si>
  <si>
    <t>Gerado automaticamente pelo Omie.CASH. Trata-se da tarifa referente ao Pix enviado em 07/05/2026 para: CRISTIANE LEITE BRAGA (080.991.806-40) Instituição: 260 Agência: 0001 Conta: 96210-2 Número da Transação: E132033542026050720391B2E0C66525</t>
  </si>
  <si>
    <t>Gerado automaticamente pelo Omie.CASH. Trata-se da tarifa referente ao Pix enviado em 07/05/2026 para: MARCOS ANTONIO MAINI DUQUE (087.323.606-81) Instituição: 033 Agência: 0179 Conta: 1033275-2 Número da Transação: E13203354202605072039994B669A9E7</t>
  </si>
  <si>
    <t>Gerado automaticamente pelo Omie.CASH. Trata-se da tarifa referente ao Pix enviado em 07/05/2026 para: JF NORTE VIAGENS LTDA (42.652.998/0001-59) Instituição: 237 Agência: 3832 Conta: 327850-6 Número da Transação: E13203354202605072039CC20A9DD955</t>
  </si>
  <si>
    <t>Gerado automaticamente pelo Omie.CASH. Trata-se da tarifa referente ao Pix enviado em 05/05/2026 para: 15 253 335 EDUARDO ALVES DE OLIVEIRA (15.253.335/0001-99) Instituição: 033 Agência: 0179 Conta: 13009233-6 Número da Transação: E1320335420260505180700864CF521A</t>
  </si>
  <si>
    <t>Gerado automaticamente pelo Omie.CASH. Trata-se da tarifa referente ao Pix enviado em 07/05/2026 para: MARCELA DE SOUZA (083.892.026-89) Instituição: 260 Agência: 0001 Conta: 19753868-1 Número da Transação: E1320335420260507203904A5A9EB58D</t>
  </si>
  <si>
    <t>Gerado automaticamente pelo Omie.CASH. Trata-se da tarifa referente ao Pix enviado em 07/05/2026 para: REGIS ADRIANO DA COSTA (103.945.056-38) Instituição: 260 Agência: 0001 Conta: 7083172-1 Número da Transação: E13203354202605072039F40C7ECC432</t>
  </si>
  <si>
    <t>Gerado automaticamente pelo Omie.CASH. Trata-se da tarifa referente ao Pix enviado em 07/05/2026 para: RENATO MENEZES FILGUEIRAS (060.840.216-89) Instituição: 001 Agência: 5888 Conta: 118869-0 Número da Transação: E13203354202605072040CC039C98532</t>
  </si>
  <si>
    <t>Gerado automaticamente pelo Omie.CASH. Trata-se da tarifa referente ao Pix enviado em 07/05/2026 para: SGX ADMINISTRACAO, EMPREENDIMENTOS E PARTICIPACOES LTDA (15.371.703/0001-01) Instituição: 450 Agência: 0001 Conta: 8682853437-5 Número da Transação: E13203354202605072100FDBC316CFB6</t>
  </si>
  <si>
    <t>Gerado automaticamente pelo Omie.CASH. Trata-se da tarifa referente ao Pix enviado em 07/05/2026 para: PORTFLOU LTDA (42.246.305/0001-28) Instituição: 323 Agência: 0001 Conta: 9885488524-8 Número da Transação: E132033542026050718520BD5A2E28F5</t>
  </si>
  <si>
    <t>Gerado automaticamente pelo Omie.CASH. Trata-se da tarifa referente ao Pix enviado em 07/05/2026 para: EVERDAN ELIAS COELHO (058.382.626-13) Instituição: 260 Agência: 0001 Conta: 20377589-9 Número da Transação: E13203354202605072039C5D0E6ECA85</t>
  </si>
  <si>
    <t>Gerado automaticamente pelo Omie.CASH. Trata-se da tarifa referente ao Pix enviado em 11/05/2026 para: VITOR DE OLIVEIRA PEDROSA (052.537.926-60) Instituição: 033 Agência: 0179 Conta: 1029427-0 Número da Transação: E1320335420260511135335C3EE29B58</t>
  </si>
  <si>
    <t>Gerado automaticamente pelo Omie.CASH. Trata-se da tarifa referente ao Pix enviado em 05/05/2026 para: DIONISIO SOUZA LOURO (015.301.116-50) Instituição: 033 Agência: 3499 Conta: 1010225-2 Número da Transação: E13203354202605052109BAE2A77F87F</t>
  </si>
  <si>
    <t>Gerado automaticamente pelo Omie.CASH. Trata-se da tarifa referente ao Pix enviado em 07/05/2026 para: LUCAS SOBRINHO TEIXEIRA (073.847.576-90) Instituição: 260 Agência: 0001 Conta: 7002586-8 Número da Transação: E13203354202605072059E17D0ED0381</t>
  </si>
  <si>
    <t>Gerado automaticamente pelo Omie.CASH. Trata-se da tarifa referente ao Pix enviado em 12/05/2026 para: 54.971.070 felipe henriques crivellari (54.971.070/0001-16) Instituição: 336 Agência: 0001 Conta: 32629505-4 Número da Transação: E13203354202605121955249DFAB943A</t>
  </si>
  <si>
    <t>Gerado automaticamente pelo Omie.CASH. Trata-se da tarifa referente ao Pix enviado em 07/05/2026 para: ELBA RAYANA DE PAIVA RIBAS (094.469.336-92) Instituição: 260 Agência: 0001 Conta: 80243916-3 Número da Transação: E13203354202605072039EEB9FDB8FF5</t>
  </si>
  <si>
    <t>Gerado automaticamente pelo Omie.CASH. Trata-se da tarifa referente ao Pix enviado em 07/05/2026 para: HUMBERTO SALES DE ALMEIDA (112.339.986-76) Instituição: 348 Agência: 0001 Conta: 951216-4 Número da Transação: E1320335420260507203977044848A6D</t>
  </si>
  <si>
    <t>Gerado automaticamente pelo Omie.CASH. Trata-se da tarifa referente ao Pix enviado em 12/05/2026 para: MARCELO GOMES DE ALMEIDA GONCALVES (916.055.556-49) Instituição: 033 Agência: 0179 Conta: 1029129-1 Número da Transação: E1320335420260512195369C6CDD3C83</t>
  </si>
  <si>
    <t>Gerado automaticamente pelo Omie.CASH. Trata-se da tarifa referente ao Pix enviado em 12/05/2026 para: MARCELO GOMES DE ALMEIDA GONCALVES (916.055.556-49) Instituição: 033 Agência: 0179 Conta: 1029129-1 Número da Transação: E13203354202605121953099CEF56525</t>
  </si>
  <si>
    <t>Gerado automaticamente pelo Omie.CASH. Trata-se da tarifa referente ao Pix enviado em 07/05/2026 para: Marcos Vinicius Soldate (055.442.346-47) Instituição: 237 Agência: 3832 Conta: 1002963-5 Número da Transação: E132033542026050720399C1B786EE19</t>
  </si>
  <si>
    <t>Gerado automaticamente pelo Omie.CASH. Trata-se da tarifa referente ao Pix enviado em 07/05/2026 para: 46.067.579 MICHELE SOARES HENRIQUES (46.067.579/0001-00) Instituição: 290 Agência: 0001 Conta: 35692008-2 Número da Transação: E1320335420260507203978752DBB2F0</t>
  </si>
  <si>
    <t>Gerado automaticamente pelo Omie.CASH. Trata-se da tarifa referente ao Pix enviado em 12/05/2026 para: BATEL LA PATISSERIE PAES E DOCES LTDA (41.072.050/0001-61) Instituição: 001 Agência: 1522 Conta: 43942-8 Número da Transação: E132033542026051219558881BC60229</t>
  </si>
  <si>
    <t>Gerado automaticamente pelo Omie.CASH. Trata-se da tarifa referente ao Pix enviado em 06/05/2026 para: 55.198.092 MATEUS DE SOUZA VIEIRA (55.198.092/0001-58) Instituição: ID047 Agência: 3118 Conta: 471288-9 Número da Transação: E1320335420260506164295A58E022D2</t>
  </si>
  <si>
    <t>Gerado automaticamente pelo Omie.CASH. Trata-se da tarifa referente ao Pix enviado em 07/05/2026 para: VITOR DE OLIVEIRA PEDROSA (052.537.926-60) Instituição: 001 Agência: 5888 Conta: 40754-2 Número da Transação: E132033542026050720399B200A6D7A7</t>
  </si>
  <si>
    <t>Gerado automaticamente pelo Omie.CASH. Trata-se da tarifa referente ao Pix enviado em 07/05/2026 para: JHONATAS SILVA FRANCO (091.220.926-76) Instituição: 260 Agência: 0001 Conta: 6901574-7 Número da Transação: E1320335420260507204084106C715C2</t>
  </si>
  <si>
    <t>Gerado automaticamente pelo Omie.CASH. Trata-se da tarifa referente ao Pix enviado em 07/05/2026 para: THOMAS SOUZA REIS (097.174.676-17) Instituição: 260 Agência: 0001 Conta: 1201493-3 Número da Transação: E1320335420260507205808753EA3A47</t>
  </si>
  <si>
    <t>Gerado automaticamente pelo Omie.CASH. Trata-se da tarifa referente ao Pix enviado em 12/05/2026 para: V.R. EVENTOS LTDA (16.422.009/0001-20) Instituição: 756 Agência: 3008 Conta: 259431-5 Número da Transação: E132033542026051219555F52B5A1CC9</t>
  </si>
  <si>
    <t>Gerado automaticamente pelo Omie.CASH. Trata-se da tarifa referente ao Pix enviado em 14/05/2026 para: MARCOS ANTONIO MAINI DUQUE (087.323.606-81) Instituição: 033 Agência: 0179 Conta: 1033275-2 Número da Transação: E13203354202605141852E99E82E6E33</t>
  </si>
  <si>
    <t>Gerado automaticamente pelo Omie.CASH. Trata-se da tarifa referente ao Pix enviado em 14/05/2026 para: 46.067.579 MICHELE SOARES HENRIQUES (46.067.579/0001-00) Instituição: 290 Agência: 0001 Conta: 35692008-2 Número da Transação: E132033542026051418503876FF0F060</t>
  </si>
  <si>
    <t>Gerado automaticamente pelo Omie.CASH. Trata-se da tarifa referente ao Pix enviado em 19/05/2026 para: CIELO &amp; PAVIN EVENTOS LTDA (64.186.413/0001-95) Instituição: ID437 Agência: 0434 Conta: 58598-1 Número da Transação: E13203354202605192009C24FD623394</t>
  </si>
  <si>
    <t>Gerado automaticamente pelo Omie.CASH. Trata-se da tarifa referente ao Pix enviado em 19/05/2026 para: Marcelo Bahia de Souza (780.364.616-68) Instituição: 260 Agência: 0001 Conta: 95411218-4 Número da Transação: E132033542026051920095190C203C67</t>
  </si>
  <si>
    <t>Gerado automaticamente pelo Omie.CASH. Trata-se da tarifa referente ao Pix enviado em 21/05/2026 para: Luciene Martins Dias dos Reis (789.975.856-49) Instituição: 260 Agência: 0001 Conta: 94837899-4 Número da Transação: E132033542026052119360443BC83862</t>
  </si>
  <si>
    <t>Gerado automaticamente pelo Omie.CASH. Trata-se da tarifa referente ao Pix enviado em 21/05/2026 para: INTERURB SERVICOS POSTAIS LTDA (42.933.416/0001-02) Instituição: 001 Agência: 3139 Conta: 3658-7 Número da Transação: E1320335420260521193600235839B8A</t>
  </si>
  <si>
    <t>Gerado automaticamente pelo Omie.CASH. Trata-se da tarifa referente ao Pix enviado em 13/05/2026 para: MARCOS ANTONIO MAINI DUQUE (087.323.606-81) Instituição: 033 Agência: 0179 Conta: 1033275-2 Número da Transação: E13203354202605131941A79CAB6E935</t>
  </si>
  <si>
    <t>Gerado automaticamente pelo Omie.CASH. Trata-se da tarifa referente ao Pix enviado em 19/05/2026 para: CAIXA ECONOMICA FEDERAL (00.360.305/0001-04) Instituição: 104 Agência: 0647 Conta: 9999000537000360305-5 Número da Transação: E13203354202605192009377A40A3223</t>
  </si>
  <si>
    <t>Gerado automaticamente pelo Omie.CASH. Trata-se da tarifa referente ao Pix enviado em 19/05/2026 para: 15 253 335 EDUARDO ALVES DE OLIVEIRA (15.253.335/0001-99) Instituição: 033 Agência: 0179 Conta: 13009233-6 Número da Transação: E1320335420260519200950333A02170</t>
  </si>
  <si>
    <t>Gerado automaticamente pelo Omie.CASH. Trata-se da tarifa referente ao Pix enviado em 14/05/2026 para: ROSANGELA SILVA TAVARES (209.395.236-04) Instituição: 001 Agência: 5888 Conta: 108438-0 Número da Transação: E132033542026051418522B71D68F1A8</t>
  </si>
  <si>
    <t>Gerado automaticamente pelo Omie.CASH. Trata-se da tarifa referente ao Pix enviado em 21/05/2026 para: Z3G COMERCIO VAREJISTA DE VIDEO GAMES LTDA (08.872.238/0001-19) Instituição: 077 Agência: 0001 Conta: 001137921-9 Número da Transação: E132033542026052119374D39BA0F0C4</t>
  </si>
  <si>
    <t>Gerado automaticamente pelo Omie.CASH. Trata-se da tarifa referente ao Pix enviado em 26/05/2026 para: INTERURB SERVICOS POSTAIS LTDA (42.933.416/0001-02) Instituição: 001 Agência: 3139 Conta: 3658-7 Número da Transação: E1320335420260526190729290549DB4</t>
  </si>
  <si>
    <t>Gerado automaticamente pelo Omie.CASH. Trata-se da tarifa referente ao Pix enviado em 19/05/2026 para: ASSOCIACAO BENEFICENTE E CULTURAL AMIGOS DO NOIVO (04.704.512/0001-90) Instituição: 756 Agência: 4149 Conta: 14765-6 Número da Transação: E13203354202605192009B2F45413968</t>
  </si>
  <si>
    <t>Gerado automaticamente pelo Omie.CASH. Trata-se da tarifa referente ao Pix enviado em 19/05/2026 para: GABRIEL ARAUJO MORANDI (120.096.427-67) Instituição: 001 Agência: 3194 Conta: 32152-4 Número da Transação: E13203354202605192009E2B6DA4A0AA</t>
  </si>
  <si>
    <t>Gerado automaticamente pelo Omie.CASH. Trata-se da tarifa referente ao Pix enviado em 26/05/2026 para: GUILHERME GONCALVES MELLO (158.330.327-84) Instituição: 001 Agência: 2885 Conta: 510024977-0 Número da Transação: E13203354202605261907383C9FC27D9</t>
  </si>
  <si>
    <t>Gerado automaticamente pelo Omie.CASH. Trata-se da tarifa referente ao Pix enviado em 14/05/2026 para: RONALDO DE OLIVEIRA PIRES (073.061.106-08) Instituição: 260 Agência: 0001 Conta: 5715249-6 Número da Transação: E13203354202605141852652806F8A10</t>
  </si>
  <si>
    <t>Gerado automaticamente pelo Omie.CASH. Trata-se da tarifa referente ao Pix enviado em 14/05/2026 para: 15 253 335 EDUARDO ALVES DE OLIVEIRA (15.253.335/0001-99) Instituição: 033 Agência: 0179 Conta: 13009233-6 Número da Transação: E132033542026051418517C7980859B8</t>
  </si>
  <si>
    <t>Gerado automaticamente pelo Omie.CASH. Trata-se da tarifa referente ao Pix enviado em 18/05/2026 para: RONALDO MACHADO JUNIOR 06296559607 (26.559.440/0001-77) Instituição: 341 Agência: 3165 Conta: 98379-6 Número da Transação: E132033542026051818356983E0547D5</t>
  </si>
  <si>
    <t>Gerado automaticamente pelo Omie.CASH. Trata-se da tarifa referente ao Pix enviado em 21/05/2026 para: Pedro Paulo Dias de Souza (142.897.776-78) Instituição: 260 Agência: 0001 Conta: 26736506-5 Número da Transação: E1320335420260521193706BAF35FD73</t>
  </si>
  <si>
    <t>Gerado automaticamente pelo Omie.CASH. Trata-se da tarifa referente ao Pix enviado em 26/05/2026 para: Régis Adriano da Costa (103.945.056-38) Instituição: 260 Agência: 0001 Conta: 7083172-1 Número da Transação: E132033542026052619076DF8266DDDA</t>
  </si>
  <si>
    <t>Gerado automaticamente pelo Omie.CASH. Trata-se da tarifa referente ao Pix enviado em 26/05/2026 para: 3Ps EVENTOS (27.254.075/0001-55) Instituição: 756 Agência: 3118 Conta: 381804-7 Número da Transação: E132033542026052619072580493482A</t>
  </si>
  <si>
    <t>Gerado automaticamente pelo Omie.CASH. Trata-se da tarifa referente ao Pix enviado em 13/05/2026 para: BUSINESS NETWORKING MASTER FRANQUIA BRASIL LTDA (04.362.235/0001-84) Instituição: ID645 Agência: 0001 Conta: 575887-5 Número da Transação: E132033542026051319406D304B69079</t>
  </si>
  <si>
    <t>Gerado automaticamente pelo Omie.CASH. Trata-se da tarifa referente ao Pix enviado em 19/05/2026 para: JUNIOR &amp; ACHETE LTDA (61.247.781/0001-08) Instituição: 260 Agência: 0001 Conta: 821961011-9 Número da Transação: E132033542026051920092C8308A3FB3</t>
  </si>
  <si>
    <t>Gerado automaticamente pelo Omie.CASH. Trata-se da tarifa referente ao Pix enviado em 22/05/2026 para: INOVAR OCUPACIONAL LTDA (41.040.286/0001-16) Instituição: ID624 Agência: 4027 Conta: 90611934-0 Número da Transação: E132033542026052217242DC89FBCDA4</t>
  </si>
  <si>
    <t>Gerado automaticamente pelo Omie.CASH. Trata-se da tarifa referente ao Pix enviado em 19/05/2026 para: Karine Rocha Azevedo e Silva Costa (112.016.427-36) Instituição: 260 Agência: 0001 Conta: 74924668-3 Número da Transação: E1320335420260519200945118818B49</t>
  </si>
  <si>
    <t>Gerado automaticamente pelo Omie.CASH. Trata-se da tarifa referente ao Pix enviado em 19/05/2026 para: 59.095.324 GIOVANNA BONALDI DO VALLE (59.095.324/0001-01) Instituição: 260 Agência: 0001 Conta: 399177976-5 Número da Transação: E132033542026051920095C050120CC5</t>
  </si>
  <si>
    <t>Gerado automaticamente pelo Omie.CASH. Trata-se da tarifa referente ao Pix enviado em 21/05/2026 para: EDUARDO ALVES DE OLIVEIRA 04792250609 (15.253.335/0001-99) Instituição: 033 Agência: 0179 Conta: 13009233-6 Número da Transação: E13203354202605211936E3E721CE80A</t>
  </si>
  <si>
    <t>Gerado automaticamente pelo Omie.CASH. Trata-se da tarifa referente ao Pix enviado em 29/05/2026 para: Marcelo Bahia de Souza (780.364.616-68) Instituição: 260 Agência: 0001 Conta: 95411218-4 Número da Transação: E13203354202605291521F2C9CFDBD77</t>
  </si>
  <si>
    <t>Gerado automaticamente pelo Omie.CASH. Trata-se da tarifa referente ao Pix enviado em 29/05/2026 para: JF NORTE VIAGENS LTDA (42.652.998/0001-59) Instituição: 237 Agência: 3832 Conta: 327850-6 Número da Transação: E132033542026052915217AE703B7C33</t>
  </si>
  <si>
    <t>Gerado automaticamente pelo Omie.CASH. Trata-se da tarifa referente ao Pix enviado em 28/05/2026 para: Marcelo Bahia de Souza (780.364.616-68) Instituição: 260 Agência: 0001 Conta: 95411218-4 Número da Transação: E1320335420260528193233311CE3187</t>
  </si>
  <si>
    <t>Gerado automaticamente pelo Omie.CASH. Trata-se da tarifa referente ao Pix enviado em 28/05/2026 para: MARCOS ANTONIO MAINI DUQUE (087.323.606-81) Instituição: 033 Agência: 0179 Conta: 1033275-2 Número da Transação: E132033542026052819323532AA62350</t>
  </si>
  <si>
    <t>Gerado automaticamente pelo Omie.CASH. Trata-se da tarifa referente ao Pix enviado em 29/05/2026 para: Marcelo Bahia de Souza (780.364.616-68) Instituição: 260 Agência: 0001 Conta: 95411218-4 Número da Transação: E1320335420260529152169BBE220699</t>
  </si>
  <si>
    <t>Rendimento RENDA FIXA MÊS DE ABRIL/26</t>
  </si>
  <si>
    <t>Gerado automaticamente pelo Omie.CASH. Trata-se da tarifa referente ao Pix enviado em 27/05/2026 para: Caio Lucas Sabino (078.476.426-38) Instituição: 380 Agência: 0001 Conta: 88076040-0 Número da Transação: E13203354202605271741FBCC4DDDF59</t>
  </si>
  <si>
    <t>Gerado automaticamente pelo Omie.CASH. Trata-se da tarifa referente ao Pix enviado em 27/05/2026 para: 55.409.310 VICTOR DANIEL MENDES ROCHA (55.409.310/0001-56) Instituição: 260 Agência: 0001 Conta: 670649906-2 Número da Transação: E1320335420260527174111783E1DBE3</t>
  </si>
  <si>
    <t>Gerado automaticamente pelo Omie.CASH. Trata-se da tarifa referente ao Pix enviado em 28/05/2026 para: V.R. EVENTOS LTDA (16.422.009/0001-20) Instituição: 756 Agência: 3008 Conta: 259431-5 Número da Transação: E132033542026052819325A248CC7DE8</t>
  </si>
  <si>
    <t>Gerado automaticamente pelo Omie.CASH. Trata-se da tarifa referente ao Pix enviado em 28/05/2026 para: POLYANA VENANCIO PEREIRA (121.073.256-42) Instituição: 104 Agência: 2419 Conta: 29577-0 Número da Transação: E132033542026052819321CFB9050BE0</t>
  </si>
  <si>
    <t>Gerado automaticamente pelo Omie.CASH. Trata-se da tarifa referente ao Pix enviado em 28/05/2026 para: SPDX ADMINISTRADORA DE FUNDOS DE FORMATURA LTDA (15.136.961/0001-03) Instituição: 001 Agência: 0024 Conta: 151522-5 Número da Transação: E13203354202605281932C55BB2E37E7</t>
  </si>
  <si>
    <t>I.R. RENDA FIXA MÊS DE ABRIL/26</t>
  </si>
  <si>
    <t>Gerado automaticamente pelo Omie.CASH. Trata-se da tarifa referente ao Pix enviado em 28/05/2026 para: PAULO RICARDO PIRES 01690119683 (23.911.675/0001-98) Instituição: 260 Agência: 0001 Conta: 747545994-0 Número da Transação: E132033542026052819323A3B6D047E9</t>
  </si>
  <si>
    <t>Gerado automaticamente pelo Omie.CASH. Trata-se da tarifa referente ao Pix enviado em 29/05/2026 para: Larissa Militino da Silva (117.097.326-44) Instituição: 260 Agência: 0001 Conta: 78531403-8 Número da Transação: E13203354202605291521F67DC1FDEB2</t>
  </si>
  <si>
    <t>Gerado automaticamente pelo Omie.CASH. Trata-se da tarifa referente ao Pix enviado em 27/05/2026 para: 54.971.070 felipe henriques crivellari (54.971.070/0001-16) Instituição: 336 Agência: 0001 Conta: 32629505-4 Número da Transação: E1320335420260527174101C682BEB11</t>
  </si>
  <si>
    <t>TARIFA PACOTE DE SERVIÇOS COBRANÇA REFERENTE 10042026</t>
  </si>
  <si>
    <t>Gerado automaticamente pelo Omie.CASH. Trata-se da tarifa referente ao boleto 0020493300000146 com vencimento em 14/05/2026 emitido para: BRA F A F EMPREENDIMENTOS IMOBILIARIOS SPE LTDA (27.525.721/0001-71) Número da Transação: 27780752</t>
  </si>
  <si>
    <t>Gerado automaticamente pelo Omie.CASH. Trata-se da tarifa referente ao boleto 0020493300000143 com vencimento em 10/04/2026 emitido para: BRA F A F EMPREENDIMENTOS IMOBILIARIOS SPE LTDA (27.525.721/0001-71) Número da Transação: 26297251</t>
  </si>
  <si>
    <t>Gerado automaticamente pelo Omie.CASH. Trata-se da tarifa de liquidação de boleto. Número da Transação: 29097560</t>
  </si>
  <si>
    <t>Gerado automaticamente pelo Omie.CASH. Trata-se da tarifa de liquidação de boleto. Número da Transação: 30498226</t>
  </si>
  <si>
    <t>Gerado automaticamente pelo Omie.CASH. Trata-se da tarifa referente ao Pix enviado em 07/05/2026 para: RONALDO DE OLIVEIRA PIRES (073.061.106-08) Instituição: 260 Agência: 0001 Conta: 5715249-6 Número da Transação: E13203354202605071832FC796D1852D</t>
  </si>
  <si>
    <t>Gerado automaticamente pelo Omie.CASH. Trata-se da tarifa referente ao Pix enviado em 14/05/2026 para: ROMERO PEREIRA DOS SANTOS (37.451.566/0001-40) Instituição: 260 Agência: 0001 Conta: 89656332-8 Número da Transação: E132033542026051419064FF25E3A8E8</t>
  </si>
  <si>
    <t>REF A RECARGA NUMERO ADT - 32-99128-6165 - TIM</t>
  </si>
  <si>
    <t>Gerado automaticamente pelo Omie.CASH. Trata-se da tarifa referente ao Pix enviado em 19/05/2026 para: CAIXA ECONOMICA FEDERAL (00.360.305/0001-04) Instituição: 104 Agência: 0647 Conta: 9999000537000360305-5 Número da Transação: E132033542026051920104DE3F2B8A74</t>
  </si>
  <si>
    <t>BOL - REF A CONTA DE INTERNET HUB - COMP 05/2026</t>
  </si>
  <si>
    <t>Gerado automaticamente pelo Omie.CASH. Trata-se da tarifa referente ao Pix enviado em 29/05/2026 para: CAIXA ECONOMICA FEDERAL (00.360.305/0001-04) Instituição: 104 Agência: 0647 Conta: 9999000537000360305-5 Número da Transação: E13203354202605291521710BA86EF94</t>
  </si>
  <si>
    <t>Gerado automaticamente pelo Omie.CASH. Trata-se da tarifa referente ao Pix enviado em 07/04/2026 para: RONALDO DE OLIVEIRA PIRES (073.061.106-08) Instituição: 260 Agência: 0001 Conta: 5715249-6 Número da Transação: E13203354202604071815CDF4004974A</t>
  </si>
  <si>
    <t>Gerado automaticamente pelo Omie.CASH. Trata-se da tarifa referente ao Pix enviado em 16/04/2026 para: CAIXA ECONOMICA FEDERAL (00.360.305/0001-04) Instituição: 104 Agência: 0647 Conta: 9999000537000360305-5 Número da Transação: E13203354202604161829E3BCFC30CC5</t>
  </si>
  <si>
    <t>Gerado automaticamente pelo Omie.CASH. Trata-se da tarifa referente ao Pix enviado em 23/04/2026 para: ROMERO PEREIRA DOS SANTOS (37.451.566/0001-40) Instituição: 260 Agência: 0001 Conta: 89656332-8 Número da Transação: E132033542026042317292664D4FDD21</t>
  </si>
  <si>
    <t>Gerado automaticamente pelo Omie.CASH. Trata-se da tarifa referente ao Pix enviado em 05/06/2026 para:  RONALDO DE OLIVEIRA PIRES (073.061.106-08) Instituição: 260 Agência: 0001 Conta: 5715249-6 Número da Transação: E132033542026060517158413A66DF28</t>
  </si>
  <si>
    <t>VERO</t>
  </si>
  <si>
    <t>BOL REF A INTERNET HUB - COMP 05/2026</t>
  </si>
  <si>
    <t>BOL CONTA EM NOME DA SPDX - N° CONTA 0401265924 COMP 05/2026</t>
  </si>
  <si>
    <t>DIN - REF A COMPRA DE CHIP PARA ATIVAR NA CONTA POS PAGO</t>
  </si>
  <si>
    <t>PIX - REF AO CREDITO N° Larissa Carvalho</t>
  </si>
  <si>
    <t>BOL - REF A CONTA DA TIM SPDX - 05/2026</t>
  </si>
  <si>
    <t>VIVA DISTRIBUIDORA</t>
  </si>
  <si>
    <t>PIX - REF A COMPRA DE ITENS DECORAÇÃO COPA PARA O HUB</t>
  </si>
  <si>
    <t>YAPAY PAGAMENTOS ONLINE LTDA</t>
  </si>
  <si>
    <t>Pins Ação de Endomkt</t>
  </si>
  <si>
    <t>BOL - REF AO PAGAMENTO HONORÁRIOS - COMP 06/2026</t>
  </si>
  <si>
    <t>PREVISÃO - BOL REF AO HONORÁRIO - COMP 06/2026</t>
  </si>
  <si>
    <t>Gerado automaticamente pelo Omie.CASH. Trata-se da tarifa referente ao Pix enviado em 23/06/2026 para:  ROMERO PEREIRA DOS SANTOS (37.451.566/0001-40) Instituição: 260 Agência: 0001 Conta: 89656332-8 Número da Transação: E13203354202606231823AB5D70C4158</t>
  </si>
  <si>
    <t>BOL REF COWORKING SPDX - COMP 06/2026</t>
  </si>
  <si>
    <t>BOL REF A PAGAMENTO ALUGUEL HUB - COMP 06/2026</t>
  </si>
  <si>
    <t>Gerado automaticamente pelo Omie.CASH. Trata-se da tarifa referente ao Pix enviado em 18/06/2026 para:  CAIXA ECONOMICA FEDERAL (00.360.305/0001-04) Instituição: 104 Agência: 0647 Conta: 9999000537000360305-5 Número da Transação: E13203354202606181833291794C0E39</t>
  </si>
  <si>
    <t>BOL. SABIN SINAI - MENSALIDADE - COMP.: 06/2026</t>
  </si>
  <si>
    <t>BOL. SABIN SINAI - MENSALIDADE - COMP.: 07/2026</t>
  </si>
  <si>
    <t>BOL. SABIN SINAI - MENSALIDADE - COMP.: 08/2026</t>
  </si>
  <si>
    <t>BOL. SABIN SINAI - COMP.: 06/2026</t>
  </si>
  <si>
    <t>BOL REF MENSALIDADE ABEFORM - COMP 06/2026</t>
  </si>
  <si>
    <t>BOL - MENSALIDADE ASSOCIAÇÃO BRASILEIRA DE FRANCHISING - COMP 06/2026</t>
  </si>
  <si>
    <t>PHM FERREIRA</t>
  </si>
  <si>
    <t>Compra de 04 headsets para funcionários novos / estoque. ** CARTÃO PJ ** 31,90 cada headset Aprovado Régis. --- 01 - arturo - consultoria 01 - fernanda - gp 02 - estoque https://www.kabum.com.br/produto/466094/headset-rise-mode-office-01-p3-35mm-preto-rm-hs-of-01-fb?gclsrc=aw.ds&amp;&amp;utm_id=22427039975&amp;gad_source=1&amp;gad_campaignid=22427039975&amp;gbraid=0AAAAADx-HyFEm3npCB6jtz1hNViIe_5Mj&amp;gclid=CjwKCAjw6MPRBhBTEiwAd-7Mr9OAQJ6HSGsVPyX5mwEywW0xyNfNDJKiviVPH1ujXB4djDk8y92yjBoCit4QAvD_BwE</t>
  </si>
  <si>
    <t>Cobertura Fotográfica</t>
  </si>
  <si>
    <t>MARCOS ANTONIO MAINI DUQUE</t>
  </si>
  <si>
    <t>BOL - REF AO REEMBOLSO VIAGEM E. M. Carlos Augusto de Assis</t>
  </si>
  <si>
    <t>Boreal Studio</t>
  </si>
  <si>
    <t>PIX - REF AO PGT DO CONDOMÍNIO SALVATERRA MALL - COMP 06/2026</t>
  </si>
  <si>
    <t>UDEMY SERVICOS PROMOCIONAIS SOCIEDADE LIMITADA</t>
  </si>
  <si>
    <t>COMPRA DE CURSO CARGOS E SALÁRIOS</t>
  </si>
  <si>
    <t>ALURA - PARC 11/12 **CARTÃO PJ**</t>
  </si>
  <si>
    <t>BOL - ADMINISTRATIVOS E PESSOAL - 06/2026</t>
  </si>
  <si>
    <t>BOL REF A CONTABILIDADE REF.06/2026 - ROTINA DE DEPARTAMENTO DE PESSOAL</t>
  </si>
  <si>
    <t>BOL REF A CONTABILIDADE REF. 06/2026</t>
  </si>
  <si>
    <t>BOL REF SERVICO DE CONTABILIDADE - REF.: 06/2026</t>
  </si>
  <si>
    <t>Bol ref ao reembolso Brit - Serviços Adicionais Ref. OneFlow Omie - COMP 06/2026</t>
  </si>
  <si>
    <t>Gerado automaticamente pelo Omie.CASH. Trata-se da tarifa referente ao Pix enviado em 06/07/2026 para:  RONALDO DE OLIVEIRA PIRES (073.061.106-08) Instituição: 260 Agência: 0001 Conta: 5715249-6 Número da Transação: E132033542026070613001AAF2CB722E</t>
  </si>
  <si>
    <t>DEP SALÁRIO - COMP 06/2026</t>
  </si>
  <si>
    <t>DEP - SALARIO PJ - COMP 06/2026- VALOR R$ 1250,00 - r$ 800,00 ( V COMPANY ) PAGAMENTO EMPRÉSTIMO CIRURGIA</t>
  </si>
  <si>
    <t>JESSICA DOURADO DE OLIVEIRA</t>
  </si>
  <si>
    <t>DEP SALÁRIO + ANTECIPAÇÃO COMISSÃO COMP 06/2026</t>
  </si>
  <si>
    <t>VIVA EVENTOS GOVERNADOR VALADAES - INTER</t>
  </si>
  <si>
    <t>DEP - ESTORNO DE FDM ** PAGAR PELA CONTA FDM** PAGAR NA CONTA INTER COD 077 AG: 0001 CC: 11601589-6</t>
  </si>
  <si>
    <t>DEP - ESTORNO DE ROYALTIES ** PAGAR PELA CONTA 123049-2** CONTA BANCO INTER COD 077 AG : 0001 CC: 11601589-6</t>
  </si>
  <si>
    <t>DEP - ESTORNO DE ROYALTIES ** PAGAR PELA CONTA 123049-2**</t>
  </si>
  <si>
    <t>DEP REF DOAÇÃO PARA FUNDAÇÃO ABAN - PGTO DA INTERNET (MEGACOM)- COMP 06/2026</t>
  </si>
  <si>
    <t>DIN REF A ENERGIA ELÉTRICA DO HUB - MATRICULA 3002374539 - COMP 06/2026 MEDIA DE CONSUMO 1913 KW/H * r$1,18 Pagamento feito para a ABD Holding</t>
  </si>
  <si>
    <t>Pagamento Thransporta - Fretes e entregas</t>
  </si>
  <si>
    <t>DIN - REF AO ESTACIONAMENTO BANCO</t>
  </si>
  <si>
    <t>DIN REF AO ESTACIONAMENTO BANCO - DIA 16/06 - r$ 14,00 +DIA 18/06 R$ 11,00</t>
  </si>
  <si>
    <t>DIN - ESTACIONAMENTO BANCO : 9,00 - Estacionamento banco dia 23/06 + 9,00 - Estacionamento banco dia 25/06</t>
  </si>
  <si>
    <t>DIN REF AO SERVIÇO DE UBER - BANCO - dia 01/06</t>
  </si>
  <si>
    <t>TARIFA PACOTE DE SERVIÇOS COBRANÇA REFERENTE 06042026</t>
  </si>
  <si>
    <t>TAR PAG SALÁR CRÉD CONTA COBRANÇA REFERENTE 07042026</t>
  </si>
  <si>
    <t>TARIFA PIX ENVIADO TAR AGRUPADAS OCORRENCIA 17042026</t>
  </si>
  <si>
    <t>TARIFA MENSALIDADE PACOTE SERVICOS MARCO 2026</t>
  </si>
  <si>
    <t>Gerado automaticamente pelo Omie.CASH. Trata-se da tarifa referente ao Pix enviado em 02/07/2026 para:  IFOOD PAGO INSTITUICAO DE PAGAMENTO S.A. (19.468.242/0001-32) Instituição: 595 Agência: 0001 Conta: 171465978-7 Número da Transação: E1320335420260702172183516FBD8F9</t>
  </si>
  <si>
    <t>Rendimento RENDA FIXA MÊS DE JUNHO/26</t>
  </si>
  <si>
    <t>IR Retido CONTAMAX 06/2026</t>
  </si>
  <si>
    <t>I.R. RENDA FIXA MÊS DE JUNHO/26</t>
  </si>
  <si>
    <t>34.590.917 FABRICIO KELMER DE SOUZA</t>
  </si>
  <si>
    <t>PIX - Pagamento chaveiro - manutenção fechaduras HUB</t>
  </si>
  <si>
    <t>Pagamento da faixa adesiva colocada na parede das salas da recepção</t>
  </si>
  <si>
    <t>NL TINTAS E FERRAGENS S/A</t>
  </si>
  <si>
    <t>Pagamento Tintas HUB</t>
  </si>
  <si>
    <t>ALEXANDRE GONCALVES TAVARES</t>
  </si>
  <si>
    <t>Pagamento Eletricista - manutenção lâmpadas e Leds HUB</t>
  </si>
  <si>
    <t>PIX - REF A MANUTENÇÃO NOTEBOOK ESTOQUE FRANQUEADORA</t>
  </si>
  <si>
    <t>Ronaldo Adriano pereira</t>
  </si>
  <si>
    <t>Pagamento Pintor - Pintura das salas + teto da recepção</t>
  </si>
  <si>
    <t>Pagamento pintor HUB</t>
  </si>
  <si>
    <t>PIX - REF AO SERVIÇOS DE MKT - 01/06 A 05/06</t>
  </si>
  <si>
    <t>Pagamento impressão - campanha mkt: Segue o baile</t>
  </si>
  <si>
    <t>REF ANÚNCIOS EXPANSÃO - FACEBK *QXBXZTMKL2 ** CARTÃO PJ **</t>
  </si>
  <si>
    <t>OBVIO BRASIL SOFTWARE E SERVICOS S.A.</t>
  </si>
  <si>
    <t>Pós-Vendas</t>
  </si>
  <si>
    <t>BOL REF A PAGAMENTO PLATAFORMA - COMP 06/2026</t>
  </si>
  <si>
    <t>3 Gift Cards para os ganhadores da campanha Viva em Dia referente ao mês de MAIO ** CARTÃO PJ **</t>
  </si>
  <si>
    <t>JF NORTE VIAGENS LTDA - CVC</t>
  </si>
  <si>
    <t>PIX - CAMPANHA MAIO - Ative o Modo: Segue o Baile</t>
  </si>
  <si>
    <t>PIX - REF AO CURSO BNI - REF A 06/2026 - valor autorizado pelo marcos</t>
  </si>
  <si>
    <t>PIX - REF AO CURSO BNI - REF A 06/2026 - https://go.novoingresso.com.br/bni-zmv-empreendedores</t>
  </si>
  <si>
    <t>DAHBAR E DAHBAR COMERCIO EIRELI</t>
  </si>
  <si>
    <t>Incluído a partir do recebimento da NF-e. BOL - REF A COMPRA DE SACO PLÁSTICO PARA O HUB</t>
  </si>
  <si>
    <t>FACILITART COMERCIO E SERVICOS LTDA</t>
  </si>
  <si>
    <t>Incluído a partir do recebimento da NF-e.BOL - REF A COMPRA DE PAPEL TOALHA , PAPEL HIGIÊNICO E SABONETE</t>
  </si>
  <si>
    <t>BOL - CRÉDITO CARTÃO EMPRESA - COMP 06/2026 PAGAR PELO BB mercado hub R$655,52 --- saldo R$ 1.844,48</t>
  </si>
  <si>
    <t>Incluído a partir do recebimento da NF-e. DEP- Pagamento de Insumos HUB (descartáveis, perfex, mexedores)</t>
  </si>
  <si>
    <t>STARBAND</t>
  </si>
  <si>
    <t>PIX - Pagamento de crachás e cordão para franqueadora</t>
  </si>
  <si>
    <t>LIVIA LUISA PEREIRA DA SILVA - FREELANCER</t>
  </si>
  <si>
    <t>DIN - REF A FREELA DA LIMPEZA HUB - DIA 03/06</t>
  </si>
  <si>
    <t>DIN - REF A FREELA LIMPEZA HUB - DIA 12/06</t>
  </si>
  <si>
    <t>VITOR PEDROSA - BB Cc</t>
  </si>
  <si>
    <t>DEP - REF A VIAGEM VITOR PARA RESOLVER PENDÊNCIAS - SOLICITADO PELO MARCELO</t>
  </si>
  <si>
    <t>CURITIBA FEST FORMATURAS CERIMONIAIS E EVENTOS LTDA</t>
  </si>
  <si>
    <t>Conta a receber referente a: - Recibo: 0000000851 - RPS: 0000088117 - NFS-e: 116241</t>
  </si>
  <si>
    <t>Conta a receber referente a: - Recibo: 0000000807 - RPS: 0000088038 - NFS-e: 116162</t>
  </si>
  <si>
    <t>Conta a receber referente a: - Recibo: 0000000808 - RPS: 0000088039 - NFS-e: 116163</t>
  </si>
  <si>
    <t>Conta a receber referente a: - Recibo: 0000000809 - RPS: 0000088040 - NFS-e: 116164</t>
  </si>
  <si>
    <t>Conta a receber referente a: - Recibo: 0000000810 - RPS: 0000088041 - NFS-e: 116165</t>
  </si>
  <si>
    <t>Conta a receber referente a: - Recibo: 0000000811 - RPS: 0000088042 - NFS-e: 116166</t>
  </si>
  <si>
    <t>Conta a receber referente a: - Recibo: 0000000812 - RPS: 0000088043 - NFS-e: 116167</t>
  </si>
  <si>
    <t>Conta a receber referente a: - Recibo: 0000000813 - RPS: 0000088044 - NFS-e: 116168</t>
  </si>
  <si>
    <t>Conta a receber referente a: - Recibo: 0000000814 - RPS: 0000088045 - NFS-e: 116169</t>
  </si>
  <si>
    <t>Conta a receber referente a: - Recibo: 0000000815 - RPS: 0000088046 - NFS-e: 116170</t>
  </si>
  <si>
    <t>Conta a receber referente a: - Recibo: 0000000816 - RPS: 0000088047 - NFS-e: 116171</t>
  </si>
  <si>
    <t>Conta a receber referente a: - Recibo: 0000000817 - RPS: 0000088048 - NFS-e: 116172</t>
  </si>
  <si>
    <t>Conta a receber referente a: - Recibo: 0000000818 - RPS: 0000088049 - NFS-e: 116173</t>
  </si>
  <si>
    <t>V. R. EVENTOS LTDA - VIVA VITORIA</t>
  </si>
  <si>
    <t>Conta a receber referente a: - Recibo: 0000000845 - RPS: 0000088077 - NFS-e: 116201</t>
  </si>
  <si>
    <t>Conta a receber referente a: - Recibo: 0000000819 - RPS: 0000088051 - NFS-e: 116175</t>
  </si>
  <si>
    <t>Conta a receber referente a: - Recibo: 0000000820 - RPS: 0000088052 - NFS-e: 116176</t>
  </si>
  <si>
    <t>Conta a receber referente a: - Recibo: 0000000821 - RPS: 0000088053 - NFS-e: 116177</t>
  </si>
  <si>
    <t>Conta a receber referente a: - Recibo: 0000000822 - RPS: 0000088054 - NFS-e: 116178</t>
  </si>
  <si>
    <t>Conta a receber referente a: - Recibo: 0000000823 - RPS: 0000088055 - NFS-e: 116179</t>
  </si>
  <si>
    <t>Conta a receber referente a: - Recibo: 0000000825 - RPS: 0000088057 - NFS-e: 116181</t>
  </si>
  <si>
    <t>Conta a receber referente a: - Recibo: 0000000826 - RPS: 0000088058 - NFS-e: 116182</t>
  </si>
  <si>
    <t>Conta a receber referente a: - Recibo: 0000000850 - RPS: 0000088082 - NFS-e: 116206</t>
  </si>
  <si>
    <t>Conta a receber referente a: - Recibo: 0000000827 - RPS: 0000088059 - NFS-e: 116183</t>
  </si>
  <si>
    <t>Conta a receber referente a: - Recibo: 0000000828 - RPS: 0000088060 - NFS-e: 116184</t>
  </si>
  <si>
    <t>Conta a receber referente a: - Recibo: 0000000830 - RPS: 0000088062 - NFS-e: 116186</t>
  </si>
  <si>
    <t>Conta a receber referente a: - Recibo: 0000000831 - RPS: 0000088063 - NFS-e: 116187</t>
  </si>
  <si>
    <t>Conta a receber referente a: - Recibo: 0000000832 - RPS: 0000088064 - NFS-e: 116188</t>
  </si>
  <si>
    <t>Conta a receber referente a: - Recibo: 0000000849 - RPS: 0000088081 - NFS-e: 116205</t>
  </si>
  <si>
    <t>Conta a receber referente a: - Recibo: 0000000834 - RPS: 0000088066 - NFS-e: 116190</t>
  </si>
  <si>
    <t>Conta a receber referente a: - Recibo: 0000000835 - RPS: 0000088067 - NFS-e: 116191</t>
  </si>
  <si>
    <t>Conta a receber referente a: - Recibo: 0000000836 - RPS: 0000088068 - NFS-e: 116192</t>
  </si>
  <si>
    <t>Conta a receber referente a: - Recibo: 0000000837 - RPS: 0000088069 - NFS-e: 116193</t>
  </si>
  <si>
    <t>Conta a receber referente a: - Recibo: 0000000838 - RPS: 0000088070 - NFS-e: 116194</t>
  </si>
  <si>
    <t>Conta a receber referente a: - Recibo: 0000000839 - RPS: 0000088071 - NFS-e: 116195</t>
  </si>
  <si>
    <t>Conta a receber referente a: - Recibo: 0000000840 - RPS: 0000088072 - NFS-e: 116196</t>
  </si>
  <si>
    <t>Conta a receber referente a: - Recibo: 0000000841 - RPS: 0000088073 - NFS-e: 116197</t>
  </si>
  <si>
    <t>Conta a receber referente a: - Recibo: 0000000842 - RPS: 0000088074 - NFS-e: 116198</t>
  </si>
  <si>
    <t>Conta a receber referente a: - Recibo: 0000000843 - RPS: 0000088075 - NFS-e: 116199</t>
  </si>
  <si>
    <t>Conta a receber referente a: - Recibo: 0000000844 - RPS: 0000088076 - NFS-e: 116200</t>
  </si>
  <si>
    <t>Conta a receber referente a: - Recibo: 0000000846 - RPS: 0000088078 - NFS-e: 116202</t>
  </si>
  <si>
    <t>Conta a receber referente a: - Recibo: 0000000847 - RPS: 0000088079 - NFS-e: 116203</t>
  </si>
  <si>
    <t>Conta a receber referente a: - Recibo: 0000000848 - RPS: 0000088080 - NFS-e: 116204</t>
  </si>
  <si>
    <t>BOL. PREVENIR- COMP.: 06/2026</t>
  </si>
  <si>
    <t>Gerado automaticamente pelo Omie.CASH. Trata-se da tarifa referente ao Pix enviado em 16/07/2026 para:  CAIXA ECONOMICA FEDERAL (00.360.305/0001-04) Instituição: 104 Agência: 0647 Conta: 9999000537000360305-5 Número da Transação: E13203354202607161924B23B3A28B80</t>
  </si>
  <si>
    <t>Seguro Conta Abr 26</t>
  </si>
  <si>
    <t>BOL PREVENIR - COMP.: 06/2026</t>
  </si>
  <si>
    <t>Pagamento de dividendos G</t>
  </si>
  <si>
    <t>** CONFIRMAR PAGAMENTO ** DEP REF CONSULTORIA/TREINAMENTOS - COMP XX/XXXX REF - TIAGO MOURA HENRIQUES DE MENDONCA - SACAR O CHEQUE E DEPOSITAR NA CONTA DO TIAGO MESES PARA PGT : FEV / ABRIL / JUN/AGO/ OUT/DEZ</t>
  </si>
  <si>
    <t>** CONFIRMAR PAGAMENTO ** DEP REF CONSULTORIA/TREINAMENTOS - COMP XX/XXXX REF DARINO MOREIRA TENORIO - SACAR O CHEQUE E DEPOSITAR NA CONTA DO DARINO MESES PARA PGT : FEV / ABRIL / JUN/AGO/ OUT/DEZ</t>
  </si>
  <si>
    <t>** CONFIRMAR PAGAMENTO ** DEP REF CONSULTORIA/TREINAMENTOS - COMP XX/XXXX REF JOAO AUGUSTO FERREIRA RESENDE - SACAR O CHEQUE E DEPOSITAR NA CONTA DO JOÃO MESES PARA PGT : FEV / ABRIL / JUN/AGO/ OUT/DEZ</t>
  </si>
  <si>
    <t>TARIFA PIX ENVIADO TAR AGRUPADAS OCORRENCIA 02042026</t>
  </si>
  <si>
    <t>REF AO FECHAMENTO DO ALMOÇO 10/06 a 22/06 - 146 REFEIÇÕES - r$ 18,00 CADA</t>
  </si>
  <si>
    <t>REF AO FECHAMENTO DO ALMOÇO 26/05 a 09/06 - 136 REFEIÇÕES - r$ 18,00 CADA</t>
  </si>
  <si>
    <t>REF - Ao almoço HUB 10/06 a 22/06 - 106 REFEIÇÃO - R$ 18,00 CADA</t>
  </si>
  <si>
    <t>REF - Ao almoço HUB 26/05 a 09/06 - 85 REFEIÇÃO - R$ 18,00 CADA</t>
  </si>
  <si>
    <t>REF AO FECHAMENTO DO ALMOÇO - 26/05 a 09/06 - 149 REFEIÇÕES - R$ 16,90 CADA</t>
  </si>
  <si>
    <t>REF AO FECHAMENTO DO ALMOÇO - 10/06 a 22/06 - 134 REFEIÇÕES - R$ 16,90 CADA</t>
  </si>
  <si>
    <t>REF AO FECHAMENTO DO ALMOÇO- 26/05 a 09/06 - 128 REFEIÇÕES - r$ 16,90 CADA</t>
  </si>
  <si>
    <t>REF AO FECHAMENTO DO ALMOÇO- 10/06 a 22/06 - 90 REFEIÇÕES - r$ 16,90 CADA</t>
  </si>
  <si>
    <t>Bol ref a plataforma do teleatendimento - 06/2026</t>
  </si>
  <si>
    <t>BOL - CONSULTA SCPC - COMP 06/2026</t>
  </si>
  <si>
    <t>02/05 AWS Brazil - TIME TI - COD: 677276101401 - **CARTÃO PJ**</t>
  </si>
  <si>
    <t>02/05 AWS Brazil - REF CONTA - 794431322895 - viva academy - time de gestão de pessoas ** CARTÃO PJ **</t>
  </si>
  <si>
    <t>02/05 AWS Brazil - ref ao mundo viva - n de acesso 913892422951 - **CARTÃO PJ**</t>
  </si>
  <si>
    <t>REF 02/06 AWS Brazil - ref ao mundo viva - n de acesso 913892422951 - **CARTÃO PJ**</t>
  </si>
  <si>
    <t>Data - Estava Julho</t>
  </si>
  <si>
    <t>REF 02/06 AWS Brazil - ref ao mundo viva COD: 803335749310 - **CARTÃO PJ**</t>
  </si>
  <si>
    <t>01/05 AWS Brazil - ref ao mundo viva COD: 803335749310 - **CARTÃO PJ**</t>
  </si>
  <si>
    <t>REF 01/06 AWS Brazil - TIME TI - COD: 677276101401 - **CARTÃO PJ**</t>
  </si>
  <si>
    <t>REF AO 02/06 AWS Brazil - REF CONTA - 794431322895 - viva academy - time de gestão de pessoas ** CARTÃO PJ **</t>
  </si>
  <si>
    <t>REF 23/06 APPLE.COM/BILL - VERIFICAÇÃO INSTAGRAM ** CARTÃO PJ **</t>
  </si>
  <si>
    <t>BOL - CONSULTAS NO SERASA - COMP 06/2026</t>
  </si>
  <si>
    <t>25/05 ATLASSIAN. - R$ 95,17+ R$ 3,33 IOF - ** CARTÃO PJ **</t>
  </si>
  <si>
    <t>CANVA - PARC 05/12 **CARTÃO PJ**</t>
  </si>
  <si>
    <t>CANVA - PARC 06/12 **CARTÃO PJ**</t>
  </si>
  <si>
    <t>REF 19/06 CLAUDE.AI - R$ 550,00 + R$ 18,48 IOF - ** FORA DO ORÇAMENTO - AUTORIZADO MARCELO ** - ** CARTÃO PJ **</t>
  </si>
  <si>
    <t>22/05 CLICKSIGN **CARTÃO PJ**</t>
  </si>
  <si>
    <t>REF 11/06 GITHUB, INC.. - R$ 209,95 + R$7,34 IOF ** CARTÃO PJ **</t>
  </si>
  <si>
    <t>11/05 GITHUB, INC.. - R$ 198,74 + R$ 6,95 IOF ** CARTÃO PJ **</t>
  </si>
  <si>
    <t>16/05 GITHUB, INC - R$52,68 + R$ 1,84IOF ** CARTÃO PJ **</t>
  </si>
  <si>
    <t>Ref as consultas período de 01/06/2026 a 30/06/2026</t>
  </si>
  <si>
    <t>REWF 01/06 Google Workspace_gviva.- **CARTÃO PJ** REDE r$ 8.994,33 FRANQUEADORA E QUOKKA r$1505,00</t>
  </si>
  <si>
    <t>REF 01/06 Google Workspace_iforme - NOVO PAINEL DE EMAILS - IFORMEI E BRIXMART - **CARTÃO PJ** IFORMEI - 1 conta - r$ 183,75 VILLAGE 7 contas - r$ 1286,25</t>
  </si>
  <si>
    <t>REF AO 01/06 DL *GOOGLE CLOUD - expansão para gerar uma API integrada à Huggy - ** FORA DO ORÇAMENTO - AUTORIZADO VITOR ** - ** CARTÃO PJ **</t>
  </si>
  <si>
    <t>Bol ref a plataforma de atração e seleção de pessoas Período 01/06 a 30/06 FAZER RATEIO NO DEPARTAMENTO DE ACORDO COM AS VAGAS DO PROCESSO SELETIVO DA V COMPANY</t>
  </si>
  <si>
    <t>HIGGSFIELD INC.</t>
  </si>
  <si>
    <t>REF 08/06 HIGGSFIELD INC. - PLATAFORMA DE EDIÇÃO DE VÍDEO - MARCELO ASSINOU - R$ 264,25 + r$ 19,25 IOF - ** CARTÃO PJ **</t>
  </si>
  <si>
    <t>HUGGY TECNOLOGIA DA INFORMACAO LTDA</t>
  </si>
  <si>
    <t>BOL - Mensagens de Marketing (Maio/26): 2367 / 1x 553230037122 - Mensagens de Serviço (Maio/26): 46344 / 1x 553230037122 - Mensagens de Utilidade (Maio/26): 1543</t>
  </si>
  <si>
    <t>05/05 JUSBRASIL **CARTÃO PJ**</t>
  </si>
  <si>
    <t>REF 07/06 JUSBRASIL **CARTÃO PJ**</t>
  </si>
  <si>
    <t>REF 09/06 LANDINGAI - r$ 1341,99 + r$ 46,96 IOF - plataforma landing.aI ** CARTÃO PJ **</t>
  </si>
  <si>
    <t>REF 12/06 LOVABLE - R$ 26,77 + R$ 0,93 IOF ** CARTÃO PJ **</t>
  </si>
  <si>
    <t>LIBERTY SEGUROS S/A</t>
  </si>
  <si>
    <t>INCLUSÃO - RENOVAÇÃO SEGURO DE VIDA - ESTÁGIO - THEO DE PAULA DINIZ</t>
  </si>
  <si>
    <t>REF 15/06 MIXED ANALYTICS. - R$ 153,29 + R$ 5,36 IOF ** CARTÃO PJ **</t>
  </si>
  <si>
    <t>15/05 MIXED ANALYTICS. - R$ 150,22 + R$ 5,25 IOF ** CARTÃO PJ **</t>
  </si>
  <si>
    <t>Gerado automaticamente pelo Omie.CASH. Trata-se da tarifa referente ao Pix enviado em 23/07/2026 para:  ROMERO PEREIRA DOS SANTOS (37.451.566/0001-40) Instituição: 260 Agência: 0001 Conta: 89656332-8 Número da Transação: E13203354202607231754ED23DA6D5B4</t>
  </si>
  <si>
    <t>REF 15/06 AMAZONMKTPLC*GUSTAVOFU - JOGO ENDOMKT ** CARTÃO PJ *</t>
  </si>
  <si>
    <t>Onfly - Plataforma de viagens</t>
  </si>
  <si>
    <t>REF 02/06 OPENAI *CHATGPT - r$ 261,58+ r$ IOF 9,15 ** CARTÃO PJ **</t>
  </si>
  <si>
    <t>02/05 OPENAI *CHATGPT - r$ 207,73 + r$ IOF 8,99 ** CARTÃO PJ **</t>
  </si>
  <si>
    <t>REF 14/06 PIPEFY.COM. - R$ 607,89 + R$ 21,87 IOF - GP r$ 157,29 + QUOKKA r$ 157,29 + Feat R$ 157,29 + Young R$157,29 ** CARTÃO PJ **</t>
  </si>
  <si>
    <t>14/05 PIPEFY.COM. - R$ 587,45 + R$ 20,56 IOF - GP r$ 152,00 + QUOKKA r$ 152,00 + Feat R$ 152,00 + Young R$ 152,00 - ** CARTÃO PJ **</t>
  </si>
  <si>
    <t>REF 08/06 WWW.MAKE.COM. - R$ 56,44 + R$ 1,97 IOF ** CARTÃO PJ **</t>
  </si>
  <si>
    <t>08/05 WWW.MAKE.COM. - R$ 54,15 + R$ 1,89 IOF ** CARTÃO PJ **</t>
  </si>
  <si>
    <t>REF 02/06 SINCH MAILGUN - r$ 665,94 + IOF R$ 23,30- COMP 05/2026 ** CARTÃO PJ **</t>
  </si>
  <si>
    <t>REF A PLATAFORMA PARALELA DISPARADOR DE WHATSAPP - COMP 06/2026 disparos e atendimentos de campanhas</t>
  </si>
  <si>
    <t>BOL REF A PLATAFORMA SOLIDES - COMP 06/2026</t>
  </si>
  <si>
    <t>REF 01/06 STAPE, INC.. - R$ 52,59 + R$ 1,84 IOF - ** CARTÃO PJ **</t>
  </si>
  <si>
    <t>SULTS TECNOLOGIA LTDA</t>
  </si>
  <si>
    <t>BOL REF A PLATAFORMA TIME DE CONSULTORIA</t>
  </si>
  <si>
    <t>REF 02/06 SUPABASE - r$ 321,48 + r$ 11,25 IOF - plataforma landing.aI ** CARTÃO PJ **</t>
  </si>
  <si>
    <t>19/05 TURBO CLOUD - **CARTÃO PJ**</t>
  </si>
  <si>
    <t>REF 09/06 VERCEL INC. - R$ 215,11 + R$ 7,52 IOF - ** FORA DO ORÇAMENTO - AUTORIZADO MARCELO ** - ** CARTÃO PJ **</t>
  </si>
  <si>
    <t>TARIFA MENSALIDADE PACOTE SERVICOS MAIO 2026</t>
  </si>
  <si>
    <t>TARIFA PACOTE DE SERVIÇOS COBRANÇA REFERENTE 05062026</t>
  </si>
  <si>
    <t>Gerado automaticamente pelo Omie.CASH. Trata-se da tarifa referente ao Pix enviado em 30/07/2026 para:  RONALDO DE OLIVEIRA PIRES (073.061.106-08) Instituição: 260 Agência: 0001 Conta: 5715249-6 Número da Transação: E132033542026073020053808ED1257C</t>
  </si>
  <si>
    <t>TARIFA DÉBITO AUTOMÁTICO TAR AGRUPADAS OCORRENCIA 05062026</t>
  </si>
  <si>
    <t>TARIFA PIX ENVIADO TAR AGRUPADAS OCORRENCIA 05062026</t>
  </si>
  <si>
    <t>Seguro referente a 03/2026 e 06/2026</t>
  </si>
  <si>
    <t>TARIFA AVULSA ENVIO PIX</t>
  </si>
  <si>
    <t>TARIFA PIX ENVIADO TAR AGRUPADAS OCORRENCIA 25062026</t>
  </si>
  <si>
    <t>TARIFA PIX ENVIADO TAR AGRUPADAS OCORRENCIA 16062026</t>
  </si>
  <si>
    <t>Gerado automaticamente pelo Omie.CASH. Trata-se da tarifa referente à transferência enviada em 18/06/2026 para:  ASSOCIACAO BENEFICENTE E CULTURAL AMIGOS DO NOIVO (04.704.512/0001-90) Instituição: 756 Agência: 4149 Conta: 14765-6 Número da Transação: 11614735</t>
  </si>
  <si>
    <t>Gerado automaticamente pelo Omie.CASH. Trata-se da tarifa referente à transferência enviada em 05/06/2026 para:  HUMBERTO SALES DE ALMEIDA (112.339.986-76) Instituição: 348 Agência: 0001 Conta: 951216-4 Número da Transação: 11593220</t>
  </si>
  <si>
    <t>TAR PAG SALÁR CRÉD CONTA COBRANÇA REFERENTE 05062026</t>
  </si>
  <si>
    <t>TARIFA DÉBITO AUTOMÁTICO TAR AGRUPADAS OCORRENCIA 18062026</t>
  </si>
  <si>
    <t>Gerado automaticamente pelo Omie.CASH. Trata-se da tarifa referente ao Pix enviado em 28/07/2026 para:  CAIXA ECONOMICA FEDERAL (00.360.305/0001-04) Instituição: 104 Agência: 0647 Conta: 9999000537000360305-5 Número da Transação: E13203354202607281949FDD050AD459</t>
  </si>
  <si>
    <t>Gerado automaticamente pelo Omie.CASH. Trata-se da tarifa referente ao boleto 0020155100000595 com vencimento em 30/05/2026 emitido para:  SUL MINAS EVENTOS LTDA (24.207.538/0001-30) Número da Transação: 6575695</t>
  </si>
  <si>
    <t>Gerado automaticamente pelo Omie.CASH. Trata-se da tarifa referente ao boleto 0020155100000593 com vencimento em 30/05/2026 emitido para:  UAI EVENTOS LTDA (32.488.320/0001-29) Número da Transação: 6574306</t>
  </si>
  <si>
    <t>Gerado automaticamente pelo Omie.CASH. Trata-se da tarifa referente ao boleto 0020155100000591 com vencimento em 30/05/2026 emitido para:  NEW FOTOS EVENTOS LTDA (47.973.422/0001-07) Número da Transação: 6573139</t>
  </si>
  <si>
    <t>Gerado automaticamente pelo Omie.CASH. Trata-se da tarifa de liquidação de boleto. Número da Transação: 28694232</t>
  </si>
  <si>
    <t>Gerado automaticamente pelo Omie.CASH. Trata-se da tarifa referente ao boleto 0020155100000601 com vencimento em 30/06/2026 emitido para:  UAI EVENTOS LTDA (32.488.320/0001-29) Número da Transação: 7168590</t>
  </si>
  <si>
    <t>TARIFA PIX ENVIADO TAR AGRUPADAS OCORRENCIA 09062026</t>
  </si>
  <si>
    <t>TARIFA PIX ENVIADO TAR AGRUPADAS OCORRENCIA 23062026</t>
  </si>
  <si>
    <t>Gerado automaticamente pelo Omie.CASH. Trata-se da tarifa referente ao Pix enviado em 31/07/2026 para:  IFOOD PAGO INSTITUICAO DE PAGAMENTO S.A. (19.468.242/0001-32) Instituição: 595 Agência: 0001 Conta: 171465978-7 Número da Transação: E1320335420260731165010283733512</t>
  </si>
  <si>
    <t>Gerado automaticamente pelo Omie.CASH. Trata-se da tarifa referente ao Pix enviado em 08/06/2026 para:  BUSINESS NETWORKING MASTER FRANQUIA BRASIL LTDA (04.362.235/0001-84) Instituição: ID645 Agência: 0001 Conta: 575887-5 Número da Transação: E132033542026060818465A3F44EA968</t>
  </si>
  <si>
    <t>Gerado automaticamente pelo Omie.CASH. Trata-se da tarifa referente ao Pix enviado em 09/06/2026 para:  54.971.070 felipe henriques crivellari (54.971.070/0001-16) Instituição: 336 Agência: 0001 Conta: 32629505-4 Número da Transação: E13203354202606091921C9EE47CCE16</t>
  </si>
  <si>
    <t>Gerado automaticamente pelo Omie.CASH. Trata-se da tarifa referente ao Pix enviado em 05/06/2026 para:  VITOR DE OLIVEIRA PEDROSA (052.537.926-60) Instituição: 001 Agência: 5888 Conta: 40754-2 Número da Transação: E13203354202606051707ACFE922EF16</t>
  </si>
  <si>
    <t>Gerado automaticamente pelo Omie.CASH. Trata-se da tarifa referente ao Pix enviado em 09/06/2026 para:  55.409.310 VICTOR DANIEL MENDES ROCHA (55.409.310/0001-56) Instituição: 260 Agência: 0001 Conta: 670649906-2 Número da Transação: E132033542026060919214C6275F11D7</t>
  </si>
  <si>
    <t>Gerado automaticamente pelo Omie.CASH. Trata-se da tarifa referente ao Pix enviado em 05/06/2026 para:  BRUNA BELTANTE ASSIS (109.085.626-16) Instituição: 001 Agência: 2592 Conta: 32175-3 Número da Transação: E13203354202606051707078171BA912</t>
  </si>
  <si>
    <t>Gerado automaticamente pelo Omie.CASH. Trata-se da tarifa referente ao Pix enviado em 05/06/2026 para:  V E FRANQUEADORA LTDA (16.655.009/0001-70) Instituição: 001 Agência: 0024 Conta: 123049-2 Número da Transação: E132033542026060517575C8BD214665</t>
  </si>
  <si>
    <t>Gerado automaticamente pelo Omie.CASH. Trata-se da tarifa referente ao Pix enviado em 05/06/2026 para:  MARCOS ANTONIO MAINI DUQUE (087.323.606-81) Instituição: 033 Agência: 0179 Conta: 1033275-2 Número da Transação: E13203354202606051706FA01943E00C</t>
  </si>
  <si>
    <t>Gerado automaticamente pelo Omie.CASH. Trata-se da tarifa referente ao Pix enviado em 05/06/2026 para:  CRISTIANE LEITE BRAGA (080.991.806-40) Instituição: 260 Agência: 0001 Conta: 96210-2 Número da Transação: E13203354202606051706402A9A26814</t>
  </si>
  <si>
    <t>Gerado automaticamente pelo Omie.CASH. Trata-se da tarifa referente ao Pix enviado em 05/06/2026 para:  RENATO MENEZES FILGUEIRAS (060.840.216-89) Instituição: 001 Agência: 5888 Conta: 118869-0 Número da Transação: E13203354202606051707C3473F078F1</t>
  </si>
  <si>
    <t>Gerado automaticamente pelo Omie.CASH. Trata-se da tarifa referente ao Pix enviado em 09/06/2026 para:  PANELINHA COMIDA FIT LTDA (26.151.284/0001-00) Instituição: 001 Agência: 5888 Conta: 54940-1 Número da Transação: E13203354202606091922ABE9B8A3378</t>
  </si>
  <si>
    <t>Gerado automaticamente pelo Omie.CASH. Trata-se da tarifa referente ao Pix enviado em 05/06/2026 para:  JHONATAS SILVA FRANCO (091.220.926-76) Instituição: 260 Agência: 0001 Conta: 6901574-7 Número da Transação: E13203354202606051706A9E2DFB895E</t>
  </si>
  <si>
    <t>Gerado automaticamente pelo Omie.CASH. Trata-se da tarifa referente ao Pix enviado em 05/06/2026 para:  34.590.917 FABRICIO KELMER DE SOUZA (34.590.917/0001-05) Instituição: 260 Agência: 0001 Conta: 96328398-5 Número da Transação: E132033542026060517068E555D39F47</t>
  </si>
  <si>
    <t>Gerado automaticamente pelo Omie.CASH. Trata-se da tarifa referente ao Pix enviado em 05/06/2026 para:  DIONISIO SOUZA LOURO (015.301.116-50) Instituição: 033 Agência: 3499 Conta: 1010225-2 Número da Transação: E13203354202606051706B2666491880</t>
  </si>
  <si>
    <t>Gerado automaticamente pelo Omie.CASH. Trata-se da tarifa referente ao Pix enviado em 05/06/2026 para:  ELBA RAYANA DE PAIVA RIBAS (094.469.336-92) Instituição: 260 Agência: 0001 Conta: 80243916-3 Número da Transação: E13203354202606051706CCC81F8909B</t>
  </si>
  <si>
    <t>Gerado automaticamente pelo Omie.CASH. Trata-se da tarifa referente ao Pix enviado em 09/06/2026 para:  VITOR DE OLIVEIRA PEDROSA (052.537.926-60) Instituição: 033 Agência: 0179 Conta: 1029427-0 Número da Transação: E132033542026060919217DCD38A8291</t>
  </si>
  <si>
    <t>Gerado automaticamente pelo Omie.CASH. Trata-se da tarifa referente ao Pix enviado em 09/06/2026 para:  GABRIEL ARAUJO MORANDI (120.096.427-67) Instituição: 001 Agência: 3194 Conta: 32152-4 Número da Transação: E13203354202606091921826015DEC09</t>
  </si>
  <si>
    <t>Gerado automaticamente pelo Omie.CASH. Trata-se da tarifa referente ao Pix enviado em 09/06/2026 para:  EVERDAN ELIAS COELHO (058.382.626-13) Instituição: 260 Agência: 0001 Conta: 20377589-9 Número da Transação: E132033542026060919217EA3C532A4A</t>
  </si>
  <si>
    <t>Gerado automaticamente pelo Omie.CASH. Trata-se da tarifa referente ao Pix enviado em 11/06/2026 para:  15 253 335 EDUARDO ALVES DE OLIVEIRA (15.253.335/0001-99) Instituição: 033 Agência: 0179 Conta: 13009233-6 Número da Transação: E13203354202606111819359E10B0F69</t>
  </si>
  <si>
    <t>Gerado automaticamente pelo Omie.CASH. Trata-se da tarifa referente ao Pix enviado em 02/06/2026 para:  SGX ADMINISTRACAO, EMPREENDIMENTOS E PARTICIPACAO LTDA (15.371.703/0001-01) Instituição: 001 Agência: 0024 Conta: 123398-0 Número da Transação: E1320335420260602183760DC1D9A188</t>
  </si>
  <si>
    <t>Gerado automaticamente pelo Omie.CASH. Trata-se da tarifa referente ao Pix enviado em 09/06/2026 para:  55.409.310 VICTOR DANIEL MENDES ROCHA (55.409.310/0001-56) Instituição: 260 Agência: 0001 Conta: 670649906-2 Número da Transação: E13203354202606091921952015FF6CA</t>
  </si>
  <si>
    <t>Gerado automaticamente pelo Omie.CASH. Trata-se da tarifa referente ao Pix enviado em 09/06/2026 para:  STARBAND IDENTIFICACAO DE PUBLICO LTDA (42.024.510/0001-49) Instituição: 756 Agência: 3194 Conta: 9777560-6 Número da Transação: E132033542026060919214C34D389339</t>
  </si>
  <si>
    <t>Gerado automaticamente pelo Omie.CASH. Trata-se da tarifa referente ao Pix enviado em 12/06/2026 para:  EMPORIO DOS PAES JF LTDA (31.401.866/0001-38) Instituição: ID247 Agência: 3137 Conta: 16580-8 Número da Transação: E13203354202606121645FC7C9E864C8</t>
  </si>
  <si>
    <t>Gerado automaticamente pelo Omie.CASH. Trata-se da tarifa referente ao Pix enviado em 09/06/2026 para:  VIVA MIXX EVENTOS E FORMATURAS LTDA (21.156.081/0001-93) Instituição: 033 Agência: 3044 Conta: 13007733-7 Número da Transação: E13203354202606091922B702A1499C1</t>
  </si>
  <si>
    <t>Gerado automaticamente pelo Omie.CASH. Trata-se da tarifa referente ao Pix enviado em 09/06/2026 para:  ROSANGELA SILVA TAVARES (209.395.236-04) Instituição: 001 Agência: 5888 Conta: 108438-0 Número da Transação: E1320335420260609192298C343ED75A</t>
  </si>
  <si>
    <t>Gerado automaticamente pelo Omie.CASH. Trata-se da tarifa referente ao Pix enviado em 09/06/2026 para:  Marcos Vinicius Soldate (055.442.346-47) Instituição: 237 Agência: 3832 Conta: 1002963-5 Número da Transação: E13203354202606091922661E6826389</t>
  </si>
  <si>
    <t>Gerado automaticamente pelo Omie.CASH. Trata-se da tarifa referente ao Pix enviado em 09/06/2026 para:  STARBAND IDENTIFICACAO DE PUBLICO LTDA (42.024.510/0001-49) Instituição: 756 Agência: 3194 Conta: 9777560-6 Número da Transação: E13203354202606091922BEA0CD3BE36</t>
  </si>
  <si>
    <t>Gerado automaticamente pelo Omie.CASH. Trata-se da tarifa referente ao Pix enviado em 09/06/2026 para:  CIELO &amp; PAVIN EVENTOS LTDA (64.186.413/0001-95) Instituição: ID437 Agência: 0434 Conta: 58598-1 Número da Transação: E13203354202606091923F040467FEC2</t>
  </si>
  <si>
    <t>Gerado automaticamente pelo Omie.CASH. Trata-se da tarifa referente ao Pix enviado em 02/06/2026 para:  MARCOS ANTONIO MAINI DUQUE (087.323.606-81) Instituição: 033 Agência: 0179 Conta: 1033275-2 Número da Transação: E132033542026060218375645F9F3107</t>
  </si>
  <si>
    <t>Gerado automaticamente pelo Omie.CASH. Trata-se da tarifa referente ao Pix enviado em 02/06/2026 para:  Marcelo Bahia de Souza (780.364.616-68) Instituição: 260 Agência: 0001 Conta: 95411218-4 Número da Transação: E1320335420260602183733CBDE381A4</t>
  </si>
  <si>
    <t>Gerado automaticamente pelo Omie.CASH. Trata-se da tarifa referente ao Pix enviado em 11/06/2026 para:  VIVA MIXX EVENTOS E FORMATURAS LTDA - ME (21.156.081/0001-93) Instituição: 001 Agência: 0024 Conta: 123408-0 Número da Transação: E1320335420260611182379AF720EA2E</t>
  </si>
  <si>
    <t>Gerado automaticamente pelo Omie.CASH. Trata-se da tarifa referente ao Pix enviado em 09/06/2026 para:  Lucas Fonseca Ferraz (343.479.588-03) Instituição: 260 Agência: 0001 Conta: 503241-4 Número da Transação: E13203354202606091922F6A4A6CD1F0</t>
  </si>
  <si>
    <t>Gerado automaticamente pelo Omie.CASH. Trata-se da tarifa referente ao Pix enviado em 11/06/2026 para:  EVERDAN ELIAS COELHO (058.382.626-13) Instituição: 260 Agência: 0001 Conta: 20377589-9 Número da Transação: E132033542026061118190EDC7CD5FB2</t>
  </si>
  <si>
    <t>Gerado automaticamente pelo Omie.CASH. Trata-se da tarifa referente ao Pix enviado em 02/06/2026 para:  Marcelo Bahia de Souza (780.364.616-68) Instituição: 260 Agência: 0001 Conta: 95411218-4 Número da Transação: E132033542026060218375EB343CA4B3</t>
  </si>
  <si>
    <t>Gerado automaticamente pelo Omie.CASH. Trata-se da tarifa referente ao Pix enviado em 02/06/2026 para:  Marcelo Bahia de Souza (780.364.616-68) Instituição: 260 Agência: 0001 Conta: 95411218-4 Número da Transação: E132033542026060218370AA651EC757</t>
  </si>
  <si>
    <t>Gerado automaticamente pelo Omie.CASH. Trata-se da tarifa referente ao Pix enviado em 16/06/2026 para:  RONALDO DE OLIVEIRA PIRES (073.061.106-08) Instituição: 260 Agência: 0001 Conta: 5715249-6 Número da Transação: E132033542026061617110CE8EA9C013</t>
  </si>
  <si>
    <t>Gerado automaticamente pelo Omie.CASH. Trata-se da tarifa referente ao Pix enviado em 18/06/2026 para:  ALEXANDRE GONCALVES TAVARES (007.380.307-32) Instituição: 756 Agência: 4084 Conta: 11133-3 Número da Transação: E132033542026061818332CEE4D0A7BB</t>
  </si>
  <si>
    <t>Gerado automaticamente pelo Omie.CASH. Trata-se da tarifa referente ao Pix enviado em 16/06/2026 para:  VITOR DE OLIVEIRA PEDROSA (052.537.926-60) Instituição: 001 Agência: 5888 Conta: 40754-2 Número da Transação: E13203354202606161711057FC69EDCA</t>
  </si>
  <si>
    <t>Gerado automaticamente pelo Omie.CASH. Trata-se da tarifa referente ao Pix enviado em 25/06/2026 para:  VIVA MIXX EVENTOS E FORMATURAS LTDA - ME (21.156.081/0001-93) Instituição: 001 Agência: 0024 Conta: 123408-0 Número da Transação: E132033542026062518125EE46C74F9F</t>
  </si>
  <si>
    <t>Gerado automaticamente pelo Omie.CASH. Trata-se da tarifa referente ao Pix enviado em 23/06/2026 para:  LUIZA PEREIRA HARGREAVES CARVALHO (098.620.426-99) Instituição: 237 Agência: 0080 Conta: 576090-9 Número da Transação: E1320335420260623182887487F298D9</t>
  </si>
  <si>
    <t>Gerado automaticamente pelo Omie.CASH. Trata-se da tarifa referente ao Pix enviado em 23/06/2026 para:  55.409.310 VICTOR DANIEL MENDES ROCHA (55.409.310/0001-56) Instituição: 260 Agência: 0001 Conta: 670649906-2 Número da Transação: E13203354202606231827E9761F52798</t>
  </si>
  <si>
    <t>Gerado automaticamente pelo Omie.CASH. Trata-se da tarifa referente ao Pix enviado em 16/06/2026 para:  15 253 335 EDUARDO ALVES DE OLIVEIRA (15.253.335/0001-99) Instituição: 033 Agência: 0179 Conta: 13009233-6 Número da Transação: E132033542026061617113149E5B6293</t>
  </si>
  <si>
    <t>Gerado automaticamente pelo Omie.CASH. Trata-se da tarifa referente ao Pix enviado em 16/06/2026 para:  15 253 335 EDUARDO ALVES DE OLIVEIRA (15.253.335/0001-99) Instituição: 033 Agência: 0179 Conta: 13009233-6 Número da Transação: E13203354202606161711FFB0CB9FBE4</t>
  </si>
  <si>
    <t>Gerado automaticamente pelo Omie.CASH. Trata-se da tarifa referente ao Pix enviado em 25/06/2026 para:  15 253 335 EDUARDO ALVES DE OLIVEIRA (15.253.335/0001-99) Instituição: 033 Agência: 0179 Conta: 13009233-6 Número da Transação: E13203354202606251812F78CB0B4375</t>
  </si>
  <si>
    <t>Gerado automaticamente pelo Omie.CASH. Trata-se da tarifa referente ao Pix enviado em 23/06/2026 para:  54.971.070 felipe henriques crivellari (54.971.070/0001-16) Instituição: 336 Agência: 0001 Conta: 32629505-4 Número da Transação: E13203354202606231828607B11B2360</t>
  </si>
  <si>
    <t>Gerado automaticamente pelo Omie.CASH. Trata-se da tarifa referente ao Pix enviado em 23/06/2026 para:  PANELINHA COMIDA FIT LTDA (26.151.284/0001-00) Instituição: 001 Agência: 5888 Conta: 54940-1 Número da Transação: E132033542026062318289F3CDFFCCA4</t>
  </si>
  <si>
    <t>Gerado automaticamente pelo Omie.CASH. Trata-se da tarifa referente ao Pix enviado em 17/06/2026 para:  RONALDO ADRIANO PEREIRA (045.880.176-32) Instituição: 077 Agência: 0001 Conta: 26343193-2 Número da Transação: E132033542026061715260E1B80A7022</t>
  </si>
  <si>
    <t>Gerado automaticamente pelo Omie.CASH. Trata-se da tarifa referente ao Pix enviado em 16/06/2026 para:  Lara Duarte Barbosa de Matos (098.787.826-38) Instituição: 260 Agência: 0001 Conta: 5815284-2 Número da Transação: E13203354202606161711EDB18E5CF87</t>
  </si>
  <si>
    <t>Gerado automaticamente pelo Omie.CASH. Trata-se da tarifa referente ao Pix enviado em 24/06/2026 para:  João Gilberto Lima Queiroz (099.172.436-40) Instituição: 260 Agência: 0001 Conta: 85542713-1 Número da Transação: E13203354202606241739C0EBD899E27</t>
  </si>
  <si>
    <t>Gerado automaticamente pelo Omie.CASH. Trata-se da tarifa referente ao Pix enviado em 16/06/2026 para:  IFOOD PAGO INSTITUICAO DE PAGAMENTO S.A. (19.468.242/0001-32) Instituição: 595 Agência: 0001 Conta: 171465978-7 Número da Transação: E1320335420260616171100E806F60B9</t>
  </si>
  <si>
    <t>Gerado automaticamente pelo Omie.CASH. Trata-se da tarifa referente ao Pix enviado em 18/06/2026 para:  15 253 335 EDUARDO ALVES DE OLIVEIRA (15.253.335/0001-99) Instituição: 033 Agência: 0179 Conta: 13009233-6 Número da Transação: E132033542026061818334442FC98977</t>
  </si>
  <si>
    <t>Gerado automaticamente pelo Omie.CASH. Trata-se da tarifa referente ao Pix enviado em 18/06/2026 para:  CAIXA ECONOMICA FEDERAL (00.360.305/0001-04) Instituição: 104 Agência: 0647 Conta: 9999000537000360305-5 Número da Transação: E13203354202606181833DA35F8F8E5A</t>
  </si>
  <si>
    <t>Gerado automaticamente pelo Omie.CASH. Trata-se da tarifa referente ao Pix enviado em 25/06/2026 para:  15 253 335 EDUARDO ALVES DE OLIVEIRA (15.253.335/0001-99) Instituição: 033 Agência: 0179 Conta: 13009233-6 Número da Transação: E13203354202606251812014FFC4F038</t>
  </si>
  <si>
    <t>Gerado automaticamente pelo Omie.CASH. Trata-se da tarifa referente ao Pix enviado em 25/06/2026 para:  3Ps EVENTOS (27.254.075/0001-55) Instituição: 756 Agência: 3118 Conta: 381804-7 Número da Transação: E13203354202606251812882BC2B9CA0</t>
  </si>
  <si>
    <t>Gerado automaticamente pelo Omie.CASH. Trata-se da tarifa referente ao Pix enviado em 18/06/2026 para:  JF NORTE VIAGENS LTDA (42.652.998/0001-59) Instituição: 237 Agência: 3832 Conta: 327850-6 Número da Transação: E13203354202606181833A6D9D94725A</t>
  </si>
  <si>
    <t>Gerado automaticamente pelo Omie.CASH. Trata-se da tarifa referente ao Pix enviado em 30/06/2026 para:  41.362.810 LISIA JANNUZZI FAQUIM (41.362.810/0001-75) Instituição: 033 Agência: 2990 Conta: 16036102-1 Número da Transação: E13203354202606301715465BBF376D7</t>
  </si>
  <si>
    <t>Gerado automaticamente pelo Omie.CASH. Trata-se da tarifa referente ao Pix enviado em 30/06/2026 para:  THOMAS SOUZA REIS (097.174.676-17) Instituição: 260 Agência: 0001 Conta: 1201493-3 Número da Transação: E1320335420260630171506D326C5CDE</t>
  </si>
  <si>
    <t>Gerado automaticamente pelo Omie.CASH. Trata-se da tarifa referente ao Pix enviado em 30/06/2026 para:  PAES E DOCES NOVA FANTASTICA LTDA (13.462.169/0001-05) Instituição: 341 Agência: 3163 Conta: 98737-7 Número da Transação: E1320335420260630171531541F9F192</t>
  </si>
  <si>
    <t>Gerado automaticamente pelo Omie.CASH. Trata-se da tarifa referente ao Pix enviado em 30/06/2026 para:  V.R. EVENTOS LTDA (16.422.009/0001-20) Instituição: 756 Agência: 3008 Conta: 259431-5 Número da Transação: E1320335420260630171547241CF87DA</t>
  </si>
  <si>
    <t>Gerado automaticamente pelo Omie.CASH. Trata-se da tarifa referente ao Pix enviado em 05/06/2026 para:  ELPIDIO JOSE FRANCISCO FILHO (504.686.937-34) Instituição: 033 Agência: 4535 Conta: 1025752-3 Número da Transação: E132033542026060517074D14ED6C16F</t>
  </si>
  <si>
    <t>Gerado automaticamente pelo Omie.CASH. Trata-se da tarifa referente ao Pix enviado em 05/06/2026 para:  MARCELA DE SOUZA (083.892.026-89) Instituição: 260 Agência: 0001 Conta: 19753868-1 Número da Transação: E13203354202606051708BF22FEE8745</t>
  </si>
  <si>
    <t>Gerado automaticamente pelo Omie.CASH. Trata-se da tarifa referente ao Pix enviado em 02/06/2026 para:  MARCELO GOMES DE ALMEIDA GONCALVES (916.055.556-49) Instituição: 001 Agência: 5888 Conta: 40755-0 Número da Transação: E13203354202606021854F883C8C46F3</t>
  </si>
  <si>
    <t>Gerado automaticamente pelo Omie.CASH. Trata-se da tarifa referente ao Pix enviado em 05/06/2026 para:  LUCAS SOBRINHO TEIXEIRA (073.847.576-90) Instituição: 260 Agência: 0001 Conta: 7002586-8 Número da Transação: E132033542026060517083FEE34E0FE2</t>
  </si>
  <si>
    <t>Gerado automaticamente pelo Omie.CASH. Trata-se da tarifa referente ao Pix enviado em 09/06/2026 para:  PANELINHA COMIDA FIT LTDA (26.151.284/0001-00) Instituição: 001 Agência: 5888 Conta: 54940-1 Número da Transação: E1320335420260609194083DDD07BBF4</t>
  </si>
  <si>
    <t>Gerado automaticamente pelo Omie.CASH. Trata-se da tarifa referente ao Pix enviado em 09/06/2026 para:  54.971.070 felipe henriques crivellari (54.971.070/0001-16) Instituição: 336 Agência: 0001 Conta: 32629505-4 Número da Transação: E1320335420260609194092126DC8F25</t>
  </si>
  <si>
    <t>Gerado automaticamente pelo Omie.CASH. Trata-se da tarifa referente ao Pix enviado em 23/06/2026 para:  54.971.070 felipe henriques crivellari (54.971.070/0001-16) Instituição: 336 Agência: 0001 Conta: 32629505-4 Número da Transação: E1320335420260623182350AF6A06414</t>
  </si>
  <si>
    <t>Gerado automaticamente pelo Omie.CASH. Trata-se da tarifa referente ao Pix enviado em 18/06/2026 para:  CAIXA ECONOMICA FEDERAL (00.360.305/0001-04) Instituição: 104 Agência: 0647 Conta: 9999000537000360305-5 Número da Transação: E13203354202606181839653BCEA3796</t>
  </si>
  <si>
    <t>Gerado automaticamente pelo Omie.CASH. Trata-se da tarifa referente ao Pix enviado em 23/06/2026 para:  PANELINHA COMIDA FIT LTDA (26.151.284/0001-00) Instituição: 001 Agência: 5888 Conta: 54940-1 Número da Transação: E1320335420260623182356A2C9669BA</t>
  </si>
  <si>
    <t>Gerado automaticamente pelo Omie.CASH. Trata-se da tarifa referente ao Pix enviado em 23/06/2026 para:  JMA PRINT LTDA (64.808.936/0001-26) Instituição: 237 Agência: 0080 Conta: 137881-3 Número da Transação: E132033542026062318234CDDF3C3FC1</t>
  </si>
  <si>
    <t>MEGACOM INTERNET LTDA</t>
  </si>
  <si>
    <t>BOL - REF A CONTA DE INTERNET HUB - COMP 06/2026</t>
  </si>
  <si>
    <t>BOL - REF A CONTA DA TIM SPDX - 06/2026</t>
  </si>
  <si>
    <t>BOL REF A INTERNET HUB - COMP 06/2026</t>
  </si>
  <si>
    <t>BOL - CONTA EM NOME DA SPDX - N° CONTA 0401265924 COMP 06/2026</t>
  </si>
  <si>
    <t>RECARGAS NÚMEROS PRE PAGOS - SPDX 40*15,00 = r$ 600,00 + FRANQ 11*15,00 = 165,00 Obs.: Celular final 6165 (Maria Antonia), não foi recarregado</t>
  </si>
  <si>
    <t>Conta a Pagar gerada a partir da cópia de outra conta com vencimento: 06/07/2026 e parcela: 001/001  REF 15/06 AMAZONMKTPLC*GUSTAVOFU - JOGO ENDOMKT ** CARTÃO PJ *</t>
  </si>
  <si>
    <t>REF 03/06 AMAZON BR - livro para liderança - endomkt ** CARTÃO PJ **</t>
  </si>
  <si>
    <t>ATTAS FABRICACAO E COMERCIO DE BEBIDAS LTDA</t>
  </si>
  <si>
    <t>Pagamento Boomy Arraiá 2026</t>
  </si>
  <si>
    <t>BUFFET VILA RICA</t>
  </si>
  <si>
    <t>Pagamento coffee - Lançamento 3° Quarter</t>
  </si>
  <si>
    <t>CAROLINA GOUVEA FRANCISCO</t>
  </si>
  <si>
    <t>Pix - Ref ao reembolso Refri ação time financeiro csc e cash out</t>
  </si>
  <si>
    <t>BOL - VIAGEM 10 ANOS - CRIS  - PARCELA 03/05</t>
  </si>
  <si>
    <t>DIN - Roleta de Aniversário - Angelita</t>
  </si>
  <si>
    <t>HUMBERTO SALES - BANCO XP S.A</t>
  </si>
  <si>
    <t>Pagamento 10 bolinhos de aniversário</t>
  </si>
  <si>
    <t>Pix - Ref a compra de salgadinho aniversario do mês time financeiro csc</t>
  </si>
  <si>
    <t>Aporte ação de endomkt time de ATD</t>
  </si>
  <si>
    <t>REF AO UBER - VISITA TRADE - REGIS  -  **CARTÃO PJ**</t>
  </si>
  <si>
    <t>REF AO UBER - Larissa Felicio - Confra GP -  **CARTÃO PJ**</t>
  </si>
  <si>
    <t>Pagamento impressão de artes para o endomkt</t>
  </si>
  <si>
    <t>Pagamento Agilli - impressos Arraiá Viva 26</t>
  </si>
  <si>
    <t>PIX - Impressão 9 voucher Sodiê Arraiá</t>
  </si>
  <si>
    <t>ESARTE IMPORTADORA LTDA</t>
  </si>
  <si>
    <t>REF 18/06 MP*E5DIGITAL - kit torcedor - ação endomkt ** CARTÃO PJ **</t>
  </si>
  <si>
    <t>DIN -  ref chocolate retorno de férias - Carvalho e Clari</t>
  </si>
  <si>
    <t>MURILO DOS SANTOS JOSE LTDA</t>
  </si>
  <si>
    <t>REF - bandeirinhas juninas - festa junina HUB (ação de endomkt) ** CARTÃO PJ **</t>
  </si>
  <si>
    <t>Lançamentos no cartão</t>
  </si>
  <si>
    <t>Pagamento Coffee - Reunião PE (solicitado pela Cris)</t>
  </si>
  <si>
    <t>TRINCA CAMISAS PERSONALIZADAS EIRELI</t>
  </si>
  <si>
    <t>Pagamento camisas Botti - Ação de endomkt - Ação aniversario dos filhos</t>
  </si>
  <si>
    <t>VINANET ECOM LTDA</t>
  </si>
  <si>
    <t>REF 19/06 MP*VICOMSHOP - 13 capivaras de pelucia - ação de endomkt ** CARTÃO PJ **</t>
  </si>
  <si>
    <t>BOL - REF AO PAGAMENTO HONORÁRIOS - COMP  07/2026</t>
  </si>
  <si>
    <t>BOL REF AO HONORÁRIO - COMP 07/2026</t>
  </si>
  <si>
    <t>BOL REF COWORKING SPDX - COMP 07/2026</t>
  </si>
  <si>
    <t>DEP REF A PAGAMENTO ALUGUEL HUB - COMP 07/2026</t>
  </si>
  <si>
    <t>Gerado automaticamente pelo Omie.CASH. Trata-se da tarifa referente ao boleto 0020493300000139 com vencimento em 10/02/2026 emitido para:  BRA F A F EMPREENDIMENTOS IMOBILIARIOS SPE LTDA (27.525.721/0001-71) Número da Transação: 23758753</t>
  </si>
  <si>
    <t>PIX REF ABEFORM - CONTRIBUIÇÃO EXTRA PARA REFORMA TRIBUTARIA - PARCELA 01/03</t>
  </si>
  <si>
    <t>BOL REF MENSALIDADE ABEFORM - COMP 07/2026</t>
  </si>
  <si>
    <t>BOL - MENSALIDADE ASSOCIAÇÃO BRASILEIRA DE FRANCHISING - COMP 07/2026</t>
  </si>
  <si>
    <t>MERCADO LIVRE (Ebazar.com.br)</t>
  </si>
  <si>
    <t>PIX - REF COMPRA : 4 fones de ouvido - solicitação da Marcela e Clariane. Marcela: 1 p/ jéssica paiva   1 p/ sérgio   1 p/ marina Clariane: 1 p/ Gkay (home office)  link do mercado livre: https://www.mercadolivre.com.br/fone-ouvido-gamer-celular-ps4-pc-headset-headphone-jogador-cor-preto/p/MLB44233610?pdp_filters=item_id:MLB6612538518</t>
  </si>
  <si>
    <t>REF  05/07 AMAZONMKTPLC*LEBRESTOR - carregador para o celular do mkt ** CARTÃO PJ **</t>
  </si>
  <si>
    <t>REF 02/06  Disney Plus-  - ASSINATURA DISNEY + CAMPANHA VIVA Round PIX  ** CARTÃO PJ **</t>
  </si>
  <si>
    <t>** AJUSTAR PROJETO ** BOL - Ref a  Reuniões e Apresentações  Ewbank R$ 5,00 Escola Duque de Caxias.- 2026- 9 EE Antonio Macedo - 2026 - 9 e 3 E M Hercília Silva de Melo - 2026 - 5</t>
  </si>
  <si>
    <t>Não Entrará no DRE</t>
  </si>
  <si>
    <t>** AJUSTAR PROJETO ** BOL - Ref a  Reuniões e Apresentações Escola Normal - 2026 - 9 , 5 e 3 Escola Duque de Caxias.- 2026 - 9 Escola Prof Jose Eutrópio - 2026 - 5 Escola M Cemei Prof Paulo Soares - 2026 - Pre escola  Escola Estadual Antonio Macedo - 2026 - 9 e 3</t>
  </si>
  <si>
    <t>BOL - Ref a  Reuniões e Apresentações -Ewbank Reunião com a prefeitura de Ewbank</t>
  </si>
  <si>
    <t>** AJUSTAR PROJETO ** BOL - REF AO REEMBOLSO VIAGEM  -  E. M. Carlos Augusto de Assis - 2026 - 5 e 9 ano Cecon - R$ 12,00 - Cecon - 2026 - 9 , 3, Tecnico</t>
  </si>
  <si>
    <t>SAUL RODRIGUES DE CARVALHO</t>
  </si>
  <si>
    <t>DEP - REF A COBERTURA FOTOGRÁFICA - FESTA JULINA - E. E. DELFIM MOREIRA - CENTRAL - 15-07-2026  E. E. DELFIM MOREIRA - 2026 - 9 e 3</t>
  </si>
  <si>
    <t>DEP - REF A COBERTURA FOTOGRÁFICA - FESTA JULINA - E. E. ANTONIO MACEDO - EWBANK DA CAMARA - 15-07-2026 E. E. ANTONIO MACEDO - 2026 - 9 e 3</t>
  </si>
  <si>
    <t>DEP - REF A COBERTURA FOTOGRÁFICA - FEIRA CULTURAL - CECON cecon - 2026 - 9, 3 e tecnico</t>
  </si>
  <si>
    <t>REF AO UBER - viagem SP - FOTOS - Alexandre   - 22 a 23/05 - **CARTÃO PJ**</t>
  </si>
  <si>
    <t>REF AO UBER - Alexandre - Viagem São Paulo - DIA 12/05  - CONAFOR  **CARTÃO PJ**</t>
  </si>
  <si>
    <t>REF HOTEL VIAGEM JHONY E DIONÍSIO SÃO PAULO - DIA 24 a 27/06 - Imersão presencial - Projeto Vinci - **CARTÃO PJ**</t>
  </si>
  <si>
    <t>Imersão presencial - Projeto Vinci - JHONY E Dionísio - 24 a 27/06</t>
  </si>
  <si>
    <t>REF ÔNIBUS JHONY REF VIAGEM JHONY E DIONÍSIO SÃO PAULO - DIA 24 a 27/06  -  Imersão presencial - Projeto Vinci-- **CARTÃO PJ**</t>
  </si>
  <si>
    <t>REF ÔNIBUS DIONÍSIO REF VIAGEM JHONY E DIONÍSIO SÃO PAULO - DIA 24 a 27/06 - Imersão presencial - Projeto Vinci-  - **CARTÃO PJ**</t>
  </si>
  <si>
    <t>REF SEGURO BAGAGEM JHONY REF VIAGEM JHONY E DIONÍSIO SÃO PAULO - DIA 24 a 27/06  - Imersão presencial - Projeto Vinci- **CARTÃO PJ**</t>
  </si>
  <si>
    <t>REF SEGURO BAGAGEM DIONÍSIO REF VIAGEM JHONY E DIONÍSIO SÃO PAULO - Imersão presencial - Projeto Vinci - DIA 24 a 27/06  - **CARTÃO PJ**</t>
  </si>
  <si>
    <t>REF AO UBER - viagem SP - FOTOS - MARCOS   - 22 a 23/05 - **CARTÃO PJ**</t>
  </si>
  <si>
    <t>PIX - REF AO PGT DO CONDOMÍNIO SALVATERRA MALL   AUTORIZADO PELO MARCELO COMP 07/2026</t>
  </si>
  <si>
    <t>2ª parcela solicitação Marcos autorizado Marcelo - Contrato - 105111495-89 - ** FORA DO ORÇAMENTO - AUTORIZADO MARCELO **</t>
  </si>
  <si>
    <t>REBELS VENTURES LTDA</t>
  </si>
  <si>
    <t>REF 11/06 HTM*ManualdeD PARC 01/06 - CURSO MANUAL DO DONO - GESTÃO</t>
  </si>
  <si>
    <t>ALURA - PARC 12/12 **CARTÃO PJ**</t>
  </si>
  <si>
    <t>CESAR AUGUSTO DE SOUZA E SILVA</t>
  </si>
  <si>
    <t>PAGAMENTO PREMIO PUXADA - PRATA - VOLTA REDONDA - R$600,00</t>
  </si>
  <si>
    <t>REF 04/06 CONQUER ** CARTÃO PJ **</t>
  </si>
  <si>
    <t>PIX - SERVICOS ADMINISTRATIVOS E PESSOAL V EVENTOS - COMP 07/2026</t>
  </si>
  <si>
    <t>BOL - SERVICOS ADMINISTRATIVOS E PESSOAL SPDX - COMP 07/2026</t>
  </si>
  <si>
    <t>BOL REF A CONTABILIDADE REF. 07/2026</t>
  </si>
  <si>
    <t>SERVICO DE CONTABILIDADE - REF.: 07/2026</t>
  </si>
  <si>
    <t>BOL REF SERVICO DE CONTABILIDADE - REF.: 07/2026</t>
  </si>
  <si>
    <t>Dep ref ao reembolso Brit - Serviços Adicionais Ref. OneFlow Omie - COMP 07/2026</t>
  </si>
  <si>
    <t>Gerado automaticamente pelo Omie.CASH. Trata-se da tarifa referente ao boleto 0020493300000137 com vencimento em 10/01/2026 emitido para:  BRA F A F EMPREENDIMENTOS IMOBILIARIOS SPE LTDA (27.525.721/0001-71) Número da Transação: 22361265</t>
  </si>
  <si>
    <t>DEP SALÁRIO - COMP 07/2026</t>
  </si>
  <si>
    <t>DEP - SALARIO PJ - COMP 07/2026</t>
  </si>
  <si>
    <t>DEP SALÁRIO + ANTECIPAÇÃO COMISSÃO COMP 07/2026</t>
  </si>
  <si>
    <t>Custos com Treinamentos (*)</t>
  </si>
  <si>
    <t>MARIANA BALUT MIRANDA</t>
  </si>
  <si>
    <t>PIX - REF A PUXADA DE VENDAS - GANHADOR VIVA JF - 06/2026</t>
  </si>
  <si>
    <t>POLYANA VENANCIO PEREIRA</t>
  </si>
  <si>
    <t>PAGAMENTO PREMIO PUXADA - BRONZE - CURITIBA - R$250,00</t>
  </si>
  <si>
    <t>SUE ANNE ALVES HENRIQUES</t>
  </si>
  <si>
    <t>PAGAMENTO PREMIO PUXADA - SEM EVENTO OFICIAL - JOÃO PESSOA - R$400,00</t>
  </si>
  <si>
    <t>THACIANO DO CARMO GONCALVES</t>
  </si>
  <si>
    <t>PIX - REF A PUXADA DE VENDAS - GANHADOR VIVA Florianópolis- 06/2026</t>
  </si>
  <si>
    <t>PAGAMENTO PREMIO PUXADA - OURO - VITÓRIA - R$1.000,00</t>
  </si>
  <si>
    <t>PIX - REF A PUXADA DE VENDAS - GANHADOR VIVA  Contagem - 06/2026</t>
  </si>
  <si>
    <t>DEP REF DOAÇÃO PARA FUNDAÇÃO ABAN - PGTO DA INTERNET (MEGACOM)- COMP 07/2026</t>
  </si>
  <si>
    <t>Ref a compra de 50 unidades de pulseiras para o kit Bem Laranja Código de barras: 42297.11504 00064.897317 06632.944721 5 15060000025400</t>
  </si>
  <si>
    <t>STARK BRINDES PERSONALIZADOS LTDA</t>
  </si>
  <si>
    <t>PIX - Rrf  a 50 unidades de Pins - para Conviva Chave pix CNPJ: 55.796.518/0001-75</t>
  </si>
  <si>
    <t>REF A ENERGIA ELÉTRICA DO HUB - MATRICULA 3002374539  - COMP 07/2026 MEDIA DE CONSUMO 2098 KW/H * r$ 1,20 Pagamento feito para a ABD Holding</t>
  </si>
  <si>
    <t>KaBuM -PARC 06/10 - REF A COMPRA NOTEBOOK GUILHERME GP **CARTÃO PJ**</t>
  </si>
  <si>
    <t>Pagamento de Fretes e entregas HUB - Thransporta</t>
  </si>
  <si>
    <t>DIN - r$ 9,00 - Estacionamento banco dia 09/07 +  r$ 11,00 - Estacionamento banco dia 07/07 r$ 11,00 - Estacionamento banco dia 14/07</t>
  </si>
  <si>
    <t>REF AO UBER JANETE - BANCO - JUN/ 2026 **CARTÃO PJ**</t>
  </si>
  <si>
    <t>REF AO UBER -Larissa	Militino - Compras HUB - 11,33 + Alexander Barros - Entrega microfone para jhonny
12,37 + Guilherme Gonçalves
Decoracao copa - 20,85 + Laura	Branco- 76,51 - Ações Endomkt Copa  ** CARTÃO PJ**</t>
  </si>
  <si>
    <t>DIM - UBER SERVIÇO DE BANCO MARINA</t>
  </si>
  <si>
    <t>IOF sobre resgates no mês 07/2026</t>
  </si>
  <si>
    <t>IOF  PARCIAL sobre resgates no mês 07/2026</t>
  </si>
  <si>
    <t>Gerado automaticamente pelo Omie.CASH. Trata-se da tarifa referente ao Pix enviado em 06/02/2026 para:  RONALDO DE OLIVEIRA PIRES (073.061.106-08) Instituição: 260 Agência: 0001 Conta: 5715249-6 Número da Transação: E13203354202602061300294D2405430</t>
  </si>
  <si>
    <t>CIRILO CABOS IMPORTAÇÃO E EXPORTAÇÃO EIRELI</t>
  </si>
  <si>
    <t>BOL - COMPRA : 03 cabos vga blindado com filtro 01 - livia - quokka 01 - fernanda - gp 01 - estoque</t>
  </si>
  <si>
    <t>DIRECTA NET LTDA</t>
  </si>
  <si>
    <t>Conserto notebook Marcos Duque - Franqueadora Webcam original Acer: 295,00 A mão de obra em 225,00 Formatação com backup, limpeza interna e troca da webcam. Total 520,00</t>
  </si>
  <si>
    <t>PIX - conserto/reparo dobradiça e carcaça notebook bianca do marketing</t>
  </si>
  <si>
    <t>ELETRICA LIMEIRENSE LTDA</t>
  </si>
  <si>
    <t>REF 08/06 MP*MERCADOLIVRE- 3 fontes de fita led para manutenção HUB -</t>
  </si>
  <si>
    <t>Compra de 1 pente de 16gb de memória ram ddr4 para notebook do Lucas da Quokka - autorizado Vitor.</t>
  </si>
  <si>
    <t>Pagamento tintas HUB</t>
  </si>
  <si>
    <t>A K R SILVA ALVES</t>
  </si>
  <si>
    <t>REF 02/07 MP*MERCADOLIVRE - luminária para sala 2 de reunião  ** CARTÃO PJ **</t>
  </si>
  <si>
    <t>Despesas Gerais</t>
  </si>
  <si>
    <t>Troca painel frontal som, reparo fonte atx - pc Glendha - GP - Solicitação do Régis.</t>
  </si>
  <si>
    <t>Máquinas e Equipamentos</t>
  </si>
  <si>
    <t>MARCELO GOMES - BB</t>
  </si>
  <si>
    <t>REF A COMPRA DO MACBOOK - PAGO COM DINHEIRO QUE ESTA COM A CIDA - VALOR r$ 5500,00 REF AO ORÇAMENTO NOTEBOOK DIRETORIA - VALOR TOTAL DA COMPRA r$ 7.000,00 A DIFERENÇA SAIRÁ DA ABD HOLDING Pg cida</t>
  </si>
  <si>
    <t>REF ANÚNCIOS EXPANSÃO - FACEBK *QY5D7X5KL2 ** CARTÃO PJ **</t>
  </si>
  <si>
    <t>PREVISÃO - BOL ASSINATURA PLATAFORMA RECLAME AQUI</t>
  </si>
  <si>
    <t>BOL REF A PAGAMENTO PLATAFORMA - COMP 07/2026</t>
  </si>
  <si>
    <t>Renovação da assinatura do Meta Verified para ter direito ao selo de verificado do Instagram da VIVA Brasil</t>
  </si>
  <si>
    <t>GENESIS ALVES DE LACERDA</t>
  </si>
  <si>
    <t>Reembolso de uma arte que enviamos errado para um franqueado e ele teve custo com impressão. Como foi erro do mkt, vamos reembolsar.</t>
  </si>
  <si>
    <t>01/07 Google ADS4958468139 -  ANÚNCIOS PARA FDM  **CARTÃO PJ**</t>
  </si>
  <si>
    <t>** PREVISÃO ** PIX - REF AO CURSO BNI - REF A XX//2026 - https://go.novoingresso.com.br/bni-zmv-empreendedores - Senha : viva1320*</t>
  </si>
  <si>
    <t>PIX - REF AO CURSO BNI - REF A  07/2026 - https://go.novoingresso.com.br/bni-zmv-empreendedores senha  : viva1320*</t>
  </si>
  <si>
    <t>Dep - Ref almoço Luccas Franqueado Ubá :: 24/07/202</t>
  </si>
  <si>
    <t>Dep - Reunião Regular Presencial BNI-07/07/2026</t>
  </si>
  <si>
    <t>Pagamento do Gift card JUNHO - Campanha Viva em Dia</t>
  </si>
  <si>
    <t>REF AO UBER - Renato  - Viagem São Paulo - DIA 12/05  - CONAFOR  - **CARTÃO PJ**</t>
  </si>
  <si>
    <t>REF UBER - Alexandre Massacani -  VISITA ESCOLA DIA 30/06/2026</t>
  </si>
  <si>
    <t>REF UBER - Alexandre Massacani -  VISITA ESCOLA DIA 29/06/2026</t>
  </si>
  <si>
    <t>REF 26/05 MP*MERCADOLIVRE - COMPRA DE CHAVEIRO ETIQUETADORA - ** CARTÃO PJ **</t>
  </si>
  <si>
    <t>Pagamento - Material de limpeza HUB</t>
  </si>
  <si>
    <t>EMPORIO ACESSORIOS</t>
  </si>
  <si>
    <t>REF 01/06 MP*EMPORIOACESSO - FELTRO PARA CADEIRAS SALA REUNIÃO - ** CARTÃO PJ **</t>
  </si>
  <si>
    <t>Pagamento material de limpeza - Papel toalha e papel higiênico HUB</t>
  </si>
  <si>
    <t>Pagamento de Descartáveis HUB - saco de lixo e copos</t>
  </si>
  <si>
    <t>Pagamento Descartáveis santa Rita - Sacos de Lixo HUB</t>
  </si>
  <si>
    <t>UNIMARCAS COMERCIO E LOGISTICA LTDA</t>
  </si>
  <si>
    <t>REF 05/06 MP*UNIMARCAS - garrafa de café HUB ** CARTÃO PJ **</t>
  </si>
  <si>
    <t>FORTMAX SERVICOS GERAIS LTDA</t>
  </si>
  <si>
    <t>Pagamento de serviço de limpeza HUB</t>
  </si>
  <si>
    <t>DEP REF AO PGT FREELA DA LIMPEZA 06/07</t>
  </si>
  <si>
    <t>TARIFA DÉBITO AUTOMÁTICO TAR AGRUPADAS OCORRENCIA 08042026</t>
  </si>
  <si>
    <t>Pagamento Freela Limpeza HUB -  Dia 08/07</t>
  </si>
  <si>
    <t>Pagamento Freela Limpeza HUB - dia 09/07</t>
  </si>
  <si>
    <t>Pagamento Freela Limpeza HUB - dia 07/07</t>
  </si>
  <si>
    <t>Pagamento Freela Limpeza HUB - dia 10/07</t>
  </si>
  <si>
    <t>Pagamento Freela Limpeza HUB</t>
  </si>
  <si>
    <t>Pagamento Freela Limpeza HUB - dia 20/07</t>
  </si>
  <si>
    <t>Pagamento Freela Limpeza HUB - dia 17/07</t>
  </si>
  <si>
    <t>Conta a receber referente a:   - Recibo: 0000000869 - RPS: 0000088318 - NFS-e: 116437</t>
  </si>
  <si>
    <t>Conta a receber referente a:   - Recibo: 0000000852 - RPS: 0000088300 - NFS-e: 116419</t>
  </si>
  <si>
    <t>Conta a receber referente a:   - Recibo: 0000000853 - RPS: 0000088301 - NFS-e: 116420</t>
  </si>
  <si>
    <t>Conta a receber referente a:   - Recibo: 0000000854 - RPS: 0000088302 - NFS-e: 116421</t>
  </si>
  <si>
    <t>Conta a receber referente a:   - Recibo: 0000000855 - RPS: 0000088303 - NFS-e: 116422</t>
  </si>
  <si>
    <t>Conta a receber referente a:   - Recibo: 0000000856 - RPS: 0000088304 - NFS-e: 116423</t>
  </si>
  <si>
    <t>Conta a receber referente a:   - Recibo: 0000000858 - RPS: 0000088306 - NFS-e: 116425</t>
  </si>
  <si>
    <t>Conta a receber referente a:   - Recibo: 0000000859 - RPS: 0000088307 - NFS-e: 116426</t>
  </si>
  <si>
    <t>Conta a receber referente a:   - Recibo: 0000000860 - RPS: 0000088308 - NFS-e: 116427</t>
  </si>
  <si>
    <t>Conta a receber referente a:   - Recibo: 0000000861 - RPS: 0000088309 - NFS-e: 116428</t>
  </si>
  <si>
    <t>Conta a receber referente a:   - Recibo: 0000000895 - RPS: 0000088358 - NFS-e: 116477</t>
  </si>
  <si>
    <t>Conta a receber referente a:   - Recibo: 0000000862 - RPS: 0000088310 - NFS-e: 116429</t>
  </si>
  <si>
    <t>Conta a receber referente a:   - Recibo: 0000000863 - RPS: 0000088311 - NFS-e: 116430</t>
  </si>
  <si>
    <t>Conta a receber referente a:   - Recibo: 0000000891 - RPS: 0000088352 - NFS-e: 116471</t>
  </si>
  <si>
    <t>Conta a receber referente a:   - Recibo: 0000000864 - RPS: 0000088313 - NFS-e: 116432</t>
  </si>
  <si>
    <t>Viva Eventos Barbacena</t>
  </si>
  <si>
    <t>Conta a receber referente a:   - Recibo: 0000000865 - RPS: 0000088314 - NFS-e: 116433</t>
  </si>
  <si>
    <t>Conta a receber referente a:   - Recibo: 0000000866 - RPS: 0000088315 - NFS-e: 116434</t>
  </si>
  <si>
    <t>Conta a receber referente a:   - Recibo: 0000000867 - RPS: 0000088316 - NFS-e: 116435</t>
  </si>
  <si>
    <t>Conta a receber referente a:   - Recibo: 0000000868 - RPS: 0000088317 - NFS-e: 116436</t>
  </si>
  <si>
    <t>Conta a receber referente a:   - Recibo: 0000000870 - RPS: 0000088331 - NFS-e: 116450</t>
  </si>
  <si>
    <t>Conta a receber referente a:   - Recibo: 0000000871 - RPS: 0000088332 - NFS-e: 116451</t>
  </si>
  <si>
    <t>Conta a receber referente a:   - Recibo: 0000000872 - RPS: 0000088333 - NFS-e: 116452</t>
  </si>
  <si>
    <t>Conta a receber referente a:   - Recibo: 0000000873 - RPS: 0000088334 - NFS-e: 116453</t>
  </si>
  <si>
    <t>Conta a receber referente a:   - Recibo: 0000000874 - RPS: 0000088335 - NFS-e: 116454</t>
  </si>
  <si>
    <t>Conta a receber referente a:   - Recibo: 0000000876 - RPS: 0000088337 - NFS-e: 116456</t>
  </si>
  <si>
    <t>Conta a receber referente a:   - Recibo: 0000000877 - RPS: 0000088338 - NFS-e: 116457</t>
  </si>
  <si>
    <t>Conta a receber referente a:   - Recibo: 0000000878 - RPS: 0000088339 - NFS-e: 116458</t>
  </si>
  <si>
    <t>Conta a receber referente a:   - Recibo: 0000000857 - RPS: 0000088305 - NFS-e: 116424</t>
  </si>
  <si>
    <t>Conta a receber referente a:   - Recibo: 0000000880 - RPS: 0000088341 - NFS-e: 116460</t>
  </si>
  <si>
    <t>Conta a receber referente a:   - Recibo: 0000000881 - RPS: 0000088342 - NFS-e: 116461</t>
  </si>
  <si>
    <t>Conta a receber referente a:   - Recibo: 0000000882 - RPS: 0000088343 - NFS-e: 116462</t>
  </si>
  <si>
    <t>Conta a receber referente a:   - Recibo: 0000000883 - RPS: 0000088344 - NFS-e: 116463</t>
  </si>
  <si>
    <t>Conta a receber referente a:   - Recibo: 0000000884 - RPS: 0000088345 - NFS-e: 116464</t>
  </si>
  <si>
    <t>Conta a receber referente a:   - Recibo: 0000000885 - RPS: 0000088346 - NFS-e: 116465</t>
  </si>
  <si>
    <t>Conta a receber referente a:   - Recibo: 0000000886 - RPS: 0000088347 - NFS-e: 116466</t>
  </si>
  <si>
    <t>Conta a receber referente a:   - Recibo: 0000000887 - RPS: 0000088348 - NFS-e: 116467</t>
  </si>
  <si>
    <t>Conta a receber referente a:   - Recibo: 0000000888 - RPS: 0000088349 - NFS-e: 116468</t>
  </si>
  <si>
    <t>Conta a receber referente a:   - Recibo: 0000000889 - RPS: 0000088350 - NFS-e: 116470</t>
  </si>
  <si>
    <t>Conta a receber referente a:   - Recibo: 0000000890 - RPS: 0000088351 - NFS-e: 116469</t>
  </si>
  <si>
    <t>Conta a receber referente a:   - Recibo: 0000000892 - RPS: 0000088353 - NFS-e: 116472</t>
  </si>
  <si>
    <t>Conta a receber referente a:   - Recibo: 0000000893 - RPS: 0000088354 - NFS-e: 116474</t>
  </si>
  <si>
    <t>Conta a receber referente a:   - Recibo: 0000000894 - RPS: 0000088355 - NFS-e: 116473</t>
  </si>
  <si>
    <t>BOL. PREVENIR- COMP.: 07/2026</t>
  </si>
  <si>
    <t>Gerado automaticamente pelo Omie.CASH. Trata-se da tarifa referente ao Pix enviado em 05/02/2026 para:  CAIXA ECONOMICA FEDERAL (00.360.305/0001-04) Instituição: 104 Agência: 0647 Conta: 9999000537000360305-5 Número da Transação: E13203354202602051904398BEA20D01</t>
  </si>
  <si>
    <t>BOL PREVENIR - COMP.: 07/2026</t>
  </si>
  <si>
    <t>** CONFIRMAR PAGAMENTO ** DEP REF CONSULTORIA/TREINAMENTOS - COMP XX/XXXX REF DARINO MOREIRA TENORIO -  SACAR O CHEQUE E DEPOSITAR NA CONTA DO DARINO  MESES PARA PGT : FEV / ABRIL / JUN/AGO/ OUT/DEZ</t>
  </si>
  <si>
    <t>Não inserir valor</t>
  </si>
  <si>
    <t>** CONFIRMAR PAGAMENTO **  DEP REF CONSULTORIA/TREINAMENTOS - COMP XX/XXXX REF - TIAGO MOURA HENRIQUES DE MENDONCA -  SACAR O CHEQUE E DEPOSITAR NA CONTA DO TIAGO MESES PARA PGT : FEV / ABRIL / JUN/AGO/ OUT/DEZ</t>
  </si>
  <si>
    <t>** CONFIRMAR PAGAMENTO **  DEP REF CONSULTORIA/TREINAMENTOS - COMP XX/XXXX REF JOAO AUGUSTO FERREIRA RESENDE -  SACAR O CHEQUE E DEPOSITAR NA CONTA DO JOÃO MESES PARA PGT : FEV / ABRIL / JUN/AGO/ OUT/DEZ</t>
  </si>
  <si>
    <t>TARIFA PIX ENVIADO TAR AGRUPADAS OCORRENCIA 16042026</t>
  </si>
  <si>
    <t>TARIFA MENSALIDADE PACOTE SERVICOS JUNHO 2026</t>
  </si>
  <si>
    <t>VIVA EVENTOS UBERABA</t>
  </si>
  <si>
    <t>Conta a Receber importada automaticamente em 11/09/2026 às 11:33. Ordem de serviço importada automaticamente em 30/08/2024 às 15:07. JUROS EMPRÉSTIMO VIVAS HERO- MUTUO TRIANGULO VALOR DE R$70.572,56</t>
  </si>
  <si>
    <t>Conta a Receber importada automaticamente em 11/09/2026 às 11:33. Ordem de serviço importada automaticamente em 30/08/2024 às 15:13. JUROS EMPRÉSTIMO VIVAS HERO- recebe sempre refente a competencia anterior</t>
  </si>
  <si>
    <t>Conta a Receber importada automaticamente em 11/09/2026 às 11:33. Ordem de serviço importada automaticamente em 30/08/2024 às 14:59. JUROS EMPRÉSTIMO VIVAS HERO- MUTUO TRIANGULO VALOR DE R$12.000,00 FEITO DIA 21/05/2024</t>
  </si>
  <si>
    <t>64.835.643 DOUGLAS NEVES MORELLI</t>
  </si>
  <si>
    <t>REF - Ao almoço HUB 04/08 a 17/08 - 124 REFEIÇÃO - R$ 18,00 CADA</t>
  </si>
  <si>
    <t>REF - Ao almoço HUB 18/08 a 28/08 - 107 REFEIÇÃO - R$ 18,00 CADA</t>
  </si>
  <si>
    <t>REF AO FECHAMENTO DO ALMOÇO - 04/08 a 17/08 - 152 REFEIÇÕES - r$ 18,00 CADA</t>
  </si>
  <si>
    <t>REF AO FECHAMENTO DO ALMOÇO - 18/08 a 28/08 - 115 REFEIÇÕES - r$ 18,00 CADA</t>
  </si>
  <si>
    <t>REF - Ao almoço HUB 20/07 a 03/08 - 115 REFEIÇÃO - R$ 18,00 CADA</t>
  </si>
  <si>
    <t>REF AO FECHAMENTO DO ALMOÇO- 20/07 a 03/08 - 90 REFEIÇÕES - r$ 16,90 CADA</t>
  </si>
  <si>
    <t>REF AO FECHAMENTO DO ALMOÇO- 04/08 a 17/08 - 82 REFEIÇÕES - r$ 16,90 CADA</t>
  </si>
  <si>
    <t>REF AO FECHAMENTO DO ALMOÇO- 18/08 a 28/08 - 59 REFEIÇÕES - r$ 16,90 CADA</t>
  </si>
  <si>
    <t>REF AO FECHAMENTO DO ALMOÇO - 04/08 a 17/08 - 164 REFEIÇÕES - R$ 16,90 CADA</t>
  </si>
  <si>
    <t>Juros CDB / RDB e BB Reaplic 07/2026</t>
  </si>
  <si>
    <t>valor juros no mês CDB / RDB e BB Reaplic 07/2026</t>
  </si>
  <si>
    <t>valor juros até mês ant CDB / RDB e BB Reaplic 07/2026</t>
  </si>
  <si>
    <t>Rendimentos no mês</t>
  </si>
  <si>
    <t>Rendimentos no mês 07/2026</t>
  </si>
  <si>
    <t>RENDIMENTO RENDA FIXA MÊS DE JULHO/26</t>
  </si>
  <si>
    <t>IR sobre resgates no mês 07/2026</t>
  </si>
  <si>
    <t>I.R. RENDA FIXA MÊS DE JULHO/26</t>
  </si>
  <si>
    <t>valor IR CDB / RDB e BB Reaplic 07/2026</t>
  </si>
  <si>
    <t>IR proj. CDB / RDB e BB Reaplic 07/2026</t>
  </si>
  <si>
    <t>Gerado automaticamente pelo Omie.CASH. Trata-se da tarifa referente ao Pix enviado em 19/02/2026 para:  CAIXA ECONOMICA FEDERAL (00.360.305/0001-04) Instituição: 104 Agência: 0647 Conta: 9999000537000360305-5 Número da Transação: E13203354202602191853FD10B44C6A1</t>
  </si>
  <si>
    <t>Bol ref a plataforma do teleatendimento - 07/2026</t>
  </si>
  <si>
    <t>BOL - CONSULTA SCPC - COMP 07/2026</t>
  </si>
  <si>
    <t>REF 01/07 AWS Brazil  - ref ao mundo viva - n de acesso 913892422951 - **CARTÃO PJ**</t>
  </si>
  <si>
    <t>Data - Estava Agosto</t>
  </si>
  <si>
    <t>REF01/07 AWS Brazil  -  ref ao mundo viva COD: 803335749310 - **CARTÃO PJ**</t>
  </si>
  <si>
    <t>REF 01/07 AWS Brazil  -  ref ao mundo viva COD: 803335749310 - **CARTÃO PJ**</t>
  </si>
  <si>
    <t>BOL - REF AS CONSULTAS SPC - COMP 08/2026</t>
  </si>
  <si>
    <t>REF 01/07 AWS Brazil  -  COD: 942886851897 - iRifei - **CARTÃO PJ**</t>
  </si>
  <si>
    <t>REF 01/07 AWS Brazil  -  ref ao mundo viva COD: 803335749310 - **CARTÃO PJ** 5975299 R$238,08</t>
  </si>
  <si>
    <t>Bol ref a plataforma de atração e seleção de pessoas Período 01/07 ao 31/07</t>
  </si>
  <si>
    <t>LOCAWEB SERVICOS DE INTERNET S/A</t>
  </si>
  <si>
    <t>Incluído pela importação a partir de um código de barras. BOL - LOCAWEB - DOMÍNIO REDE E FRANQUEADORA ANUAL</t>
  </si>
  <si>
    <t>DEP- REF AO REEMBOLSO PLATAFORMA VADOO IA</t>
  </si>
  <si>
    <t>REF AO 02/07 AWS Brazil -  REF CONTA - 794431322895 - viva academy - time de gestão de pessoas  ** CARTÃO PJ **</t>
  </si>
  <si>
    <t>REF 04/07 APPLE.COM/BILL- renovação app CAPCUT ** CARTÃO PJ **</t>
  </si>
  <si>
    <t>REF 01/08 AWS Brazil - REF CONTA - 794431322895 - viva academy - time de gestão de pessoas</t>
  </si>
  <si>
    <t>CANVA - PARC 07/12   **CARTÃO PJ**</t>
  </si>
  <si>
    <t>Gerado automaticamente pelo Omie.CASH. Trata-se da tarifa referente ao Pix enviado em 24/02/2026 para:  ROMERO PEREIRA DOS SANTOS (37.451.566/0001-40) Instituição: 260 Agência: 0001 Conta: 89656332-8 Número da Transação: E132033542026022416512286E50B143</t>
  </si>
  <si>
    <t>REF 28/06 AmazonPrimeBR - ASSINATURA AMAZON PRIME -  ** CARTÃO PJ **</t>
  </si>
  <si>
    <t>23/07 CLICKSIGN **CARTÃO PJ**</t>
  </si>
  <si>
    <t>REF 28/07 AmazonPrimeBR - ASSINATURA AMAZON PRIME</t>
  </si>
  <si>
    <t>Licença da Apple Store para nosso APP. Pago anualmente.</t>
  </si>
  <si>
    <t>Incluído pela importação a partir de um código de barras. BOL  - Ref as consultas período de 01/07/2026 a 31/07/2026</t>
  </si>
  <si>
    <t>REF 01/07 Google Workspace_gviva.-  **CARTÃO PJ** REDE r$8.994,33 FRANQUEADORA E QUOKKA r$1505,00</t>
  </si>
  <si>
    <t>BOL - CONSULTAS NO SERASA - COMP 07/2026</t>
  </si>
  <si>
    <t>REF 01/07 Google Workspace_iforme -  NOVO PAINEL DE EMAILS - IFORMEI E BRIXMART -  **CARTÃO PJ** IFORMEI - 1 conta - r$ 183,75 VILLAGE 7 contas - r$ 1286,25</t>
  </si>
  <si>
    <t>BOL - REF AS CONSULTAS SERASA - COMP 08/2026</t>
  </si>
  <si>
    <t>REF 06/07  CLAUDE.AI  r$ 550,00 + r$38,50 IOF    - ** FORA DO ORÇAMENTO - AUTORIZADO MARCELO **  -  ** CARTÃO PJ **</t>
  </si>
  <si>
    <t>REF 20/07 HUGGY  - ID 112759 -  **CARTÃO PJ** VALOR CSC r$</t>
  </si>
  <si>
    <t>BOL -  Mensagens de Marketing (Junho/26): 1816 / 1x 553230037122 - Mensagens de Serviço (Junho/26): 42651 / 1x 553230037122 - Mensagens de Utilidade (Junho/26): 1697</t>
  </si>
  <si>
    <t>GOSHME SOLUCOES PARA A INTERNET LTDA</t>
  </si>
  <si>
    <t>REF 04/07 JUSBRASIL **CARTÃO PJ**</t>
  </si>
  <si>
    <t>REF 06/08 ANTHROPIC* CLAUDE SUB r$ 550,00 + r$ 19,25</t>
  </si>
  <si>
    <t>06/08 ANTHROPIC* CLAUDE SUB - r$ 550,00 + r$ 19,25 IOF</t>
  </si>
  <si>
    <t>REF 15/08 ANTHROPIC* CLAUDE SUB r$ 253,80 + r$ 8,66</t>
  </si>
  <si>
    <t>DAILY.CO</t>
  </si>
  <si>
    <t>NÃO ORÇADO - REF 01/08 DAILY.CO (PREV. PLUOT) DAILY.CO - R$ 148,39 + r$5,19 - Ref a plataforma de reuniões  (Viva Meet)</t>
  </si>
  <si>
    <t>Pós vendas e CAF</t>
  </si>
  <si>
    <t>REF 18/08 DLOCAL*GOOGLE CLOUD - expansão para gerar uma API integrada à Huggy</t>
  </si>
  <si>
    <t>NUCLEO DE INFORMACAO E COORDENACAO DO PONTO BR - NIC .BR</t>
  </si>
  <si>
    <t>BOL - renovação do domínio vivaeventosmail.com.br - autorizado Lukinha 40,00 por 1 ano</t>
  </si>
  <si>
    <t>DEEPSEEK AI</t>
  </si>
  <si>
    <t>Compra de créditos para teste da IA DeepSeek no Control Hub</t>
  </si>
  <si>
    <t>REF 11/07 GITHUB, INC.. - R$207,21 + R$7,25 IOF ** CARTÃO PJ **</t>
  </si>
  <si>
    <t>REF 11/08 GITHUB, INC - R$ 206,71 + r$ 7,23</t>
  </si>
  <si>
    <t>Conciliar em Setembro</t>
  </si>
  <si>
    <t>REF AO 01/07 DL *GOOGLE CLOUD  - expansão para gerar uma API integrada à Huggy -  ** FORA DO ORÇAMENTO - AUTORIZADO VITOR **  -  ** CARTÃO PJ **</t>
  </si>
  <si>
    <t>REF AO 01/07 DL *GOOGLE CLOUD  -   APP DA CONVIVA ** CARTÃO PJ **</t>
  </si>
  <si>
    <t>EVENTOS OFICIAIS</t>
  </si>
  <si>
    <t>REF 01/08 DL *GOOGLE CLOUD - expansão para gerar uma API integrada à Huggy</t>
  </si>
  <si>
    <t>ROCHA &amp; FARIA CERTIFICACAO DIGITAL LTDA</t>
  </si>
  <si>
    <t>Incluído pela importação a partir de um código de barras.  BOL - REF AO CERTIFICADO DIGITAL PF VITOR - TOKEN VALE POR 2 ANOS</t>
  </si>
  <si>
    <t>BOL REF AO CERTIFICADO DIGITAL A1 - FRANQUEADOA</t>
  </si>
  <si>
    <t>REF 15/07 HIGGSFIELD INC.  - PLATAFORMA DE EDIÇÃO DE VÍDEO - MARCELO ASSINOU - R$ 153,04+ r$ 4,80 IOF -  ** CARTÃO PJ **</t>
  </si>
  <si>
    <t>REF A PLATAFORMA PARALELA DISPARADOR DE WHATSAPP - COMP 07/2026 disparos e atendimentos de campanhas</t>
  </si>
  <si>
    <t>BOL REF A PLATAFORMA SOLIDES - COMP 07/2026</t>
  </si>
  <si>
    <t>Compra créditos 08/2026 - plataforma landing.ai</t>
  </si>
  <si>
    <t>BOL - REF APLATAFORMA CONSULTORIA - COMP 07/2026</t>
  </si>
  <si>
    <t>LIVEKIT.IO</t>
  </si>
  <si>
    <t>NÃO ORÇADO - REF 27/07 LIVEKIT - R$ 36,59 + r$ 1,28 IOF</t>
  </si>
  <si>
    <t>20/07 TURBO CLOUD -   **CARTÃO PJ**</t>
  </si>
  <si>
    <t>NÃO ORÇADO - REF 02/08 LIVEKIT - R$ 264,07 + r$ 9,24</t>
  </si>
  <si>
    <t>REF 12/07 LOVABLE - R$ 26,57  + R$ 0,92 IOF ** CARTÃO PJ **</t>
  </si>
  <si>
    <t>Gerado automaticamente pelo Omie.CASH. Trata-se da tarifa referente ao Pix enviado em 07/01/2026 para:  RONALDO DE OLIVEIRA PIRES (073.061.106-08) Instituição: 260 Agência: 0001 Conta: 5715249-6 Número da Transação: E13203354202601071558593B724891D</t>
  </si>
  <si>
    <t>TARIFA PACOTE DE SERVIÇOS COBRANÇA REFERENTE 06072026</t>
  </si>
  <si>
    <t>TARIFA DÉBITO AUTOMÁTICO TAR AGRUPADAS OCORRENCIA 08072026</t>
  </si>
  <si>
    <t>TARIFA PIX ENVIADO TAR AGRUPADAS OCORRENCIA 10072026</t>
  </si>
  <si>
    <t>TARIFA PIX ENVIADO TAR AGRUPADAS OCORRENCIA 14072026</t>
  </si>
  <si>
    <t>TARIFA PIX ENVIADO TAR AGRUPADAS OCORRENCIA 08072026</t>
  </si>
  <si>
    <t>TARIFA PIX ENVIADO TAR AGRUPADAS OCORRENCIA 27072026</t>
  </si>
  <si>
    <t>TARIFA PIX ENVIADO TAR AGRUPADAS OCORRENCIA 29072026</t>
  </si>
  <si>
    <t>TARIFA PIX ENVIADO TAR AGRUPADAS OCORRENCIA 30072026</t>
  </si>
  <si>
    <t>TAR PAG SALÁR CRÉD CONTA COBRANÇA REFERENTE 06072026</t>
  </si>
  <si>
    <t>TAR PAG SALÁR CRÉD CONTA COBRANÇA REFERENTE 15072026</t>
  </si>
  <si>
    <t>TARIFA DÉBITO AUTOMÁTICO TAR AGRUPADAS OCORRENCIA 29072026</t>
  </si>
  <si>
    <t>TARIFA PIX ENVIADO TAR AGRUPADAS OCORRENCIA 30062026</t>
  </si>
  <si>
    <t>PREFEITURA MUNICIPAL DE CHÁCARA</t>
  </si>
  <si>
    <t>BOL REF AO ALVARÁ FILIAL</t>
  </si>
  <si>
    <t>Gerado automaticamente pelo Omie.CASH. Trata-se da tarifa referente ao boleto 0020155100000602 com vencimento em 30/06/2026 emitido para: SUL MINAS EVENTOS LTDA (24.207.538/0001-30) Número da Transação: 7168690</t>
  </si>
  <si>
    <t>Gerado automaticamente pelo Omie.CASH. Trata-se da tarifa de liquidação de boleto. Número da Transação: 29429830</t>
  </si>
  <si>
    <t>Gerado automaticamente pelo Omie.CASH. Trata-se da tarifa de liquidação de boleto. Número da Transação: 29604092</t>
  </si>
  <si>
    <t>Gerado automaticamente pelo Omie.CASH. Trata-se da tarifa de liquidação de boleto. Número da Transação: 29432033</t>
  </si>
  <si>
    <t>Gerado automaticamente pelo Omie.CASH. Trata-se da tarifa referente ao boleto 0020155100000592 com vencimento em 30/05/2026 emitido para: ABREU E ROCHA EVENTOS LTDA (48.362.017/0001-15) Número da Transação: 6573710</t>
  </si>
  <si>
    <t>Gerado automaticamente pelo Omie.CASH. Trata-se da tarifa referente ao boleto 0020155100000598 com vencimento em 30/06/2026 emitido para: ABREU E ROCHA EVENTOS LTDA (48.362.017/0001-15) Número da Transação: 7163179</t>
  </si>
  <si>
    <t>Gerado automaticamente pelo Omie.CASH. Trata-se da tarifa referente ao boleto 0020155100000599 com vencimento em 30/06/2026 emitido para: NEW FOTOS EVENTOS LTDA (47.973.422/0001-07) Número da Transação: 7163408</t>
  </si>
  <si>
    <t>Gerado automaticamente pelo Omie.CASH. Trata-se da tarifa de liquidação de boleto. Número da Transação: 30969857</t>
  </si>
  <si>
    <t>Gerado automaticamente pelo Omie.CASH. Trata-se da tarifa referente ao boleto 0020155100000610 com vencimento em 30/07/2026 emitido para: NEW FOTOS EVENTOS LTDA (47.973.422/0001-07) Número da Transação: 7845905</t>
  </si>
  <si>
    <t>Gerado automaticamente pelo Omie.CASH. Trata-se da tarifa referente ao boleto 0020155100000605 com vencimento em 30/07/2026 emitido para: ABREU E ROCHA EVENTOS LTDA (48.362.017/0001-15) Número da Transação: 7824005</t>
  </si>
  <si>
    <t>Gerado automaticamente pelo Omie.CASH. Trata-se da tarifa referente ao boleto 0020155100000607 com vencimento em 30/07/2026 emitido para: SUL MINAS EVENTOS LTDA (24.207.538/0001-30) Número da Transação: 7843936</t>
  </si>
  <si>
    <t>Gerado automaticamente pelo Omie.CASH. Trata-se da tarifa de liquidação de boleto. Número da Transação: 30909659</t>
  </si>
  <si>
    <t>Gerado automaticamente pelo Omie.CASH. Trata-se da tarifa referente ao boleto 0020155100000606 com vencimento em 30/07/2026 emitido para: UAI EVENTOS LTDA (32.488.320/0001-29) Número da Transação: 7843670</t>
  </si>
  <si>
    <t>Gerado automaticamente pelo Omie.CASH. Trata-se da tarifa de liquidação de boleto. Número da Transação: 30970005</t>
  </si>
  <si>
    <t>Gerado automaticamente pelo Omie.CASH. Trata-se da tarifa referente ao Pix enviado em 07/07/2026 para: 54.971.070 felipe henriques crivellari (54.971.070/0001-16) Instituição: 336 Agência: 0001 Conta: 32629505-4 Número da Transação: E13203354202607071627A549CAC6A51</t>
  </si>
  <si>
    <t>Gerado automaticamente pelo Omie.CASH. Trata-se da tarifa referente ao Pix enviado em 06/07/2026 para: LUCAS SOBRINHO TEIXEIRA (073.847.576-90) Instituição: 260 Agência: 0001 Conta: 7002586-8 Número da Transação: E132033542026070613005D6A7251C26</t>
  </si>
  <si>
    <t>Gerado automaticamente pelo Omie.CASH. Trata-se da tarifa referente ao Pix enviado em 02/07/2026 para: MARCELO GOMES DE ALMEIDA GONCALVES (916.055.556-49) Instituição: 001 Agência: 5888 Conta: 40755-0 Número da Transação: E13203354202607021722738D19536CE</t>
  </si>
  <si>
    <t>Gerado automaticamente pelo Omie.CASH. Trata-se da tarifa referente ao Pix enviado em 06/07/2026 para: MARCELA DE SOUZA (083.892.026-89) Instituição: 260 Agência: 0001 Conta: 19753868-1 Número da Transação: E13203354202607061300706E970AC67</t>
  </si>
  <si>
    <t>Gerado automaticamente pelo Omie.CASH. Trata-se da tarifa referente ao Pix enviado em 06/07/2026 para: ELPIDIO JOSE FRANCISCO FILHO (504.686.937-34) Instituição: 033 Agência: 4535 Conta: 1025752-3 Número da Transação: E13203354202607061300A605CA4F8D0</t>
  </si>
  <si>
    <t>Gerado automaticamente pelo Omie.CASH. Trata-se da tarifa referente ao Pix enviado em 07/07/2026 para: PANELINHA COMIDA FIT LTDA (26.151.284/0001-00) Instituição: 001 Agência: 5888 Conta: 54940-1 Número da Transação: E13203354202607071626C8EC258B4B1</t>
  </si>
  <si>
    <t>Gerado automaticamente pelo Omie.CASH. Trata-se da tarifa referente ao Pix enviado em 06/07/2026 para: HUMBERTO SALES DE ALMEIDA (112.339.986-76) Instituição: 348 Agência: 0001 Conta: 951216-4 Número da Transação: E13203354202607061300916430CA4DB</t>
  </si>
  <si>
    <t>Gerado automaticamente pelo Omie.CASH. Trata-se da tarifa referente ao Pix enviado em 20/07/2026 para: PANELINHA COMIDA FIT LTDA (26.151.284/0001-00) Instituição: 001 Agência: 5888 Conta: 54940-1 Número da Transação: E132033542026072015043E629509DC9</t>
  </si>
  <si>
    <t>Gerado automaticamente pelo Omie.CASH. Trata-se da tarifa referente ao Pix enviado em 16/07/2026 para: CAIXA ECONOMICA FEDERAL (00.360.305/0001-04) Instituição: 104 Agência: 0647 Conta: 9999000537000360305-5 Número da Transação: E132033542026071619327E0614742F4</t>
  </si>
  <si>
    <t>Gerado automaticamente pelo Omie.CASH. Trata-se da tarifa referente ao Pix enviado em 21/07/2026 para: 54.971.070 felipe henriques crivellari (54.971.070/0001-16) Instituição: 336 Agência: 0001 Conta: 32629505-4 Número da Transação: E13203354202607211707E90951CCC17</t>
  </si>
  <si>
    <t>Gerado automaticamente pelo Omie.CASH. Trata-se da tarifa referente ao Pix enviado em 30/07/2026 para: HUMBERTO SALES DE ALMEIDA (112.339.986-76) Instituição: 348 Agência: 0001 Conta: 951216-4 Número da Transação: E13203354202607302008A022ED17D42</t>
  </si>
  <si>
    <t>Gerado automaticamente pelo Omie.CASH. Trata-se da tarifa referente ao Pix enviado em 30/07/2026 para: LUCAS SOBRINHO TEIXEIRA (073.847.576-90) Instituição: 260 Agência: 0001 Conta: 7002586-8 Número da Transação: E13203354202607302008BDE1CEA6C79</t>
  </si>
  <si>
    <t>Gerado automaticamente pelo Omie.CASH. Trata-se da tarifa referente ao Pix enviado em 30/07/2026 para: MARCELA DE SOUZA (083.892.026-89) Instituição: 260 Agência: 0001 Conta: 19753868-1 Número da Transação: E132033542026073020089E872B0206A</t>
  </si>
  <si>
    <t>Gerado automaticamente pelo Omie.CASH. Trata-se da tarifa referente ao Pix enviado em 01/07/2026 para: Karine Rocha Azevedo e Silva Costa (112.016.427-36) Instituição: 260 Agência: 0001 Conta: 74924668-3 Número da Transação: E13203354202607011729B942760CE86</t>
  </si>
  <si>
    <t>Gerado automaticamente pelo Omie.CASH. Trata-se da tarifa referente ao Pix enviado em 01/07/2026 para: BRUNO MATEUS PERES E SILVA (123.980.106-86) Instituição: 001 Agência: 5888 Conta: 13201-2 Número da Transação: E13203354202607011728EFE65E072E5</t>
  </si>
  <si>
    <t>Gerado automaticamente pelo Omie.CASH. Trata-se da tarifa referente ao Pix enviado em 02/07/2026 para: ARTE PELA ARTE COMUNICACAO INTERNA TREINAMENTO (09.580.827/0001-96) Instituição: 336 Agência: 0001 Conta: 23112902-5 Número da Transação: E132033542026070217057ABCDB7F011</t>
  </si>
  <si>
    <t>Gerado automaticamente pelo Omie.CASH. Trata-se da tarifa referente ao Pix enviado em 06/07/2026 para: MARCOS ANTONIO MAINI DUQUE (087.323.606-81) Instituição: 033 Agência: 0179 Conta: 1033275-2 Número da Transação: E1320335420260706130109FB80A4CC3</t>
  </si>
  <si>
    <t>Gerado automaticamente pelo Omie.CASH. Trata-se da tarifa referente ao Pix enviado em 06/07/2026 para: DIONISIO SOUZA LOURO (015.301.116-50) Instituição: 033 Agência: 3499 Conta: 1010225-2 Número da Transação: E13203354202607061300339BEEFC654</t>
  </si>
  <si>
    <t>Gerado automaticamente pelo Omie.CASH. Trata-se da tarifa referente ao Pix enviado em 06/07/2026 para: EVERDAN ELIAS COELHO (058.382.626-13) Instituição: 260 Agência: 0001 Conta: 20377589-9 Número da Transação: E1320335420260706130082749ABEBA1</t>
  </si>
  <si>
    <t>Gerado automaticamente pelo Omie.CASH. Trata-se da tarifa referente ao Pix enviado em 02/07/2026 para: BUSINESS NETWORKING MASTER FRANQUIA BRASIL LTDA (04.362.235/0001-84) Instituição: ID645 Agência: 0001 Conta: 575887-5 Número da Transação: E13203354202607021705ACCA395C878</t>
  </si>
  <si>
    <t>Gerado automaticamente pelo Omie.CASH. Trata-se da tarifa referente ao Pix enviado em 02/07/2026 para: RONALDO DE OLIVEIRA PIRES (073.061.106-08) Instituição: 260 Agência: 0001 Conta: 5715249-6 Número da Transação: E13203354202607021705ABD26DE18B5</t>
  </si>
  <si>
    <t>Gerado automaticamente pelo Omie.CASH. Trata-se da tarifa referente ao Pix enviado em 06/07/2026 para: ELBA RAYANA DE PAIVA RIBAS (094.469.336-92) Instituição: 260 Agência: 0001 Conta: 80243916-3 Número da Transação: E132033542026070613005106C70026F</t>
  </si>
  <si>
    <t>Gerado automaticamente pelo Omie.CASH. Trata-se da tarifa referente ao Pix enviado em 15/01/2026 para:  ROMERO PEREIRA DOS SANTOS (37.451.566/0001-40) Instituição: 260 Agência: 0001 Conta: 89656332-8 Número da Transação: E132033542026011517228659BADCA67</t>
  </si>
  <si>
    <t>Gerado automaticamente pelo Omie.CASH. Trata-se da tarifa referente ao Pix enviado em 06/07/2026 para: CRISTIANE LEITE BRAGA (080.991.806-40) Instituição: 260 Agência: 0001 Conta: 96210-2 Número da Transação: E1320335420260706130094CB42FAC8A</t>
  </si>
  <si>
    <t>Gerado automaticamente pelo Omie.CASH. Trata-se da tarifa referente ao Pix enviado em 03/07/2026 para: MONICA APARECIDA FERNANDO (805.177.816-20) Instituição: 104 Agência: 1641 Conta: 1288000000763794395-0 Número da Transação: E1320335420260703183706D9D6DB367</t>
  </si>
  <si>
    <t>Gerado automaticamente pelo Omie.CASH. Trata-se da tarifa referente ao Pix enviado em 06/07/2026 para: JESSICA DOURADO DE OLIVEIRA (120.355.607-13) Instituição: 237 Agência: 0080 Conta: 391631-6 Número da Transação: E13203354202607061300FA3A207BEFD</t>
  </si>
  <si>
    <t>Gerado automaticamente pelo Omie.CASH. Trata-se da tarifa referente ao Pix enviado em 06/07/2026 para: BRUNA BELTANTE ASSIS (109.085.626-16) Instituição: 001 Agência: 2592 Conta: 32175-3 Número da Transação: E13203354202607061300858DB4FD2BE</t>
  </si>
  <si>
    <t>Gerado automaticamente pelo Omie.CASH. Trata-se da tarifa referente ao Pix enviado em 06/07/2026 para: MONICA APARECIDA FERNANDO (805.177.816-20) Instituição: 104 Agência: 1641 Conta: 1288000000763794395-0 Número da Transação: E132033542026070617449BEF637F764</t>
  </si>
  <si>
    <t>Gerado automaticamente pelo Omie.CASH. Trata-se da tarifa referente ao Pix enviado em 06/07/2026 para: JHONATAS SILVA FRANCO (091.220.926-76) Instituição: 260 Agência: 0001 Conta: 6901574-7 Número da Transação: E132033542026070613015AF5DA9EA84</t>
  </si>
  <si>
    <t>Gerado automaticamente pelo Omie.CASH. Trata-se da tarifa referente ao Pix enviado em 06/07/2026 para: THOMAS SOUZA REIS (097.174.676-17) Instituição: 260 Agência: 0001 Conta: 1201493-3 Número da Transação: E13203354202607061301ABF73902618</t>
  </si>
  <si>
    <t>Gerado automaticamente pelo Omie.CASH. Trata-se da tarifa referente ao Pix enviado em 01/07/2026 para: C I SOLUCOES INTELIGENTES LTDA (31.026.584/0001-06) Instituição: 341 Agência: 0105 Conta: 99881-9 Número da Transação: E13203354202607011729348F9295759</t>
  </si>
  <si>
    <t>Gerado automaticamente pelo Omie.CASH. Trata-se da tarifa referente ao Pix enviado em 02/07/2026 para: RONALDO ADRIANO PEREIRA (045.880.176-32) Instituição: 077 Agência: 0001 Conta: 26343193-2 Número da Transação: E13203354202607021705B74C77E1FC9</t>
  </si>
  <si>
    <t>Gerado automaticamente pelo Omie.CASH. Trata-se da tarifa referente ao Pix enviado em 02/07/2026 para: PAES E DOCES NOVA FANTASTICA LTDA (13.462.169/0001-05) Instituição: 341 Agência: 3163 Conta: 98737-7 Número da Transação: E1320335420260702170599C0521F4D9</t>
  </si>
  <si>
    <t>Gerado automaticamente pelo Omie.CASH. Trata-se da tarifa referente ao Pix enviado em 02/07/2026 para: REGIS ADRIANO DA COSTA (103.945.056-38) Instituição: 260 Agência: 0001 Conta: 7083172-1 Número da Transação: E13203354202607021705C72ABC70EA5</t>
  </si>
  <si>
    <t>Gerado automaticamente pelo Omie.CASH. Trata-se da tarifa referente ao Pix enviado em 10/07/2026 para: ELBA RAYANA DE PAIVA RIBAS (094.469.336-92) Instituição: 260 Agência: 0001 Conta: 80243916-3 Número da Transação: E132033542026071015273C45676B7B2</t>
  </si>
  <si>
    <t>Gerado automaticamente pelo Omie.CASH. Trata-se da tarifa referente ao Pix enviado em 07/07/2026 para: PANELINHA COMIDA FIT LTDA (26.151.284/0001-00) Instituição: 001 Agência: 5888 Conta: 54940-1 Número da Transação: E13203354202607071624F705A422381</t>
  </si>
  <si>
    <t>Gerado automaticamente pelo Omie.CASH. Trata-se da tarifa referente ao Pix enviado em 14/07/2026 para: ATTAS FABRICACAO E COMERCIO DE BEBIDAS LTDA (34.994.809/0001-06) Instituição: 260 Agência: 0001 Conta: 395011699-4 Número da Transação: E1320335420260714153835AD0C5B2B2</t>
  </si>
  <si>
    <t>Gerado automaticamente pelo Omie.CASH. Trata-se da tarifa referente ao Pix enviado em 10/07/2026 para: CAIXA ECONOMICA FEDERAL (00.360.305/0001-04) Instituição: 104 Agência: 0647 Conta: 9999000537000360305-5 Número da Transação: E1320335420260710152777587289C31</t>
  </si>
  <si>
    <t>Gerado automaticamente pelo Omie.CASH. Trata-se da tarifa referente ao Pix enviado em 14/07/2026 para: Pedro Paulo Dias de Souza (142.897.776-78) Instituição: 260 Agência: 0001 Conta: 26736506-5 Número da Transação: E13203354202607141538EDA8A046244</t>
  </si>
  <si>
    <t>Gerado automaticamente pelo Omie.CASH. Trata-se da tarifa referente ao Pix enviado em 07/07/2026 para: FORTMAX SERVICOS GERAIS LTDA (52.279.990/0001-42) Instituição: 341 Agência: 6699 Conta: 99248-0 Número da Transação: E13203354202607071624961070B11E5</t>
  </si>
  <si>
    <t>Gerado automaticamente pelo Omie.CASH. Trata-se da tarifa referente ao Pix enviado em 10/07/2026 para: MONICA APARECIDA FERNANDO (805.177.816-20) Instituição: 104 Agência: 1641 Conta: 1288000000763794395-0 Número da Transação: E132033542026071015270DDF5E867A5</t>
  </si>
  <si>
    <t>Gerado automaticamente pelo Omie.CASH. Trata-se da tarifa referente ao Pix enviado em 14/07/2026 para: 13.520.128 RODRIGO JUNGER FONTES (13.520.128/0001-28) Instituição: 336 Agência: 0001 Conta: 34465620-9 Número da Transação: E1320335420260714153843597E3C1C2</t>
  </si>
  <si>
    <t>Gerado automaticamente pelo Omie.CASH. Trata-se da tarifa referente ao Pix enviado em 09/07/2026 para: CESAR AUGUSTO DE SOUZA E SILVA (101.214.187-07) Instituição: 033 Agência: 3352 Conta: 1092108-6 Número da Transação: E132033542026070918360DCE00EE630</t>
  </si>
  <si>
    <t>Gerado automaticamente pelo Omie.CASH. Trata-se da tarifa referente ao Pix enviado em 09/07/2026 para: MONICA APARECIDA FERNANDO (805.177.816-20) Instituição: 104 Agência: 1641 Conta: 1288000000763794395-0 Número da Transação: E13203354202607091836F2A3F173C95</t>
  </si>
  <si>
    <t>Gerado automaticamente pelo Omie.CASH. Trata-se da tarifa referente ao Pix enviado em 10/07/2026 para: CAIXA ECONOMICA FEDERAL (00.360.305/0001-04) Instituição: 104 Agência: 0647 Conta: 9999000537000360305-5 Número da Transação: E132033542026071015273FD319DDDE9</t>
  </si>
  <si>
    <t>Gerado automaticamente pelo Omie.CASH. Trata-se da tarifa referente ao Pix enviado em 09/07/2026 para: POLYANA VENÂNCIO PEREIRA (121.073.256-42) Instituição: 260 Agência: 0001 Conta: 305557-6 Número da Transação: E132033542026070918361882D53DD12</t>
  </si>
  <si>
    <t>Gerado automaticamente pelo Omie.CASH. Trata-se da tarifa referente ao Pix enviado em 14/07/2026 para: REGIS ADRIANO DA COSTA (103.945.056-38) Instituição: 260 Agência: 0001 Conta: 7083172-1 Número da Transação: E13203354202607141538B58E1380252</t>
  </si>
  <si>
    <t>Gerado automaticamente pelo Omie.CASH. Trata-se da tarifa referente ao Pix enviado em 06/07/2026 para: REGIS ADRIANO DA COSTA (103.945.056-38) Instituição: 260 Agência: 0001 Conta: 7083172-1 Número da Transação: E13203354202607061744775C6ADCBFE</t>
  </si>
  <si>
    <t>Gerado automaticamente pelo Omie.CASH. Trata-se da tarifa referente ao Pix enviado em 07/07/2026 para: INO9VE PRODUCAO DE EVENTOS E BUFFET LTDA (48.031.766/0001-60) Instituição: ID312 Agência: 4028 Conta: 7776-3 Número da Transação: E132033542026070716240D99D9ADFE8</t>
  </si>
  <si>
    <t>Gerado automaticamente pelo Omie.CASH. Trata-se da tarifa referente ao Pix enviado em 07/07/2026 para: MIX LOUNGE LTDA (25.036.376/0002-68) Instituição: ID312 Agência: 4028 Conta: 6519-6 Número da Transação: E132033542026070716248C7061FA415</t>
  </si>
  <si>
    <t>Gerado automaticamente pelo Omie.CASH. Trata-se da tarifa referente ao Pix enviado em 07/07/2026 para: MIX LOUNGE LTDA (25.036.376/0002-68) Instituição: ID312 Agência: 4028 Conta: 6519-6 Número da Transação: E132033542026070716242C1E96FC2D0</t>
  </si>
  <si>
    <t>Gerado automaticamente pelo Omie.CASH. Trata-se da tarifa referente ao Pix enviado em 14/07/2026 para: MARCOS ANTONIO MAINI DUQUE (087.323.606-81) Instituição: 033 Agência: 0179 Conta: 1033275-2 Número da Transação: E1320335420260714153875D14EBBE6F</t>
  </si>
  <si>
    <t>Gerado automaticamente pelo Omie.CASH. Trata-se da tarifa referente ao Pix enviado em 14/07/2026 para: SHPP BRASIL INSTITUICAO DE PAGAMENTO E SERVICOS DE PAGAMENTOS LTDA (38.372.267/0001-82) Instituição: 033 Agência: 3689 Conta: 00013023089-6 Número da Transação: E13203354202607141415384F4B14A95</t>
  </si>
  <si>
    <t>Gerado automaticamente pelo Omie.CASH. Trata-se da tarifa referente ao Pix enviado em 07/07/2026 para: MONICA APARECIDA FERNANDO (805.177.816-20) Instituição: 104 Agência: 1641 Conta: 1288000000763794395-0 Número da Transação: E132033542026070716245576DFF8439</t>
  </si>
  <si>
    <t>Gerado automaticamente pelo Omie.CASH. Trata-se da tarifa referente ao Pix enviado em 10/07/2026 para: CAIXA ECONOMICA FEDERAL (00.360.305/0001-04) Instituição: 104 Agência: 0647 Conta: 9999000537000360305-5 Número da Transação: E13203354202607101536D9B42D2D598</t>
  </si>
  <si>
    <t>Gerado automaticamente pelo Omie.CASH. Trata-se da tarifa referente ao Pix enviado em 07/07/2026 para: INO9VE PRODUCAO DE EVENTOS E BUFFET LTDA (48.031.766/0001-60) Instituição: ID312 Agência: 4028 Conta: 7776-3 Número da Transação: E1320335420260707162412EB61F92A3</t>
  </si>
  <si>
    <t>Gerado automaticamente pelo Omie.CASH. Trata-se da tarifa referente ao Pix enviado em 09/07/2026 para: Sue Anne Alves Henriques (071.342.886-41) Instituição: 260 Agência: 0001 Conta: 7383088-0 Número da Transação: E132033542026070918371DB8F2C7145</t>
  </si>
  <si>
    <t>Gerado automaticamente pelo Omie.CASH. Trata-se da tarifa referente ao Pix enviado em 07/07/2026 para: Marcos Vinicius Soldate (055.442.346-47) Instituição: 237 Agência: 3832 Conta: 1002963-5 Número da Transação: E13203354202607071624E1B0052DF1C</t>
  </si>
  <si>
    <t>Gerado automaticamente pelo Omie.CASH. Trata-se da tarifa referente ao Pix enviado em 09/07/2026 para: V. R. EVENTOS LTDA (16.422.009/0001-20) Instituição: ID039 Agência: 3008 Conta: 259431-5 Número da Transação: E1320335420260709183703573818426</t>
  </si>
  <si>
    <t>Gerado automaticamente pelo Omie.CASH. Trata-se da tarifa referente ao Pix enviado em 07/07/2026 para: 54.971.070 felipe henriques crivellari (54.971.070/0001-16) Instituição: 336 Agência: 0001 Conta: 32629505-4 Número da Transação: E132033542026070716247A7D26768C7</t>
  </si>
  <si>
    <t>Gerado automaticamente pelo Omie.CASH. Trata-se da tarifa referente ao Pix enviado em 23/07/2026 para: MONICA APARECIDA FERNANDO (805.177.816-20) Instituição: 104 Agência: 1641 Conta: 1288000000763794395-0 Número da Transação: E132033542026072317521F315842DC6</t>
  </si>
  <si>
    <t>Gerado automaticamente pelo Omie.CASH. Trata-se da tarifa referente ao Pix enviado em 28/07/2026 para: 15 253 335 EDUARDO ALVES DE OLIVEIRA (15.253.335/0001-99) Instituição: 033 Agência: 0179 Conta: 13009233-6 Número da Transação: E13203354202607282002BC91A83372A</t>
  </si>
  <si>
    <t>Gerado automaticamente pelo Omie.CASH. Trata-se da tarifa referente ao Pix enviado em 21/07/2026 para: MONICA APARECIDA FERNANDO (805.177.816-20) Instituição: 104 Agência: 1641 Conta: 1288000000763794395-0 Número da Transação: E13203354202607211704C1CCB45ADF5</t>
  </si>
  <si>
    <t>Gerado automaticamente pelo Omie.CASH. Trata-se da tarifa referente ao Pix enviado em 16/07/2026 para: MARCELO GOMES DE ALMEIDA GONCALVES (916.055.556-49) Instituição: 033 Agência: 0179 Conta: 1029129-1 Número da Transação: E1320335420260716193900B97A43603</t>
  </si>
  <si>
    <t>Gerado automaticamente pelo Omie.CASH. Trata-se da tarifa referente ao Pix enviado em 16/07/2026 para: ASSOCIACAO BRASILEIRA DE EMPRESAS DE FORMATURA E AFINS ABEFORM (35.227.250/0001-43) Instituição: ID083 Agência: 3125 Conta: 2131912-0 Número da Transação: E13203354202607161939CCF6EF44B62</t>
  </si>
  <si>
    <t>Gerado automaticamente pelo Omie.CASH. Trata-se da tarifa referente ao Pix enviado em 16/07/2026 para: THACIANO DO CARMO GONCALVES (068.073.456-23) Instituição: 077 Agência: 0001 Conta: 31265161-9 Número da Transação: E13203354202607161940A346C1CD16A</t>
  </si>
  <si>
    <t>Gerado automaticamente pelo Omie.CASH. Trata-se da tarifa referente ao Pix enviado em 17/07/2026 para: CASA DA GRAFICA LTDA (15.037.053/0003-16) Instituição: 077 Agência: 0001 Conta: 2082324-0 Número da Transação: E132033542026071714380D31C29B783</t>
  </si>
  <si>
    <t>Gerado automaticamente pelo Omie.CASH. Trata-se da tarifa referente ao Pix enviado em 21/07/2026 para: 15 253 335 EDUARDO ALVES DE OLIVEIRA (15.253.335/0001-99) Instituição: 033 Agência: 0179 Conta: 13009233-6 Número da Transação: E13203354202607211704DE3CD73D618</t>
  </si>
  <si>
    <t>Gerado automaticamente pelo Omie.CASH. Trata-se da tarifa referente ao Pix enviado em 23/07/2026 para: SGX ADMINISTRACAO, EMPREENDIMENTOS E PARTICIPACAO LTDA (15.371.703/0001-01) Instituição: 001 Agência: 0024 Conta: 123398-0 Número da Transação: E132033542026072317539449D190D44</t>
  </si>
  <si>
    <t>Gerado automaticamente pelo Omie.CASH. Trata-se da tarifa referente ao Pix enviado em 16/07/2026 para: CAIXA ECONOMICA FEDERAL (00.360.305/0001-04) Instituição: 104 Agência: 0647 Conta: 9999000537000360305-5 Número da Transação: E1320335420260716193914DF66695B8</t>
  </si>
  <si>
    <t>Gerado automaticamente pelo Omie.CASH. Trata-se da tarifa referente ao Pix enviado em 24/07/2026 para: Karine Rocha Azevedo e Silva Costa (112.016.427-36) Instituição: 260 Agência: 0001 Conta: 74924668-3 Número da Transação: E13203354202607241509D123377AC69</t>
  </si>
  <si>
    <t>Gerado automaticamente pelo Omie.CASH. Trata-se da tarifa referente ao Pix enviado em 28/07/2026 para: V. R. EVENTOS LTDA (16.422.009/0001-20) Instituição: ID039 Agência: 3008 Conta: 259431-5 Número da Transação: E13203354202607282002D0ABCF5F165</t>
  </si>
  <si>
    <t>Gerado automaticamente pelo Omie.CASH. Trata-se da tarifa referente ao Pix enviado em 21/07/2026 para: 15 253 335 EDUARDO ALVES DE OLIVEIRA (15.253.335/0001-99) Instituição: 033 Agência: 0179 Conta: 13009233-6 Número da Transação: E13203354202607211704B379E10E2F0</t>
  </si>
  <si>
    <t>REF 11/06 VERCEL INC. - R$ 107,67 + R$ 3,76 IOF - ** FORA DO ORÇAMENTO - AUTORIZADO MARCELO ** - ** CARTÃO PJ **</t>
  </si>
  <si>
    <t>Gerado automaticamente pelo Omie.CASH. Trata-se da tarifa referente ao Pix enviado em 28/07/2026 para: MARCOS ANTONIO MAINI DUQUE (087.323.606-81) Instituição: 033 Agência: 0179 Conta: 1033275-2 Número da Transação: E13203354202607282002EB70E1A20E4</t>
  </si>
  <si>
    <t>Gerado automaticamente pelo Omie.CASH. Trata-se da tarifa referente ao Pix enviado em 20/07/2026 para: PANELINHA COMIDA FIT LTDA (26.151.284/0001-00) Instituição: 001 Agência: 5888 Conta: 54940-1 Número da Transação: E13203354202607201504F8D272940E1</t>
  </si>
  <si>
    <t>Gerado automaticamente pelo Omie.CASH. Trata-se da tarifa referente ao Pix enviado em 20/07/2026 para: MONICA APARECIDA FERNANDO (805.177.816-20) Instituição: 104 Agência: 1641 Conta: 1288000000763794395-0 Número da Transação: E13203354202607201504E90249FEF58</t>
  </si>
  <si>
    <t>Gerado automaticamente pelo Omie.CASH. Trata-se da tarifa referente ao Pix enviado em 16/07/2026 para: Mariana Balut Miranda (070.584.756-01) Instituição: 260 Agência: 0001 Conta: 13707771-1 Número da Transação: E132033542026071619392DCB1C72B44</t>
  </si>
  <si>
    <t>Gerado automaticamente pelo Omie.CASH. Trata-se da tarifa referente ao Pix enviado em 21/07/2026 para: 54.971.070 felipe henriques crivellari (54.971.070/0001-16) Instituição: 336 Agência: 0001 Conta: 32629505-4 Número da Transação: E1320335420260721170422CFFAFA3D7</t>
  </si>
  <si>
    <t>Gerado automaticamente pelo Omie.CASH. Trata-se da tarifa referente ao Pix enviado em 16/07/2026 para: ASSOCIACAO BENEFICENTE E CULTURAL AMIGOS DO NOIVO (04.704.512/0001-90) Instituição: 756 Agência: 4149 Conta: 14765-6 Número da Transação: E1320335420260716193961D3D3A9CE9</t>
  </si>
  <si>
    <t>Gerado automaticamente pelo Omie.CASH. Trata-se da tarifa referente ao Pix enviado em 15/07/2026 para: Marcos Vinicius Soldate (055.442.346-47) Instituição: 237 Agência: 3832 Conta: 1002963-5 Número da Transação: E13203354202607151737196DFC8B068</t>
  </si>
  <si>
    <t>Gerado automaticamente pelo Omie.CASH. Trata-se da tarifa referente ao Pix enviado em 21/07/2026 para: Luciene Martins Dias dos Reis (789.975.856-49) Instituição: 260 Agência: 0001 Conta: 94837899-4 Número da Transação: E13203354202607211704959B1F1658A</t>
  </si>
  <si>
    <t>Gerado automaticamente pelo Omie.CASH. Trata-se da tarifa referente ao Pix enviado em 22/07/2026 para: MONICA APARECIDA FERNANDO (805.177.816-20) Instituição: 104 Agência: 1641 Conta: 1288000000763794395-0 Número da Transação: E13203354202607221809A89247769C4</t>
  </si>
  <si>
    <t>Gerado automaticamente pelo Omie.CASH. Trata-se da tarifa referente ao Pix enviado em 14/01/2026 para:  CAIXA ECONOMICA FEDERAL (00.360.305/0001-04) Instituição: 104 Agência: 0647 Conta: 9999000537000360305-5 Número da Transação: E132033542026011415475CA7F21F0B6</t>
  </si>
  <si>
    <t>Gerado automaticamente pelo Omie.CASH. Trata-se da tarifa referente ao Pix enviado em 20/01/2026 para:  COPA CONSULTORIA E ASSESSORIA EM ERP LTDA (55.067.505/0001-65) Instituição: 077 Agência: 0001 Conta: 36303172-3 Número da Transação: E13203354202601201901283101BFE65</t>
  </si>
  <si>
    <t>Gerado automaticamente pelo Omie.CASH. Trata-se da tarifa referente ao Pix enviado em 23/07/2026 para: DIRECTA NET LTDA (03.714.480/0001-40) Instituição: 033 Agência: 3177 Conta: 13000175-5 Número da Transação: E13203354202607231752C7644FF1687</t>
  </si>
  <si>
    <t>Gerado automaticamente pelo Omie.CASH. Trata-se da tarifa referente ao Pix enviado em 28/07/2026 para: VIVA MIXX EVENTOS E FORMATURAS LTDA - ME (21.156.081/0001-93) Instituição: 001 Agência: 0024 Conta: 123408-0 Número da Transação: E1320335420260728200291FB019F838</t>
  </si>
  <si>
    <t>Gerado automaticamente pelo Omie.CASH. Trata-se da tarifa referente ao Pix enviado em 28/07/2026 para: BUSINESS NETWORKING MASTER FRANQUIA BRASIL LTDA (04.362.235/0001-84) Instituição: ID645 Agência: 0001 Conta: 575887-5 Número da Transação: E132033542026072820029045F29322A</t>
  </si>
  <si>
    <t>Gerado automaticamente pelo Omie.CASH. Trata-se da tarifa referente ao Pix enviado em 16/07/2026 para: MEDEIROS CERIMONIAL FORMATURAS E EVENTOS LTDA (36.398.421/0001-60) Instituição: 341 Agência: 3039 Conta: 98884-9 Número da Transação: E132033542026071619391BF29FF8869</t>
  </si>
  <si>
    <t>Gerado automaticamente pelo Omie.CASH. Trata-se da tarifa referente ao Pix enviado em 17/07/2026 para: MONICA APARECIDA FERNANDO (805.177.816-20) Instituição: 104 Agência: 1641 Conta: 1288000000763794395-0 Número da Transação: E132033542026071714380BF30BF6EF8</t>
  </si>
  <si>
    <t>Gerado automaticamente pelo Omie.CASH. Trata-se da tarifa referente ao Pix enviado em 17/07/2026 para: CASA DA GRAFICA LTDA (15.037.053/0003-16) Instituição: 077 Agência: 0001 Conta: 2082324-0 Número da Transação: E13203354202607171438D07BBFB6105</t>
  </si>
  <si>
    <t>Gerado automaticamente pelo Omie.CASH. Trata-se da tarifa referente ao Pix enviado em 24/07/2026 para: MONICA APARECIDA FERNANDO (805.177.816-20) Instituição: 104 Agência: 1641 Conta: 1288000000763794395-0 Número da Transação: E13203354202607241509DE37568CFC5</t>
  </si>
  <si>
    <t>Gerado automaticamente pelo Omie.CASH. Trata-se da tarifa referente ao Pix enviado em 27/07/2026 para: MONICA APARECIDA FERNANDO (805.177.816-20) Instituição: 104 Agência: 1641 Conta: 1288000000763794395-0 Número da Transação: E13203354202607271735FD0DF6A1668</t>
  </si>
  <si>
    <t>Gerado automaticamente pelo Omie.CASH. Trata-se da tarifa referente ao Pix enviado em 15/07/2026 para: PIX Marketplace (10.573.521/0001-91) Instituição: 323 Agência: 0001 Conta: 2918333524-0 Número da Transação: E13203354202607151738FBBB5B03949</t>
  </si>
  <si>
    <t>Gerado automaticamente pelo Omie.CASH. Trata-se da tarifa referente ao Pix enviado em 30/07/2026 para: MS PRODUCAO LTDA (65.099.142/0001-01) Instituição: 208 Agência: 0050 Conta: 1615221-7 Número da Transação: E13203354202607302006C447D6884F5</t>
  </si>
  <si>
    <t>Gerado automaticamente pelo Omie.CASH. Trata-se da tarifa referente ao Pix enviado em 30/07/2026 para: REGIS ADRIANO DA COSTA (103.945.056-38) Instituição: 260 Agência: 0001 Conta: 7083172-1 Número da Transação: E132033542026073020076BE509F5547</t>
  </si>
  <si>
    <t>Gerado automaticamente pelo Omie.CASH. Trata-se da tarifa referente ao Pix enviado em 29/07/2026 para: MONICA APARECIDA FERNANDO (805.177.816-20) Instituição: 104 Agência: 1641 Conta: 1288000000763794395-0 Número da Transação: E13203354202607291635882AD8227C7</t>
  </si>
  <si>
    <t>Gerado automaticamente pelo Omie.CASH. Trata-se da tarifa referente ao Pix enviado em 29/07/2026 para: ENGLISH MOVES ENSINO DE IDIOMAS LTDA (37.765.173/0001-00) Instituição: 077 Agência: 0001 Conta: 8191555-1 Número da Transação: E1320335420260729163508F58D17542</t>
  </si>
  <si>
    <t>Gerado automaticamente pelo Omie.CASH. Trata-se da tarifa referente ao Pix enviado em 30/07/2026 para: THOMAS SOUZA REIS (097.174.676-17) Instituição: 260 Agência: 0001 Conta: 1201493-3 Número da Transação: E13203354202607302007AB97F991BC5</t>
  </si>
  <si>
    <t>Gerado automaticamente pelo Omie.CASH. Trata-se da tarifa referente ao Pix enviado em 30/07/2026 para: CRISTIANE LEITE BRAGA (080.991.806-40) Instituição: 260 Agência: 0001 Conta: 96210-2 Número da Transação: E13203354202607302006F72AE487D6D</t>
  </si>
  <si>
    <t>Gerado automaticamente pelo Omie.CASH. Trata-se da tarifa referente ao Pix enviado em 30/07/2026 para: CARMEM ASSESSORIA E SERVICOS DE INTELIGENCIA LTDA (32.176.074/0001-70) Instituição: 033 Agência: 1230 Conta: 13002086-2 Número da Transação: E132033542026073020078F5CE022319</t>
  </si>
  <si>
    <t>Gerado automaticamente pelo Omie.CASH. Trata-se da tarifa referente ao Pix enviado em 30/07/2026 para: MARCOS ANTONIO MAINI DUQUE (087.323.606-81) Instituição: 033 Agência: 0179 Conta: 1033275-2 Número da Transação: E13203354202607302007D6F91615F56</t>
  </si>
  <si>
    <t>Gerado automaticamente pelo Omie.CASH. Trata-se da tarifa referente ao Pix enviado em 30/07/2026 para: EVERDAN ELIAS COELHO (058.382.626-13) Instituição: 260 Agência: 0001 Conta: 20377589-9 Número da Transação: E13203354202607302007A7FA18DBCB2</t>
  </si>
  <si>
    <t>Gerado automaticamente pelo Omie.CASH. Trata-se da tarifa referente ao Pix enviado em 30/07/2026 para: GENESIS ALVES DE LACERDA (793.118.575-72) Instituição: 336 Agência: 0001 Conta: 3665931-2 Número da Transação: E13203354202607302007BEBBBEACB30</t>
  </si>
  <si>
    <t>Gerado automaticamente pelo Omie.CASH. Trata-se da tarifa referente ao Pix enviado em 29/07/2026 para: ARMANDO PONTEDEIRO NETO (15.146.853/0001-03) Instituição: 237 Agência: 7338 Conta: 70141-6 Número da Transação: E132033542026072916355FC8815F839</t>
  </si>
  <si>
    <t>Gerado automaticamente pelo Omie.CASH. Trata-se da tarifa referente ao Pix enviado em 30/07/2026 para: Marcelo Bahia de Souza (780.364.616-68) Instituição: 260 Agência: 0001 Conta: 95411218-4 Número da Transação: E13203354202607302007F41837B51A6</t>
  </si>
  <si>
    <t>Gerado automaticamente pelo Omie.CASH. Trata-se da tarifa referente ao Pix enviado em 30/07/2026 para: BRUNA BELTANTE ASSIS (109.085.626-16) Instituição: 001 Agência: 2592 Conta: 32175-3 Número da Transação: E1320335420260730200766A1ABEC29A</t>
  </si>
  <si>
    <t>Gerado automaticamente pelo Omie.CASH. Trata-se da tarifa referente ao Pix enviado em 30/07/2026 para: DIRECTA NET LTDA (03.714.480/0001-40) Instituição: 033 Agência: 3177 Conta: 13000175-5 Número da Transação: E132033542026073020073C898F7F942</t>
  </si>
  <si>
    <t>Gerado automaticamente pelo Omie.CASH. Trata-se da tarifa referente ao Pix enviado em 20/01/2026 para:  CAIXA ECONOMICA FEDERAL (00.360.305/0001-04) Instituição: 104 Agência: 0647 Conta: 9999000537000360305-5 Número da Transação: E132033542026012019012744CB57204</t>
  </si>
  <si>
    <t>Gerado automaticamente pelo Omie.CASH. Trata-se da tarifa referente ao Pix enviado em 10/03/2026 para:  RONALDO DE OLIVEIRA PIRES (073.061.106-08) Instituição: 260 Agência: 0001 Conta: 5715249-6 Número da Transação: E13203354202603102038AEBCD8975D3</t>
  </si>
  <si>
    <t>Gerado automaticamente pelo Omie.CASH. Trata-se da tarifa referente ao Pix enviado em 10/03/2026 para:  RONALDO DE OLIVEIRA PIRES (073.061.106-08) Instituição: 260 Agência: 0001 Conta: 5715249-6 Número da Transação: E1320335420260310203883FF366420D</t>
  </si>
  <si>
    <t>Gerado automaticamente pelo Omie.CASH. Trata-se da tarifa referente ao Pix enviado em 10/03/2026 para:  RONALDO DE OLIVEIRA PIRES (073.061.106-08) Instituição: 260 Agência: 0001 Conta: 5715249-6 Número da Transação: E13203354202603102038618825E2214</t>
  </si>
  <si>
    <t>Gerado automaticamente pelo Omie.CASH. Trata-se da tarifa referente ao Pix enviado em 19/03/2026 para:  CAIXA ECONOMICA FEDERAL (00.360.305/0001-04) Instituição: 104 Agência: 0647 Conta: 9999000537000360305-5 Número da Transação: E13203354202603191737C2E2AB56540</t>
  </si>
  <si>
    <t>Gerado automaticamente pelo Omie.CASH. Trata-se da tarifa referente ao Pix enviado em 06/03/2026 para:  RONALDO DE OLIVEIRA PIRES (073.061.106-08) Instituição: 260 Agência: 0001 Conta: 5715249-6 Número da Transação: E13203354202603061300C812C13A987</t>
  </si>
  <si>
    <t>Gerado automaticamente pelo Omie.CASH. Trata-se da tarifa referente ao Pix enviado em 19/03/2026 para:  ROMERO PEREIRA DOS SANTOS (37.451.566/0001-40) Instituição: 260 Agência: 0001 Conta: 89656332-8 Número da Transação: E132033542026031917370B594E05173</t>
  </si>
  <si>
    <t>DIN - REF A COMPRA DE 1 CHIP PARA ANDRÉ DA PERFORMANCE</t>
  </si>
  <si>
    <t>BOL - REF A CONTA DE INTERNET HUB - COMP 07/2026</t>
  </si>
  <si>
    <t>** PREVISÃO ** - BOL REF A INTERNET HUB - COMP XX/XXXX</t>
  </si>
  <si>
    <t>BOL CONTA EM NOME DA SPDX - N° CONTA 0401265924 COMP 07/2026</t>
  </si>
  <si>
    <t>BOL - REF A CONTA DA TIM SPDX - 07/2026</t>
  </si>
  <si>
    <t>BOL - VIAGEM 10 ANOS - CRIS - PARCELA 04/05</t>
  </si>
  <si>
    <t>REF A COMPRA DE REFRI E SALGADINHOS - AÇÃO NIVER FINANCEIRO QUOKKA</t>
  </si>
  <si>
    <t>FOTOLAB BRINDES</t>
  </si>
  <si>
    <t>Frete entrega brinde dia dos pais</t>
  </si>
  <si>
    <t>Roleta de Aniversário Jéssica Paiva - R$50,00</t>
  </si>
  <si>
    <t>PIX - chocolate volta de férias Lari S. - financeiro CSC quokka</t>
  </si>
  <si>
    <t>MARCOS ANTONIO DE CASTRO</t>
  </si>
  <si>
    <t>Roleta de Aniversário Marcão - R$50,00</t>
  </si>
  <si>
    <t>Pagamento Ação de Endomkt time - ATD</t>
  </si>
  <si>
    <t>Pagamento Agilli - Impressões da Ação de endomkt</t>
  </si>
  <si>
    <t>Compra Brinde dia dos pais</t>
  </si>
  <si>
    <t>Sacolas Kraft Dia Dos Pais Tamanho P 50 Unidades - Ação de Endomkt</t>
  </si>
  <si>
    <t>BOL - Ref a advogada Erica - comp 08/2026 -spdx</t>
  </si>
  <si>
    <t>BOL - REF AO ADVOGADA ZANIN - COMP 08/2026</t>
  </si>
  <si>
    <t>BOL REF COWORKING SPDX - COMP 08/2026</t>
  </si>
  <si>
    <t>BOL REF A PAGAMENTO ALUGUEL HUB - COMP 08/2026</t>
  </si>
  <si>
    <t>BOL. SABIN SINAI - COMP.: 08/2026</t>
  </si>
  <si>
    <t>ABEFORM - ASSOCIACAO BRASILEIRA DE EMPRES</t>
  </si>
  <si>
    <t>BOL REF ABEFORM - CONTRIBUIÇÃO EXTRA PARA REFORMA TRIBUTARIA - PARCELA 02/03</t>
  </si>
  <si>
    <t>BOL REF MENSALIDADE ABEFORM - COMP 08/2026</t>
  </si>
  <si>
    <t>BOL - MENSALIDADE ASSOCIAÇÃO BRASILEIRA DE FRANCHISING - COMP 08/2026</t>
  </si>
  <si>
    <t>NÃO ORÇADO - Fone De Ouvido Headphone Dapon H02d Bluetooth 5.1 Over-ear 22h Preto</t>
  </si>
  <si>
    <t>REF 05/07 AMAZONMKTPLC*LEBRESTOR - carregador para o celular do mkt ** CARTÃO PJ **</t>
  </si>
  <si>
    <t>REF 02/07 Disney Plus- - ASSINATURA DISNEY + CAMPANHA VIVA Round PIX ** CARTÃO PJ **</t>
  </si>
  <si>
    <t>ALEXANDRE PONTES MASSACANI</t>
  </si>
  <si>
    <t>BOL - REF A REEMBOLSO ALMOÇO- 16-07-2026 E. E. DELFIM MOREIRA - 2026 9° e 3° ANO Pg cida</t>
  </si>
  <si>
    <t>Não inserir agora</t>
  </si>
  <si>
    <t>ANDRE GONZAGA FERNANDES</t>
  </si>
  <si>
    <t>DEP - cobertura fotográfica de um evento institucional - E. M. ANTONIO FAUSTINO DA SILVA - 19-08-2026</t>
  </si>
  <si>
    <t>BOL - Ref a Reuniões e Apresentações Ewbank EE Antonio Macedo - 2026 - 9 e 3</t>
  </si>
  <si>
    <t>BOL - Ref a Reuniões e Apresentações -Ewbank Reunião com a prefeitura de Ewbank</t>
  </si>
  <si>
    <t>BOL - Ref a Reuniões e Apresentações Escola M Cemei Prof Paulo Soares - 2026 - Pre escola</t>
  </si>
  <si>
    <t>BOL - REF AO REEMBOLSO VIAGEM - E. M. Carlos Augusto de Assis - 2026 - 5 e 9 ano</t>
  </si>
  <si>
    <t>BOL - Ref a o reembolso almoço Reuniões e Apresentações Escola Prof Jose Eutrópio - 2026 - 5</t>
  </si>
  <si>
    <t>BOL - Ref a reembolso almoço - Escola Estadual Antonio Macedo - 2026 - 9 e 3</t>
  </si>
  <si>
    <t>BOL - REF AO REEMBOLSO ESTACIONAMENTO - Cecon - R$ 12,00 - Cecon - 2026 - 9 , 3, Tecnico</t>
  </si>
  <si>
    <t>BOL - Ref a reembolso estacionamento - Escola Normal - 2026 - 9 , 5 e 3</t>
  </si>
  <si>
    <t>BOL - Ref ao reembolso estacionamento - Escola Duque de Caxias.- 2026 - 9</t>
  </si>
  <si>
    <t>BOL - Ref a reembolso estacionamento - Escola Duque de Caxias.- 2026- 9</t>
  </si>
  <si>
    <t>BOL - Ref a Reuniões e Apresentações Ewbank - E M Hercília Silva de Melo - 2026 - 5</t>
  </si>
  <si>
    <t>DEP - REF A COBERTURA FOTOGRÁFICA - FESTA JULINA - E. E. DELFIM MOREIRA - CENTRAL - 15-07-2026 E. E. DELFIM MOREIRA - 2026 - 9 e 3</t>
  </si>
  <si>
    <t>DEP - COBERTURA FOTOGRAFICA - TECH4ME - CECON - 05-08-2026 Pg cida</t>
  </si>
  <si>
    <t>BOL - REF AO PGT DO CONDOMÍNIO SALVATERRA MALL - COMP 08/2026</t>
  </si>
  <si>
    <t>REF 11/06 HTM*ManualdeD PARC 02/06 - CURSO MANUAL DO DONO - GESTÃO</t>
  </si>
  <si>
    <t>AOVS SISTEMAS DE INFORMATICA S.A.</t>
  </si>
  <si>
    <t>ALURA - PARC 01/12 **CARTÃO PJ**</t>
  </si>
  <si>
    <t>CONQUER HOLDING EDUCACIONAL S.A.</t>
  </si>
  <si>
    <t>REF 02/07 CONQUER ** CARTÃO PJ **</t>
  </si>
  <si>
    <t>REF 03/08 CONQUER</t>
  </si>
  <si>
    <t>Bol - honorário contabilidade spdx - comp 08/2026</t>
  </si>
  <si>
    <t>Bol - honorário contabilidade v eventos filial - comp 08/2026</t>
  </si>
  <si>
    <t>BOL - honorário contabilidade v eventos matriz- comp .: 08/2026</t>
  </si>
  <si>
    <t>BOL - REF AO SISTEMA ONEFLOW</t>
  </si>
  <si>
    <t>Bol - ref a alteração contratual spdx</t>
  </si>
  <si>
    <t>Gerado automaticamente pelo Omie.CASH. Trata-se da tarifa referente ao boleto 0022682000000004 com vencimento em 21/08/2026 emitido para: S.I.T. ASSESSORIA E MARKETING LTDA (23.097.315/0001-02) Número da Transação: 8500963</t>
  </si>
  <si>
    <t>Tarifas</t>
  </si>
  <si>
    <t>Gerado automaticamente pelo Omie.CASH. Trata-se da tarifa referente ao boleto 0022682000000002 com vencimento em 28/08/2026 emitido para: KADOSH FORMATURAS LTDA (59.302.462/0001-06) Número da Transação: 8480062</t>
  </si>
  <si>
    <t>DEP SALÁRIO - COMP 08/2026</t>
  </si>
  <si>
    <t>DEP - SALARIO PJ - COMP 08/2026 VALOR R$ 1250,00 - r$ 800,00 ( V COMPANY ) PAGAMENTO EMPRÉSTIMO CIRURGIA</t>
  </si>
  <si>
    <t>DEP SALÁRIO + ANTECIPAÇÃO COMISSÃO COMP 08/2026</t>
  </si>
  <si>
    <t>BOL COMPLEMENTO SALÁRIO - COMP 08/2026</t>
  </si>
  <si>
    <t>Custas Processuais</t>
  </si>
  <si>
    <t>ALEX TEIXEIRA TURINI</t>
  </si>
  <si>
    <t>REF AO PROCESSO JUDICIAL - NÚMERO:5000110-40.2026.8.13.0720 - AUTORA: HELENICE ALVES DA SILVA</t>
  </si>
  <si>
    <t>Valor extraviado no pgto do pro labore Alexandre - vamos entrar com pedido de solicitação de filmagem agencia</t>
  </si>
  <si>
    <t>DEP - ESTORNO DE FDM ** PAGAR PELA CONTA FDM** PAGAR NA CONTA BANCO DO BRASIL AG: 0024 CC: 123553-2</t>
  </si>
  <si>
    <t>DEP - ESTORNO DE ROYALTIES ** PAGAR PELA CONTA 123049-2** BANCO DO BRASIL AG: 0024 CC: 123553-2</t>
  </si>
  <si>
    <t>arrecadado no bingo do arraiá (R$ 489) para a conta da Associação Bem Laranja.</t>
  </si>
  <si>
    <t>D &amp; M</t>
  </si>
  <si>
    <t>PIX - REF A COMPRA DE CAMISAS PARA kit solidário da CONVIVA ** JA FOI PAGO - FALTA CONCILIAR ** Pix: 07813071000152</t>
  </si>
  <si>
    <t>Conciliar em Setembro - fazendo o credito x débito da lojinha na categoria de doações</t>
  </si>
  <si>
    <t>doação ingresso solidário CONVIVA 2026 - Cesar Augusto de Souza e Silva</t>
  </si>
  <si>
    <t>FASTPRINT GRAFICA - CASA DA GRAFICA</t>
  </si>
  <si>
    <t>PIX - Referente a impressão de Tag de Malas que serão usadas no kit do Bem Laranja na Conviva 26. - CHAVE : 15.037.053/0003-16</t>
  </si>
  <si>
    <t>DEP REF DOAÇÃO PARA FUNDAÇÃO ABAN - PGTO DA INTERNET (MEGACOM)- COMP 08/2026</t>
  </si>
  <si>
    <t>PRISCILA RIBEIRO MONTINI</t>
  </si>
  <si>
    <t>PIX - Bottons Lojinha Conviva | Bem Laranja - Chave CPF banco Stone 03801297608</t>
  </si>
  <si>
    <t>SEUBONE COMERCIO DE BONES PERSONALIZADOS LTDA</t>
  </si>
  <si>
    <t>PIX - REF A COMPRA DE BONES PARA CONVIVA - Chave aleatória: 4021cec4-7439-4391-be35-4c5bc5606290</t>
  </si>
  <si>
    <t>PIX - REF A COMPRA DE BONES PARA CONVIVA - ** ENVIAR COMPROVANTE ** Chave aleatória: 4021cec4-7439-4391-be35-4c5bc5606290</t>
  </si>
  <si>
    <t>Incluído pela importação a partir de um código de barras. BOL - REF A COMPRA DE CAMISAS : 34 unidades de camisas para a Lojinha Bem Laranja da Conviva 26.</t>
  </si>
  <si>
    <t>PIX - REF REEMBOLSO LEILÃO VIVA SP ** AUTORIZADO REGIS **</t>
  </si>
  <si>
    <t>DIN - REF A ENERGIA ELÉTRICA DO HUB - MATRICULA 3002374539 - COMP 08/2026 MEDIA DE CONSUMO 1845 kW/h * R$ 1,18 Pagamento feito para a ABD Holding</t>
  </si>
  <si>
    <t>AGP TECNOLOGIA EM INFORMATICA DO BRASIL</t>
  </si>
  <si>
    <t>KaBuM -PARC 05/10 - REF A COMPRA NOTEBOOK GUILHERME GP **CARTÃO PJ**</t>
  </si>
  <si>
    <t>SET COMPUTADORES</t>
  </si>
  <si>
    <t>NÃO ORÇADO - Compra de switch TP-Link de 16 portas Gigabit para utilização na infraestrutura de cabeamento de rede do auditório, atendendo à sala da Quokka. A compra foi previamente alinhada e aprovada pelo Vitor via WhatsApp. Como a diferença de valor em relação à compra pela internet é de apenas R$ 30,00, optamos pela aquisição na SET Computadores, em Juiz de Fora, que possui o equipamento à pronta entrega, permitindo a instalação imediata.</t>
  </si>
  <si>
    <t>Pagamento Thransporta - Fretes e transporte em geral</t>
  </si>
  <si>
    <t>DESPESAS ESTACIONAMENTO ADMINISTRATIVOS</t>
  </si>
  <si>
    <t>DIN - Estacionamento serviço de banco dia 20/08</t>
  </si>
  <si>
    <t>Din ref ao estacionamento banco dia 18/08</t>
  </si>
  <si>
    <t>DIN - ESTACIONAMENTO SERVIÇO DE BANCO</t>
  </si>
  <si>
    <t>DIN - REF AO ESTACIONAMENTO BANCO - DIA 11/08 r$35,00 + 06/08 r$ 6,00</t>
  </si>
  <si>
    <t>REF AO UBER -Larissa Militino - Compras HUB - 11,33 + Alexander Barros - Entrega microfone para jhonny 12,37 + Guilherme Gonçalves Decoracao copa - 20,85 + Laura Branco- 76,51 - Ações Endomkt Copa ** CARTÃO PJ**</t>
  </si>
  <si>
    <t>REI MATERIAIS ELETRICO LTDA</t>
  </si>
  <si>
    <t>Compra de 16 lâmpadas para o estoque do Hub. 13 Lâmpadas 9W - Valor unitário R$ 5,15 - Valor total R$ 66,95 - salas de reunião e diretoria. 3 Lâmpadas 20W - Valor unitário R$ 10,56 - Valor total - R$ 31,68 Frete - R$ 25,00 - para as luminárias de globo do hub. Valor total NF - R$ 116,20</t>
  </si>
  <si>
    <t>41.527.864 RONALDO ADRIANO PEREIRA</t>
  </si>
  <si>
    <t>PIX - Ref a pintura do autoritário Hub</t>
  </si>
  <si>
    <t>REF 02/07 MP*MERCADOLIVRE - luminária para sala 2 de reunião ** CARTÃO PJ **</t>
  </si>
  <si>
    <t>GS SOLUCOES EM SEGURANCA LTDA</t>
  </si>
  <si>
    <t>Pix - ref a troca para o botão touch da recepção Hub</t>
  </si>
  <si>
    <t>NÃO ORÇADO - Conserto fonte de notebook da viva -Guilherme - GP - defeito: curto circuito na placa</t>
  </si>
  <si>
    <t>ARPIO PRODUCAO AUDIOVISUAL LTDA</t>
  </si>
  <si>
    <t>PIX - Contratação de produtora de vídeos - FALTA APROVAR NO COTROLL HUB - MAS O PGT ESTA APROVADO</t>
  </si>
  <si>
    <t>REF ANÚNCIOS EXPANSÃO - *Q3U4B4EKL4</t>
  </si>
  <si>
    <t>BOL REF A PAGAMENTO PLATAFORMA - COMP 08/2026</t>
  </si>
  <si>
    <t>REF 02/08 Disney Plus - ASSINATURA DISNEY + CAMPANHA VIVA Round PIX</t>
  </si>
  <si>
    <t>01/07 Google ADS4958468139 - ANÚNCIOS PARA FDM **CARTÃO PJ**</t>
  </si>
  <si>
    <t>IRMAOS SOLDATI LTDA - POUPANCA</t>
  </si>
  <si>
    <t>Descartáveis, caixa de sachê de açúcar, caixa de sachê de adoçante, sacos de lixo</t>
  </si>
  <si>
    <t>Solicitação de pagamento descartáveis HUB - Descartáveis Santa Rita</t>
  </si>
  <si>
    <t>MED STAR</t>
  </si>
  <si>
    <t>Papel toalha para o HUB</t>
  </si>
  <si>
    <t>SMAIS DISTRIBUIDORA E COMERCIO LTDA</t>
  </si>
  <si>
    <t>caixa de papel A4 para o HUB</t>
  </si>
  <si>
    <t>Doce Minas Industria e Comércio de Biscoitos Ltda</t>
  </si>
  <si>
    <t>Pagamento Biscoitinhos reunião HUB</t>
  </si>
  <si>
    <t>JMA PRINT LTDA</t>
  </si>
  <si>
    <t>Regua Extensão Elétrica 6 Tomadas 5 Metros Filtro De Linha Preto 127/220v</t>
  </si>
  <si>
    <t>Material de escritório (despesa no cartão R$270,99) - Caneta Retroprojetor Permanente 2.0mm Brw Caixa 12 Unidades Preto - 9320 - Kit 4 Rolo Fita Adesiva Durex 300 Metros Embalar Caixas Transparente Liso - 132536 - Fita Isolante Tigre Preta 20m X 19mm Classe B Anti Chamas Preto Liso - 1339203 - Cola Instantânea Tekbond 793 Super Bonder Extra Forte 20g Transparente - 28.443</t>
  </si>
  <si>
    <t>Extensão Elétrica 10 Metros 20a Cabo Pp 2x1,0 Reforçada Cor Preto Click Cabos 127/220v - Quantidade: 3</t>
  </si>
  <si>
    <t>Caneta Esferográfica Bic Cristal Média 50 Unidades Cor Da Tinta Azul Cor Do Exterior Azul - Quantidade: 2</t>
  </si>
  <si>
    <t>Kit 5 Fita Adesiva Larga 500m Transparente Durex Empacotar Transparente Lisa</t>
  </si>
  <si>
    <t>Fita Dupla Face 3M EXTRA Forte 5KG Fixa Forte Extrema 24MM X 2M</t>
  </si>
  <si>
    <t>Fita Dupla Face Ultra Fina para Carpetes - Fixação Segura e Duradoura 3cm com 5m</t>
  </si>
  <si>
    <t>Kit 6 Canetas Brasfort Ponta Fina Permanente 2mm 6 Pretas</t>
  </si>
  <si>
    <t>Kit 3 Cola Instantânea Tekbond 793 Vidro Madeira Porcelana</t>
  </si>
  <si>
    <t>Passador De Slides Sem Fio Diggicom Preto Com Laser E Mouse Usb Para Apresentações</t>
  </si>
  <si>
    <t>Kit 10 Adaptador Tomada Benjamin Plugue T 3 Saídas 10a/20a</t>
  </si>
  <si>
    <t>Maleta De Costura Completo Com 52 Peças E Estojo Para Viagem Sortidas</t>
  </si>
  <si>
    <t>Kit Marca-texto Masterprint Com 12 Cores, Sendo 6 Neon E 6 Tons Pastel, De Ponta Chanfrada 6 Cores Neon + 6 Cores Tons Pastel</t>
  </si>
  <si>
    <t>Móveis e Utensílios (*)</t>
  </si>
  <si>
    <t>DIN - REF AO PAGAMENTO DOS MOVEIS SALA FINANCEIRO QUOKKA - complemento</t>
  </si>
  <si>
    <t>BOL - CRÉDITO CARTÃO EMPRESA - COMP 08/2026 PAGAR PELO BB</t>
  </si>
  <si>
    <t>Pagamento Freela Limpeza HUB - dia 03/08</t>
  </si>
  <si>
    <t>Pagamento Freela Limpeza HUB - dia 07/08</t>
  </si>
  <si>
    <t>Pagamento Freela Limpeza HUB - dia 10/08</t>
  </si>
  <si>
    <t>Pagamento Freela Limpeza HUB - dia 11/08</t>
  </si>
  <si>
    <t>Pagamento Freela limpeza HUB - DIA 13/08</t>
  </si>
  <si>
    <t>Pagamento freela limpeza HUB - 27/08</t>
  </si>
  <si>
    <t>Pagamento freela limpeza HUB - 28/08</t>
  </si>
  <si>
    <t>Pagamento Freela Limpeza HUB - dia 12/08</t>
  </si>
  <si>
    <t>Pagamento Freela limpeza HUB - DIA 25/08</t>
  </si>
  <si>
    <t>Pagamento Freela limpeza HUB - DIA 21/08</t>
  </si>
  <si>
    <t>Pagamento Freela limpeza HUB - DIA 18/08</t>
  </si>
  <si>
    <t>Pagamento Freela limpeza HUB - DIA 24/08</t>
  </si>
  <si>
    <t>Pagamento Freela limpeza HUB - DIA 20/08</t>
  </si>
  <si>
    <t>Pagamento Freela limpeza HUB - DIA 17/08</t>
  </si>
  <si>
    <t>Pagamento Freela limpeza HUB - DIA 19/08</t>
  </si>
  <si>
    <t>Pagamento Freela limpeza HUB - DIA 14/08</t>
  </si>
  <si>
    <t>Pagamento Freela limpeza HUB - DIA 26/08</t>
  </si>
  <si>
    <t>Conta a receber referente a: - Recibo: 0000000915 - RPS: 0000088777 - NFS-e: 116723</t>
  </si>
  <si>
    <t>Conta a receber referente a: - Recibo: 0000000898 - RPS: 0000088758 - NFS-e: 116704</t>
  </si>
  <si>
    <t>Conta a receber referente a: - Recibo: 0000000899 - RPS: 0000088759 - NFS-e: 116705</t>
  </si>
  <si>
    <t>Conta a receber referente a: - Recibo: 0000000896 - RPS: 0000088754 - NFS-e: 116700</t>
  </si>
  <si>
    <t>Conta a receber referente a: - Recibo: 0000000900 - RPS: 0000088760 - NFS-e: 116706</t>
  </si>
  <si>
    <t>Conta a receber referente a: - Recibo: 0000000901 - RPS: 0000088761 - NFS-e: 116707</t>
  </si>
  <si>
    <t>Conta a receber referente a: - Recibo: 0000000937 - RPS: 0000088799 - NFS-e: 116745</t>
  </si>
  <si>
    <t>Conta a receber referente a: - Recibo: 0000000902 - RPS: 0000088762 - NFS-e: 116708</t>
  </si>
  <si>
    <t>Conta a receber referente a: - Recibo: 0000000903 - RPS: 0000088763 - NFS-e: 116709</t>
  </si>
  <si>
    <t>Conta a receber referente a: - Recibo: 0000000904 - RPS: 0000088764 - NFS-e: 116710</t>
  </si>
  <si>
    <t>Conta a receber referente a: - Recibo: 0000000910 - RPS: 0000088772 - NFS-e: 116718</t>
  </si>
  <si>
    <t>Conta a receber referente a: - Recibo: 0000000909 - RPS: 0000088771 - NFS-e: 116717</t>
  </si>
  <si>
    <t>Conta a receber referente a: - Recibo: 0000000911 - RPS: 0000088773 - NFS-e: 116719</t>
  </si>
  <si>
    <t>Omie.CASH: CASHBACK no Cartão Omie Cartão: 233026******7397 Estabelecimento: DeepSeek Moeda original: BRL Data da autorização: 18/08/2026</t>
  </si>
  <si>
    <t>Omie.CASH: CASHBACK no Cartão Omie Cartão: 233026******7397 Estabelecimento: GITHUB, INC. Moeda original: BRL Data da autorização: 24/08/2026</t>
  </si>
  <si>
    <t>Omie.CASH: CASHBACK no Cartão Omie Cartão: 233026******7397 Estabelecimento: VADOO AI Moeda original: BRL Data da autorização: 24/08/2026</t>
  </si>
  <si>
    <t>Conta a receber referente a: - Recibo: 0000000908 - RPS: 0000088769 - NFS-e: 116715</t>
  </si>
  <si>
    <t>Conta a receber referente a: - Recibo: 0000000912 - RPS: 0000088774 - NFS-e: 116720</t>
  </si>
  <si>
    <t>Conta a receber referente a: - Recibo: 0000000913 - RPS: 0000088775 - NFS-e: 116721</t>
  </si>
  <si>
    <t>Conta a receber referente a: - Recibo: 0000000897 - RPS: 0000088756 - NFS-e: 116702</t>
  </si>
  <si>
    <t>Conta a receber referente a: - Recibo: 0000000914 - RPS: 0000088776 - NFS-e: 116722</t>
  </si>
  <si>
    <t>Conta a receber referente a: - Recibo: 0000000938 - RPS: 0000088800 - NFS-e: 116746</t>
  </si>
  <si>
    <t>Conta a receber referente a: - Recibo: 0000000916 - RPS: 0000088778 - NFS-e: 116724</t>
  </si>
  <si>
    <t>Conta a receber referente a: - Recibo: 0000000939 - RPS: 0000088834 - NFS-e: 116780</t>
  </si>
  <si>
    <t>Conta a receber referente a: - Recibo: 0000000918 - RPS: 0000088780 - NFS-e: 116726</t>
  </si>
  <si>
    <t>Conta a receber referente a: - Recibo: 0000000919 - RPS: 0000088781 - NFS-e: 116727</t>
  </si>
  <si>
    <t>Conta a receber referente a: - Recibo: 0000000921 - RPS: 0000088783 - NFS-e: 116729</t>
  </si>
  <si>
    <t>Conta a receber referente a: - Recibo: 0000000922 - RPS: 0000088784 - NFS-e: 116730</t>
  </si>
  <si>
    <t>Conta a receber referente a: - Recibo: 0000000923 - RPS: 0000088785 - NFS-e: 116731</t>
  </si>
  <si>
    <t>Conta a receber referente a: - Recibo: 0000000936 - RPS: 0000088798 - NFS-e: 116744</t>
  </si>
  <si>
    <t>Conta a receber referente a: - Recibo: 0000000925 - RPS: 0000088787 - NFS-e: 116733</t>
  </si>
  <si>
    <t>Conta a receber referente a: - Recibo: 0000000926 - RPS: 0000088788 - NFS-e: 116734</t>
  </si>
  <si>
    <t>Conta a receber referente a: - Recibo: 0000000927 - RPS: 0000088789 - NFS-e: 116735</t>
  </si>
  <si>
    <t>Conta a receber referente a: - Recibo: 0000000928 - RPS: 0000088790 - NFS-e: 116736</t>
  </si>
  <si>
    <t>Conta a receber referente a: - Recibo: 0000000929 - RPS: 0000088791 - NFS-e: 116737</t>
  </si>
  <si>
    <t>Conta a receber referente a: - Recibo: 0000000930 - RPS: 0000088792 - NFS-e: 116738</t>
  </si>
  <si>
    <t>Conta a receber referente a: - Recibo: 0000000931 - RPS: 0000088793 - NFS-e: 116739</t>
  </si>
  <si>
    <t>Conta a receber referente a: - Recibo: 0000000932 - RPS: 0000088794 - NFS-e: 116740</t>
  </si>
  <si>
    <t>Conta a receber referente a: - Recibo: 0000000933 - RPS: 0000088795 - NFS-e: 116741</t>
  </si>
  <si>
    <t>Conta a receber referente a: - Recibo: 0000000934 - RPS: 0000088796 - NFS-e: 116742</t>
  </si>
  <si>
    <t>Conta a receber referente a: - Recibo: 0000000935 - RPS: 0000088797 - NFS-e: 116743</t>
  </si>
  <si>
    <t>Conta a receber referente a: - Recibo: 0000000907 - RPS: 0000088768 - NFS-e: 116714</t>
  </si>
  <si>
    <t>Conta a receber referente a: - Recibo: 0000000906 - RPS: 0000088767 - NFS-e: 116713</t>
  </si>
  <si>
    <t>Conta a receber referente a: - Recibo: 0000000905 - RPS: 0000088766 - NFS-e: 116712</t>
  </si>
  <si>
    <t>REF AO FECHAMENTO DO ALMOÇO - 18/08 a 28/08 - 164 REFEIÇÕES - R$ 16,90 CADA</t>
  </si>
  <si>
    <t>REF AO FECHAMENTO DO ALMOÇO  23/06 a 06/07 - 157 REFEIÇÕES - r$ 18,00 CADA</t>
  </si>
  <si>
    <t>REF AO FECHAMENTO DO ALMOÇO - 07/07 a 17/07/26 - 156 REFEIÇÕES - r$ 18,00 CADA</t>
  </si>
  <si>
    <t>REF - Ao almoço HUB 23/06 a 06/0 - 114 REFEIÇÃO - R$ 18,00 CADA</t>
  </si>
  <si>
    <t>REF - Ao almoço HUB  07/07 a 17/07/26 - 106 REFEIÇÃO - R$ 18,00 CADA</t>
  </si>
  <si>
    <t>DIN - ENVIAR O DINHEIRO PARA FEAT - REF A PERMUTE NA FEAT 07/2026 -  r$ 18,00 REF A REFEIÇÃO + r$35,52 DESCONTO DO PRO-LABORE</t>
  </si>
  <si>
    <t>REF AO FECHAMENTO DO ALMOÇO -   23/06 a 06/07- 125 REFEIÇÕES - R$ 16,90 CADA</t>
  </si>
  <si>
    <t>REF AO FECHAMENTO DO ALMOÇO -  07/07 a 17/07/26   - 117 REFEIÇÕES - R$ 16,90 CADA</t>
  </si>
  <si>
    <t>REF AO FECHAMENTO DO ALMOÇO-  23/06 a 06/07  - 84 REFEIÇÕES - r$ 16,90 CADA</t>
  </si>
  <si>
    <t>REF AO FECHAMENTO DO ALMOÇO-   07/07 a 17/07/26  - 73 REFEIÇÕES - r$ 16,90 CADA</t>
  </si>
  <si>
    <t>REF AO FECHAMENTO DO ALMOÇO - 20/07 a 03/08 - 158 REFEIÇÕES - r$ 18,00 CADA</t>
  </si>
  <si>
    <t>REF AO FECHAMENTO DO ALMOÇO - 20/07 a 03/08 - 145 REFEIÇÕES - R$ 16,90 CADA</t>
  </si>
  <si>
    <t>55 TELECOM COMUNICACAO LTDA</t>
  </si>
  <si>
    <t>Bol ref a plataforma do teleatendimento - 08/2026</t>
  </si>
  <si>
    <t>REF 12/08 LOVABLE - R$ 26,67 + R$ 0,93 IOF</t>
  </si>
  <si>
    <t>REF 01/08 AWS Brazil - ref ao mundo viva COD: 803335749310 -</t>
  </si>
  <si>
    <t>Previsão - Estava Setembro</t>
  </si>
  <si>
    <t>REF 01/08 AWS Brazil - ref ao mundo viva COD: 803335749310</t>
  </si>
  <si>
    <t>REF 01/08 AWS Brazil - COD: 942886851897 - iRifei</t>
  </si>
  <si>
    <t>REF 01/08 AWS Brazil - ref ao mundo viva - n de acesso 913892422951</t>
  </si>
  <si>
    <t>REF 15/07 MIXED ANALYTICS. - R$ 153,04 + R$  5,35IOF  ** CARTÃO PJ **</t>
  </si>
  <si>
    <t>REF 15/08 MIXED ANALYTICS R$ 157,54 + r$ 5,51</t>
  </si>
  <si>
    <t>Incluído pela importação a partir de um código de barras. BOL - REF AO DOMINIO QUOKKA.NET.BR</t>
  </si>
  <si>
    <t>OPENAI, LLC</t>
  </si>
  <si>
    <t>02/08 OPENAI *CHATGPT - r$264,02 + r$ IOF 9,24</t>
  </si>
  <si>
    <t>REF CANVA - PARC 08/12</t>
  </si>
  <si>
    <t>REF 02/07 OPENAI *CHATGPT - r$ 270,14+ r$ IOF  9,45  ** CARTÃO PJ **</t>
  </si>
  <si>
    <t>CLICKSIGN GESTAO DE DOCUMENTOS S/A</t>
  </si>
  <si>
    <t>REF 22/08 CLICKSIGN</t>
  </si>
  <si>
    <t>PIPEFY, INC.</t>
  </si>
  <si>
    <t>REF 14/08 PIPEFY.COM - r$ 620,23 + r$ 21,70 - GP r$ 160,48 + QUOKKA r$ 160,48 + Feat R$ 1160,48 + Young R$160,48</t>
  </si>
  <si>
    <t>Compra de créditos para a IA DeepSeek no Control Hub</t>
  </si>
  <si>
    <t>REF AOS CRÉDITOS PLATAFORMA GITHUB</t>
  </si>
  <si>
    <t>BOL - Ref as consultas período de 01/08/2026 a 31/08/2026</t>
  </si>
  <si>
    <t>REF 01/08 Google Workspace_gviva. -</t>
  </si>
  <si>
    <t>01/08 Google Workspace_iforme</t>
  </si>
  <si>
    <t>REF 14/07  PIPEFY.COM. - R$ 612,15 + R$ 21,42 IOF -  GP r$   158,40 + QUOKKA r$  158,40  + Feat R$  158,40+ Young R$158,40  ** CARTÃO PJ **</t>
  </si>
  <si>
    <t>REF A ASSINATURA GMAIL BOREAL</t>
  </si>
  <si>
    <t>GOOGLE CLOUD PLATFORM &amp; APIS</t>
  </si>
  <si>
    <t>API Gemini para leituras OCR no Control Hub</t>
  </si>
  <si>
    <t>REF 03/08 PG *JUSBRASIL</t>
  </si>
  <si>
    <t>Bol ref a plataforma de atração e seleção de pessoas Período 01/08 A 31/08</t>
  </si>
  <si>
    <t>Incluído pela importação a partir de um código de barras. BOL - Mensagens de Marketing (Julho/26): 4039 / 1x 553230037122 - Mensagens de Serviço (Julho/26): 57857 / 1x 553230037122 - Mensagens de Utilidade (Julho/26): 2189 - fatura #118720</t>
  </si>
  <si>
    <t>REF 08/07  WWW.MAKE.COM. - R$ 56,67 + R$1,98 IOF ** CARTÃO PJ **</t>
  </si>
  <si>
    <t>PORTAL MAKE COMERCIO DE COSMETICOS LTDA</t>
  </si>
  <si>
    <t>REF 08/08 WWW.MAKE.COM - R$ 56,07 + r$ 1,96 IOF</t>
  </si>
  <si>
    <t>RAILWAY</t>
  </si>
  <si>
    <t>REF 21/07 RAILWAY r$ 26,47+ r$ 0,92 IOF  grupos de whatsapp   - ** FORA DO ORÇAMENTO - AUTORIZADO VITOR **  -  ** CARTÃO PJ **</t>
  </si>
  <si>
    <t>DEP - REF AO REEMBOLSO PLATAFORMAS : claude - 604,21 + higgsfield 113,62</t>
  </si>
  <si>
    <t>DEP - REF AO REEMBOLSO PLATAFORMAS : vectorize</t>
  </si>
  <si>
    <t>NÃO ORÇADO - REF 21/08 RAILWAY - r$ 26,97 + r$ 0,94 IOF grupos de WhatsApp</t>
  </si>
  <si>
    <t>Incluído pela importação a partir de um código de barras. BOL - REF AO DOMÍNIO - boreal studio</t>
  </si>
  <si>
    <t>NUCLEO BRASIL SERVIDORES LTDA</t>
  </si>
  <si>
    <t>REF 19/08 PG *TURBO CLOUD</t>
  </si>
  <si>
    <t>Registro do domínio vivaformaturas.com.br pelo período de 1 ano, junto ao Registro.br. O registro está sendo realizado como medida preventiva de segurança, com o objetivo de garantir a titularidade do domínio e evitar que terceiros possam registrá-lo e eventualmente utilizá-lo para práticas indevidas, como tentativas de fraude ou golpes envolvendo a marca VIVA. Período: 1 ano Valor total: R$ 40,00</t>
  </si>
  <si>
    <t>Registro do domínio vivaformatura.com.br pelo período de 1 ano, junto ao Registro.br. O registro está sendo realizado como medida preventiva de segurança, com o objetivo de garantir a titularidade do domínio e evitar que terceiros possam registrá-lo e eventualmente utilizá-lo para práticas indevidas, como tentativas de fraude ou golpes envolvendo a marca VIVA. Período: 1 ano Valor total: R$ 40,00</t>
  </si>
  <si>
    <t>NÃO ORÇADO - BOL - REF A PLATAFORMA RECLAME AQUI - FORA DO ORÇAMENTO POIS NÃO FOI ORÇADO NA CONSTRUÇÃO DO ORÇAMENTO DE 2026</t>
  </si>
  <si>
    <t>BOL - REF A PLATAFORMA OMIE COMP 08/2026 - senha : 49343</t>
  </si>
  <si>
    <t>Pagamento Onfly - Plataforma de Viagens</t>
  </si>
  <si>
    <t>REF 02/07  SINCH MAILGUN -  r$725,45  + IOF R$ 25,39 -  COMP  07/2026 ** CARTÃO PJ **</t>
  </si>
  <si>
    <t>REF 02/08 SINCH MAILGUN - r$ 717,13 + IOF R$ 25,09</t>
  </si>
  <si>
    <t>REF 01/07 STAPE, INC.. - R$ 53,84 + R$1,88 IOF -  ** CARTÃO PJ **</t>
  </si>
  <si>
    <t>01/08 STAPE, INC. - R$ 52,80 + R$ 1,84IOF</t>
  </si>
  <si>
    <t>REF 02/07 SUPABASE - r$  425,96 + r$  14,90  IOF - plataforma landing.aI ** CARTÃO PJ **</t>
  </si>
  <si>
    <t>02/08 SUPABASE - r$ 513,36 + r$ 17,96 IOF</t>
  </si>
  <si>
    <t>REF A PLATAFORMA PARALELA DISPARADOR DE WHATSAPP - COMP 08/2026</t>
  </si>
  <si>
    <t>BOL REF A PLATAFORMA SOLIDES - COMP 08/2026</t>
  </si>
  <si>
    <t>REF 04/08 TRELLO.COM* ATLASSIAN - r$ 362,20 + r$ 12,74 - ASSINATURA ANUAL</t>
  </si>
  <si>
    <t>BOL - PLATAFORMA TIME CONSULTORIA - 08/2026</t>
  </si>
  <si>
    <t>REF 09/07 VERCEL INC. - R$248,45 + R$ 8,69 IOF   - ** FORA DO ORÇAMENTO - AUTORIZADO MARCELO **  -  ** CARTÃO PJ **</t>
  </si>
  <si>
    <t>REF 11/07 VERCEL INC. - R$ 106,26 + R$3,71IOF   - ** FORA DO ORÇAMENTO - AUTORIZADO MARCELO **  -  ** CARTÃO PJ **</t>
  </si>
  <si>
    <t>VADOO IA</t>
  </si>
  <si>
    <t>REF A PLATAFORMA VIVA LABS</t>
  </si>
  <si>
    <t>REF 11/08 VERCEL INC - R$ 106,00 + r$ 3,71</t>
  </si>
  <si>
    <t>TARIFA PACOTE DE SERVIÇOS COBRANÇA REFERENTE 05082026</t>
  </si>
  <si>
    <t>Gerado automaticamente pelo Omie.CASH. Trata-se da tarifa referente ao Pix enviado em 06/08/2026 para: LUCAS SOBRINHO TEIXEIRA (073.847.576-90) Instituição: 260 Agência: 0001 Conta: 7002586-8 Número da Transação: E13203354202608061949F6CC21BA3DD</t>
  </si>
  <si>
    <t>Gerado automaticamente pelo Omie.CASH. Trata-se da tarifa referente ao Pix enviado em 03/08/2026 para: MARCELO GOMES DE ALMEIDA GONCALVES (916.055.556-49) Instituição: 001 Agência: 5888 Conta: 40755-0 Número da Transação: E13203354202608031908590676EDFF6</t>
  </si>
  <si>
    <t>Gerado automaticamente pelo Omie.CASH. Trata-se da tarifa referente ao Pix enviado em 06/08/2026 para: HUMBERTO SALES DE ALMEIDA (112.339.986-76) Instituição: 348 Agência: 0001 Conta: 951216-4 Número da Transação: E13203354202608061949EB090CFBC3A</t>
  </si>
  <si>
    <t>Gerado automaticamente pelo Omie.CASH. Trata-se da tarifa referente ao Pix enviado em 04/08/2026 para: 54.971.070 felipe henriques crivellari (54.971.070/0001-16) Instituição: 336 Agência: 0001 Conta: 32629505-4 Número da Transação: E13203354202608041925843D6EBCA3A</t>
  </si>
  <si>
    <t>Gerado automaticamente pelo Omie.CASH. Trata-se da tarifa referente ao Pix enviado em 06/08/2026 para: ELPIDIO JOSE FRANCISCO FILHO (504.686.937-34) Instituição: 033 Agência: 4535 Conta: 1025752-3 Número da Transação: E13203354202608061949BAA43804BE1</t>
  </si>
  <si>
    <t>Gerado automaticamente pelo Omie.CASH. Trata-se da tarifa referente ao Pix enviado em 06/08/2026 para: MARCELA DE SOUZA (083.892.026-89) Instituição: 260 Agência: 0001 Conta: 19753868-1 Número da Transação: E13203354202608061949E2A06784CAC</t>
  </si>
  <si>
    <t>Gerado automaticamente pelo Omie.CASH. Trata-se da tarifa referente ao Pix enviado em 04/08/2026 para: PANELINHA COMIDA FIT LTDA (26.151.284/0001-00) Instituição: 001 Agência: 5888 Conta: 54940-1 Número da Transação: E1320335420260804192577D4FC6DF12</t>
  </si>
  <si>
    <t>Gerado automaticamente pelo Omie.CASH. Trata-se da tarifa referente ao Pix enviado em 20/08/2026 para: HUMBERTO SALES DE ALMEIDA (112.339.986-76) Instituição: 348 Agência: 0001 Conta: 951216-4 Número da Transação: E13203354202608201804EBFB14DEB76</t>
  </si>
  <si>
    <t>Gerado automaticamente pelo Omie.CASH. Trata-se da tarifa referente ao Pix enviado em 18/08/2026 para: 64.835.643 DOUGLAS NEVES MORELLI (64.835.643/0001-38) Instituição: 336 Agência: 0001 Conta: 43578709-8 Número da Transação: E132033542026081819035279B010971</t>
  </si>
  <si>
    <t>Gerado automaticamente pelo Omie.CASH. Trata-se da tarifa referente ao Pix enviado em 17/08/2026 para: ALEX TEIXEIRA TURINI (077.687.776-38) Instituição: 260 Agência: 0001 Conta: 786653513-7 Número da Transação: E132033542026081716396E238E810C0</t>
  </si>
  <si>
    <t>TARIFA PIX ENVIADO TAR AGRUPADAS OCORRENCIA 24082026</t>
  </si>
  <si>
    <t>Gerado automaticamente pelo Omie.CASH. Trata-se da tarifa referente ao Pix enviado em 18/08/2026 para: PANELINHA COMIDA FIT LTDA (26.151.284/0001-00) Instituição: 001 Agência: 5888 Conta: 54940-1 Número da Transação: E13203354202608181903EE6C02F3056</t>
  </si>
  <si>
    <t>Gerado automaticamente pelo Omie.CASH. Trata-se da tarifa referente ao Pix enviado em 20/08/2026 para: HUMBERTO SALES DE ALMEIDA (112.339.986-76) Instituição: 348 Agência: 0001 Conta: 951216-4 Número da Transação: E13203354202608201803F69B166A231</t>
  </si>
  <si>
    <t>Gerado automaticamente pelo Omie.CASH. Trata-se da tarifa referente ao Pix enviado em 20/08/2026 para: CAIXA ECONOMICA FEDERAL (00.360.305/0001-04) Instituição: 104 Agência: 0647 Conta: 9999000537000360305-5 Número da Transação: E13203354202608201645110BF145047</t>
  </si>
  <si>
    <t>Gerado automaticamente pelo Omie.CASH. Trata-se da tarifa referente ao Pix enviado em 20/08/2026 para: MARCELA DE SOUZA (083.892.026-89) Instituição: 260 Agência: 0001 Conta: 19753868-1 Número da Transação: E13203354202608201816A34E2096846</t>
  </si>
  <si>
    <t>Gerado automaticamente pelo Omie.CASH. Trata-se da tarifa referente ao Pix enviado em 20/08/2026 para: MARCELA DE SOUZA (083.892.026-89) Instituição: 260 Agência: 0001 Conta: 19753868-1 Número da Transação: E13203354202608201816F8E802C0A18</t>
  </si>
  <si>
    <t>Gerado automaticamente pelo Omie.CASH. Trata-se da tarifa referente ao Pix enviado em 20/08/2026 para: LUCAS SOBRINHO TEIXEIRA (073.847.576-90) Instituição: 260 Agência: 0001 Conta: 7002586-8 Número da Transação: E13203354202608201810F99B22B8B41</t>
  </si>
  <si>
    <t>Gerado automaticamente pelo Omie.CASH. Trata-se da tarifa referente ao Pix enviado em 20/08/2026 para: LUCAS SOBRINHO TEIXEIRA (073.847.576-90) Instituição: 260 Agência: 0001 Conta: 7002586-8 Número da Transação: E1320335420260820181014B0F060371</t>
  </si>
  <si>
    <t>TAR DOCTED ELETRNICO COBRANÇA REFERENTE 26082026</t>
  </si>
  <si>
    <t>Gerado automaticamente pelo Omie.CASH. Trata-se da tarifa referente ao Pix enviado em 28/08/2026 para: ELPIDIO JOSE FRANCISCO FILHO (504.686.937-34) Instituição: 033 Agência: 4535 Conta: 1025752-3 Número da Transação: E1320335420260828143883D2F4ADD53</t>
  </si>
  <si>
    <t>TAR DOCTED ELETRNICO COBRANÇA REFERENTE 27082026</t>
  </si>
  <si>
    <t>TARIFA MENSALIDADE PACOTE SERVICOS JULHO 2026</t>
  </si>
  <si>
    <t>TARIFA DÉBITO AUTOMÁTICO TAR AGRUPADAS OCORRENCIA 05082026</t>
  </si>
  <si>
    <t>TARIFA PACOTE DE SERVIÇOS COBRANÇA REFERENTE 10082026</t>
  </si>
  <si>
    <t>TARIFA PIX ENVIADO TAR AGRUPADAS OCORRENCIA 14082026</t>
  </si>
  <si>
    <t>TARIFA PIX ENVIADO TAR AGRUPADAS OCORRENCIA 21082026</t>
  </si>
  <si>
    <t>TARIFA PIX ENVIADO TAR AGRUPADAS OCORRENCIA 20082026</t>
  </si>
  <si>
    <t>TARIFA PIX ENVIADO TAR AGRUPADAS OCORRENCIA 25082026</t>
  </si>
  <si>
    <t>Gerado automaticamente pelo Omie.CASH. Trata-se da tarifa referente ao Pix enviado em 31/08/2026 para: 15 253 335 EDUARDO ALVES DE OLIVEIRA (15.253.335/0001-99) Instituição: 033 Agência: 0179 Conta: 13009233-6 Número da Transação: E132033542026083114062A003D45FD0</t>
  </si>
  <si>
    <t>Gerado automaticamente pelo Omie.CASH. Trata-se da tarifa de liquidação de boleto. Número da Transação: 32311124</t>
  </si>
  <si>
    <t>Gerado automaticamente pelo Omie.CASH. Trata-se da tarifa referente ao Pix enviado em 31/08/2026 para: ARPIO PRODUCAO AUDIOVISUAL LTDA (66.884.147/0001-08) Instituição: 348 Agência: 0001 Conta: 1964160-9 Número da Transação: E1320335420260831140602155CDC905</t>
  </si>
  <si>
    <t>Gerado automaticamente pelo Omie.CASH. Trata-se da tarifa de liquidação de boleto. Número da Transação: 32317457</t>
  </si>
  <si>
    <t>Gerado automaticamente pelo Omie.CASH. Trata-se da tarifa referente ao Pix enviado em 31/08/2026 para: 64.835.643 DOUGLAS NEVES MORELLI (64.835.643/0001-38) Instituição: 336 Agência: 0001 Conta: 43578709-8 Número da Transação: E132033542026083114053354DD02B62</t>
  </si>
  <si>
    <t>TARIFA PIX ENVIADO TAR AGRUPADAS OCORRENCIA 27082026</t>
  </si>
  <si>
    <t>Gerado automaticamente pelo Omie.CASH. Trata-se da tarifa referente ao Pix enviado em 31/08/2026 para: Marcos Vinicius Soldate (055.442.346-47) Instituição: 237 Agência: 3832 Conta: 1002963-5 Número da Transação: E13203354202608311406E94F3A08337</t>
  </si>
  <si>
    <t>Gerado automaticamente pelo Omie.CASH. Trata-se da tarifa referente ao Pix enviado em 31/08/2026 para: MONICA APARECIDA FERNANDO (805.177.816-20) Instituição: 104 Agência: 1641 Conta: 1288000000763794395-0 Número da Transação: E132033542026083114063FDE1633568</t>
  </si>
  <si>
    <t>Gerado automaticamente pelo Omie.CASH. Trata-se da tarifa referente ao boleto 0020155100000615 com vencimento em 30/08/2026 emitido para: UAI EVENTOS LTDA (32.488.320/0001-29) Número da Transação: 8382101</t>
  </si>
  <si>
    <t>Gerado automaticamente pelo Omie.CASH. Trata-se da tarifa referente ao Pix enviado em 31/08/2026 para: ISAC LUCAS DA SILVA SOUZA (144.483.296-40) Instituição: 380 Agência: 0001 Conta: 107506991-2 Número da Transação: E13203354202608311406E863DB0A921</t>
  </si>
  <si>
    <t>Gerado automaticamente pelo Omie.CASH. Trata-se da tarifa de liquidação de boleto. Número da Transação: 32315455</t>
  </si>
  <si>
    <t>TARIFA PIX ENVIADO TAR AGRUPADAS OCORRENCIA 31082026</t>
  </si>
  <si>
    <t>TARIFA PIX ENVIADO TAR AGRUPADAS OCORRENCIA 26082026</t>
  </si>
  <si>
    <t>Gerado automaticamente pelo Omie.CASH. Trata-se da tarifa referente ao Pix enviado em 31/08/2026 para: 15 253 335 EDUARDO ALVES DE OLIVEIRA (15.253.335/0001-99) Instituição: 033 Agência: 0179 Conta: 13009233-6 Número da Transação: E132033542026083114063A6E96E6B48</t>
  </si>
  <si>
    <t>Gerado automaticamente pelo Omie.CASH. Trata-se da tarifa referente ao Pix enviado em 31/08/2026 para: PANELINHA COMIDA FIT LTDA (26.151.284/0001-00) Instituição: 001 Agência: 5888 Conta: 54940-1 Número da Transação: E132033542026083114052AC7E516EF0</t>
  </si>
  <si>
    <t>BOL - Referente a internet do Hub - comp 08/2026</t>
  </si>
  <si>
    <t>BOL- Ref a Vero hub - comp 08/2026</t>
  </si>
  <si>
    <t>BOL - CONTA EM NOME DA SPDX - N° CONTA 0401265924 COMP08/2026</t>
  </si>
  <si>
    <t>Conta a Pagar gerada a partir da cópia de outra conta com vencimento: 12/08/2026 e parcela: 004/004 PREVISÃO - RECARGAS NÚMEROS PRE PAGOS</t>
  </si>
  <si>
    <t>BOL - REF A CONTA DA TIM SPDX - 08/2026</t>
  </si>
  <si>
    <t>Bol - ref ao honorário Dataforte - comp 08/2026</t>
  </si>
  <si>
    <t>REF 09/08 VERCEL INC -R$ 235,92 + r$ 8,25 IOF</t>
  </si>
  <si>
    <t>Gerado automaticamente pelo Omie.CASH. Trata-se da tarifa de liquidação de boleto. Número da Transação: 31781647</t>
  </si>
  <si>
    <t>Gerado automaticamente pelo Omie.CASH. Trata-se da tarifa referente ao Pix enviado em 06/08/2026 para:  RONALDO DE OLIVEIRA PIRES (073.061.106-08) Instituição: 260 Agência: 0001 Conta: 5715249-6 Número da Transação: E132033542026080619458F369499332</t>
  </si>
  <si>
    <t>Gerado automaticamente pelo Omie.CASH. Trata-se da tarifa referente ao Pix enviado em 14/08/2026 para:  RONALDO DE OLIVEIRA PIRES (073.061.106-08) Instituição: 260 Agência: 0001 Conta: 5715249-6 Número da Transação: E132033542026081416038D9E137E019</t>
  </si>
  <si>
    <t>Gerado automaticamente pelo Omie.CASH. Trata-se da tarifa referente ao Pix enviado em 13/08/2026 para:  ROMERO PEREIRA DOS SANTOS (37.451.566/0001-40) Instituição: 260 Agência: 0001 Conta: 89656332-8 Número da Transação: E132033542026081318491AAAE20C1F6</t>
  </si>
  <si>
    <t>Gerado automaticamente pelo Omie.CASH. Trata-se da tarifa referente ao Pix enviado em 20/08/2026 para:  CAIXA ECONOMICA FEDERAL (00.360.305/0001-04) Instituição: 104 Agência: 0647 Conta: 9999000537000360305-5 Número da Transação: E13203354202608201642EAA039E6034</t>
  </si>
  <si>
    <t>Eventos Oficiais</t>
  </si>
  <si>
    <t>RECEITAS</t>
  </si>
  <si>
    <t>Receitas inseridas manualmente</t>
  </si>
  <si>
    <t>TOTAL</t>
  </si>
  <si>
    <t>CSC Atendimento</t>
  </si>
  <si>
    <t>Rendimentos</t>
  </si>
  <si>
    <t>IR s/ Rendimentos</t>
  </si>
  <si>
    <t>Royalties Recorrentes</t>
  </si>
  <si>
    <t>Para fazer a parte da categoria “Recorrência” a ideia é:</t>
  </si>
  <si>
    <t>Royalties Recebidos no mês de referência</t>
  </si>
  <si>
    <t>1- Após a separação de tudo aquilo que é categoria pós, pegar o volume pago no mês em análise de Serviços Prestados (sem pós) - Relatório por data de pagamento no Omie</t>
  </si>
  <si>
    <t xml:space="preserve">Royalties Recebidos no mês REF ao mês anterior </t>
  </si>
  <si>
    <t>2- Subtrair desse volume, o valor recebido naquele mês referente aos títulos pagos do mês anterior (pegar pela base do bujão) (ex. do volume recebido em janeiro, pegar na planilha do MV tudo o que foi tit. pagos de dezembro, compensando em janeiro e subtrair) - E tudo aquilo que é refetrente a junho de 2026 em diante, pois essa é a data de corte do novo formato de apuração.</t>
  </si>
  <si>
    <t>Recebidos no mês de REF - não recorrentes</t>
  </si>
  <si>
    <t>3- Assim, a diferença será referente a todos os recebimentos no mês de janeiro que passaram ou não pelo MV, mas que não são referentes aos títulos do mês de análise;</t>
  </si>
  <si>
    <t>Recorrência Ref ao mês de Ref (pago no mês seguinte)</t>
  </si>
  <si>
    <t>4- Pegar tudo o que foi gerado na recorrência do mês de análise e adicionar à diferença dita acima. Assim teremos tudo o que foi pago via MV e Omie de outras competências + a competência certa do mês analisado</t>
  </si>
  <si>
    <t>Total Royalties de Recorrência</t>
  </si>
  <si>
    <t>5- a categoria pós já estará separada, com tudo aquilo que passou ou não pelo MV</t>
  </si>
  <si>
    <t>Fundo de Marketing Recorrentes</t>
  </si>
  <si>
    <t>FDM Recebidos no mês de referência</t>
  </si>
  <si>
    <t xml:space="preserve">FDM Recebidos no mês REF ao mês anterior </t>
  </si>
  <si>
    <t>2- Subtrair desse volume, o valor recebido naquele mês referente aos títulos pagos do mês anterior (pegar pela base do bujão) (ex. do volume recebido em janeiro, pegar na planilha do MV tudo o que foi tit. pagos de dezembro, compensando em janeiro e subtrair)</t>
  </si>
  <si>
    <t>3- Assim, a diferença será referente a todos os recebimentos no mês de janeiro que passaram ou não pelo MV, mas que não são referentes aos títulos de dezembro;</t>
  </si>
  <si>
    <t>4- Pegar na planilha do MV tudo o que é referente aos tit. pagos no mês em análise e foi pago no M+1 e adicionar à diferença dita acima (ex. Pegar os recebimentos de fevereiro relativos aos tit. pagos em janeiro e somar na diferença). Assim teremos tudo o que foi pago via MV e Omie e que não são da categoria pós.</t>
  </si>
  <si>
    <t xml:space="preserve">          </t>
  </si>
  <si>
    <t>FATURADOS EXCETO VIVA JF PARA CÁLCULO DO ISS EM CHÁCARA</t>
  </si>
  <si>
    <t>Categoria Pós - Exceto Viva JF</t>
  </si>
  <si>
    <t>ISS de 5%</t>
  </si>
  <si>
    <t>ISS de 2%</t>
  </si>
  <si>
    <t>Vendas e Renovações de Franquias</t>
  </si>
  <si>
    <t>Vendas de Franquias</t>
  </si>
  <si>
    <t>Franquia 1</t>
  </si>
  <si>
    <t>Franquia 2</t>
  </si>
  <si>
    <t>Franquia 3</t>
  </si>
  <si>
    <t>Franquia 4</t>
  </si>
  <si>
    <t>Franquia 5</t>
  </si>
  <si>
    <t>Franquia 6</t>
  </si>
  <si>
    <t>Franquia 7</t>
  </si>
  <si>
    <t>Franquia 8</t>
  </si>
  <si>
    <t>Renovações de Franquias</t>
  </si>
  <si>
    <t>DESPESAS</t>
  </si>
  <si>
    <t>Alíquotas Simples</t>
  </si>
  <si>
    <t>Dataforte</t>
  </si>
  <si>
    <t>SPDX</t>
  </si>
  <si>
    <t>Pró-labore</t>
  </si>
  <si>
    <t>Comissões Comerciais - Previsão</t>
  </si>
  <si>
    <t>Bônus - metas</t>
  </si>
  <si>
    <t>Bônus</t>
  </si>
  <si>
    <t>27 E 28/01/2026 MASTER PLAN</t>
  </si>
  <si>
    <t>12 A 17/01/2026 TREINAMENTO DE NOVOS FRANQUEADOS</t>
  </si>
  <si>
    <t>10 A 12/02/2026 MASTER CONECT ROCKETS E  EXPERTS</t>
  </si>
  <si>
    <t>27 A 28/04/2026 MERSÃO DE VENDAS RECIFE</t>
  </si>
  <si>
    <t>19 A 20/05/2026 IMERSÃO DE VENDAS CURITIBA</t>
  </si>
  <si>
    <t>09 A10/06/2026 IMERSÃO DE VENDAS VOLTA REDONDA</t>
  </si>
  <si>
    <t>06-07-2026 A 09-07-2026 IMERSÃO DE VENDAS BELO HORIZONTE</t>
  </si>
  <si>
    <t>27-07-2026 A 01-08-2026 TREINAMENTO DE NOVOS FRANQUEADOS</t>
  </si>
  <si>
    <t>31/08/2026 A 02/09/2026 CONVIVA</t>
  </si>
  <si>
    <t>Evento 9</t>
  </si>
  <si>
    <t>Evento 10</t>
  </si>
  <si>
    <t>Conta Corrente BB</t>
  </si>
  <si>
    <t>Aplicação BB Corp 10 MM</t>
  </si>
  <si>
    <t>Rendimento Aplicação</t>
  </si>
  <si>
    <t>Aplicação BB Corp 4 MM</t>
  </si>
  <si>
    <t>Conta Corrente Sicoob</t>
  </si>
  <si>
    <t>Aplicação Sicoob</t>
  </si>
  <si>
    <t>Rendimento Sicoob</t>
  </si>
  <si>
    <t xml:space="preserve"> XP MONTE BRAVO</t>
  </si>
  <si>
    <t>Rendimento XP MB</t>
  </si>
  <si>
    <t>XP MATRIZ</t>
  </si>
  <si>
    <t>Rendimento XP MATRIZ</t>
  </si>
  <si>
    <t>AF</t>
  </si>
  <si>
    <t>Rendimento AF</t>
  </si>
  <si>
    <t>Genial</t>
  </si>
  <si>
    <t>Rendmiento Genial</t>
  </si>
  <si>
    <t>Warren</t>
  </si>
  <si>
    <t>Rendimento Warren</t>
  </si>
  <si>
    <t>Toro Investimentos</t>
  </si>
  <si>
    <t>Rendimento Toro</t>
  </si>
  <si>
    <t>BTG LifeTime</t>
  </si>
  <si>
    <t>Rendimento BTG LifeTime</t>
  </si>
  <si>
    <t>Rendimento Bruto</t>
  </si>
  <si>
    <t>IR (previsão)</t>
  </si>
  <si>
    <t>IR RETIDO</t>
  </si>
  <si>
    <t>Rendimento Liquido</t>
  </si>
  <si>
    <t>Saldo Investimentos Total</t>
  </si>
  <si>
    <t>1- Link da planilha de controle alimentada pela Larissa Militino:</t>
  </si>
  <si>
    <t>https://docs.google.com/spreadsheets/d/16Ppfd99d-jqg8nGDJZHCuc5dUzkKZT8js7FIPQVOfro/edit?gid=0#gid=0</t>
  </si>
  <si>
    <t>2- Mesmo com todas as informações, serão somadas aqui apenas as viagens de consultoria. As demais serão controladas via lançamentos, já que geralmente são eventos.</t>
  </si>
  <si>
    <t>Total</t>
  </si>
  <si>
    <t>Consultoria e Perf.</t>
  </si>
  <si>
    <t>Pós-vendas e CAF</t>
  </si>
  <si>
    <t xml:space="preserve">Outro </t>
  </si>
  <si>
    <t>https://docs.google.com/spreadsheets/d/1aNtuXMQHWWuTvb6HS5U-qYhDtxVTGJwjKdTMdOrYr4E/edit?gid=1296483353#gid=1296483353</t>
  </si>
  <si>
    <t>Receitas - Nacionais</t>
  </si>
  <si>
    <t>Vendas de Rifas</t>
  </si>
  <si>
    <t>Venda de Lotes</t>
  </si>
  <si>
    <t>Repasse FDM</t>
  </si>
  <si>
    <t>Despesas - CSP - Nacionais</t>
  </si>
  <si>
    <t>Repasse para os Fundos</t>
  </si>
  <si>
    <t>Zoop Pix [R$0,99 fixo]</t>
  </si>
  <si>
    <t>Zoop Cartão Visa [4,23%]</t>
  </si>
  <si>
    <t>Zoop Cartão Master [3,75%]</t>
  </si>
  <si>
    <t>Zoop Cartão ELO [4,64%]</t>
  </si>
  <si>
    <t>Cashback das franquias (Desconto nos lotes)</t>
  </si>
  <si>
    <t>Custo tarifa bancária</t>
  </si>
  <si>
    <t>Prêmio</t>
  </si>
  <si>
    <t>RESULTADO</t>
  </si>
  <si>
    <t>SE DER PREJUÍZO, COLOCAR NAS DESPESAS COM P&amp;D</t>
  </si>
  <si>
    <t>iFormei</t>
  </si>
  <si>
    <t>Resgates do iFormei</t>
  </si>
  <si>
    <t>[iFormei] Dashboard 2025</t>
  </si>
  <si>
    <t>Colaborador</t>
  </si>
  <si>
    <t>Empresa de registro</t>
  </si>
  <si>
    <t>ANDRÉ RODRIGUES FARIA</t>
  </si>
  <si>
    <t>AUGUSTO TEIXEIRA DA FONSECA</t>
  </si>
  <si>
    <t>CAROLINA BARBOSA FINAMORE</t>
  </si>
  <si>
    <t>FRANQUEADORA</t>
  </si>
  <si>
    <t>LARISSA CARVALHO SANTA RITA</t>
  </si>
  <si>
    <t>LAURA MARIA DOS SANTOS FREESZ NASCIMENTO</t>
  </si>
  <si>
    <t>LUCCAS BASSANI DA S C AMARO</t>
  </si>
  <si>
    <t>MARIA ANTONIA SOUZA ALMEIDA</t>
  </si>
  <si>
    <t>MATHEUS AUGUSTO MENDES E SILVA</t>
  </si>
  <si>
    <t>VICTOR GASPAR SILVA</t>
  </si>
  <si>
    <t>KAROLAINE DOS SANTOS VARELLA COELHO</t>
  </si>
  <si>
    <t>Atendimento CSC</t>
  </si>
  <si>
    <t>MARINA DESTRO JUNQUEIRA</t>
  </si>
  <si>
    <t>MATHEUS BARBOZA MARTINS</t>
  </si>
  <si>
    <t>NATÁLIA COURY DE REZENDE</t>
  </si>
  <si>
    <t>RAPHAEL HENRIQUE BORGES DE JESUS</t>
  </si>
  <si>
    <t>JUAN ARLEN TIAGO DA SILVA</t>
  </si>
  <si>
    <t>BRUNA BEATRIZ GOMES ALVES MARTINS</t>
  </si>
  <si>
    <t>BEATRIZ DE CASTRO SANTOS</t>
  </si>
  <si>
    <t>CONTRATAÇÃO CANCELADA</t>
  </si>
  <si>
    <t>ANDRÉ GONZAGA FERNANDES</t>
  </si>
  <si>
    <t>LUIZ EDUARDO RIBEIRO DO NASCIMENTO JUNIOR</t>
  </si>
  <si>
    <t>MARINA MELO MARTINS</t>
  </si>
  <si>
    <t>MARLEY DE MORAES FERREIRA</t>
  </si>
  <si>
    <t>RODRIGO VIEIRA KAFURI</t>
  </si>
  <si>
    <t>GUSTAVO MATOS OTONI</t>
  </si>
  <si>
    <t>ARTURO BOTTINO</t>
  </si>
  <si>
    <t>MARINA NASCIF DUARTE</t>
  </si>
  <si>
    <t>ALESSANDRO ALOÍSIO DE SOUZA MACHADO</t>
  </si>
  <si>
    <t>RAFAEL CASTILHO SIMÕES</t>
  </si>
  <si>
    <t>VICTORIA REITER COTTA</t>
  </si>
  <si>
    <t>NOVA CONTRATAÇÃO - SDR</t>
  </si>
  <si>
    <t>BARBARELLI LIVIA FELONTA PEREIRA</t>
  </si>
  <si>
    <t>CILAMARA BERG NETO</t>
  </si>
  <si>
    <t>LARISSA SANABIO DUNGA</t>
  </si>
  <si>
    <t>MARINA DE PAIVA LIMA</t>
  </si>
  <si>
    <t>SERGIO FERREIRA ROCHA</t>
  </si>
  <si>
    <t>CAROLINA GOUVÊA FRANCISCO</t>
  </si>
  <si>
    <t>DANIELE DIAS RODRIGUES</t>
  </si>
  <si>
    <t>GESSIKA DE LACERDA SILVA</t>
  </si>
  <si>
    <t>JOÃO PEDRO CORNI BOHNENBERGER</t>
  </si>
  <si>
    <t>EMILLY DE OLIVEIRA FELIX</t>
  </si>
  <si>
    <t>GABRIEL FERREIRA BRAZ</t>
  </si>
  <si>
    <t>IGOR DIAS REIS</t>
  </si>
  <si>
    <t>THEO DE PAULA DINIZ</t>
  </si>
  <si>
    <t>NATHÁLIA CASALI FERREIRA</t>
  </si>
  <si>
    <t>ALEXANDER DE BARROS ARAÚJO</t>
  </si>
  <si>
    <t>BARBARA OLIVEIRA DE ALMEIDA</t>
  </si>
  <si>
    <t>GUILHERME GONÇALVES MELLO</t>
  </si>
  <si>
    <t>LARISSA FELÍCIO ARAÚJO</t>
  </si>
  <si>
    <t>LAURA CAÇADOR BRANCO</t>
  </si>
  <si>
    <t>LOUISLENE M. M. DO NASCIMENTO</t>
  </si>
  <si>
    <t>NATHÁLIA NOGUEIRA DE BRITO</t>
  </si>
  <si>
    <t>ANGELITA APARECIDA NOGUEIRA</t>
  </si>
  <si>
    <t>GLENDHA TOSCHI DA SILVA</t>
  </si>
  <si>
    <t>FERNANDA GOULART DA SILVA</t>
  </si>
  <si>
    <t>ALINE CRISTINA FERREIRA MOSTARO</t>
  </si>
  <si>
    <t>BIANCA NOGUEIRA BARROS</t>
  </si>
  <si>
    <t>IURI MOURAO FRANCIULLI</t>
  </si>
  <si>
    <t>THIAGO ALEXANDRE GUIMARÃES</t>
  </si>
  <si>
    <t>VITÓRIA DUTRA ZANCANELA ROCHA</t>
  </si>
  <si>
    <t>GUILHERME MISCULA SACRAMENTO</t>
  </si>
  <si>
    <t>CARLOS DONATO REZENDE OLIVEIRA</t>
  </si>
  <si>
    <t>LUIS EDUARDO BARBOSA</t>
  </si>
  <si>
    <t>ALESSANDRA HELUEY CARVALHO</t>
  </si>
  <si>
    <t>BARBARA DIAS SALES</t>
  </si>
  <si>
    <t>JHORDHAN CARLOS VENTURA FERREIRA</t>
  </si>
  <si>
    <t>MATHEUS FREGULIA FARIA</t>
  </si>
  <si>
    <t>MICHAEL DOUGLAS DOS S. CHIERICATTO</t>
  </si>
  <si>
    <t>SAMIRA BARROSO DOS SANTOS</t>
  </si>
  <si>
    <t>WENDER RODRIGO SOUZA SILVA</t>
  </si>
  <si>
    <t>INSS - Franqueadora</t>
  </si>
  <si>
    <t>Vale Transporte</t>
  </si>
  <si>
    <t>MARIA FONSECA BARBOSA RABELO</t>
  </si>
  <si>
    <t>VITORIA DUTRA ZANCANELA ROCHA</t>
  </si>
  <si>
    <t>IGOR DIAS DOS REIS</t>
  </si>
  <si>
    <t>Base de apuração</t>
  </si>
  <si>
    <t>Nome na Planilha do DP</t>
  </si>
  <si>
    <t>Valor da base GP</t>
  </si>
  <si>
    <t>Base GP</t>
  </si>
  <si>
    <t>Valor GP</t>
  </si>
  <si>
    <t>KPI por setor</t>
  </si>
  <si>
    <t>Alterar apenas a coluna para o mês correto</t>
  </si>
  <si>
    <t>ALESSANDRO ALOISIO DE SOUZA MACHADO</t>
  </si>
  <si>
    <t>Financeiro</t>
  </si>
  <si>
    <t>LUCCAS BASSANI DA SILVA COLACI AMARO</t>
  </si>
  <si>
    <t>LOUISLENE MARIA MEDEIROS DO NASCIMENTO</t>
  </si>
  <si>
    <t>MICHAEL DOUGLAS DOS SANTOS CHIERICATTO</t>
  </si>
  <si>
    <t>WENDER RODRIGO SOUZA</t>
  </si>
  <si>
    <t>1 - Acessar a planilha:</t>
  </si>
  <si>
    <t>https://docs.google.com/spreadsheets/d/1vRfNYFRkN_aFRgcgnhVd-FIk2fEvdC7rJWatwcJ49-E/edit?gid=813083212#gid=813083212</t>
  </si>
  <si>
    <t>Conferir tbm o relatório feito pela Carol no Omie, olhar pela obs a palavra "aproveitada"</t>
  </si>
  <si>
    <t>2 - ir na aba "NF PERDIDAS";</t>
  </si>
  <si>
    <t>3 - Na coluna G (Data da baixa), Filtrar o mês em análise;</t>
  </si>
  <si>
    <t>4 - Somar valores da coluna E (Valor aproveitado);</t>
  </si>
  <si>
    <t>5 - Essa planilha é preenchida pela Larissa Sanabio, de acordo com o que ela faz as conciliações.</t>
  </si>
  <si>
    <t>Valor aproveitado</t>
  </si>
  <si>
    <t>Não houve aproveitamento em fevereiro</t>
  </si>
  <si>
    <t>OBS</t>
  </si>
  <si>
    <t>Observação da Conta</t>
  </si>
  <si>
    <t>Data de Emissão</t>
  </si>
  <si>
    <t>Departamento</t>
  </si>
  <si>
    <t>Minha Empresa (Nome Fantasia)</t>
  </si>
  <si>
    <t>LANÇADOS EM JANEIRO 26</t>
  </si>
  <si>
    <t>Data retroagida devido a mudança de cartão</t>
  </si>
  <si>
    <t>23/12 DM*DropboxBBPYWW</t>
  </si>
  <si>
    <t>SUM of Pago ou Recebido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</si>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</sst>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_(* #,##0_);_(* \(#,##0\);_(* &quot;-&quot;??_);_(@_)"/>
    <numFmt numFmtId="165" formatCode="_(* #,##0.00_);_(* \(#,##0.00\);_(* &quot;-&quot;_);_(@_)"/>
    <numFmt numFmtId="166" formatCode="0.000"/>
    <numFmt numFmtId="167" formatCode="_-* #,##0.00_-;\-* #,##0.00_-;_-* &quot;-&quot;??_-;_-@"/>
    <numFmt numFmtId="168" formatCode="[$R$ -416]#,##0.00"/>
    <numFmt numFmtId="169" formatCode="#,##0.00;\(#,##0.00\)"/>
  </numFmts>
  <fonts count="120">
    <font>
      <sz val="11"/>
      <color theme="1"/>
      <name val="Calibri"/>
      <scheme val="minor"/>
    </font>
    <font>
      <sz val="11"/>
      <color theme="1"/>
      <name val="Mulish"/>
    </font>
    <font>
      <b/>
      <sz val="11"/>
      <color rgb="FF1C4587"/>
      <name val="Mulish"/>
    </font>
    <font>
      <sz val="11"/>
      <color rgb="FF1C4587"/>
      <name val="Mulish"/>
    </font>
    <font>
      <b/>
      <sz val="12"/>
      <color rgb="FF1C4587"/>
      <name val="Mulish"/>
    </font>
    <font>
      <b/>
      <sz val="12"/>
      <color rgb="FF0C343D"/>
      <name val="Mulish"/>
    </font>
    <font>
      <b/>
      <sz val="11"/>
      <color rgb="FF0C343D"/>
      <name val="Mulish"/>
    </font>
    <font>
      <b/>
      <sz val="11"/>
      <color theme="1"/>
      <name val="Mulish"/>
    </font>
    <font>
      <sz val="11"/>
      <color theme="1"/>
      <name val="Mulish"/>
    </font>
    <font>
      <b/>
      <sz val="11"/>
      <color theme="0"/>
      <name val="Mulish"/>
    </font>
    <font>
      <sz val="11"/>
      <color rgb="FF000000"/>
      <name val="Mulish"/>
    </font>
    <font>
      <b/>
      <sz val="11"/>
      <color rgb="FF220202"/>
      <name val="Mulish"/>
    </font>
    <font>
      <b/>
      <sz val="10"/>
      <color theme="1"/>
      <name val="Mulish"/>
    </font>
    <font>
      <sz val="10"/>
      <color theme="1"/>
      <name val="Mulish"/>
    </font>
    <font>
      <b/>
      <i/>
      <sz val="8"/>
      <color theme="1"/>
      <name val="Mulish"/>
    </font>
    <font>
      <i/>
      <sz val="8"/>
      <color theme="1"/>
      <name val="Mulish"/>
    </font>
    <font>
      <b/>
      <sz val="8"/>
      <color theme="1"/>
      <name val="Mulish"/>
    </font>
    <font>
      <sz val="8"/>
      <color theme="1"/>
      <name val="Mulish"/>
    </font>
    <font>
      <b/>
      <sz val="12"/>
      <color theme="1"/>
      <name val="Mulish"/>
    </font>
    <font>
      <sz val="12"/>
      <color theme="1"/>
      <name val="Mulish"/>
    </font>
    <font>
      <b/>
      <i/>
      <sz val="10"/>
      <color theme="1"/>
      <name val="Mulish"/>
    </font>
    <font>
      <sz val="9"/>
      <color theme="1"/>
      <name val="Mulish"/>
    </font>
    <font>
      <b/>
      <sz val="7"/>
      <color theme="1"/>
      <name val="Mulish"/>
    </font>
    <font>
      <sz val="7"/>
      <color theme="1"/>
      <name val="Mulish"/>
    </font>
    <font>
      <b/>
      <strike/>
      <sz val="8"/>
      <color theme="1"/>
      <name val="Mulish"/>
    </font>
    <font>
      <strike/>
      <sz val="8"/>
      <color theme="1"/>
      <name val="Mulish"/>
    </font>
    <font>
      <b/>
      <sz val="10"/>
      <color rgb="FF220202"/>
      <name val="Mulish"/>
    </font>
    <font>
      <sz val="8"/>
      <color rgb="FF000000"/>
      <name val="Mulish"/>
    </font>
    <font>
      <b/>
      <sz val="11"/>
      <color theme="1"/>
      <name val="Mulish"/>
    </font>
    <font>
      <i/>
      <u/>
      <sz val="11"/>
      <color theme="1"/>
      <name val="Mulish"/>
    </font>
    <font>
      <b/>
      <sz val="10"/>
      <color rgb="FFFFFFFF"/>
      <name val="Arial"/>
    </font>
    <font>
      <sz val="10"/>
      <color rgb="FF000000"/>
      <name val="Arial"/>
    </font>
    <font>
      <sz val="10"/>
      <color rgb="FFFF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1"/>
      <color theme="1"/>
      <name val="Calibri"/>
      <scheme val="minor"/>
    </font>
    <font>
      <sz val="6"/>
      <color theme="1"/>
      <name val="Mulish"/>
    </font>
    <font>
      <b/>
      <i/>
      <u/>
      <sz val="15"/>
      <color rgb="FF1C4587"/>
      <name val="Mulish"/>
    </font>
    <font>
      <b/>
      <sz val="11"/>
      <color rgb="FFFFFFFF"/>
      <name val="Mulish"/>
    </font>
    <font>
      <sz val="9"/>
      <color rgb="FF1155CC"/>
      <name val="Mulish"/>
    </font>
    <font>
      <b/>
      <sz val="10"/>
      <color rgb="FFFFFFFF"/>
      <name val="Mulish"/>
    </font>
    <font>
      <i/>
      <sz val="10"/>
      <color theme="1"/>
      <name val="Mulish"/>
    </font>
    <font>
      <sz val="11"/>
      <color rgb="FF172B4D"/>
      <name val="Mulish"/>
    </font>
    <font>
      <b/>
      <i/>
      <sz val="11"/>
      <color theme="1"/>
      <name val="Mulish"/>
    </font>
    <font>
      <i/>
      <sz val="11"/>
      <color theme="1"/>
      <name val="Mulish"/>
    </font>
    <font>
      <sz val="11"/>
      <color rgb="FFFFFFFF"/>
      <name val="Mulish"/>
    </font>
    <font>
      <i/>
      <sz val="9"/>
      <color theme="1"/>
      <name val="Mulish"/>
    </font>
    <font>
      <sz val="9"/>
      <color rgb="FFFFFFFF"/>
      <name val="Mulish"/>
    </font>
    <font>
      <b/>
      <sz val="9"/>
      <color rgb="FFFFFFFF"/>
      <name val="Mulish"/>
    </font>
    <font>
      <b/>
      <sz val="11"/>
      <color rgb="FFFFFFFF"/>
      <name val="Mulish"/>
    </font>
    <font>
      <i/>
      <sz val="11"/>
      <color theme="1"/>
      <name val="Mulish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b/>
      <sz val="11"/>
      <color rgb="FF434343"/>
      <name val="Calibri"/>
    </font>
    <font>
      <sz val="11"/>
      <color rgb="FF434343"/>
      <name val="Calibri"/>
    </font>
    <font>
      <sz val="11"/>
      <color rgb="FF434343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i/>
      <sz val="11"/>
      <color theme="1"/>
      <name val="Calibri"/>
      <scheme val="minor"/>
    </font>
    <font>
      <i/>
      <u/>
      <sz val="11"/>
      <color rgb="FF0000FF"/>
      <name val="Calibri"/>
    </font>
    <font>
      <sz val="9"/>
      <color theme="1"/>
      <name val="Calibri"/>
      <scheme val="minor"/>
    </font>
    <font>
      <sz val="11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1"/>
      <color rgb="FFFFFFFF"/>
      <name val="Arial"/>
    </font>
    <font>
      <sz val="11"/>
      <color theme="1"/>
      <name val="Arial"/>
    </font>
    <font>
      <sz val="11"/>
      <name val="Calibri"/>
    </font>
    <font>
      <b/>
      <sz val="11"/>
      <color rgb="FFFF0000"/>
      <name val="Arial"/>
    </font>
    <font>
      <u/>
      <sz val="11"/>
      <color rgb="FF1155CC"/>
      <name val="Arial"/>
    </font>
    <font>
      <b/>
      <sz val="11"/>
      <color theme="1"/>
      <name val="Arial"/>
    </font>
    <font>
      <b/>
      <sz val="11"/>
      <color rgb="FF0B8043"/>
      <name val="Arial"/>
    </font>
    <font>
      <u/>
      <sz val="11"/>
      <color rgb="FF1155CC"/>
      <name val="Arial"/>
    </font>
    <font>
      <b/>
      <sz val="11"/>
      <color rgb="FFC53929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1"/>
      <color rgb="FF000000"/>
      <name val="Calibri"/>
      <scheme val="minor"/>
    </font>
    <font>
      <b/>
      <sz val="11"/>
      <color rgb="FF0000FF"/>
      <name val="Arial"/>
    </font>
    <font>
      <b/>
      <sz val="11"/>
      <color rgb="FF4285F4"/>
      <name val="Arial"/>
    </font>
    <font>
      <sz val="11"/>
      <color rgb="FF000000"/>
      <name val="Mulish"/>
    </font>
    <font>
      <u/>
      <sz val="11"/>
      <color rgb="FF000000"/>
      <name val="Mulish"/>
    </font>
    <font>
      <b/>
      <sz val="14"/>
      <color rgb="FFFFFFFF"/>
      <name val="Calibri"/>
      <scheme val="minor"/>
    </font>
    <font>
      <b/>
      <sz val="11"/>
      <color rgb="FF000000"/>
      <name val="Mulish"/>
    </font>
    <font>
      <u/>
      <sz val="11"/>
      <color rgb="FF000000"/>
      <name val="Calibri"/>
      <scheme val="minor"/>
    </font>
    <font>
      <sz val="10"/>
      <color theme="1"/>
      <name val="Arial"/>
    </font>
    <font>
      <b/>
      <sz val="15"/>
      <color rgb="FFFFFFFF"/>
      <name val="Calibri"/>
      <scheme val="minor"/>
    </font>
    <font>
      <sz val="8"/>
      <color rgb="FFFFFFFF"/>
      <name val="Calibri"/>
      <scheme val="minor"/>
    </font>
    <font>
      <b/>
      <sz val="11"/>
      <color rgb="FFFFFFFF"/>
      <name val="Calibri"/>
      <scheme val="minor"/>
    </font>
    <font>
      <b/>
      <i/>
      <sz val="11"/>
      <color theme="1"/>
      <name val="Calibri"/>
      <scheme val="minor"/>
    </font>
    <font>
      <sz val="9"/>
      <color theme="1"/>
      <name val="Arial"/>
    </font>
    <font>
      <sz val="7"/>
      <color theme="1"/>
      <name val="Arial"/>
    </font>
    <font>
      <sz val="7"/>
      <color rgb="FF000000"/>
      <name val="Arial"/>
    </font>
    <font>
      <b/>
      <sz val="11"/>
      <color theme="1"/>
      <name val="Calibri"/>
      <scheme val="minor"/>
    </font>
    <font>
      <sz val="8"/>
      <color theme="1"/>
      <name val="Calibri"/>
      <scheme val="minor"/>
    </font>
    <font>
      <sz val="8"/>
      <color rgb="FF000000"/>
      <name val="Calibri"/>
      <scheme val="minor"/>
    </font>
    <font>
      <b/>
      <sz val="13"/>
      <color rgb="FFFFFFFF"/>
      <name val="Calibri"/>
      <scheme val="minor"/>
    </font>
    <font>
      <b/>
      <i/>
      <sz val="11"/>
      <color theme="1"/>
      <name val="Calibri"/>
      <scheme val="minor"/>
    </font>
    <font>
      <sz val="11"/>
      <color rgb="FFFFFFFF"/>
      <name val="Calibri"/>
      <scheme val="minor"/>
    </font>
    <font>
      <i/>
      <sz val="8"/>
      <color rgb="FFFFFFFF"/>
      <name val="Calibri"/>
    </font>
    <font>
      <i/>
      <sz val="11"/>
      <color theme="1"/>
      <name val="Calibri"/>
    </font>
    <font>
      <u/>
      <sz val="11"/>
      <color rgb="FF0000FF"/>
      <name val="Calibri"/>
    </font>
    <font>
      <b/>
      <sz val="9"/>
      <color rgb="FF111111"/>
      <name val="Arial"/>
    </font>
    <font>
      <sz val="11"/>
      <color rgb="FF000000"/>
      <name val="Calibri"/>
    </font>
    <font>
      <sz val="9"/>
      <color rgb="FF111111"/>
      <name val="Arial"/>
    </font>
    <font>
      <sz val="9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7F6000"/>
        <bgColor rgb="FF7F6000"/>
      </patternFill>
    </fill>
    <fill>
      <patternFill patternType="solid">
        <fgColor rgb="FFD9EAD3"/>
        <bgColor rgb="FFD9EAD3"/>
      </patternFill>
    </fill>
    <fill>
      <patternFill patternType="solid">
        <fgColor rgb="FFC0504D"/>
        <bgColor rgb="FFC0504D"/>
      </patternFill>
    </fill>
    <fill>
      <patternFill patternType="solid">
        <fgColor rgb="FFFF0000"/>
        <bgColor rgb="FFFF0000"/>
      </patternFill>
    </fill>
    <fill>
      <patternFill patternType="solid">
        <fgColor rgb="FFEBF1DE"/>
        <bgColor rgb="FFEBF1DE"/>
      </patternFill>
    </fill>
    <fill>
      <patternFill patternType="solid">
        <fgColor rgb="FFFFC000"/>
        <bgColor rgb="FFFFC000"/>
      </patternFill>
    </fill>
    <fill>
      <patternFill patternType="solid">
        <fgColor rgb="FF538DD5"/>
        <bgColor rgb="FF538DD5"/>
      </patternFill>
    </fill>
    <fill>
      <patternFill patternType="solid">
        <fgColor rgb="FF1C4587"/>
        <bgColor rgb="FF1C4587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theme="9"/>
        <bgColor theme="9"/>
      </patternFill>
    </fill>
    <fill>
      <patternFill patternType="solid">
        <fgColor rgb="FF6FA8DC"/>
        <bgColor rgb="FF6FA8DC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BDBDBD"/>
        <bgColor rgb="FFBDBDBD"/>
      </patternFill>
    </fill>
    <fill>
      <patternFill patternType="solid">
        <fgColor rgb="FF1155CC"/>
        <bgColor rgb="FF1155CC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3D85C6"/>
        <bgColor rgb="FF3D85C6"/>
      </patternFill>
    </fill>
    <fill>
      <patternFill patternType="solid">
        <fgColor rgb="FFE06666"/>
        <bgColor rgb="FFE06666"/>
      </patternFill>
    </fill>
    <fill>
      <patternFill patternType="solid">
        <fgColor rgb="FF0C343D"/>
        <bgColor rgb="FF0C343D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274E13"/>
        <bgColor rgb="FF274E13"/>
      </patternFill>
    </fill>
    <fill>
      <patternFill patternType="solid">
        <fgColor rgb="FFE9E9E9"/>
        <bgColor rgb="FFE9E9E9"/>
      </patternFill>
    </fill>
  </fills>
  <borders count="7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C53929"/>
      </top>
      <bottom/>
      <diagonal/>
    </border>
    <border>
      <left style="thick">
        <color rgb="FF00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ck">
        <color rgb="FF00FF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D9D9D9"/>
      </right>
      <top style="medium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71">
    <xf numFmtId="0" fontId="0" fillId="0" borderId="0" xfId="0" applyFont="1" applyAlignment="1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8" fillId="0" borderId="1" xfId="0" applyFont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1" fillId="0" borderId="0" xfId="0" applyFont="1"/>
    <xf numFmtId="0" fontId="1" fillId="0" borderId="0" xfId="0" applyFont="1" applyAlignment="1"/>
    <xf numFmtId="41" fontId="11" fillId="0" borderId="0" xfId="0" applyNumberFormat="1" applyFont="1"/>
    <xf numFmtId="41" fontId="11" fillId="0" borderId="0" xfId="0" applyNumberFormat="1" applyFont="1" applyAlignment="1">
      <alignment horizontal="center"/>
    </xf>
    <xf numFmtId="41" fontId="11" fillId="0" borderId="1" xfId="0" applyNumberFormat="1" applyFont="1" applyBorder="1"/>
    <xf numFmtId="164" fontId="7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/>
    <xf numFmtId="41" fontId="13" fillId="0" borderId="0" xfId="0" applyNumberFormat="1" applyFont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164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41" fontId="15" fillId="0" borderId="0" xfId="0" applyNumberFormat="1" applyFont="1" applyAlignment="1">
      <alignment horizontal="center"/>
    </xf>
    <xf numFmtId="41" fontId="15" fillId="0" borderId="1" xfId="0" applyNumberFormat="1" applyFont="1" applyBorder="1" applyAlignment="1">
      <alignment horizont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/>
    <xf numFmtId="164" fontId="13" fillId="0" borderId="0" xfId="0" applyNumberFormat="1" applyFont="1" applyAlignment="1">
      <alignment vertical="center"/>
    </xf>
    <xf numFmtId="0" fontId="15" fillId="0" borderId="0" xfId="0" applyFont="1" applyAlignment="1"/>
    <xf numFmtId="164" fontId="12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41" fontId="17" fillId="0" borderId="1" xfId="0" applyNumberFormat="1" applyFont="1" applyBorder="1" applyAlignment="1">
      <alignment horizontal="center"/>
    </xf>
    <xf numFmtId="164" fontId="16" fillId="0" borderId="0" xfId="0" applyNumberFormat="1" applyFont="1" applyAlignment="1">
      <alignment vertical="center"/>
    </xf>
    <xf numFmtId="41" fontId="17" fillId="0" borderId="0" xfId="0" applyNumberFormat="1" applyFont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11" fillId="0" borderId="2" xfId="0" applyFont="1" applyBorder="1"/>
    <xf numFmtId="0" fontId="1" fillId="0" borderId="2" xfId="0" applyFont="1" applyBorder="1"/>
    <xf numFmtId="0" fontId="1" fillId="0" borderId="2" xfId="0" applyFont="1" applyBorder="1" applyAlignment="1"/>
    <xf numFmtId="41" fontId="7" fillId="0" borderId="2" xfId="0" applyNumberFormat="1" applyFont="1" applyBorder="1"/>
    <xf numFmtId="41" fontId="7" fillId="0" borderId="2" xfId="0" applyNumberFormat="1" applyFont="1" applyBorder="1" applyAlignment="1">
      <alignment horizontal="center"/>
    </xf>
    <xf numFmtId="41" fontId="7" fillId="0" borderId="3" xfId="0" applyNumberFormat="1" applyFont="1" applyBorder="1"/>
    <xf numFmtId="164" fontId="7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/>
    <xf numFmtId="0" fontId="18" fillId="0" borderId="0" xfId="0" applyFont="1" applyAlignment="1">
      <alignment vertical="center"/>
    </xf>
    <xf numFmtId="0" fontId="18" fillId="0" borderId="2" xfId="0" applyFont="1" applyBorder="1"/>
    <xf numFmtId="0" fontId="19" fillId="0" borderId="2" xfId="0" applyFont="1" applyBorder="1"/>
    <xf numFmtId="0" fontId="19" fillId="0" borderId="2" xfId="0" applyFont="1" applyBorder="1" applyAlignment="1"/>
    <xf numFmtId="41" fontId="18" fillId="0" borderId="2" xfId="0" applyNumberFormat="1" applyFont="1" applyBorder="1"/>
    <xf numFmtId="41" fontId="18" fillId="0" borderId="2" xfId="0" applyNumberFormat="1" applyFont="1" applyBorder="1" applyAlignment="1">
      <alignment horizontal="center"/>
    </xf>
    <xf numFmtId="41" fontId="18" fillId="0" borderId="3" xfId="0" applyNumberFormat="1" applyFont="1" applyBorder="1"/>
    <xf numFmtId="164" fontId="18" fillId="0" borderId="0" xfId="0" applyNumberFormat="1" applyFont="1" applyAlignment="1">
      <alignment vertical="center"/>
    </xf>
    <xf numFmtId="0" fontId="20" fillId="0" borderId="0" xfId="0" applyFont="1"/>
    <xf numFmtId="41" fontId="20" fillId="0" borderId="0" xfId="0" applyNumberFormat="1" applyFont="1" applyAlignment="1">
      <alignment horizontal="center"/>
    </xf>
    <xf numFmtId="41" fontId="20" fillId="0" borderId="1" xfId="0" applyNumberFormat="1" applyFont="1" applyBorder="1" applyAlignment="1">
      <alignment horizontal="center"/>
    </xf>
    <xf numFmtId="41" fontId="17" fillId="0" borderId="1" xfId="0" applyNumberFormat="1" applyFont="1" applyBorder="1"/>
    <xf numFmtId="164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164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22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/>
    <xf numFmtId="41" fontId="23" fillId="0" borderId="0" xfId="0" applyNumberFormat="1" applyFont="1" applyAlignment="1">
      <alignment horizontal="center"/>
    </xf>
    <xf numFmtId="41" fontId="23" fillId="0" borderId="1" xfId="0" applyNumberFormat="1" applyFont="1" applyBorder="1"/>
    <xf numFmtId="164" fontId="23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64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17" fillId="2" borderId="0" xfId="0" applyFont="1" applyFill="1"/>
    <xf numFmtId="0" fontId="17" fillId="0" borderId="0" xfId="0" applyFont="1"/>
    <xf numFmtId="0" fontId="1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/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/>
    </xf>
    <xf numFmtId="165" fontId="13" fillId="0" borderId="1" xfId="0" applyNumberFormat="1" applyFont="1" applyBorder="1" applyAlignment="1">
      <alignment vertical="top"/>
    </xf>
    <xf numFmtId="164" fontId="12" fillId="0" borderId="0" xfId="0" applyNumberFormat="1" applyFont="1" applyAlignment="1">
      <alignment vertical="top"/>
    </xf>
    <xf numFmtId="0" fontId="12" fillId="0" borderId="0" xfId="0" applyFont="1" applyAlignment="1">
      <alignment vertical="top"/>
    </xf>
    <xf numFmtId="0" fontId="18" fillId="0" borderId="4" xfId="0" applyFont="1" applyBorder="1"/>
    <xf numFmtId="0" fontId="19" fillId="0" borderId="5" xfId="0" applyFont="1" applyBorder="1"/>
    <xf numFmtId="0" fontId="19" fillId="0" borderId="5" xfId="0" applyFont="1" applyBorder="1" applyAlignment="1"/>
    <xf numFmtId="41" fontId="18" fillId="0" borderId="5" xfId="0" applyNumberFormat="1" applyFont="1" applyBorder="1"/>
    <xf numFmtId="41" fontId="18" fillId="0" borderId="5" xfId="0" applyNumberFormat="1" applyFont="1" applyBorder="1" applyAlignment="1">
      <alignment horizontal="center"/>
    </xf>
    <xf numFmtId="41" fontId="18" fillId="0" borderId="6" xfId="0" applyNumberFormat="1" applyFont="1" applyBorder="1"/>
    <xf numFmtId="41" fontId="26" fillId="0" borderId="0" xfId="0" applyNumberFormat="1" applyFont="1"/>
    <xf numFmtId="41" fontId="26" fillId="0" borderId="0" xfId="0" applyNumberFormat="1" applyFont="1" applyAlignment="1">
      <alignment horizontal="center"/>
    </xf>
    <xf numFmtId="41" fontId="26" fillId="0" borderId="1" xfId="0" applyNumberFormat="1" applyFont="1" applyBorder="1"/>
    <xf numFmtId="41" fontId="17" fillId="0" borderId="1" xfId="0" applyNumberFormat="1" applyFont="1" applyBorder="1" applyAlignment="1">
      <alignment vertical="center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41" fontId="17" fillId="0" borderId="1" xfId="0" applyNumberFormat="1" applyFont="1" applyBorder="1" applyAlignment="1">
      <alignment vertical="top"/>
    </xf>
    <xf numFmtId="164" fontId="16" fillId="0" borderId="0" xfId="0" applyNumberFormat="1" applyFont="1" applyAlignment="1">
      <alignment vertical="top"/>
    </xf>
    <xf numFmtId="0" fontId="18" fillId="0" borderId="7" xfId="0" applyFont="1" applyBorder="1"/>
    <xf numFmtId="0" fontId="19" fillId="0" borderId="8" xfId="0" applyFont="1" applyBorder="1"/>
    <xf numFmtId="0" fontId="19" fillId="0" borderId="8" xfId="0" applyFont="1" applyBorder="1" applyAlignment="1"/>
    <xf numFmtId="41" fontId="18" fillId="0" borderId="7" xfId="0" applyNumberFormat="1" applyFont="1" applyBorder="1"/>
    <xf numFmtId="41" fontId="18" fillId="0" borderId="7" xfId="0" applyNumberFormat="1" applyFont="1" applyBorder="1" applyAlignment="1">
      <alignment horizontal="center"/>
    </xf>
    <xf numFmtId="41" fontId="18" fillId="0" borderId="9" xfId="0" applyNumberFormat="1" applyFont="1" applyBorder="1"/>
    <xf numFmtId="41" fontId="18" fillId="0" borderId="10" xfId="0" applyNumberFormat="1" applyFont="1" applyBorder="1"/>
    <xf numFmtId="0" fontId="2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41" fontId="8" fillId="0" borderId="0" xfId="0" applyNumberFormat="1" applyFont="1"/>
    <xf numFmtId="41" fontId="28" fillId="0" borderId="0" xfId="0" applyNumberFormat="1" applyFont="1" applyAlignment="1">
      <alignment horizontal="right"/>
    </xf>
    <xf numFmtId="41" fontId="8" fillId="0" borderId="0" xfId="0" applyNumberFormat="1" applyFont="1" applyAlignment="1">
      <alignment horizontal="center"/>
    </xf>
    <xf numFmtId="41" fontId="8" fillId="0" borderId="0" xfId="0" applyNumberFormat="1" applyFont="1" applyAlignment="1"/>
    <xf numFmtId="4" fontId="19" fillId="0" borderId="0" xfId="0" applyNumberFormat="1" applyFont="1" applyAlignment="1">
      <alignment horizontal="left"/>
    </xf>
    <xf numFmtId="0" fontId="29" fillId="0" borderId="0" xfId="0" applyFont="1" applyAlignment="1">
      <alignment horizontal="right"/>
    </xf>
    <xf numFmtId="41" fontId="13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/>
    <xf numFmtId="0" fontId="8" fillId="0" borderId="0" xfId="0" applyFont="1"/>
    <xf numFmtId="0" fontId="16" fillId="0" borderId="0" xfId="0" applyFont="1" applyAlignment="1">
      <alignment vertical="center"/>
    </xf>
    <xf numFmtId="41" fontId="16" fillId="0" borderId="0" xfId="0" applyNumberFormat="1" applyFont="1" applyAlignment="1">
      <alignment vertical="center"/>
    </xf>
    <xf numFmtId="10" fontId="16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right"/>
    </xf>
    <xf numFmtId="41" fontId="11" fillId="0" borderId="1" xfId="0" applyNumberFormat="1" applyFont="1" applyBorder="1" applyAlignment="1">
      <alignment horizontal="right"/>
    </xf>
    <xf numFmtId="41" fontId="13" fillId="0" borderId="1" xfId="0" applyNumberFormat="1" applyFont="1" applyBorder="1" applyAlignment="1">
      <alignment horizontal="right"/>
    </xf>
    <xf numFmtId="41" fontId="15" fillId="0" borderId="1" xfId="0" applyNumberFormat="1" applyFont="1" applyBorder="1" applyAlignment="1">
      <alignment horizontal="right"/>
    </xf>
    <xf numFmtId="41" fontId="27" fillId="0" borderId="0" xfId="0" applyNumberFormat="1" applyFont="1" applyAlignment="1">
      <alignment horizontal="center" vertical="center"/>
    </xf>
    <xf numFmtId="41" fontId="17" fillId="0" borderId="1" xfId="0" applyNumberFormat="1" applyFont="1" applyBorder="1" applyAlignment="1">
      <alignment horizontal="right"/>
    </xf>
    <xf numFmtId="41" fontId="7" fillId="0" borderId="3" xfId="0" applyNumberFormat="1" applyFont="1" applyBorder="1" applyAlignment="1">
      <alignment horizontal="right"/>
    </xf>
    <xf numFmtId="0" fontId="12" fillId="3" borderId="0" xfId="0" applyFont="1" applyFill="1" applyAlignment="1">
      <alignment vertical="center"/>
    </xf>
    <xf numFmtId="41" fontId="18" fillId="0" borderId="3" xfId="0" applyNumberFormat="1" applyFont="1" applyBorder="1" applyAlignment="1">
      <alignment horizontal="right"/>
    </xf>
    <xf numFmtId="41" fontId="20" fillId="0" borderId="1" xfId="0" applyNumberFormat="1" applyFont="1" applyBorder="1" applyAlignment="1">
      <alignment horizontal="right"/>
    </xf>
    <xf numFmtId="0" fontId="16" fillId="3" borderId="0" xfId="0" applyFont="1" applyFill="1" applyAlignment="1">
      <alignment vertical="center"/>
    </xf>
    <xf numFmtId="41" fontId="17" fillId="4" borderId="0" xfId="0" applyNumberFormat="1" applyFont="1" applyFill="1" applyAlignment="1">
      <alignment horizontal="center"/>
    </xf>
    <xf numFmtId="41" fontId="23" fillId="0" borderId="1" xfId="0" applyNumberFormat="1" applyFont="1" applyBorder="1" applyAlignment="1">
      <alignment horizontal="right"/>
    </xf>
    <xf numFmtId="41" fontId="17" fillId="0" borderId="0" xfId="0" applyNumberFormat="1" applyFont="1" applyAlignment="1">
      <alignment horizontal="center"/>
    </xf>
    <xf numFmtId="10" fontId="16" fillId="4" borderId="0" xfId="0" applyNumberFormat="1" applyFont="1" applyFill="1" applyAlignment="1">
      <alignment vertical="center"/>
    </xf>
    <xf numFmtId="165" fontId="13" fillId="0" borderId="1" xfId="0" applyNumberFormat="1" applyFont="1" applyBorder="1" applyAlignment="1">
      <alignment horizontal="right" vertical="top"/>
    </xf>
    <xf numFmtId="41" fontId="18" fillId="0" borderId="6" xfId="0" applyNumberFormat="1" applyFont="1" applyBorder="1" applyAlignment="1">
      <alignment horizontal="right"/>
    </xf>
    <xf numFmtId="41" fontId="26" fillId="0" borderId="1" xfId="0" applyNumberFormat="1" applyFont="1" applyBorder="1" applyAlignment="1">
      <alignment horizontal="right"/>
    </xf>
    <xf numFmtId="41" fontId="17" fillId="5" borderId="0" xfId="0" applyNumberFormat="1" applyFont="1" applyFill="1" applyAlignment="1">
      <alignment horizontal="center"/>
    </xf>
    <xf numFmtId="41" fontId="17" fillId="0" borderId="1" xfId="0" applyNumberFormat="1" applyFont="1" applyBorder="1" applyAlignment="1">
      <alignment horizontal="right" vertical="center"/>
    </xf>
    <xf numFmtId="41" fontId="17" fillId="0" borderId="1" xfId="0" applyNumberFormat="1" applyFont="1" applyBorder="1" applyAlignment="1">
      <alignment horizontal="right" vertical="top"/>
    </xf>
    <xf numFmtId="41" fontId="18" fillId="0" borderId="10" xfId="0" applyNumberFormat="1" applyFont="1" applyBorder="1" applyAlignment="1">
      <alignment horizontal="right"/>
    </xf>
    <xf numFmtId="164" fontId="1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3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0" fontId="13" fillId="0" borderId="0" xfId="0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165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41" fontId="8" fillId="0" borderId="0" xfId="0" applyNumberFormat="1" applyFont="1" applyAlignment="1">
      <alignment wrapText="1"/>
    </xf>
    <xf numFmtId="0" fontId="7" fillId="0" borderId="0" xfId="0" applyFont="1" applyAlignment="1">
      <alignment vertical="center"/>
    </xf>
    <xf numFmtId="1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0" fontId="28" fillId="0" borderId="0" xfId="0" applyFont="1" applyAlignment="1"/>
    <xf numFmtId="3" fontId="8" fillId="0" borderId="0" xfId="0" applyNumberFormat="1" applyFont="1" applyAlignment="1"/>
    <xf numFmtId="10" fontId="8" fillId="0" borderId="0" xfId="0" applyNumberFormat="1" applyFont="1"/>
    <xf numFmtId="0" fontId="28" fillId="0" borderId="0" xfId="0" applyFont="1"/>
    <xf numFmtId="0" fontId="30" fillId="6" borderId="0" xfId="0" applyFont="1" applyFill="1" applyAlignment="1">
      <alignment horizontal="left" vertical="center"/>
    </xf>
    <xf numFmtId="0" fontId="30" fillId="6" borderId="0" xfId="0" applyFont="1" applyFill="1" applyAlignment="1">
      <alignment horizontal="left" vertical="center" wrapText="1"/>
    </xf>
    <xf numFmtId="4" fontId="30" fillId="6" borderId="0" xfId="0" applyNumberFormat="1" applyFont="1" applyFill="1" applyAlignment="1">
      <alignment horizontal="left" vertical="center" wrapText="1"/>
    </xf>
    <xf numFmtId="0" fontId="30" fillId="7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31" fillId="2" borderId="11" xfId="0" applyFont="1" applyFill="1" applyBorder="1" applyAlignment="1">
      <alignment horizontal="left" vertical="center"/>
    </xf>
    <xf numFmtId="0" fontId="31" fillId="2" borderId="12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 wrapText="1"/>
    </xf>
    <xf numFmtId="4" fontId="32" fillId="8" borderId="13" xfId="0" applyNumberFormat="1" applyFont="1" applyFill="1" applyBorder="1" applyAlignment="1">
      <alignment horizontal="left" vertical="center"/>
    </xf>
    <xf numFmtId="4" fontId="32" fillId="2" borderId="13" xfId="0" applyNumberFormat="1" applyFont="1" applyFill="1" applyBorder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31" fillId="0" borderId="11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 wrapText="1"/>
    </xf>
    <xf numFmtId="4" fontId="32" fillId="8" borderId="13" xfId="0" applyNumberFormat="1" applyFont="1" applyFill="1" applyBorder="1" applyAlignment="1">
      <alignment horizontal="left" vertical="center" wrapText="1"/>
    </xf>
    <xf numFmtId="4" fontId="32" fillId="0" borderId="13" xfId="0" applyNumberFormat="1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 wrapText="1"/>
    </xf>
    <xf numFmtId="4" fontId="32" fillId="0" borderId="13" xfId="0" applyNumberFormat="1" applyFont="1" applyBorder="1" applyAlignment="1">
      <alignment horizontal="left" vertical="center"/>
    </xf>
    <xf numFmtId="0" fontId="31" fillId="9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left" vertical="center" wrapText="1"/>
    </xf>
    <xf numFmtId="0" fontId="31" fillId="2" borderId="14" xfId="0" applyFont="1" applyFill="1" applyBorder="1" applyAlignment="1">
      <alignment horizontal="left" vertical="center"/>
    </xf>
    <xf numFmtId="0" fontId="31" fillId="2" borderId="14" xfId="0" applyFont="1" applyFill="1" applyBorder="1" applyAlignment="1">
      <alignment horizontal="left" vertical="center" wrapText="1"/>
    </xf>
    <xf numFmtId="4" fontId="32" fillId="8" borderId="14" xfId="0" applyNumberFormat="1" applyFont="1" applyFill="1" applyBorder="1" applyAlignment="1">
      <alignment horizontal="left" vertical="center"/>
    </xf>
    <xf numFmtId="4" fontId="32" fillId="2" borderId="14" xfId="0" applyNumberFormat="1" applyFont="1" applyFill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10" borderId="0" xfId="0" applyFont="1" applyFill="1" applyAlignment="1">
      <alignment horizontal="left" vertical="center"/>
    </xf>
    <xf numFmtId="0" fontId="31" fillId="10" borderId="12" xfId="0" applyFont="1" applyFill="1" applyBorder="1" applyAlignment="1">
      <alignment horizontal="left" vertical="center"/>
    </xf>
    <xf numFmtId="0" fontId="31" fillId="10" borderId="13" xfId="0" applyFont="1" applyFill="1" applyBorder="1" applyAlignment="1">
      <alignment horizontal="left" vertical="center"/>
    </xf>
    <xf numFmtId="0" fontId="31" fillId="10" borderId="13" xfId="0" applyFont="1" applyFill="1" applyBorder="1" applyAlignment="1">
      <alignment horizontal="left" vertical="center" wrapText="1"/>
    </xf>
    <xf numFmtId="4" fontId="32" fillId="10" borderId="13" xfId="0" applyNumberFormat="1" applyFont="1" applyFill="1" applyBorder="1" applyAlignment="1">
      <alignment horizontal="left" vertical="center" wrapText="1"/>
    </xf>
    <xf numFmtId="0" fontId="31" fillId="10" borderId="0" xfId="0" applyFont="1" applyFill="1" applyAlignment="1">
      <alignment horizontal="left" vertical="center"/>
    </xf>
    <xf numFmtId="0" fontId="31" fillId="10" borderId="0" xfId="0" applyFont="1" applyFill="1" applyAlignment="1">
      <alignment horizontal="left" vertical="center"/>
    </xf>
    <xf numFmtId="0" fontId="31" fillId="2" borderId="11" xfId="0" applyFont="1" applyFill="1" applyBorder="1" applyAlignment="1">
      <alignment horizontal="left" vertical="center" wrapText="1"/>
    </xf>
    <xf numFmtId="4" fontId="32" fillId="10" borderId="13" xfId="0" applyNumberFormat="1" applyFont="1" applyFill="1" applyBorder="1" applyAlignment="1">
      <alignment horizontal="left" vertical="center"/>
    </xf>
    <xf numFmtId="4" fontId="32" fillId="8" borderId="11" xfId="0" applyNumberFormat="1" applyFont="1" applyFill="1" applyBorder="1" applyAlignment="1">
      <alignment horizontal="left" vertical="center" wrapText="1"/>
    </xf>
    <xf numFmtId="4" fontId="32" fillId="0" borderId="11" xfId="0" applyNumberFormat="1" applyFont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 wrapText="1"/>
    </xf>
    <xf numFmtId="4" fontId="32" fillId="0" borderId="13" xfId="0" applyNumberFormat="1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11" borderId="0" xfId="0" applyFont="1" applyFill="1" applyAlignment="1">
      <alignment horizontal="left" vertical="center"/>
    </xf>
    <xf numFmtId="0" fontId="31" fillId="11" borderId="12" xfId="0" applyFont="1" applyFill="1" applyBorder="1" applyAlignment="1">
      <alignment horizontal="left" vertical="center"/>
    </xf>
    <xf numFmtId="0" fontId="31" fillId="11" borderId="13" xfId="0" applyFont="1" applyFill="1" applyBorder="1" applyAlignment="1">
      <alignment horizontal="left" vertical="center"/>
    </xf>
    <xf numFmtId="0" fontId="31" fillId="11" borderId="13" xfId="0" applyFont="1" applyFill="1" applyBorder="1" applyAlignment="1">
      <alignment horizontal="left" vertical="center" wrapText="1"/>
    </xf>
    <xf numFmtId="0" fontId="31" fillId="12" borderId="13" xfId="0" applyFont="1" applyFill="1" applyBorder="1" applyAlignment="1">
      <alignment horizontal="left" vertical="center"/>
    </xf>
    <xf numFmtId="4" fontId="32" fillId="11" borderId="13" xfId="0" applyNumberFormat="1" applyFont="1" applyFill="1" applyBorder="1" applyAlignment="1">
      <alignment horizontal="left" vertical="center"/>
    </xf>
    <xf numFmtId="0" fontId="31" fillId="11" borderId="0" xfId="0" applyFont="1" applyFill="1" applyAlignment="1">
      <alignment horizontal="left" vertical="center"/>
    </xf>
    <xf numFmtId="4" fontId="32" fillId="8" borderId="0" xfId="0" applyNumberFormat="1" applyFont="1" applyFill="1" applyAlignment="1">
      <alignment horizontal="left" vertical="center"/>
    </xf>
    <xf numFmtId="4" fontId="32" fillId="2" borderId="0" xfId="0" applyNumberFormat="1" applyFont="1" applyFill="1" applyAlignment="1">
      <alignment horizontal="left" vertical="center"/>
    </xf>
    <xf numFmtId="0" fontId="31" fillId="2" borderId="1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31" fillId="2" borderId="12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4" fontId="32" fillId="2" borderId="13" xfId="0" applyNumberFormat="1" applyFont="1" applyFill="1" applyBorder="1" applyAlignment="1">
      <alignment horizontal="left" vertical="center"/>
    </xf>
    <xf numFmtId="0" fontId="31" fillId="2" borderId="12" xfId="0" applyFont="1" applyFill="1" applyBorder="1" applyAlignment="1">
      <alignment horizontal="left" vertical="center"/>
    </xf>
    <xf numFmtId="0" fontId="31" fillId="0" borderId="11" xfId="0" applyFont="1" applyBorder="1" applyAlignment="1">
      <alignment horizontal="left" vertical="center"/>
    </xf>
    <xf numFmtId="0" fontId="31" fillId="2" borderId="12" xfId="0" applyFont="1" applyFill="1" applyBorder="1" applyAlignment="1">
      <alignment horizontal="left" vertical="center" wrapText="1"/>
    </xf>
    <xf numFmtId="4" fontId="32" fillId="8" borderId="0" xfId="0" applyNumberFormat="1" applyFont="1" applyFill="1" applyAlignment="1">
      <alignment horizontal="left" vertical="center" wrapText="1"/>
    </xf>
    <xf numFmtId="4" fontId="32" fillId="0" borderId="0" xfId="0" applyNumberFormat="1" applyFont="1" applyAlignment="1">
      <alignment horizontal="left" vertical="center" wrapText="1"/>
    </xf>
    <xf numFmtId="0" fontId="31" fillId="11" borderId="13" xfId="0" applyFont="1" applyFill="1" applyBorder="1" applyAlignment="1">
      <alignment horizontal="left" vertical="center" wrapText="1"/>
    </xf>
    <xf numFmtId="0" fontId="31" fillId="12" borderId="13" xfId="0" applyFont="1" applyFill="1" applyBorder="1" applyAlignment="1">
      <alignment horizontal="left" vertical="center"/>
    </xf>
    <xf numFmtId="0" fontId="33" fillId="2" borderId="11" xfId="0" applyFont="1" applyFill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4" fontId="32" fillId="8" borderId="11" xfId="0" applyNumberFormat="1" applyFont="1" applyFill="1" applyBorder="1" applyAlignment="1">
      <alignment horizontal="left" vertical="center"/>
    </xf>
    <xf numFmtId="4" fontId="32" fillId="8" borderId="12" xfId="0" applyNumberFormat="1" applyFont="1" applyFill="1" applyBorder="1" applyAlignment="1">
      <alignment horizontal="left" vertical="center" wrapText="1"/>
    </xf>
    <xf numFmtId="4" fontId="32" fillId="2" borderId="11" xfId="0" applyNumberFormat="1" applyFont="1" applyFill="1" applyBorder="1" applyAlignment="1">
      <alignment horizontal="left" vertical="center"/>
    </xf>
    <xf numFmtId="0" fontId="31" fillId="4" borderId="11" xfId="0" applyFont="1" applyFill="1" applyBorder="1" applyAlignment="1">
      <alignment horizontal="left" vertical="center"/>
    </xf>
    <xf numFmtId="0" fontId="31" fillId="4" borderId="11" xfId="0" applyFont="1" applyFill="1" applyBorder="1" applyAlignment="1">
      <alignment horizontal="left" vertical="center" wrapText="1"/>
    </xf>
    <xf numFmtId="0" fontId="31" fillId="12" borderId="11" xfId="0" applyFont="1" applyFill="1" applyBorder="1" applyAlignment="1">
      <alignment horizontal="left" vertical="center"/>
    </xf>
    <xf numFmtId="4" fontId="32" fillId="4" borderId="11" xfId="0" applyNumberFormat="1" applyFont="1" applyFill="1" applyBorder="1" applyAlignment="1">
      <alignment horizontal="left" vertical="center"/>
    </xf>
    <xf numFmtId="0" fontId="31" fillId="4" borderId="0" xfId="0" applyFont="1" applyFill="1" applyAlignment="1">
      <alignment horizontal="left" vertical="center"/>
    </xf>
    <xf numFmtId="4" fontId="32" fillId="0" borderId="11" xfId="0" applyNumberFormat="1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/>
    </xf>
    <xf numFmtId="0" fontId="31" fillId="0" borderId="11" xfId="0" applyFont="1" applyBorder="1" applyAlignment="1">
      <alignment horizontal="left" vertical="center"/>
    </xf>
    <xf numFmtId="0" fontId="31" fillId="4" borderId="12" xfId="0" applyFont="1" applyFill="1" applyBorder="1" applyAlignment="1">
      <alignment horizontal="left" vertical="center"/>
    </xf>
    <xf numFmtId="0" fontId="31" fillId="4" borderId="13" xfId="0" applyFont="1" applyFill="1" applyBorder="1" applyAlignment="1">
      <alignment horizontal="left" vertical="center"/>
    </xf>
    <xf numFmtId="0" fontId="31" fillId="4" borderId="13" xfId="0" applyFont="1" applyFill="1" applyBorder="1" applyAlignment="1">
      <alignment horizontal="left" vertical="center" wrapText="1"/>
    </xf>
    <xf numFmtId="4" fontId="32" fillId="4" borderId="13" xfId="0" applyNumberFormat="1" applyFont="1" applyFill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2" borderId="11" xfId="0" applyFont="1" applyFill="1" applyBorder="1" applyAlignment="1">
      <alignment horizontal="left" vertical="center" wrapText="1"/>
    </xf>
    <xf numFmtId="4" fontId="32" fillId="8" borderId="0" xfId="0" applyNumberFormat="1" applyFont="1" applyFill="1" applyAlignment="1">
      <alignment horizontal="left" vertical="center"/>
    </xf>
    <xf numFmtId="4" fontId="32" fillId="8" borderId="11" xfId="0" applyNumberFormat="1" applyFont="1" applyFill="1" applyBorder="1" applyAlignment="1">
      <alignment horizontal="left" vertical="center"/>
    </xf>
    <xf numFmtId="4" fontId="31" fillId="0" borderId="0" xfId="0" applyNumberFormat="1" applyFont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4" borderId="11" xfId="0" applyFont="1" applyFill="1" applyBorder="1" applyAlignment="1">
      <alignment horizontal="left" vertical="center"/>
    </xf>
    <xf numFmtId="4" fontId="31" fillId="8" borderId="11" xfId="0" applyNumberFormat="1" applyFont="1" applyFill="1" applyBorder="1" applyAlignment="1">
      <alignment horizontal="left" vertical="center"/>
    </xf>
    <xf numFmtId="4" fontId="31" fillId="2" borderId="11" xfId="0" applyNumberFormat="1" applyFont="1" applyFill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4" fontId="31" fillId="8" borderId="0" xfId="0" applyNumberFormat="1" applyFont="1" applyFill="1" applyAlignment="1">
      <alignment horizontal="left" vertical="center"/>
    </xf>
    <xf numFmtId="4" fontId="31" fillId="2" borderId="0" xfId="0" applyNumberFormat="1" applyFont="1" applyFill="1" applyAlignment="1">
      <alignment horizontal="left" vertical="center"/>
    </xf>
    <xf numFmtId="4" fontId="31" fillId="8" borderId="13" xfId="0" applyNumberFormat="1" applyFont="1" applyFill="1" applyBorder="1" applyAlignment="1">
      <alignment horizontal="left" vertical="center"/>
    </xf>
    <xf numFmtId="4" fontId="31" fillId="2" borderId="13" xfId="0" applyNumberFormat="1" applyFont="1" applyFill="1" applyBorder="1" applyAlignment="1">
      <alignment horizontal="left" vertical="center"/>
    </xf>
    <xf numFmtId="0" fontId="31" fillId="0" borderId="11" xfId="0" applyFont="1" applyBorder="1" applyAlignment="1">
      <alignment horizontal="left" vertical="center"/>
    </xf>
    <xf numFmtId="4" fontId="32" fillId="0" borderId="11" xfId="0" applyNumberFormat="1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4" fontId="31" fillId="8" borderId="11" xfId="0" applyNumberFormat="1" applyFont="1" applyFill="1" applyBorder="1" applyAlignment="1">
      <alignment horizontal="left" vertical="center" wrapText="1"/>
    </xf>
    <xf numFmtId="4" fontId="31" fillId="0" borderId="11" xfId="0" applyNumberFormat="1" applyFont="1" applyBorder="1" applyAlignment="1">
      <alignment horizontal="left" vertical="center" wrapText="1"/>
    </xf>
    <xf numFmtId="0" fontId="31" fillId="2" borderId="11" xfId="0" applyFont="1" applyFill="1" applyBorder="1" applyAlignment="1">
      <alignment horizontal="left" vertical="center"/>
    </xf>
    <xf numFmtId="0" fontId="31" fillId="0" borderId="11" xfId="0" applyFont="1" applyBorder="1" applyAlignment="1">
      <alignment horizontal="left" vertical="center"/>
    </xf>
    <xf numFmtId="0" fontId="31" fillId="13" borderId="0" xfId="0" applyFont="1" applyFill="1" applyAlignment="1">
      <alignment horizontal="left" vertical="center"/>
    </xf>
    <xf numFmtId="0" fontId="31" fillId="13" borderId="11" xfId="0" applyFont="1" applyFill="1" applyBorder="1" applyAlignment="1">
      <alignment horizontal="left" vertical="center"/>
    </xf>
    <xf numFmtId="0" fontId="31" fillId="13" borderId="11" xfId="0" applyFont="1" applyFill="1" applyBorder="1" applyAlignment="1">
      <alignment horizontal="left" vertical="center" wrapText="1"/>
    </xf>
    <xf numFmtId="4" fontId="32" fillId="13" borderId="11" xfId="0" applyNumberFormat="1" applyFont="1" applyFill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31" fillId="8" borderId="11" xfId="0" applyFont="1" applyFill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6" fillId="0" borderId="11" xfId="0" applyFont="1" applyBorder="1" applyAlignment="1">
      <alignment horizontal="left" vertical="center"/>
    </xf>
    <xf numFmtId="0" fontId="31" fillId="4" borderId="0" xfId="0" applyFont="1" applyFill="1" applyAlignment="1">
      <alignment horizontal="left" vertical="center"/>
    </xf>
    <xf numFmtId="4" fontId="32" fillId="2" borderId="11" xfId="0" applyNumberFormat="1" applyFont="1" applyFill="1" applyBorder="1" applyAlignment="1">
      <alignment horizontal="left" vertical="center"/>
    </xf>
    <xf numFmtId="4" fontId="31" fillId="0" borderId="11" xfId="0" applyNumberFormat="1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11" borderId="11" xfId="0" applyFont="1" applyFill="1" applyBorder="1" applyAlignment="1">
      <alignment horizontal="left" vertical="center"/>
    </xf>
    <xf numFmtId="0" fontId="31" fillId="11" borderId="11" xfId="0" applyFont="1" applyFill="1" applyBorder="1" applyAlignment="1">
      <alignment horizontal="left" vertical="center" wrapText="1"/>
    </xf>
    <xf numFmtId="4" fontId="32" fillId="11" borderId="11" xfId="0" applyNumberFormat="1" applyFont="1" applyFill="1" applyBorder="1" applyAlignment="1">
      <alignment horizontal="left" vertical="center"/>
    </xf>
    <xf numFmtId="0" fontId="31" fillId="4" borderId="0" xfId="0" applyFont="1" applyFill="1" applyAlignment="1">
      <alignment horizontal="left" vertical="center" wrapText="1"/>
    </xf>
    <xf numFmtId="0" fontId="32" fillId="4" borderId="0" xfId="0" applyFont="1" applyFill="1" applyAlignment="1">
      <alignment horizontal="left" vertical="center"/>
    </xf>
    <xf numFmtId="0" fontId="31" fillId="4" borderId="0" xfId="0" applyFont="1" applyFill="1" applyAlignment="1">
      <alignment horizontal="left" vertical="center"/>
    </xf>
    <xf numFmtId="0" fontId="32" fillId="4" borderId="11" xfId="0" applyFont="1" applyFill="1" applyBorder="1" applyAlignment="1">
      <alignment horizontal="left" vertical="center"/>
    </xf>
    <xf numFmtId="0" fontId="32" fillId="8" borderId="11" xfId="0" applyFont="1" applyFill="1" applyBorder="1" applyAlignment="1">
      <alignment horizontal="left" vertical="center"/>
    </xf>
    <xf numFmtId="4" fontId="31" fillId="0" borderId="0" xfId="0" applyNumberFormat="1" applyFont="1" applyAlignment="1">
      <alignment horizontal="left" vertical="center" wrapText="1"/>
    </xf>
    <xf numFmtId="4" fontId="32" fillId="4" borderId="11" xfId="0" applyNumberFormat="1" applyFont="1" applyFill="1" applyBorder="1" applyAlignment="1">
      <alignment horizontal="left" vertical="center"/>
    </xf>
    <xf numFmtId="4" fontId="31" fillId="2" borderId="11" xfId="0" applyNumberFormat="1" applyFont="1" applyFill="1" applyBorder="1" applyAlignment="1">
      <alignment horizontal="left" vertical="center"/>
    </xf>
    <xf numFmtId="4" fontId="32" fillId="4" borderId="0" xfId="0" applyNumberFormat="1" applyFont="1" applyFill="1" applyAlignment="1">
      <alignment horizontal="left" vertical="center"/>
    </xf>
    <xf numFmtId="4" fontId="32" fillId="0" borderId="0" xfId="0" applyNumberFormat="1" applyFont="1" applyAlignment="1">
      <alignment horizontal="left" vertical="center" wrapText="1"/>
    </xf>
    <xf numFmtId="4" fontId="32" fillId="0" borderId="0" xfId="0" applyNumberFormat="1" applyFont="1" applyAlignment="1">
      <alignment horizontal="left" vertical="center"/>
    </xf>
    <xf numFmtId="4" fontId="32" fillId="2" borderId="0" xfId="0" applyNumberFormat="1" applyFont="1" applyFill="1" applyAlignment="1">
      <alignment horizontal="left" vertical="center"/>
    </xf>
    <xf numFmtId="0" fontId="31" fillId="4" borderId="0" xfId="0" applyFont="1" applyFill="1" applyAlignment="1">
      <alignment horizontal="left" vertical="center"/>
    </xf>
    <xf numFmtId="4" fontId="32" fillId="4" borderId="0" xfId="0" applyNumberFormat="1" applyFont="1" applyFill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0" fontId="31" fillId="2" borderId="11" xfId="0" applyFont="1" applyFill="1" applyBorder="1" applyAlignment="1">
      <alignment horizontal="left" vertical="center"/>
    </xf>
    <xf numFmtId="0" fontId="31" fillId="2" borderId="15" xfId="0" applyFont="1" applyFill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8" fillId="2" borderId="11" xfId="0" applyFont="1" applyFill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1" fillId="2" borderId="0" xfId="0" applyFont="1" applyFill="1" applyAlignment="1">
      <alignment horizontal="left" vertical="center" wrapText="1"/>
    </xf>
    <xf numFmtId="0" fontId="31" fillId="2" borderId="11" xfId="0" applyFont="1" applyFill="1" applyBorder="1" applyAlignment="1">
      <alignment horizontal="left" vertical="center"/>
    </xf>
    <xf numFmtId="0" fontId="39" fillId="0" borderId="0" xfId="0" applyFont="1"/>
    <xf numFmtId="4" fontId="39" fillId="0" borderId="0" xfId="0" applyNumberFormat="1" applyFont="1"/>
    <xf numFmtId="4" fontId="32" fillId="0" borderId="0" xfId="0" applyNumberFormat="1" applyFont="1" applyAlignment="1">
      <alignment horizontal="left" vertical="center"/>
    </xf>
    <xf numFmtId="0" fontId="39" fillId="0" borderId="0" xfId="0" applyFont="1" applyAlignment="1"/>
    <xf numFmtId="0" fontId="40" fillId="0" borderId="0" xfId="0" applyFont="1" applyAlignment="1">
      <alignment horizontal="right"/>
    </xf>
    <xf numFmtId="4" fontId="40" fillId="0" borderId="0" xfId="0" applyNumberFormat="1" applyFont="1" applyAlignment="1"/>
    <xf numFmtId="4" fontId="8" fillId="0" borderId="0" xfId="0" applyNumberFormat="1" applyFont="1" applyAlignment="1"/>
    <xf numFmtId="0" fontId="41" fillId="0" borderId="0" xfId="0" applyFont="1" applyAlignment="1">
      <alignment vertical="center"/>
    </xf>
    <xf numFmtId="4" fontId="40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8" fillId="0" borderId="0" xfId="0" applyNumberFormat="1" applyFont="1" applyAlignment="1">
      <alignment vertical="center"/>
    </xf>
    <xf numFmtId="0" fontId="4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3" fillId="2" borderId="0" xfId="0" applyFont="1" applyFill="1" applyAlignment="1"/>
    <xf numFmtId="0" fontId="28" fillId="0" borderId="0" xfId="0" applyFont="1" applyAlignment="1">
      <alignment horizontal="center" vertical="center"/>
    </xf>
    <xf numFmtId="0" fontId="44" fillId="6" borderId="16" xfId="0" applyFont="1" applyFill="1" applyBorder="1" applyAlignment="1">
      <alignment vertical="center"/>
    </xf>
    <xf numFmtId="0" fontId="44" fillId="6" borderId="17" xfId="0" applyFont="1" applyFill="1" applyBorder="1" applyAlignment="1">
      <alignment horizontal="center" vertical="center"/>
    </xf>
    <xf numFmtId="0" fontId="42" fillId="14" borderId="18" xfId="0" applyFont="1" applyFill="1" applyBorder="1" applyAlignment="1">
      <alignment horizontal="center" vertical="center"/>
    </xf>
    <xf numFmtId="0" fontId="12" fillId="0" borderId="19" xfId="0" applyFont="1" applyBorder="1" applyAlignment="1">
      <alignment vertical="center"/>
    </xf>
    <xf numFmtId="41" fontId="45" fillId="15" borderId="0" xfId="0" applyNumberFormat="1" applyFont="1" applyFill="1" applyAlignment="1">
      <alignment vertical="center"/>
    </xf>
    <xf numFmtId="41" fontId="42" fillId="14" borderId="20" xfId="0" applyNumberFormat="1" applyFont="1" applyFill="1" applyBorder="1" applyAlignment="1">
      <alignment horizontal="center" vertical="center"/>
    </xf>
    <xf numFmtId="41" fontId="45" fillId="0" borderId="0" xfId="0" applyNumberFormat="1" applyFont="1" applyAlignment="1">
      <alignment vertical="center"/>
    </xf>
    <xf numFmtId="0" fontId="12" fillId="0" borderId="21" xfId="0" applyFont="1" applyBorder="1" applyAlignment="1">
      <alignment vertical="center"/>
    </xf>
    <xf numFmtId="41" fontId="45" fillId="0" borderId="22" xfId="0" applyNumberFormat="1" applyFont="1" applyBorder="1" applyAlignment="1">
      <alignment vertical="center"/>
    </xf>
    <xf numFmtId="41" fontId="42" fillId="14" borderId="23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44" fillId="6" borderId="24" xfId="0" applyFont="1" applyFill="1" applyBorder="1" applyAlignment="1">
      <alignment vertical="center"/>
    </xf>
    <xf numFmtId="0" fontId="42" fillId="6" borderId="17" xfId="0" applyFont="1" applyFill="1" applyBorder="1" applyAlignment="1"/>
    <xf numFmtId="0" fontId="12" fillId="0" borderId="24" xfId="0" applyFont="1" applyBorder="1" applyAlignment="1">
      <alignment vertical="center"/>
    </xf>
    <xf numFmtId="41" fontId="8" fillId="0" borderId="17" xfId="0" applyNumberFormat="1" applyFont="1" applyBorder="1" applyAlignment="1">
      <alignment vertical="center"/>
    </xf>
    <xf numFmtId="41" fontId="8" fillId="16" borderId="0" xfId="0" applyNumberFormat="1" applyFont="1" applyFill="1" applyAlignment="1">
      <alignment vertical="center"/>
    </xf>
    <xf numFmtId="41" fontId="8" fillId="0" borderId="17" xfId="0" applyNumberFormat="1" applyFont="1" applyBorder="1" applyAlignment="1"/>
    <xf numFmtId="41" fontId="42" fillId="14" borderId="18" xfId="0" applyNumberFormat="1" applyFont="1" applyFill="1" applyBorder="1" applyAlignment="1">
      <alignment horizontal="center" vertical="center"/>
    </xf>
    <xf numFmtId="41" fontId="8" fillId="16" borderId="22" xfId="0" applyNumberFormat="1" applyFont="1" applyFill="1" applyBorder="1" applyAlignment="1">
      <alignment vertical="center"/>
    </xf>
    <xf numFmtId="0" fontId="42" fillId="6" borderId="24" xfId="0" applyFont="1" applyFill="1" applyBorder="1" applyAlignment="1"/>
    <xf numFmtId="0" fontId="42" fillId="17" borderId="17" xfId="0" applyFont="1" applyFill="1" applyBorder="1" applyAlignment="1"/>
    <xf numFmtId="0" fontId="46" fillId="0" borderId="0" xfId="0" applyFont="1" applyAlignment="1"/>
    <xf numFmtId="0" fontId="28" fillId="0" borderId="19" xfId="0" applyFont="1" applyBorder="1" applyAlignment="1"/>
    <xf numFmtId="41" fontId="8" fillId="0" borderId="0" xfId="0" applyNumberFormat="1" applyFont="1" applyAlignment="1"/>
    <xf numFmtId="41" fontId="42" fillId="14" borderId="25" xfId="0" applyNumberFormat="1" applyFont="1" applyFill="1" applyBorder="1" applyAlignment="1">
      <alignment horizontal="center" vertical="center"/>
    </xf>
    <xf numFmtId="0" fontId="47" fillId="0" borderId="26" xfId="0" applyFont="1" applyBorder="1" applyAlignment="1"/>
    <xf numFmtId="41" fontId="48" fillId="0" borderId="27" xfId="0" applyNumberFormat="1" applyFont="1" applyBorder="1"/>
    <xf numFmtId="0" fontId="28" fillId="0" borderId="28" xfId="0" applyFont="1" applyBorder="1" applyAlignment="1"/>
    <xf numFmtId="41" fontId="28" fillId="0" borderId="8" xfId="0" applyNumberFormat="1" applyFont="1" applyBorder="1"/>
    <xf numFmtId="41" fontId="42" fillId="14" borderId="29" xfId="0" applyNumberFormat="1" applyFont="1" applyFill="1" applyBorder="1"/>
    <xf numFmtId="0" fontId="42" fillId="0" borderId="0" xfId="0" applyFont="1" applyAlignment="1"/>
    <xf numFmtId="0" fontId="49" fillId="0" borderId="0" xfId="0" applyFont="1" applyAlignment="1"/>
    <xf numFmtId="0" fontId="46" fillId="0" borderId="0" xfId="0" applyFont="1"/>
    <xf numFmtId="0" fontId="47" fillId="0" borderId="27" xfId="0" applyFont="1" applyBorder="1" applyAlignment="1"/>
    <xf numFmtId="0" fontId="28" fillId="0" borderId="8" xfId="0" applyFont="1" applyBorder="1" applyAlignment="1">
      <alignment vertical="center"/>
    </xf>
    <xf numFmtId="41" fontId="28" fillId="0" borderId="8" xfId="0" applyNumberFormat="1" applyFont="1" applyBorder="1" applyAlignment="1">
      <alignment vertical="center"/>
    </xf>
    <xf numFmtId="41" fontId="42" fillId="14" borderId="29" xfId="0" applyNumberFormat="1" applyFont="1" applyFill="1" applyBorder="1" applyAlignment="1">
      <alignment vertical="center"/>
    </xf>
    <xf numFmtId="0" fontId="8" fillId="0" borderId="0" xfId="0" applyFont="1" applyAlignment="1"/>
    <xf numFmtId="0" fontId="28" fillId="5" borderId="0" xfId="0" applyFont="1" applyFill="1" applyAlignment="1"/>
    <xf numFmtId="0" fontId="8" fillId="5" borderId="0" xfId="0" applyFont="1" applyFill="1"/>
    <xf numFmtId="41" fontId="8" fillId="5" borderId="0" xfId="0" applyNumberFormat="1" applyFont="1" applyFill="1" applyAlignment="1"/>
    <xf numFmtId="41" fontId="48" fillId="5" borderId="27" xfId="0" applyNumberFormat="1" applyFont="1" applyFill="1" applyBorder="1"/>
    <xf numFmtId="41" fontId="28" fillId="5" borderId="8" xfId="0" applyNumberFormat="1" applyFont="1" applyFill="1" applyBorder="1"/>
    <xf numFmtId="41" fontId="28" fillId="5" borderId="8" xfId="0" applyNumberFormat="1" applyFont="1" applyFill="1" applyBorder="1" applyAlignment="1">
      <alignment vertical="center"/>
    </xf>
    <xf numFmtId="0" fontId="45" fillId="0" borderId="0" xfId="0" applyFont="1" applyAlignment="1"/>
    <xf numFmtId="4" fontId="8" fillId="5" borderId="0" xfId="0" applyNumberFormat="1" applyFont="1" applyFill="1" applyAlignment="1"/>
    <xf numFmtId="0" fontId="28" fillId="0" borderId="0" xfId="0" applyFont="1" applyAlignment="1">
      <alignment horizontal="center"/>
    </xf>
    <xf numFmtId="0" fontId="28" fillId="0" borderId="30" xfId="0" applyFont="1" applyBorder="1" applyAlignment="1">
      <alignment horizontal="center"/>
    </xf>
    <xf numFmtId="0" fontId="8" fillId="0" borderId="30" xfId="0" applyFont="1" applyBorder="1"/>
    <xf numFmtId="10" fontId="8" fillId="0" borderId="30" xfId="0" applyNumberFormat="1" applyFont="1" applyBorder="1"/>
    <xf numFmtId="41" fontId="8" fillId="5" borderId="30" xfId="0" applyNumberFormat="1" applyFont="1" applyFill="1" applyBorder="1"/>
    <xf numFmtId="41" fontId="8" fillId="0" borderId="30" xfId="0" applyNumberFormat="1" applyFont="1" applyBorder="1"/>
    <xf numFmtId="0" fontId="50" fillId="0" borderId="19" xfId="0" applyFont="1" applyBorder="1" applyAlignment="1">
      <alignment vertical="center"/>
    </xf>
    <xf numFmtId="41" fontId="21" fillId="0" borderId="0" xfId="0" applyNumberFormat="1" applyFont="1"/>
    <xf numFmtId="41" fontId="51" fillId="14" borderId="20" xfId="0" applyNumberFormat="1" applyFont="1" applyFill="1" applyBorder="1" applyAlignment="1">
      <alignment horizontal="center" vertical="center"/>
    </xf>
    <xf numFmtId="0" fontId="21" fillId="0" borderId="0" xfId="0" applyFont="1"/>
    <xf numFmtId="0" fontId="50" fillId="0" borderId="21" xfId="0" applyFont="1" applyBorder="1" applyAlignment="1">
      <alignment vertical="center"/>
    </xf>
    <xf numFmtId="41" fontId="21" fillId="0" borderId="22" xfId="0" applyNumberFormat="1" applyFont="1" applyBorder="1"/>
    <xf numFmtId="41" fontId="52" fillId="14" borderId="23" xfId="0" applyNumberFormat="1" applyFont="1" applyFill="1" applyBorder="1" applyAlignment="1">
      <alignment horizontal="center" vertical="center"/>
    </xf>
    <xf numFmtId="166" fontId="8" fillId="0" borderId="0" xfId="0" applyNumberFormat="1" applyFont="1"/>
    <xf numFmtId="0" fontId="8" fillId="0" borderId="31" xfId="0" applyFont="1" applyBorder="1"/>
    <xf numFmtId="166" fontId="8" fillId="0" borderId="31" xfId="0" applyNumberFormat="1" applyFont="1" applyBorder="1"/>
    <xf numFmtId="0" fontId="28" fillId="0" borderId="31" xfId="0" applyFont="1" applyBorder="1" applyAlignment="1">
      <alignment horizontal="center"/>
    </xf>
    <xf numFmtId="0" fontId="53" fillId="6" borderId="0" xfId="0" applyFont="1" applyFill="1" applyAlignment="1">
      <alignment vertical="center"/>
    </xf>
    <xf numFmtId="0" fontId="53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3" fillId="0" borderId="0" xfId="0" applyFont="1"/>
    <xf numFmtId="0" fontId="7" fillId="0" borderId="24" xfId="0" applyFont="1" applyBorder="1" applyAlignment="1">
      <alignment vertical="center"/>
    </xf>
    <xf numFmtId="10" fontId="54" fillId="0" borderId="17" xfId="0" applyNumberFormat="1" applyFont="1" applyBorder="1" applyAlignment="1">
      <alignment vertical="center"/>
    </xf>
    <xf numFmtId="10" fontId="54" fillId="0" borderId="18" xfId="0" applyNumberFormat="1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10" fontId="54" fillId="0" borderId="22" xfId="0" applyNumberFormat="1" applyFont="1" applyBorder="1" applyAlignment="1">
      <alignment vertical="center"/>
    </xf>
    <xf numFmtId="10" fontId="54" fillId="0" borderId="23" xfId="0" applyNumberFormat="1" applyFont="1" applyBorder="1" applyAlignment="1">
      <alignment vertical="center"/>
    </xf>
    <xf numFmtId="0" fontId="1" fillId="0" borderId="0" xfId="0" applyFont="1"/>
    <xf numFmtId="10" fontId="1" fillId="0" borderId="0" xfId="0" applyNumberFormat="1" applyFont="1" applyAlignment="1"/>
    <xf numFmtId="4" fontId="1" fillId="0" borderId="0" xfId="0" applyNumberFormat="1" applyFont="1" applyAlignment="1"/>
    <xf numFmtId="0" fontId="53" fillId="6" borderId="24" xfId="0" applyFont="1" applyFill="1" applyBorder="1" applyAlignment="1">
      <alignment vertical="center"/>
    </xf>
    <xf numFmtId="0" fontId="53" fillId="6" borderId="17" xfId="0" applyFont="1" applyFill="1" applyBorder="1" applyAlignment="1">
      <alignment horizontal="center" vertical="center"/>
    </xf>
    <xf numFmtId="0" fontId="53" fillId="14" borderId="18" xfId="0" applyFont="1" applyFill="1" applyBorder="1" applyAlignment="1">
      <alignment horizontal="center" vertical="center"/>
    </xf>
    <xf numFmtId="0" fontId="1" fillId="0" borderId="21" xfId="0" applyFont="1" applyBorder="1" applyAlignment="1"/>
    <xf numFmtId="4" fontId="1" fillId="0" borderId="22" xfId="0" applyNumberFormat="1" applyFont="1" applyBorder="1" applyAlignment="1"/>
    <xf numFmtId="41" fontId="53" fillId="14" borderId="23" xfId="0" applyNumberFormat="1" applyFont="1" applyFill="1" applyBorder="1" applyAlignment="1">
      <alignment horizontal="center" vertical="center"/>
    </xf>
    <xf numFmtId="0" fontId="28" fillId="18" borderId="19" xfId="0" applyFont="1" applyFill="1" applyBorder="1" applyAlignment="1">
      <alignment horizontal="left"/>
    </xf>
    <xf numFmtId="41" fontId="28" fillId="18" borderId="0" xfId="0" applyNumberFormat="1" applyFont="1" applyFill="1" applyAlignment="1"/>
    <xf numFmtId="41" fontId="53" fillId="14" borderId="20" xfId="0" applyNumberFormat="1" applyFont="1" applyFill="1" applyBorder="1" applyAlignment="1">
      <alignment horizontal="center" vertical="center"/>
    </xf>
    <xf numFmtId="0" fontId="7" fillId="0" borderId="19" xfId="0" applyFont="1" applyBorder="1" applyAlignment="1"/>
    <xf numFmtId="41" fontId="1" fillId="0" borderId="0" xfId="0" applyNumberFormat="1" applyFont="1" applyAlignment="1">
      <alignment horizontal="right"/>
    </xf>
    <xf numFmtId="41" fontId="55" fillId="0" borderId="0" xfId="0" applyNumberFormat="1" applyFont="1" applyAlignment="1"/>
    <xf numFmtId="0" fontId="28" fillId="0" borderId="21" xfId="0" applyFont="1" applyBorder="1" applyAlignment="1"/>
    <xf numFmtId="0" fontId="8" fillId="0" borderId="22" xfId="0" applyFont="1" applyBorder="1"/>
    <xf numFmtId="0" fontId="39" fillId="0" borderId="0" xfId="0" applyFont="1" applyAlignment="1">
      <alignment horizontal="right"/>
    </xf>
    <xf numFmtId="0" fontId="56" fillId="0" borderId="0" xfId="0" applyFont="1" applyAlignment="1">
      <alignment horizontal="right"/>
    </xf>
    <xf numFmtId="0" fontId="56" fillId="0" borderId="0" xfId="0" applyFont="1"/>
    <xf numFmtId="14" fontId="57" fillId="0" borderId="0" xfId="0" applyNumberFormat="1" applyFont="1" applyAlignment="1">
      <alignment horizontal="center"/>
    </xf>
    <xf numFmtId="14" fontId="55" fillId="0" borderId="0" xfId="0" applyNumberFormat="1" applyFont="1" applyAlignment="1"/>
    <xf numFmtId="0" fontId="57" fillId="19" borderId="30" xfId="0" applyFont="1" applyFill="1" applyBorder="1" applyAlignment="1"/>
    <xf numFmtId="167" fontId="55" fillId="19" borderId="30" xfId="0" applyNumberFormat="1" applyFont="1" applyFill="1" applyBorder="1" applyAlignment="1"/>
    <xf numFmtId="10" fontId="55" fillId="19" borderId="30" xfId="0" applyNumberFormat="1" applyFont="1" applyFill="1" applyBorder="1" applyAlignment="1">
      <alignment horizontal="center"/>
    </xf>
    <xf numFmtId="0" fontId="57" fillId="20" borderId="30" xfId="0" applyFont="1" applyFill="1" applyBorder="1" applyAlignment="1"/>
    <xf numFmtId="167" fontId="55" fillId="20" borderId="30" xfId="0" applyNumberFormat="1" applyFont="1" applyFill="1" applyBorder="1" applyAlignment="1"/>
    <xf numFmtId="10" fontId="58" fillId="20" borderId="30" xfId="0" applyNumberFormat="1" applyFont="1" applyFill="1" applyBorder="1" applyAlignment="1">
      <alignment horizontal="center"/>
    </xf>
    <xf numFmtId="0" fontId="59" fillId="21" borderId="30" xfId="0" applyFont="1" applyFill="1" applyBorder="1" applyAlignment="1"/>
    <xf numFmtId="167" fontId="55" fillId="21" borderId="30" xfId="0" applyNumberFormat="1" applyFont="1" applyFill="1" applyBorder="1" applyAlignment="1"/>
    <xf numFmtId="10" fontId="58" fillId="21" borderId="30" xfId="0" applyNumberFormat="1" applyFont="1" applyFill="1" applyBorder="1" applyAlignment="1">
      <alignment horizontal="center"/>
    </xf>
    <xf numFmtId="0" fontId="57" fillId="19" borderId="30" xfId="0" applyFont="1" applyFill="1" applyBorder="1" applyAlignment="1"/>
    <xf numFmtId="10" fontId="58" fillId="19" borderId="30" xfId="0" applyNumberFormat="1" applyFont="1" applyFill="1" applyBorder="1" applyAlignment="1">
      <alignment horizontal="center"/>
    </xf>
    <xf numFmtId="167" fontId="55" fillId="20" borderId="30" xfId="0" applyNumberFormat="1" applyFont="1" applyFill="1" applyBorder="1" applyAlignment="1">
      <alignment horizontal="center"/>
    </xf>
    <xf numFmtId="167" fontId="55" fillId="21" borderId="30" xfId="0" applyNumberFormat="1" applyFont="1" applyFill="1" applyBorder="1" applyAlignment="1">
      <alignment horizontal="center"/>
    </xf>
    <xf numFmtId="0" fontId="55" fillId="20" borderId="30" xfId="0" applyFont="1" applyFill="1" applyBorder="1" applyAlignment="1"/>
    <xf numFmtId="0" fontId="55" fillId="21" borderId="30" xfId="0" applyFont="1" applyFill="1" applyBorder="1" applyAlignment="1"/>
    <xf numFmtId="0" fontId="55" fillId="0" borderId="30" xfId="0" applyFont="1" applyBorder="1" applyAlignment="1"/>
    <xf numFmtId="167" fontId="55" fillId="0" borderId="30" xfId="0" applyNumberFormat="1" applyFont="1" applyBorder="1" applyAlignment="1"/>
    <xf numFmtId="10" fontId="55" fillId="0" borderId="30" xfId="0" applyNumberFormat="1" applyFont="1" applyBorder="1" applyAlignment="1"/>
    <xf numFmtId="0" fontId="59" fillId="22" borderId="30" xfId="0" applyFont="1" applyFill="1" applyBorder="1" applyAlignment="1"/>
    <xf numFmtId="167" fontId="55" fillId="22" borderId="30" xfId="0" applyNumberFormat="1" applyFont="1" applyFill="1" applyBorder="1" applyAlignment="1">
      <alignment horizontal="center"/>
    </xf>
    <xf numFmtId="10" fontId="58" fillId="22" borderId="30" xfId="0" applyNumberFormat="1" applyFont="1" applyFill="1" applyBorder="1" applyAlignment="1">
      <alignment horizontal="center"/>
    </xf>
    <xf numFmtId="167" fontId="55" fillId="22" borderId="30" xfId="0" applyNumberFormat="1" applyFont="1" applyFill="1" applyBorder="1" applyAlignment="1"/>
    <xf numFmtId="0" fontId="60" fillId="23" borderId="30" xfId="0" applyFont="1" applyFill="1" applyBorder="1" applyAlignment="1"/>
    <xf numFmtId="167" fontId="61" fillId="23" borderId="32" xfId="0" applyNumberFormat="1" applyFont="1" applyFill="1" applyBorder="1" applyAlignment="1">
      <alignment horizontal="center"/>
    </xf>
    <xf numFmtId="10" fontId="62" fillId="23" borderId="30" xfId="0" applyNumberFormat="1" applyFont="1" applyFill="1" applyBorder="1" applyAlignment="1">
      <alignment horizontal="center"/>
    </xf>
    <xf numFmtId="0" fontId="63" fillId="24" borderId="33" xfId="0" applyFont="1" applyFill="1" applyBorder="1" applyAlignment="1"/>
    <xf numFmtId="167" fontId="64" fillId="24" borderId="34" xfId="0" applyNumberFormat="1" applyFont="1" applyFill="1" applyBorder="1" applyAlignment="1">
      <alignment horizontal="right"/>
    </xf>
    <xf numFmtId="10" fontId="64" fillId="24" borderId="33" xfId="0" applyNumberFormat="1" applyFont="1" applyFill="1" applyBorder="1" applyAlignment="1">
      <alignment horizontal="right"/>
    </xf>
    <xf numFmtId="0" fontId="65" fillId="2" borderId="0" xfId="0" applyFont="1" applyFill="1" applyAlignment="1"/>
    <xf numFmtId="0" fontId="65" fillId="0" borderId="0" xfId="0" applyFont="1" applyAlignment="1"/>
    <xf numFmtId="0" fontId="66" fillId="0" borderId="0" xfId="0" applyFont="1" applyAlignment="1"/>
    <xf numFmtId="0" fontId="39" fillId="2" borderId="0" xfId="0" applyFont="1" applyFill="1"/>
    <xf numFmtId="0" fontId="67" fillId="0" borderId="0" xfId="0" applyFont="1" applyAlignment="1">
      <alignment horizontal="center"/>
    </xf>
    <xf numFmtId="0" fontId="68" fillId="2" borderId="0" xfId="0" applyFont="1" applyFill="1" applyAlignment="1">
      <alignment horizontal="center"/>
    </xf>
    <xf numFmtId="0" fontId="68" fillId="14" borderId="27" xfId="0" applyFont="1" applyFill="1" applyBorder="1" applyAlignment="1">
      <alignment horizontal="center"/>
    </xf>
    <xf numFmtId="0" fontId="69" fillId="14" borderId="35" xfId="0" applyFont="1" applyFill="1" applyBorder="1" applyAlignment="1">
      <alignment horizontal="center"/>
    </xf>
    <xf numFmtId="0" fontId="39" fillId="2" borderId="0" xfId="0" applyFont="1" applyFill="1" applyAlignment="1"/>
    <xf numFmtId="0" fontId="39" fillId="0" borderId="35" xfId="0" applyFont="1" applyBorder="1"/>
    <xf numFmtId="41" fontId="39" fillId="0" borderId="0" xfId="0" applyNumberFormat="1" applyFont="1"/>
    <xf numFmtId="41" fontId="56" fillId="0" borderId="36" xfId="0" applyNumberFormat="1" applyFont="1" applyBorder="1"/>
    <xf numFmtId="4" fontId="39" fillId="0" borderId="0" xfId="0" applyNumberFormat="1" applyFont="1" applyAlignment="1"/>
    <xf numFmtId="0" fontId="39" fillId="0" borderId="36" xfId="0" applyFont="1" applyBorder="1"/>
    <xf numFmtId="0" fontId="39" fillId="0" borderId="36" xfId="0" applyFont="1" applyBorder="1" applyAlignment="1"/>
    <xf numFmtId="0" fontId="39" fillId="0" borderId="37" xfId="0" applyFont="1" applyBorder="1" applyAlignment="1"/>
    <xf numFmtId="0" fontId="69" fillId="2" borderId="0" xfId="0" applyFont="1" applyFill="1" applyAlignment="1">
      <alignment horizontal="center"/>
    </xf>
    <xf numFmtId="0" fontId="69" fillId="14" borderId="27" xfId="0" applyFont="1" applyFill="1" applyBorder="1" applyAlignment="1">
      <alignment horizontal="center"/>
    </xf>
    <xf numFmtId="41" fontId="69" fillId="14" borderId="27" xfId="0" applyNumberFormat="1" applyFont="1" applyFill="1" applyBorder="1" applyAlignment="1">
      <alignment horizontal="center"/>
    </xf>
    <xf numFmtId="41" fontId="39" fillId="0" borderId="0" xfId="0" applyNumberFormat="1" applyFont="1"/>
    <xf numFmtId="0" fontId="70" fillId="2" borderId="0" xfId="0" applyFont="1" applyFill="1" applyAlignment="1">
      <alignment horizontal="center" vertical="center" wrapText="1"/>
    </xf>
    <xf numFmtId="0" fontId="70" fillId="14" borderId="38" xfId="0" applyFont="1" applyFill="1" applyBorder="1" applyAlignment="1">
      <alignment horizontal="center" vertical="center" wrapText="1"/>
    </xf>
    <xf numFmtId="0" fontId="70" fillId="14" borderId="39" xfId="0" applyFont="1" applyFill="1" applyBorder="1" applyAlignment="1">
      <alignment horizontal="center" vertical="center" wrapText="1"/>
    </xf>
    <xf numFmtId="0" fontId="70" fillId="14" borderId="39" xfId="0" applyFont="1" applyFill="1" applyBorder="1" applyAlignment="1">
      <alignment vertical="center" wrapText="1"/>
    </xf>
    <xf numFmtId="168" fontId="71" fillId="14" borderId="39" xfId="0" applyNumberFormat="1" applyFont="1" applyFill="1" applyBorder="1" applyAlignment="1">
      <alignment vertical="center"/>
    </xf>
    <xf numFmtId="168" fontId="70" fillId="14" borderId="39" xfId="0" applyNumberFormat="1" applyFont="1" applyFill="1" applyBorder="1" applyAlignment="1">
      <alignment horizontal="center" vertical="center" wrapText="1"/>
    </xf>
    <xf numFmtId="168" fontId="70" fillId="14" borderId="40" xfId="0" applyNumberFormat="1" applyFont="1" applyFill="1" applyBorder="1" applyAlignment="1">
      <alignment horizontal="center" vertical="center" wrapText="1"/>
    </xf>
    <xf numFmtId="0" fontId="70" fillId="14" borderId="41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71" fillId="2" borderId="0" xfId="0" applyFont="1" applyFill="1"/>
    <xf numFmtId="0" fontId="70" fillId="2" borderId="42" xfId="0" applyFont="1" applyFill="1" applyBorder="1" applyAlignment="1">
      <alignment horizontal="center" wrapText="1"/>
    </xf>
    <xf numFmtId="0" fontId="70" fillId="2" borderId="0" xfId="0" applyFont="1" applyFill="1" applyAlignment="1">
      <alignment horizontal="center" wrapText="1"/>
    </xf>
    <xf numFmtId="0" fontId="56" fillId="0" borderId="0" xfId="0" applyFont="1" applyAlignment="1"/>
    <xf numFmtId="0" fontId="70" fillId="2" borderId="0" xfId="0" applyFont="1" applyFill="1" applyAlignment="1">
      <alignment horizontal="center"/>
    </xf>
    <xf numFmtId="0" fontId="71" fillId="26" borderId="0" xfId="0" applyFont="1" applyFill="1"/>
    <xf numFmtId="168" fontId="71" fillId="26" borderId="0" xfId="0" applyNumberFormat="1" applyFont="1" applyFill="1"/>
    <xf numFmtId="168" fontId="70" fillId="26" borderId="0" xfId="0" applyNumberFormat="1" applyFont="1" applyFill="1" applyAlignment="1">
      <alignment horizontal="center" wrapText="1"/>
    </xf>
    <xf numFmtId="168" fontId="73" fillId="26" borderId="0" xfId="0" applyNumberFormat="1" applyFont="1" applyFill="1" applyAlignment="1">
      <alignment horizontal="center" wrapText="1"/>
    </xf>
    <xf numFmtId="0" fontId="70" fillId="2" borderId="0" xfId="0" applyFont="1" applyFill="1" applyAlignment="1">
      <alignment horizontal="center" vertical="center"/>
    </xf>
    <xf numFmtId="0" fontId="71" fillId="27" borderId="43" xfId="0" applyFont="1" applyFill="1" applyBorder="1" applyAlignment="1">
      <alignment vertical="center"/>
    </xf>
    <xf numFmtId="14" fontId="74" fillId="27" borderId="0" xfId="0" applyNumberFormat="1" applyFont="1" applyFill="1" applyAlignment="1">
      <alignment horizontal="left" vertical="center" wrapText="1"/>
    </xf>
    <xf numFmtId="0" fontId="71" fillId="27" borderId="0" xfId="0" applyFont="1" applyFill="1" applyAlignment="1">
      <alignment horizontal="left" vertical="center" wrapText="1"/>
    </xf>
    <xf numFmtId="168" fontId="71" fillId="27" borderId="0" xfId="0" applyNumberFormat="1" applyFont="1" applyFill="1" applyAlignment="1">
      <alignment vertical="center"/>
    </xf>
    <xf numFmtId="168" fontId="75" fillId="5" borderId="0" xfId="0" applyNumberFormat="1" applyFont="1" applyFill="1" applyAlignment="1">
      <alignment horizontal="center" vertical="center" wrapText="1"/>
    </xf>
    <xf numFmtId="168" fontId="75" fillId="27" borderId="0" xfId="0" applyNumberFormat="1" applyFont="1" applyFill="1" applyAlignment="1">
      <alignment horizontal="center" vertical="center" wrapText="1"/>
    </xf>
    <xf numFmtId="168" fontId="76" fillId="27" borderId="0" xfId="0" applyNumberFormat="1" applyFont="1" applyFill="1" applyAlignment="1">
      <alignment horizontal="center" vertical="center" wrapText="1"/>
    </xf>
    <xf numFmtId="0" fontId="75" fillId="27" borderId="0" xfId="0" applyFont="1" applyFill="1" applyAlignment="1">
      <alignment horizontal="center" vertical="center" wrapText="1"/>
    </xf>
    <xf numFmtId="0" fontId="75" fillId="27" borderId="0" xfId="0" applyFont="1" applyFill="1" applyAlignment="1">
      <alignment horizontal="left" vertical="center"/>
    </xf>
    <xf numFmtId="0" fontId="71" fillId="2" borderId="44" xfId="0" applyFont="1" applyFill="1" applyBorder="1" applyAlignment="1">
      <alignment vertical="center"/>
    </xf>
    <xf numFmtId="14" fontId="77" fillId="2" borderId="2" xfId="0" applyNumberFormat="1" applyFont="1" applyFill="1" applyBorder="1" applyAlignment="1">
      <alignment horizontal="left" vertical="center" wrapText="1"/>
    </xf>
    <xf numFmtId="0" fontId="71" fillId="2" borderId="2" xfId="0" applyFont="1" applyFill="1" applyBorder="1" applyAlignment="1">
      <alignment horizontal="left" vertical="center" wrapText="1"/>
    </xf>
    <xf numFmtId="168" fontId="71" fillId="2" borderId="2" xfId="0" applyNumberFormat="1" applyFont="1" applyFill="1" applyBorder="1" applyAlignment="1">
      <alignment vertical="center"/>
    </xf>
    <xf numFmtId="168" fontId="75" fillId="5" borderId="2" xfId="0" applyNumberFormat="1" applyFont="1" applyFill="1" applyBorder="1" applyAlignment="1">
      <alignment horizontal="center" vertical="center" wrapText="1"/>
    </xf>
    <xf numFmtId="168" fontId="75" fillId="2" borderId="2" xfId="0" applyNumberFormat="1" applyFont="1" applyFill="1" applyBorder="1" applyAlignment="1">
      <alignment horizontal="center" vertical="center" wrapText="1"/>
    </xf>
    <xf numFmtId="168" fontId="78" fillId="2" borderId="5" xfId="0" applyNumberFormat="1" applyFont="1" applyFill="1" applyBorder="1" applyAlignment="1">
      <alignment horizontal="center" vertical="center" wrapText="1"/>
    </xf>
    <xf numFmtId="0" fontId="75" fillId="2" borderId="2" xfId="0" applyFont="1" applyFill="1" applyBorder="1" applyAlignment="1">
      <alignment horizontal="center" vertical="center" wrapText="1"/>
    </xf>
    <xf numFmtId="0" fontId="75" fillId="2" borderId="2" xfId="0" applyFont="1" applyFill="1" applyBorder="1" applyAlignment="1">
      <alignment horizontal="left" vertical="center"/>
    </xf>
    <xf numFmtId="0" fontId="71" fillId="27" borderId="45" xfId="0" applyFont="1" applyFill="1" applyBorder="1" applyAlignment="1">
      <alignment vertical="center"/>
    </xf>
    <xf numFmtId="168" fontId="78" fillId="27" borderId="27" xfId="0" applyNumberFormat="1" applyFont="1" applyFill="1" applyBorder="1" applyAlignment="1">
      <alignment horizontal="center" vertical="center" wrapText="1"/>
    </xf>
    <xf numFmtId="0" fontId="71" fillId="2" borderId="43" xfId="0" applyFont="1" applyFill="1" applyBorder="1" applyAlignment="1">
      <alignment vertical="center"/>
    </xf>
    <xf numFmtId="14" fontId="79" fillId="2" borderId="0" xfId="0" applyNumberFormat="1" applyFont="1" applyFill="1" applyAlignment="1">
      <alignment horizontal="left" vertical="center" wrapText="1"/>
    </xf>
    <xf numFmtId="0" fontId="71" fillId="2" borderId="0" xfId="0" applyFont="1" applyFill="1" applyAlignment="1">
      <alignment horizontal="left" vertical="center" wrapText="1"/>
    </xf>
    <xf numFmtId="0" fontId="71" fillId="2" borderId="0" xfId="0" applyFont="1" applyFill="1" applyAlignment="1">
      <alignment horizontal="left" vertical="center"/>
    </xf>
    <xf numFmtId="168" fontId="71" fillId="2" borderId="0" xfId="0" applyNumberFormat="1" applyFont="1" applyFill="1" applyAlignment="1">
      <alignment vertical="center"/>
    </xf>
    <xf numFmtId="168" fontId="75" fillId="2" borderId="0" xfId="0" applyNumberFormat="1" applyFont="1" applyFill="1" applyAlignment="1">
      <alignment horizontal="center" vertical="center" wrapText="1"/>
    </xf>
    <xf numFmtId="168" fontId="76" fillId="2" borderId="27" xfId="0" applyNumberFormat="1" applyFont="1" applyFill="1" applyBorder="1" applyAlignment="1">
      <alignment horizontal="center" vertical="center" wrapText="1"/>
    </xf>
    <xf numFmtId="0" fontId="75" fillId="2" borderId="0" xfId="0" applyFont="1" applyFill="1" applyAlignment="1">
      <alignment horizontal="center" vertical="center" wrapText="1"/>
    </xf>
    <xf numFmtId="0" fontId="75" fillId="2" borderId="0" xfId="0" applyFont="1" applyFill="1" applyAlignment="1">
      <alignment horizontal="left" vertical="center"/>
    </xf>
    <xf numFmtId="0" fontId="71" fillId="27" borderId="0" xfId="0" applyFont="1" applyFill="1" applyAlignment="1">
      <alignment horizontal="left" vertical="center"/>
    </xf>
    <xf numFmtId="168" fontId="76" fillId="27" borderId="27" xfId="0" applyNumberFormat="1" applyFont="1" applyFill="1" applyBorder="1" applyAlignment="1">
      <alignment horizontal="center" vertical="center" wrapText="1"/>
    </xf>
    <xf numFmtId="0" fontId="71" fillId="27" borderId="44" xfId="0" applyFont="1" applyFill="1" applyBorder="1" applyAlignment="1">
      <alignment vertical="center"/>
    </xf>
    <xf numFmtId="14" fontId="80" fillId="27" borderId="2" xfId="0" applyNumberFormat="1" applyFont="1" applyFill="1" applyBorder="1" applyAlignment="1">
      <alignment horizontal="left" vertical="center" wrapText="1"/>
    </xf>
    <xf numFmtId="0" fontId="71" fillId="27" borderId="2" xfId="0" applyFont="1" applyFill="1" applyBorder="1" applyAlignment="1">
      <alignment horizontal="left" vertical="center" wrapText="1"/>
    </xf>
    <xf numFmtId="168" fontId="71" fillId="27" borderId="2" xfId="0" applyNumberFormat="1" applyFont="1" applyFill="1" applyBorder="1" applyAlignment="1">
      <alignment vertical="center"/>
    </xf>
    <xf numFmtId="168" fontId="75" fillId="27" borderId="2" xfId="0" applyNumberFormat="1" applyFont="1" applyFill="1" applyBorder="1" applyAlignment="1">
      <alignment horizontal="center" vertical="center" wrapText="1"/>
    </xf>
    <xf numFmtId="168" fontId="76" fillId="27" borderId="5" xfId="0" applyNumberFormat="1" applyFont="1" applyFill="1" applyBorder="1" applyAlignment="1">
      <alignment horizontal="center" vertical="center" wrapText="1"/>
    </xf>
    <xf numFmtId="0" fontId="75" fillId="27" borderId="2" xfId="0" applyFont="1" applyFill="1" applyBorder="1" applyAlignment="1">
      <alignment horizontal="center" vertical="center" wrapText="1"/>
    </xf>
    <xf numFmtId="0" fontId="75" fillId="27" borderId="2" xfId="0" applyFont="1" applyFill="1" applyBorder="1" applyAlignment="1">
      <alignment horizontal="left" vertical="center"/>
    </xf>
    <xf numFmtId="0" fontId="71" fillId="2" borderId="45" xfId="0" applyFont="1" applyFill="1" applyBorder="1" applyAlignment="1">
      <alignment vertical="center"/>
    </xf>
    <xf numFmtId="168" fontId="75" fillId="5" borderId="0" xfId="0" applyNumberFormat="1" applyFont="1" applyFill="1" applyAlignment="1">
      <alignment horizontal="center" vertical="center"/>
    </xf>
    <xf numFmtId="168" fontId="75" fillId="27" borderId="0" xfId="0" applyNumberFormat="1" applyFont="1" applyFill="1" applyAlignment="1">
      <alignment horizontal="center" vertical="center"/>
    </xf>
    <xf numFmtId="0" fontId="71" fillId="27" borderId="0" xfId="0" applyFont="1" applyFill="1" applyAlignment="1">
      <alignment vertical="center"/>
    </xf>
    <xf numFmtId="0" fontId="71" fillId="27" borderId="0" xfId="0" applyFont="1" applyFill="1" applyAlignment="1">
      <alignment horizontal="left" vertical="center"/>
    </xf>
    <xf numFmtId="14" fontId="81" fillId="2" borderId="0" xfId="0" applyNumberFormat="1" applyFont="1" applyFill="1" applyAlignment="1">
      <alignment horizontal="left" vertical="center"/>
    </xf>
    <xf numFmtId="168" fontId="71" fillId="5" borderId="0" xfId="0" applyNumberFormat="1" applyFont="1" applyFill="1" applyAlignment="1">
      <alignment vertical="center"/>
    </xf>
    <xf numFmtId="0" fontId="71" fillId="2" borderId="0" xfId="0" applyFont="1" applyFill="1" applyAlignment="1">
      <alignment vertical="center"/>
    </xf>
    <xf numFmtId="0" fontId="71" fillId="2" borderId="0" xfId="0" applyFont="1" applyFill="1" applyAlignment="1">
      <alignment horizontal="left" vertical="center"/>
    </xf>
    <xf numFmtId="14" fontId="82" fillId="27" borderId="0" xfId="0" applyNumberFormat="1" applyFont="1" applyFill="1" applyAlignment="1">
      <alignment horizontal="left" vertical="center"/>
    </xf>
    <xf numFmtId="14" fontId="83" fillId="27" borderId="46" xfId="0" applyNumberFormat="1" applyFont="1" applyFill="1" applyBorder="1" applyAlignment="1">
      <alignment horizontal="left" vertical="center"/>
    </xf>
    <xf numFmtId="0" fontId="71" fillId="27" borderId="46" xfId="0" applyFont="1" applyFill="1" applyBorder="1" applyAlignment="1">
      <alignment horizontal="left" vertical="center"/>
    </xf>
    <xf numFmtId="168" fontId="71" fillId="27" borderId="46" xfId="0" applyNumberFormat="1" applyFont="1" applyFill="1" applyBorder="1" applyAlignment="1">
      <alignment vertical="center"/>
    </xf>
    <xf numFmtId="168" fontId="71" fillId="5" borderId="46" xfId="0" applyNumberFormat="1" applyFont="1" applyFill="1" applyBorder="1" applyAlignment="1">
      <alignment vertical="center"/>
    </xf>
    <xf numFmtId="0" fontId="71" fillId="27" borderId="46" xfId="0" applyFont="1" applyFill="1" applyBorder="1" applyAlignment="1">
      <alignment vertical="center"/>
    </xf>
    <xf numFmtId="0" fontId="71" fillId="27" borderId="46" xfId="0" applyFont="1" applyFill="1" applyBorder="1" applyAlignment="1">
      <alignment horizontal="left" vertical="center"/>
    </xf>
    <xf numFmtId="14" fontId="84" fillId="2" borderId="47" xfId="0" applyNumberFormat="1" applyFont="1" applyFill="1" applyBorder="1" applyAlignment="1">
      <alignment horizontal="left" vertical="center"/>
    </xf>
    <xf numFmtId="0" fontId="71" fillId="2" borderId="47" xfId="0" applyFont="1" applyFill="1" applyBorder="1" applyAlignment="1">
      <alignment horizontal="left" vertical="center"/>
    </xf>
    <xf numFmtId="168" fontId="71" fillId="2" borderId="47" xfId="0" applyNumberFormat="1" applyFont="1" applyFill="1" applyBorder="1" applyAlignment="1">
      <alignment vertical="center"/>
    </xf>
    <xf numFmtId="168" fontId="71" fillId="5" borderId="47" xfId="0" applyNumberFormat="1" applyFont="1" applyFill="1" applyBorder="1" applyAlignment="1">
      <alignment vertical="center"/>
    </xf>
    <xf numFmtId="0" fontId="71" fillId="2" borderId="47" xfId="0" applyFont="1" applyFill="1" applyBorder="1" applyAlignment="1">
      <alignment vertical="center"/>
    </xf>
    <xf numFmtId="0" fontId="71" fillId="2" borderId="47" xfId="0" applyFont="1" applyFill="1" applyBorder="1" applyAlignment="1">
      <alignment horizontal="left" vertical="center"/>
    </xf>
    <xf numFmtId="14" fontId="85" fillId="27" borderId="48" xfId="0" applyNumberFormat="1" applyFont="1" applyFill="1" applyBorder="1" applyAlignment="1">
      <alignment horizontal="left" vertical="center"/>
    </xf>
    <xf numFmtId="0" fontId="71" fillId="27" borderId="48" xfId="0" applyFont="1" applyFill="1" applyBorder="1" applyAlignment="1">
      <alignment horizontal="left" vertical="center"/>
    </xf>
    <xf numFmtId="168" fontId="71" fillId="27" borderId="48" xfId="0" applyNumberFormat="1" applyFont="1" applyFill="1" applyBorder="1" applyAlignment="1">
      <alignment vertical="center"/>
    </xf>
    <xf numFmtId="168" fontId="71" fillId="5" borderId="48" xfId="0" applyNumberFormat="1" applyFont="1" applyFill="1" applyBorder="1" applyAlignment="1">
      <alignment vertical="center"/>
    </xf>
    <xf numFmtId="0" fontId="71" fillId="27" borderId="48" xfId="0" applyFont="1" applyFill="1" applyBorder="1" applyAlignment="1">
      <alignment vertical="center"/>
    </xf>
    <xf numFmtId="0" fontId="71" fillId="27" borderId="48" xfId="0" applyFont="1" applyFill="1" applyBorder="1" applyAlignment="1">
      <alignment horizontal="left" vertical="center"/>
    </xf>
    <xf numFmtId="14" fontId="86" fillId="2" borderId="46" xfId="0" applyNumberFormat="1" applyFont="1" applyFill="1" applyBorder="1" applyAlignment="1">
      <alignment horizontal="left" vertical="center"/>
    </xf>
    <xf numFmtId="0" fontId="71" fillId="2" borderId="46" xfId="0" applyFont="1" applyFill="1" applyBorder="1" applyAlignment="1">
      <alignment horizontal="left" vertical="center"/>
    </xf>
    <xf numFmtId="168" fontId="71" fillId="2" borderId="46" xfId="0" applyNumberFormat="1" applyFont="1" applyFill="1" applyBorder="1" applyAlignment="1">
      <alignment vertical="center"/>
    </xf>
    <xf numFmtId="0" fontId="71" fillId="2" borderId="46" xfId="0" applyFont="1" applyFill="1" applyBorder="1" applyAlignment="1">
      <alignment vertical="center"/>
    </xf>
    <xf numFmtId="0" fontId="71" fillId="2" borderId="46" xfId="0" applyFont="1" applyFill="1" applyBorder="1" applyAlignment="1">
      <alignment horizontal="left" vertical="center"/>
    </xf>
    <xf numFmtId="14" fontId="87" fillId="27" borderId="47" xfId="0" applyNumberFormat="1" applyFont="1" applyFill="1" applyBorder="1" applyAlignment="1">
      <alignment horizontal="left" vertical="center"/>
    </xf>
    <xf numFmtId="0" fontId="71" fillId="27" borderId="47" xfId="0" applyFont="1" applyFill="1" applyBorder="1" applyAlignment="1">
      <alignment horizontal="left" vertical="center"/>
    </xf>
    <xf numFmtId="168" fontId="71" fillId="27" borderId="47" xfId="0" applyNumberFormat="1" applyFont="1" applyFill="1" applyBorder="1" applyAlignment="1">
      <alignment vertical="center"/>
    </xf>
    <xf numFmtId="0" fontId="71" fillId="27" borderId="47" xfId="0" applyFont="1" applyFill="1" applyBorder="1" applyAlignment="1">
      <alignment vertical="center"/>
    </xf>
    <xf numFmtId="0" fontId="71" fillId="27" borderId="47" xfId="0" applyFont="1" applyFill="1" applyBorder="1" applyAlignment="1">
      <alignment horizontal="left" vertical="center"/>
    </xf>
    <xf numFmtId="14" fontId="71" fillId="27" borderId="47" xfId="0" applyNumberFormat="1" applyFont="1" applyFill="1" applyBorder="1" applyAlignment="1">
      <alignment horizontal="left" vertical="center"/>
    </xf>
    <xf numFmtId="14" fontId="88" fillId="2" borderId="48" xfId="0" applyNumberFormat="1" applyFont="1" applyFill="1" applyBorder="1" applyAlignment="1">
      <alignment horizontal="left" vertical="center"/>
    </xf>
    <xf numFmtId="0" fontId="71" fillId="2" borderId="48" xfId="0" applyFont="1" applyFill="1" applyBorder="1" applyAlignment="1">
      <alignment horizontal="left" vertical="center"/>
    </xf>
    <xf numFmtId="168" fontId="71" fillId="2" borderId="48" xfId="0" applyNumberFormat="1" applyFont="1" applyFill="1" applyBorder="1" applyAlignment="1">
      <alignment vertical="center"/>
    </xf>
    <xf numFmtId="0" fontId="71" fillId="2" borderId="48" xfId="0" applyFont="1" applyFill="1" applyBorder="1" applyAlignment="1">
      <alignment vertical="center"/>
    </xf>
    <xf numFmtId="0" fontId="71" fillId="2" borderId="48" xfId="0" applyFont="1" applyFill="1" applyBorder="1" applyAlignment="1">
      <alignment horizontal="left" vertical="center"/>
    </xf>
    <xf numFmtId="14" fontId="71" fillId="27" borderId="46" xfId="0" applyNumberFormat="1" applyFont="1" applyFill="1" applyBorder="1" applyAlignment="1">
      <alignment horizontal="left" vertical="center"/>
    </xf>
    <xf numFmtId="0" fontId="71" fillId="2" borderId="49" xfId="0" applyFont="1" applyFill="1" applyBorder="1" applyAlignment="1">
      <alignment vertical="center"/>
    </xf>
    <xf numFmtId="14" fontId="89" fillId="2" borderId="50" xfId="0" applyNumberFormat="1" applyFont="1" applyFill="1" applyBorder="1" applyAlignment="1">
      <alignment horizontal="left" vertical="center"/>
    </xf>
    <xf numFmtId="0" fontId="71" fillId="2" borderId="50" xfId="0" applyFont="1" applyFill="1" applyBorder="1" applyAlignment="1">
      <alignment horizontal="left" vertical="center"/>
    </xf>
    <xf numFmtId="168" fontId="71" fillId="2" borderId="50" xfId="0" applyNumberFormat="1" applyFont="1" applyFill="1" applyBorder="1" applyAlignment="1">
      <alignment vertical="center"/>
    </xf>
    <xf numFmtId="168" fontId="71" fillId="5" borderId="50" xfId="0" applyNumberFormat="1" applyFont="1" applyFill="1" applyBorder="1" applyAlignment="1">
      <alignment vertical="center"/>
    </xf>
    <xf numFmtId="0" fontId="71" fillId="2" borderId="50" xfId="0" applyFont="1" applyFill="1" applyBorder="1" applyAlignment="1">
      <alignment vertical="center"/>
    </xf>
    <xf numFmtId="0" fontId="71" fillId="2" borderId="50" xfId="0" applyFont="1" applyFill="1" applyBorder="1" applyAlignment="1">
      <alignment horizontal="left" vertical="center"/>
    </xf>
    <xf numFmtId="0" fontId="71" fillId="27" borderId="51" xfId="0" applyFont="1" applyFill="1" applyBorder="1" applyAlignment="1">
      <alignment vertical="center"/>
    </xf>
    <xf numFmtId="14" fontId="90" fillId="27" borderId="52" xfId="0" applyNumberFormat="1" applyFont="1" applyFill="1" applyBorder="1" applyAlignment="1">
      <alignment horizontal="left" vertical="center"/>
    </xf>
    <xf numFmtId="0" fontId="71" fillId="27" borderId="52" xfId="0" applyFont="1" applyFill="1" applyBorder="1" applyAlignment="1">
      <alignment horizontal="left" vertical="center"/>
    </xf>
    <xf numFmtId="168" fontId="71" fillId="27" borderId="52" xfId="0" applyNumberFormat="1" applyFont="1" applyFill="1" applyBorder="1" applyAlignment="1">
      <alignment vertical="center"/>
    </xf>
    <xf numFmtId="168" fontId="71" fillId="5" borderId="52" xfId="0" applyNumberFormat="1" applyFont="1" applyFill="1" applyBorder="1" applyAlignment="1">
      <alignment vertical="center"/>
    </xf>
    <xf numFmtId="0" fontId="71" fillId="27" borderId="52" xfId="0" applyFont="1" applyFill="1" applyBorder="1" applyAlignment="1">
      <alignment vertical="center"/>
    </xf>
    <xf numFmtId="0" fontId="71" fillId="27" borderId="52" xfId="0" applyFont="1" applyFill="1" applyBorder="1" applyAlignment="1">
      <alignment horizontal="left" vertical="center"/>
    </xf>
    <xf numFmtId="14" fontId="71" fillId="2" borderId="47" xfId="0" applyNumberFormat="1" applyFont="1" applyFill="1" applyBorder="1" applyAlignment="1">
      <alignment horizontal="left" vertical="center"/>
    </xf>
    <xf numFmtId="0" fontId="71" fillId="5" borderId="47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39" fillId="0" borderId="0" xfId="0" applyFont="1" applyAlignment="1">
      <alignment horizontal="left"/>
    </xf>
    <xf numFmtId="0" fontId="91" fillId="0" borderId="0" xfId="0" applyFont="1"/>
    <xf numFmtId="41" fontId="91" fillId="0" borderId="0" xfId="0" applyNumberFormat="1" applyFont="1" applyAlignment="1"/>
    <xf numFmtId="0" fontId="91" fillId="0" borderId="0" xfId="0" applyFont="1" applyAlignment="1"/>
    <xf numFmtId="4" fontId="70" fillId="22" borderId="54" xfId="0" applyNumberFormat="1" applyFont="1" applyFill="1" applyBorder="1" applyAlignment="1">
      <alignment horizontal="center"/>
    </xf>
    <xf numFmtId="4" fontId="92" fillId="28" borderId="37" xfId="0" applyNumberFormat="1" applyFont="1" applyFill="1" applyBorder="1" applyAlignment="1">
      <alignment horizontal="center"/>
    </xf>
    <xf numFmtId="4" fontId="71" fillId="0" borderId="37" xfId="0" applyNumberFormat="1" applyFont="1" applyBorder="1" applyAlignment="1">
      <alignment horizontal="center"/>
    </xf>
    <xf numFmtId="4" fontId="71" fillId="0" borderId="37" xfId="0" applyNumberFormat="1" applyFont="1" applyBorder="1" applyAlignment="1"/>
    <xf numFmtId="4" fontId="71" fillId="0" borderId="2" xfId="0" applyNumberFormat="1" applyFont="1" applyBorder="1" applyAlignment="1"/>
    <xf numFmtId="4" fontId="73" fillId="28" borderId="37" xfId="0" applyNumberFormat="1" applyFont="1" applyFill="1" applyBorder="1" applyAlignment="1">
      <alignment horizontal="center"/>
    </xf>
    <xf numFmtId="4" fontId="71" fillId="0" borderId="56" xfId="0" applyNumberFormat="1" applyFont="1" applyBorder="1" applyAlignment="1">
      <alignment horizontal="center"/>
    </xf>
    <xf numFmtId="4" fontId="71" fillId="0" borderId="57" xfId="0" applyNumberFormat="1" applyFont="1" applyBorder="1" applyAlignment="1">
      <alignment horizontal="center"/>
    </xf>
    <xf numFmtId="4" fontId="71" fillId="0" borderId="56" xfId="0" applyNumberFormat="1" applyFont="1" applyBorder="1" applyAlignment="1"/>
    <xf numFmtId="4" fontId="71" fillId="0" borderId="57" xfId="0" applyNumberFormat="1" applyFont="1" applyBorder="1" applyAlignment="1"/>
    <xf numFmtId="4" fontId="71" fillId="0" borderId="58" xfId="0" applyNumberFormat="1" applyFont="1" applyBorder="1" applyAlignment="1">
      <alignment horizontal="center"/>
    </xf>
    <xf numFmtId="4" fontId="71" fillId="0" borderId="58" xfId="0" applyNumberFormat="1" applyFont="1" applyBorder="1" applyAlignment="1"/>
    <xf numFmtId="4" fontId="93" fillId="2" borderId="37" xfId="0" applyNumberFormat="1" applyFont="1" applyFill="1" applyBorder="1" applyAlignment="1">
      <alignment horizontal="center"/>
    </xf>
    <xf numFmtId="0" fontId="94" fillId="0" borderId="0" xfId="0" applyFont="1" applyAlignment="1">
      <alignment horizontal="left"/>
    </xf>
    <xf numFmtId="41" fontId="94" fillId="0" borderId="0" xfId="0" applyNumberFormat="1" applyFont="1" applyAlignment="1">
      <alignment horizontal="left"/>
    </xf>
    <xf numFmtId="0" fontId="94" fillId="0" borderId="0" xfId="0" applyFont="1" applyAlignment="1">
      <alignment horizontal="left"/>
    </xf>
    <xf numFmtId="41" fontId="94" fillId="0" borderId="0" xfId="0" applyNumberFormat="1" applyFont="1" applyAlignment="1">
      <alignment horizontal="left"/>
    </xf>
    <xf numFmtId="41" fontId="91" fillId="0" borderId="0" xfId="0" applyNumberFormat="1" applyFont="1"/>
    <xf numFmtId="0" fontId="95" fillId="0" borderId="0" xfId="0" applyFont="1" applyAlignment="1">
      <alignment horizontal="left"/>
    </xf>
    <xf numFmtId="0" fontId="42" fillId="29" borderId="24" xfId="0" applyFont="1" applyFill="1" applyBorder="1" applyAlignment="1">
      <alignment horizontal="left"/>
    </xf>
    <xf numFmtId="41" fontId="42" fillId="29" borderId="17" xfId="0" applyNumberFormat="1" applyFont="1" applyFill="1" applyBorder="1" applyAlignment="1">
      <alignment horizontal="left"/>
    </xf>
    <xf numFmtId="41" fontId="68" fillId="14" borderId="18" xfId="0" applyNumberFormat="1" applyFont="1" applyFill="1" applyBorder="1"/>
    <xf numFmtId="0" fontId="39" fillId="0" borderId="19" xfId="0" applyFont="1" applyBorder="1" applyAlignment="1"/>
    <xf numFmtId="41" fontId="39" fillId="0" borderId="0" xfId="0" applyNumberFormat="1" applyFont="1" applyAlignment="1"/>
    <xf numFmtId="41" fontId="68" fillId="14" borderId="20" xfId="0" applyNumberFormat="1" applyFont="1" applyFill="1" applyBorder="1"/>
    <xf numFmtId="41" fontId="39" fillId="23" borderId="0" xfId="0" applyNumberFormat="1" applyFont="1" applyFill="1" applyAlignment="1"/>
    <xf numFmtId="0" fontId="42" fillId="30" borderId="19" xfId="0" applyFont="1" applyFill="1" applyBorder="1" applyAlignment="1">
      <alignment horizontal="left"/>
    </xf>
    <xf numFmtId="41" fontId="42" fillId="30" borderId="0" xfId="0" applyNumberFormat="1" applyFont="1" applyFill="1" applyAlignment="1">
      <alignment horizontal="left"/>
    </xf>
    <xf numFmtId="0" fontId="68" fillId="14" borderId="20" xfId="0" applyFont="1" applyFill="1" applyBorder="1"/>
    <xf numFmtId="0" fontId="56" fillId="0" borderId="59" xfId="0" applyFont="1" applyBorder="1" applyAlignment="1"/>
    <xf numFmtId="41" fontId="56" fillId="0" borderId="60" xfId="0" applyNumberFormat="1" applyFont="1" applyBorder="1"/>
    <xf numFmtId="41" fontId="69" fillId="14" borderId="23" xfId="0" applyNumberFormat="1" applyFont="1" applyFill="1" applyBorder="1"/>
    <xf numFmtId="0" fontId="56" fillId="4" borderId="0" xfId="0" applyFont="1" applyFill="1" applyAlignment="1"/>
    <xf numFmtId="0" fontId="39" fillId="4" borderId="0" xfId="0" applyFont="1" applyFill="1"/>
    <xf numFmtId="0" fontId="96" fillId="6" borderId="61" xfId="0" applyFont="1" applyFill="1" applyBorder="1" applyAlignment="1">
      <alignment horizontal="center"/>
    </xf>
    <xf numFmtId="0" fontId="69" fillId="6" borderId="62" xfId="0" applyFont="1" applyFill="1" applyBorder="1" applyAlignment="1">
      <alignment horizontal="center"/>
    </xf>
    <xf numFmtId="0" fontId="69" fillId="14" borderId="63" xfId="0" applyFont="1" applyFill="1" applyBorder="1" applyAlignment="1">
      <alignment horizontal="center"/>
    </xf>
    <xf numFmtId="0" fontId="97" fillId="0" borderId="21" xfId="0" applyFont="1" applyBorder="1" applyAlignment="1">
      <alignment horizontal="left"/>
    </xf>
    <xf numFmtId="41" fontId="97" fillId="0" borderId="22" xfId="0" applyNumberFormat="1" applyFont="1" applyBorder="1" applyAlignment="1">
      <alignment horizontal="left"/>
    </xf>
    <xf numFmtId="41" fontId="68" fillId="14" borderId="23" xfId="0" applyNumberFormat="1" applyFont="1" applyFill="1" applyBorder="1"/>
    <xf numFmtId="0" fontId="98" fillId="0" borderId="0" xfId="0" applyFont="1" applyAlignment="1"/>
    <xf numFmtId="165" fontId="39" fillId="0" borderId="0" xfId="0" applyNumberFormat="1" applyFont="1"/>
    <xf numFmtId="0" fontId="39" fillId="0" borderId="0" xfId="0" applyFont="1" applyAlignment="1"/>
    <xf numFmtId="2" fontId="99" fillId="0" borderId="0" xfId="0" applyNumberFormat="1" applyFont="1" applyAlignment="1">
      <alignment horizontal="right"/>
    </xf>
    <xf numFmtId="0" fontId="100" fillId="31" borderId="0" xfId="0" applyFont="1" applyFill="1" applyAlignment="1"/>
    <xf numFmtId="0" fontId="99" fillId="0" borderId="0" xfId="0" applyFont="1" applyAlignment="1"/>
    <xf numFmtId="0" fontId="99" fillId="0" borderId="0" xfId="0" applyFont="1" applyAlignment="1">
      <alignment horizontal="right"/>
    </xf>
    <xf numFmtId="0" fontId="68" fillId="14" borderId="0" xfId="0" applyFont="1" applyFill="1" applyAlignment="1"/>
    <xf numFmtId="0" fontId="68" fillId="14" borderId="0" xfId="0" applyFont="1" applyFill="1" applyAlignment="1">
      <alignment wrapText="1"/>
    </xf>
    <xf numFmtId="0" fontId="68" fillId="14" borderId="0" xfId="0" applyFont="1" applyFill="1" applyAlignment="1"/>
    <xf numFmtId="0" fontId="101" fillId="14" borderId="0" xfId="0" applyFont="1" applyFill="1" applyAlignment="1"/>
    <xf numFmtId="0" fontId="102" fillId="14" borderId="0" xfId="0" applyFont="1" applyFill="1" applyAlignment="1"/>
    <xf numFmtId="0" fontId="103" fillId="0" borderId="5" xfId="0" applyFont="1" applyBorder="1" applyAlignment="1">
      <alignment horizontal="center"/>
    </xf>
    <xf numFmtId="0" fontId="103" fillId="0" borderId="5" xfId="0" applyFont="1" applyBorder="1" applyAlignment="1">
      <alignment horizontal="center"/>
    </xf>
    <xf numFmtId="4" fontId="103" fillId="0" borderId="5" xfId="0" applyNumberFormat="1" applyFont="1" applyBorder="1" applyAlignment="1">
      <alignment horizontal="center"/>
    </xf>
    <xf numFmtId="0" fontId="104" fillId="0" borderId="0" xfId="0" applyFont="1" applyAlignment="1"/>
    <xf numFmtId="4" fontId="105" fillId="0" borderId="0" xfId="0" applyNumberFormat="1" applyFont="1" applyAlignment="1">
      <alignment horizontal="right"/>
    </xf>
    <xf numFmtId="4" fontId="106" fillId="0" borderId="0" xfId="0" applyNumberFormat="1" applyFont="1" applyAlignment="1">
      <alignment horizontal="right"/>
    </xf>
    <xf numFmtId="4" fontId="67" fillId="0" borderId="0" xfId="0" applyNumberFormat="1" applyFont="1" applyAlignment="1"/>
    <xf numFmtId="4" fontId="107" fillId="0" borderId="0" xfId="0" applyNumberFormat="1" applyFont="1"/>
    <xf numFmtId="4" fontId="108" fillId="0" borderId="0" xfId="0" applyNumberFormat="1" applyFont="1" applyAlignment="1"/>
    <xf numFmtId="4" fontId="109" fillId="0" borderId="0" xfId="0" applyNumberFormat="1" applyFont="1" applyAlignment="1"/>
    <xf numFmtId="4" fontId="108" fillId="0" borderId="0" xfId="0" applyNumberFormat="1" applyFont="1"/>
    <xf numFmtId="0" fontId="108" fillId="0" borderId="0" xfId="0" applyFont="1" applyAlignment="1"/>
    <xf numFmtId="0" fontId="104" fillId="10" borderId="0" xfId="0" applyFont="1" applyFill="1" applyAlignment="1"/>
    <xf numFmtId="0" fontId="67" fillId="32" borderId="0" xfId="0" applyFont="1" applyFill="1" applyAlignment="1"/>
    <xf numFmtId="0" fontId="67" fillId="0" borderId="0" xfId="0" applyFont="1" applyAlignment="1"/>
    <xf numFmtId="0" fontId="104" fillId="33" borderId="0" xfId="0" applyFont="1" applyFill="1" applyAlignment="1"/>
    <xf numFmtId="0" fontId="104" fillId="32" borderId="0" xfId="0" applyFont="1" applyFill="1" applyAlignment="1"/>
    <xf numFmtId="0" fontId="109" fillId="0" borderId="0" xfId="0" applyFont="1" applyAlignment="1"/>
    <xf numFmtId="0" fontId="107" fillId="0" borderId="0" xfId="0" applyFont="1"/>
    <xf numFmtId="0" fontId="104" fillId="32" borderId="0" xfId="0" applyFont="1" applyFill="1" applyAlignment="1"/>
    <xf numFmtId="0" fontId="104" fillId="4" borderId="0" xfId="0" applyFont="1" applyFill="1" applyAlignment="1"/>
    <xf numFmtId="4" fontId="108" fillId="4" borderId="0" xfId="0" applyNumberFormat="1" applyFont="1" applyFill="1" applyAlignment="1"/>
    <xf numFmtId="169" fontId="104" fillId="33" borderId="0" xfId="0" applyNumberFormat="1" applyFont="1" applyFill="1" applyAlignment="1"/>
    <xf numFmtId="169" fontId="104" fillId="0" borderId="0" xfId="0" applyNumberFormat="1" applyFont="1" applyAlignment="1"/>
    <xf numFmtId="169" fontId="104" fillId="10" borderId="0" xfId="0" applyNumberFormat="1" applyFont="1" applyFill="1" applyAlignment="1"/>
    <xf numFmtId="169" fontId="104" fillId="4" borderId="0" xfId="0" applyNumberFormat="1" applyFont="1" applyFill="1" applyAlignment="1"/>
    <xf numFmtId="4" fontId="108" fillId="32" borderId="0" xfId="0" applyNumberFormat="1" applyFont="1" applyFill="1" applyAlignment="1"/>
    <xf numFmtId="4" fontId="109" fillId="32" borderId="0" xfId="0" applyNumberFormat="1" applyFont="1" applyFill="1" applyAlignment="1"/>
    <xf numFmtId="0" fontId="39" fillId="0" borderId="0" xfId="0" applyFont="1" applyAlignment="1"/>
    <xf numFmtId="0" fontId="108" fillId="0" borderId="0" xfId="0" applyFont="1"/>
    <xf numFmtId="4" fontId="39" fillId="32" borderId="0" xfId="0" applyNumberFormat="1" applyFont="1" applyFill="1" applyAlignment="1"/>
    <xf numFmtId="4" fontId="39" fillId="4" borderId="0" xfId="0" applyNumberFormat="1" applyFont="1" applyFill="1" applyAlignment="1"/>
    <xf numFmtId="4" fontId="55" fillId="0" borderId="0" xfId="0" applyNumberFormat="1" applyFont="1" applyAlignment="1"/>
    <xf numFmtId="0" fontId="110" fillId="31" borderId="0" xfId="0" applyFont="1" applyFill="1" applyAlignment="1"/>
    <xf numFmtId="4" fontId="111" fillId="0" borderId="5" xfId="0" applyNumberFormat="1" applyFont="1" applyBorder="1" applyAlignment="1">
      <alignment horizontal="center"/>
    </xf>
    <xf numFmtId="4" fontId="0" fillId="0" borderId="0" xfId="0" applyNumberFormat="1" applyFont="1" applyAlignment="1"/>
    <xf numFmtId="0" fontId="0" fillId="0" borderId="0" xfId="0" applyFont="1"/>
    <xf numFmtId="14" fontId="39" fillId="0" borderId="0" xfId="0" applyNumberFormat="1" applyFont="1" applyAlignment="1"/>
    <xf numFmtId="0" fontId="112" fillId="14" borderId="0" xfId="0" applyFont="1" applyFill="1" applyAlignment="1"/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69" fontId="104" fillId="0" borderId="0" xfId="0" applyNumberFormat="1" applyFont="1" applyAlignment="1"/>
    <xf numFmtId="0" fontId="104" fillId="0" borderId="0" xfId="0" applyFont="1" applyAlignment="1"/>
    <xf numFmtId="0" fontId="63" fillId="34" borderId="0" xfId="0" applyFont="1" applyFill="1" applyAlignment="1"/>
    <xf numFmtId="4" fontId="55" fillId="34" borderId="0" xfId="0" applyNumberFormat="1" applyFont="1" applyFill="1" applyAlignment="1"/>
    <xf numFmtId="0" fontId="55" fillId="34" borderId="0" xfId="0" applyFont="1" applyFill="1" applyAlignment="1"/>
    <xf numFmtId="4" fontId="113" fillId="34" borderId="0" xfId="0" applyNumberFormat="1" applyFont="1" applyFill="1" applyAlignment="1">
      <alignment horizontal="right"/>
    </xf>
    <xf numFmtId="0" fontId="67" fillId="0" borderId="0" xfId="0" applyFont="1"/>
    <xf numFmtId="0" fontId="57" fillId="0" borderId="30" xfId="0" applyFont="1" applyBorder="1" applyAlignment="1"/>
    <xf numFmtId="4" fontId="57" fillId="0" borderId="0" xfId="0" applyNumberFormat="1" applyFont="1" applyAlignment="1">
      <alignment horizontal="right"/>
    </xf>
    <xf numFmtId="0" fontId="55" fillId="0" borderId="0" xfId="0" applyFont="1" applyAlignment="1"/>
    <xf numFmtId="0" fontId="55" fillId="0" borderId="0" xfId="0" applyFont="1" applyAlignment="1"/>
    <xf numFmtId="4" fontId="55" fillId="0" borderId="0" xfId="0" applyNumberFormat="1" applyFont="1" applyAlignment="1">
      <alignment horizontal="right"/>
    </xf>
    <xf numFmtId="4" fontId="114" fillId="0" borderId="0" xfId="0" applyNumberFormat="1" applyFont="1" applyAlignment="1">
      <alignment horizontal="right"/>
    </xf>
    <xf numFmtId="0" fontId="67" fillId="32" borderId="0" xfId="0" applyFont="1" applyFill="1"/>
    <xf numFmtId="0" fontId="39" fillId="5" borderId="0" xfId="0" applyFont="1" applyFill="1" applyAlignment="1"/>
    <xf numFmtId="0" fontId="115" fillId="0" borderId="0" xfId="0" applyFont="1" applyAlignment="1"/>
    <xf numFmtId="0" fontId="39" fillId="0" borderId="64" xfId="0" applyFont="1" applyBorder="1"/>
    <xf numFmtId="0" fontId="69" fillId="6" borderId="27" xfId="0" applyFont="1" applyFill="1" applyBorder="1" applyAlignment="1"/>
    <xf numFmtId="0" fontId="69" fillId="6" borderId="35" xfId="0" applyFont="1" applyFill="1" applyBorder="1" applyAlignment="1"/>
    <xf numFmtId="0" fontId="56" fillId="0" borderId="55" xfId="0" applyFont="1" applyBorder="1" applyAlignment="1"/>
    <xf numFmtId="4" fontId="39" fillId="0" borderId="2" xfId="0" applyNumberFormat="1" applyFont="1" applyBorder="1" applyAlignment="1"/>
    <xf numFmtId="0" fontId="39" fillId="0" borderId="2" xfId="0" applyFont="1" applyBorder="1" applyAlignment="1"/>
    <xf numFmtId="0" fontId="39" fillId="0" borderId="2" xfId="0" applyFont="1" applyBorder="1"/>
    <xf numFmtId="4" fontId="56" fillId="0" borderId="37" xfId="0" applyNumberFormat="1" applyFont="1" applyBorder="1"/>
    <xf numFmtId="0" fontId="116" fillId="35" borderId="11" xfId="0" applyFont="1" applyFill="1" applyBorder="1" applyAlignment="1">
      <alignment horizontal="left"/>
    </xf>
    <xf numFmtId="0" fontId="39" fillId="4" borderId="0" xfId="0" applyFont="1" applyFill="1" applyAlignment="1"/>
    <xf numFmtId="0" fontId="117" fillId="0" borderId="0" xfId="0" applyFont="1" applyAlignment="1"/>
    <xf numFmtId="0" fontId="118" fillId="2" borderId="11" xfId="0" applyFont="1" applyFill="1" applyBorder="1" applyAlignment="1">
      <alignment horizontal="left"/>
    </xf>
    <xf numFmtId="0" fontId="118" fillId="2" borderId="11" xfId="0" applyFont="1" applyFill="1" applyBorder="1" applyAlignment="1">
      <alignment horizontal="left"/>
    </xf>
    <xf numFmtId="4" fontId="119" fillId="2" borderId="11" xfId="0" applyNumberFormat="1" applyFont="1" applyFill="1" applyBorder="1" applyAlignment="1">
      <alignment horizontal="right"/>
    </xf>
    <xf numFmtId="0" fontId="119" fillId="2" borderId="11" xfId="0" applyFont="1" applyFill="1" applyBorder="1" applyAlignment="1">
      <alignment horizontal="right"/>
    </xf>
    <xf numFmtId="0" fontId="118" fillId="2" borderId="11" xfId="0" applyFont="1" applyFill="1" applyBorder="1" applyAlignment="1">
      <alignment horizontal="left"/>
    </xf>
    <xf numFmtId="0" fontId="70" fillId="14" borderId="17" xfId="0" applyFont="1" applyFill="1" applyBorder="1" applyAlignment="1">
      <alignment horizontal="center" vertical="center" wrapText="1"/>
    </xf>
    <xf numFmtId="0" fontId="72" fillId="25" borderId="17" xfId="0" applyFont="1" applyFill="1" applyBorder="1"/>
    <xf numFmtId="0" fontId="72" fillId="25" borderId="41" xfId="0" applyFont="1" applyFill="1" applyBorder="1"/>
    <xf numFmtId="0" fontId="70" fillId="26" borderId="0" xfId="0" applyFont="1" applyFill="1" applyAlignment="1">
      <alignment horizontal="center"/>
    </xf>
    <xf numFmtId="0" fontId="0" fillId="0" borderId="0" xfId="0" applyFont="1" applyAlignment="1"/>
    <xf numFmtId="0" fontId="71" fillId="0" borderId="55" xfId="0" applyFont="1" applyBorder="1" applyAlignment="1">
      <alignment horizontal="center"/>
    </xf>
    <xf numFmtId="0" fontId="72" fillId="0" borderId="37" xfId="0" applyFont="1" applyBorder="1"/>
    <xf numFmtId="168" fontId="71" fillId="0" borderId="2" xfId="0" applyNumberFormat="1" applyFont="1" applyBorder="1" applyAlignment="1"/>
    <xf numFmtId="0" fontId="72" fillId="0" borderId="2" xfId="0" applyFont="1" applyBorder="1"/>
    <xf numFmtId="168" fontId="75" fillId="28" borderId="55" xfId="0" applyNumberFormat="1" applyFont="1" applyFill="1" applyBorder="1" applyAlignment="1">
      <alignment horizontal="center"/>
    </xf>
    <xf numFmtId="41" fontId="71" fillId="0" borderId="53" xfId="0" applyNumberFormat="1" applyFont="1" applyBorder="1" applyAlignment="1"/>
    <xf numFmtId="0" fontId="72" fillId="0" borderId="54" xfId="0" applyFont="1" applyBorder="1"/>
    <xf numFmtId="0" fontId="75" fillId="28" borderId="55" xfId="0" applyFont="1" applyFill="1" applyBorder="1" applyAlignment="1">
      <alignment horizontal="center"/>
    </xf>
    <xf numFmtId="0" fontId="0" fillId="0" borderId="65" xfId="0" pivotButton="1" applyFont="1" applyBorder="1" applyAlignment="1"/>
    <xf numFmtId="0" fontId="0" fillId="0" borderId="66" xfId="0" applyFont="1" applyBorder="1" applyAlignment="1"/>
    <xf numFmtId="0" fontId="0" fillId="0" borderId="67" xfId="0" applyFont="1" applyBorder="1" applyAlignment="1"/>
    <xf numFmtId="0" fontId="0" fillId="0" borderId="65" xfId="0" applyFont="1" applyBorder="1" applyAlignment="1"/>
    <xf numFmtId="0" fontId="0" fillId="0" borderId="68" xfId="0" applyFont="1" applyBorder="1" applyAlignment="1"/>
    <xf numFmtId="0" fontId="0" fillId="0" borderId="69" xfId="0" applyFont="1" applyBorder="1" applyAlignment="1"/>
    <xf numFmtId="0" fontId="0" fillId="0" borderId="65" xfId="0" applyNumberFormat="1" applyFont="1" applyBorder="1" applyAlignment="1"/>
    <xf numFmtId="0" fontId="0" fillId="0" borderId="68" xfId="0" applyNumberFormat="1" applyFont="1" applyBorder="1" applyAlignment="1"/>
    <xf numFmtId="0" fontId="0" fillId="0" borderId="69" xfId="0" applyNumberFormat="1" applyFont="1" applyBorder="1" applyAlignment="1"/>
    <xf numFmtId="0" fontId="0" fillId="0" borderId="70" xfId="0" applyFont="1" applyBorder="1" applyAlignment="1"/>
    <xf numFmtId="0" fontId="0" fillId="0" borderId="70" xfId="0" applyNumberFormat="1" applyFont="1" applyBorder="1" applyAlignment="1"/>
    <xf numFmtId="0" fontId="0" fillId="0" borderId="33" xfId="0" applyNumberFormat="1" applyFont="1" applyBorder="1" applyAlignment="1"/>
    <xf numFmtId="0" fontId="0" fillId="0" borderId="71" xfId="0" applyNumberFormat="1" applyFont="1" applyBorder="1" applyAlignment="1"/>
    <xf numFmtId="0" fontId="0" fillId="0" borderId="72" xfId="0" applyFont="1" applyBorder="1" applyAlignment="1"/>
    <xf numFmtId="0" fontId="0" fillId="0" borderId="72" xfId="0" applyNumberFormat="1" applyFont="1" applyBorder="1" applyAlignment="1"/>
    <xf numFmtId="0" fontId="0" fillId="0" borderId="73" xfId="0" applyNumberFormat="1" applyFont="1" applyBorder="1" applyAlignment="1"/>
    <xf numFmtId="0" fontId="0" fillId="0" borderId="74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47625</xdr:rowOff>
    </xdr:from>
    <xdr:ext cx="933450" cy="4476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2532</xdr:row>
      <xdr:rowOff>0</xdr:rowOff>
    </xdr:from>
    <xdr:ext cx="4600575" cy="230505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142875</xdr:colOff>
      <xdr:row>28</xdr:row>
      <xdr:rowOff>95250</xdr:rowOff>
    </xdr:from>
    <xdr:to>
      <xdr:col>11</xdr:col>
      <xdr:colOff>142875</xdr:colOff>
      <xdr:row>34</xdr:row>
      <xdr:rowOff>38100</xdr:rowOff>
    </xdr:to>
    <xdr:sp macro="" textlink="">
      <xdr:nvSpPr>
        <xdr:cNvPr id="3079" name="Text Box 7" hidden="1">
          <a:extLst>
            <a:ext uri="{FF2B5EF4-FFF2-40B4-BE49-F238E27FC236}">
              <a16:creationId xmlns:a16="http://schemas.microsoft.com/office/drawing/2014/main" id="{64CF545E-5AA1-4B94-96DE-DD2129C42613}"/>
            </a:ext>
          </a:extLst>
        </xdr:cNvPr>
        <xdr:cNvSpPr txBox="1">
          <a:spLocks noChangeArrowheads="1"/>
        </xdr:cNvSpPr>
      </xdr:nvSpPr>
      <xdr:spPr bwMode="auto">
        <a:xfrm>
          <a:off x="9686925" y="5362575"/>
          <a:ext cx="3848100" cy="1028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Lucas :: QUOKKA" id="{fa4bd874-78c1-473a-8bbf-760b2d13c2c6}" providerId="google-sheets"/>
</x18tc: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ucas Meireles" refreshedDate="46300.394661342594" refreshedVersion="7" recordCount="707" xr:uid="{00000000-000A-0000-FFFF-FFFF00000000}">
  <cacheSource type="worksheet">
    <worksheetSource ref="A1:C708" sheet="Página60"/>
  </cacheSource>
  <cacheFields count="3">
    <cacheField name="Mês da Emissão" numFmtId="0">
      <sharedItems count="2">
        <s v="Julho"/>
        <s v="Agosto"/>
      </sharedItems>
    </cacheField>
    <cacheField name="Pago ou Recebido" numFmtId="4">
      <sharedItems containsSemiMixedTypes="0" containsString="0" containsNumber="1" minValue="-8344.2199999999993" maxValue="16222.26"/>
    </cacheField>
    <cacheField name="Setor" numFmtId="0">
      <sharedItems count="14">
        <s v="Diretoria"/>
        <s v="Gestão de Pessoas"/>
        <s v="Financeiro Cash Out"/>
        <s v="FUNDO DE MARKETING"/>
        <s v="Financeiro CSC"/>
        <s v="DESPESAS GERAIS"/>
        <s v="Expansão"/>
        <s v="Gestão"/>
        <s v="Atendimento"/>
        <s v="Pós-Vendas"/>
        <s v="Marketing e Growth"/>
        <s v="Consultoria e Performance"/>
        <s v="TI"/>
        <s v="EVENTOS OFICIA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7">
  <r>
    <x v="0"/>
    <n v="150"/>
    <x v="0"/>
  </r>
  <r>
    <x v="0"/>
    <n v="3385.05"/>
    <x v="1"/>
  </r>
  <r>
    <x v="1"/>
    <n v="214.44"/>
    <x v="2"/>
  </r>
  <r>
    <x v="1"/>
    <n v="117.95"/>
    <x v="3"/>
  </r>
  <r>
    <x v="1"/>
    <n v="1845.2"/>
    <x v="2"/>
  </r>
  <r>
    <x v="0"/>
    <n v="38"/>
    <x v="4"/>
  </r>
  <r>
    <x v="0"/>
    <n v="1485.2"/>
    <x v="4"/>
  </r>
  <r>
    <x v="0"/>
    <n v="120"/>
    <x v="5"/>
  </r>
  <r>
    <x v="0"/>
    <n v="-8344.2199999999993"/>
    <x v="0"/>
  </r>
  <r>
    <x v="0"/>
    <n v="-6703.22"/>
    <x v="0"/>
  </r>
  <r>
    <x v="0"/>
    <n v="60.49"/>
    <x v="1"/>
  </r>
  <r>
    <x v="0"/>
    <n v="-1738"/>
    <x v="6"/>
  </r>
  <r>
    <x v="0"/>
    <n v="814.42"/>
    <x v="4"/>
  </r>
  <r>
    <x v="0"/>
    <n v="-0.01"/>
    <x v="0"/>
  </r>
  <r>
    <x v="0"/>
    <n v="93.1"/>
    <x v="4"/>
  </r>
  <r>
    <x v="0"/>
    <n v="1.99"/>
    <x v="4"/>
  </r>
  <r>
    <x v="0"/>
    <n v="427.34"/>
    <x v="1"/>
  </r>
  <r>
    <x v="1"/>
    <n v="252.82"/>
    <x v="1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205.11"/>
    <x v="1"/>
  </r>
  <r>
    <x v="0"/>
    <n v="0.5"/>
    <x v="4"/>
  </r>
  <r>
    <x v="0"/>
    <n v="0.5"/>
    <x v="4"/>
  </r>
  <r>
    <x v="0"/>
    <n v="0.5"/>
    <x v="4"/>
  </r>
  <r>
    <x v="0"/>
    <n v="162.54"/>
    <x v="1"/>
  </r>
  <r>
    <x v="0"/>
    <n v="36.590000000000003"/>
    <x v="1"/>
  </r>
  <r>
    <x v="0"/>
    <n v="100"/>
    <x v="1"/>
  </r>
  <r>
    <x v="0"/>
    <n v="700"/>
    <x v="7"/>
  </r>
  <r>
    <x v="0"/>
    <n v="11.98"/>
    <x v="4"/>
  </r>
  <r>
    <x v="0"/>
    <n v="11.98"/>
    <x v="2"/>
  </r>
  <r>
    <x v="0"/>
    <n v="1051.8599999999999"/>
    <x v="1"/>
  </r>
  <r>
    <x v="0"/>
    <n v="896.19"/>
    <x v="1"/>
  </r>
  <r>
    <x v="0"/>
    <n v="50"/>
    <x v="1"/>
  </r>
  <r>
    <x v="0"/>
    <n v="50"/>
    <x v="1"/>
  </r>
  <r>
    <x v="0"/>
    <n v="120"/>
    <x v="1"/>
  </r>
  <r>
    <x v="0"/>
    <n v="70"/>
    <x v="4"/>
  </r>
  <r>
    <x v="0"/>
    <n v="200"/>
    <x v="8"/>
  </r>
  <r>
    <x v="0"/>
    <n v="39.85"/>
    <x v="1"/>
  </r>
  <r>
    <x v="0"/>
    <n v="24.93"/>
    <x v="1"/>
  </r>
  <r>
    <x v="0"/>
    <n v="200"/>
    <x v="1"/>
  </r>
  <r>
    <x v="0"/>
    <n v="15"/>
    <x v="1"/>
  </r>
  <r>
    <x v="0"/>
    <n v="13.5"/>
    <x v="1"/>
  </r>
  <r>
    <x v="0"/>
    <n v="118.53"/>
    <x v="1"/>
  </r>
  <r>
    <x v="0"/>
    <n v="19.98"/>
    <x v="4"/>
  </r>
  <r>
    <x v="0"/>
    <n v="135.91999999999999"/>
    <x v="1"/>
  </r>
  <r>
    <x v="0"/>
    <n v="184"/>
    <x v="0"/>
  </r>
  <r>
    <x v="0"/>
    <n v="1032.7"/>
    <x v="1"/>
  </r>
  <r>
    <x v="0"/>
    <n v="373.1"/>
    <x v="1"/>
  </r>
  <r>
    <x v="0"/>
    <n v="1621"/>
    <x v="0"/>
  </r>
  <r>
    <x v="0"/>
    <n v="5664.66"/>
    <x v="0"/>
  </r>
  <r>
    <x v="0"/>
    <n v="276.68"/>
    <x v="0"/>
  </r>
  <r>
    <x v="0"/>
    <n v="16000"/>
    <x v="0"/>
  </r>
  <r>
    <x v="0"/>
    <n v="2000"/>
    <x v="0"/>
  </r>
  <r>
    <x v="0"/>
    <n v="400"/>
    <x v="0"/>
  </r>
  <r>
    <x v="0"/>
    <n v="694"/>
    <x v="0"/>
  </r>
  <r>
    <x v="0"/>
    <n v="168"/>
    <x v="5"/>
  </r>
  <r>
    <x v="0"/>
    <n v="27.65"/>
    <x v="0"/>
  </r>
  <r>
    <x v="0"/>
    <n v="26.5"/>
    <x v="3"/>
  </r>
  <r>
    <x v="0"/>
    <n v="587.77"/>
    <x v="0"/>
  </r>
  <r>
    <x v="0"/>
    <n v="5000"/>
    <x v="6"/>
  </r>
  <r>
    <x v="0"/>
    <n v="394"/>
    <x v="7"/>
  </r>
  <r>
    <x v="0"/>
    <n v="92.65"/>
    <x v="1"/>
  </r>
  <r>
    <x v="0"/>
    <n v="600"/>
    <x v="9"/>
  </r>
  <r>
    <x v="0"/>
    <n v="119"/>
    <x v="1"/>
  </r>
  <r>
    <x v="0"/>
    <n v="1028.1600000000001"/>
    <x v="4"/>
  </r>
  <r>
    <x v="0"/>
    <n v="146.88"/>
    <x v="4"/>
  </r>
  <r>
    <x v="0"/>
    <n v="2647.76"/>
    <x v="4"/>
  </r>
  <r>
    <x v="0"/>
    <n v="2144.65"/>
    <x v="4"/>
  </r>
  <r>
    <x v="0"/>
    <n v="800"/>
    <x v="4"/>
  </r>
  <r>
    <x v="0"/>
    <n v="130"/>
    <x v="4"/>
  </r>
  <r>
    <x v="0"/>
    <n v="6750"/>
    <x v="10"/>
  </r>
  <r>
    <x v="0"/>
    <n v="1250"/>
    <x v="4"/>
  </r>
  <r>
    <x v="0"/>
    <n v="1000"/>
    <x v="11"/>
  </r>
  <r>
    <x v="0"/>
    <n v="500"/>
    <x v="11"/>
  </r>
  <r>
    <x v="0"/>
    <n v="250"/>
    <x v="9"/>
  </r>
  <r>
    <x v="0"/>
    <n v="400"/>
    <x v="9"/>
  </r>
  <r>
    <x v="0"/>
    <n v="100"/>
    <x v="11"/>
  </r>
  <r>
    <x v="0"/>
    <n v="1000"/>
    <x v="9"/>
  </r>
  <r>
    <x v="0"/>
    <n v="250"/>
    <x v="11"/>
  </r>
  <r>
    <x v="0"/>
    <n v="124.7"/>
    <x v="0"/>
  </r>
  <r>
    <x v="0"/>
    <n v="254"/>
    <x v="1"/>
  </r>
  <r>
    <x v="0"/>
    <n v="1011"/>
    <x v="1"/>
  </r>
  <r>
    <x v="0"/>
    <n v="2517.6"/>
    <x v="5"/>
  </r>
  <r>
    <x v="0"/>
    <n v="574.9"/>
    <x v="0"/>
  </r>
  <r>
    <x v="0"/>
    <n v="371.6"/>
    <x v="5"/>
  </r>
  <r>
    <x v="0"/>
    <n v="31"/>
    <x v="4"/>
  </r>
  <r>
    <x v="0"/>
    <n v="529.35"/>
    <x v="4"/>
  </r>
  <r>
    <x v="0"/>
    <n v="121.06"/>
    <x v="1"/>
  </r>
  <r>
    <x v="0"/>
    <n v="57.8"/>
    <x v="4"/>
  </r>
  <r>
    <x v="0"/>
    <n v="25.61"/>
    <x v="4"/>
  </r>
  <r>
    <x v="0"/>
    <n v="4.5999999999999996"/>
    <x v="4"/>
  </r>
  <r>
    <x v="0"/>
    <n v="96.58"/>
    <x v="5"/>
  </r>
  <r>
    <x v="0"/>
    <n v="520"/>
    <x v="12"/>
  </r>
  <r>
    <x v="0"/>
    <n v="215.58"/>
    <x v="10"/>
  </r>
  <r>
    <x v="0"/>
    <n v="94.5"/>
    <x v="5"/>
  </r>
  <r>
    <x v="0"/>
    <n v="659"/>
    <x v="12"/>
  </r>
  <r>
    <x v="0"/>
    <n v="180.9"/>
    <x v="5"/>
  </r>
  <r>
    <x v="0"/>
    <n v="126"/>
    <x v="5"/>
  </r>
  <r>
    <x v="0"/>
    <n v="200"/>
    <x v="1"/>
  </r>
  <r>
    <x v="0"/>
    <n v="5500"/>
    <x v="0"/>
  </r>
  <r>
    <x v="0"/>
    <n v="683.99"/>
    <x v="6"/>
  </r>
  <r>
    <x v="0"/>
    <n v="1593.15"/>
    <x v="9"/>
  </r>
  <r>
    <x v="0"/>
    <n v="584.28"/>
    <x v="1"/>
  </r>
  <r>
    <x v="0"/>
    <n v="120.9"/>
    <x v="10"/>
  </r>
  <r>
    <x v="0"/>
    <n v="638.48"/>
    <x v="10"/>
  </r>
  <r>
    <x v="0"/>
    <n v="454.08"/>
    <x v="10"/>
  </r>
  <r>
    <x v="0"/>
    <n v="100"/>
    <x v="6"/>
  </r>
  <r>
    <x v="0"/>
    <n v="90"/>
    <x v="6"/>
  </r>
  <r>
    <x v="0"/>
    <n v="119.5"/>
    <x v="6"/>
  </r>
  <r>
    <x v="0"/>
    <n v="45.93"/>
    <x v="6"/>
  </r>
  <r>
    <x v="0"/>
    <n v="0"/>
    <x v="10"/>
  </r>
  <r>
    <x v="0"/>
    <n v="56.42"/>
    <x v="6"/>
  </r>
  <r>
    <x v="0"/>
    <n v="35.67"/>
    <x v="6"/>
  </r>
  <r>
    <x v="0"/>
    <n v="32"/>
    <x v="5"/>
  </r>
  <r>
    <x v="0"/>
    <n v="62.65"/>
    <x v="5"/>
  </r>
  <r>
    <x v="0"/>
    <n v="87.22"/>
    <x v="5"/>
  </r>
  <r>
    <x v="0"/>
    <n v="1514"/>
    <x v="5"/>
  </r>
  <r>
    <x v="0"/>
    <n v="682.5"/>
    <x v="5"/>
  </r>
  <r>
    <x v="0"/>
    <n v="189"/>
    <x v="5"/>
  </r>
  <r>
    <x v="0"/>
    <n v="200"/>
    <x v="5"/>
  </r>
  <r>
    <x v="0"/>
    <n v="89.9"/>
    <x v="5"/>
  </r>
  <r>
    <x v="0"/>
    <n v="89.9"/>
    <x v="5"/>
  </r>
  <r>
    <x v="0"/>
    <n v="295.47000000000003"/>
    <x v="1"/>
  </r>
  <r>
    <x v="0"/>
    <n v="120"/>
    <x v="5"/>
  </r>
  <r>
    <x v="0"/>
    <n v="120"/>
    <x v="5"/>
  </r>
  <r>
    <x v="0"/>
    <n v="120"/>
    <x v="5"/>
  </r>
  <r>
    <x v="0"/>
    <n v="120"/>
    <x v="5"/>
  </r>
  <r>
    <x v="0"/>
    <n v="120"/>
    <x v="5"/>
  </r>
  <r>
    <x v="0"/>
    <n v="120"/>
    <x v="5"/>
  </r>
  <r>
    <x v="0"/>
    <n v="120"/>
    <x v="5"/>
  </r>
  <r>
    <x v="0"/>
    <n v="120"/>
    <x v="5"/>
  </r>
  <r>
    <x v="0"/>
    <n v="120"/>
    <x v="5"/>
  </r>
  <r>
    <x v="0"/>
    <n v="120"/>
    <x v="5"/>
  </r>
  <r>
    <x v="0"/>
    <n v="120"/>
    <x v="5"/>
  </r>
  <r>
    <x v="0"/>
    <n v="-44.22"/>
    <x v="1"/>
  </r>
  <r>
    <x v="0"/>
    <n v="-110.55"/>
    <x v="1"/>
  </r>
  <r>
    <x v="0"/>
    <n v="-7.37"/>
    <x v="1"/>
  </r>
  <r>
    <x v="0"/>
    <n v="-66.33"/>
    <x v="1"/>
  </r>
  <r>
    <x v="0"/>
    <n v="-22.11"/>
    <x v="1"/>
  </r>
  <r>
    <x v="0"/>
    <n v="-22.11"/>
    <x v="1"/>
  </r>
  <r>
    <x v="0"/>
    <n v="-101.59"/>
    <x v="1"/>
  </r>
  <r>
    <x v="0"/>
    <n v="-14.74"/>
    <x v="1"/>
  </r>
  <r>
    <x v="0"/>
    <n v="-64.739999999999995"/>
    <x v="1"/>
  </r>
  <r>
    <x v="0"/>
    <n v="-94.22"/>
    <x v="1"/>
  </r>
  <r>
    <x v="0"/>
    <n v="-22.11"/>
    <x v="1"/>
  </r>
  <r>
    <x v="0"/>
    <n v="-44.22"/>
    <x v="1"/>
  </r>
  <r>
    <x v="0"/>
    <n v="-14.74"/>
    <x v="1"/>
  </r>
  <r>
    <x v="0"/>
    <n v="-66.33"/>
    <x v="1"/>
  </r>
  <r>
    <x v="0"/>
    <n v="-22.11"/>
    <x v="1"/>
  </r>
  <r>
    <x v="0"/>
    <n v="-22.11"/>
    <x v="1"/>
  </r>
  <r>
    <x v="0"/>
    <n v="-117.92"/>
    <x v="1"/>
  </r>
  <r>
    <x v="0"/>
    <n v="-44.22"/>
    <x v="1"/>
  </r>
  <r>
    <x v="0"/>
    <n v="-36.85"/>
    <x v="1"/>
  </r>
  <r>
    <x v="0"/>
    <n v="-36.85"/>
    <x v="1"/>
  </r>
  <r>
    <x v="0"/>
    <n v="-7.37"/>
    <x v="1"/>
  </r>
  <r>
    <x v="0"/>
    <n v="-22.11"/>
    <x v="1"/>
  </r>
  <r>
    <x v="0"/>
    <n v="-66.33"/>
    <x v="1"/>
  </r>
  <r>
    <x v="0"/>
    <n v="-110.55"/>
    <x v="1"/>
  </r>
  <r>
    <x v="0"/>
    <n v="-140.03"/>
    <x v="1"/>
  </r>
  <r>
    <x v="0"/>
    <n v="-58.96"/>
    <x v="1"/>
  </r>
  <r>
    <x v="0"/>
    <n v="-36.85"/>
    <x v="1"/>
  </r>
  <r>
    <x v="0"/>
    <n v="-22.11"/>
    <x v="1"/>
  </r>
  <r>
    <x v="0"/>
    <n v="-29.48"/>
    <x v="1"/>
  </r>
  <r>
    <x v="0"/>
    <n v="-44.22"/>
    <x v="1"/>
  </r>
  <r>
    <x v="0"/>
    <n v="-129.47999999999999"/>
    <x v="1"/>
  </r>
  <r>
    <x v="0"/>
    <n v="-29.48"/>
    <x v="1"/>
  </r>
  <r>
    <x v="0"/>
    <n v="-108.96"/>
    <x v="1"/>
  </r>
  <r>
    <x v="0"/>
    <n v="-136.85"/>
    <x v="1"/>
  </r>
  <r>
    <x v="0"/>
    <n v="-51.59"/>
    <x v="1"/>
  </r>
  <r>
    <x v="0"/>
    <n v="-44.22"/>
    <x v="1"/>
  </r>
  <r>
    <x v="0"/>
    <n v="-7.37"/>
    <x v="1"/>
  </r>
  <r>
    <x v="0"/>
    <n v="-22.11"/>
    <x v="1"/>
  </r>
  <r>
    <x v="0"/>
    <n v="-44.22"/>
    <x v="1"/>
  </r>
  <r>
    <x v="0"/>
    <n v="-36.85"/>
    <x v="1"/>
  </r>
  <r>
    <x v="0"/>
    <n v="-88.44"/>
    <x v="1"/>
  </r>
  <r>
    <x v="0"/>
    <n v="-176.88"/>
    <x v="1"/>
  </r>
  <r>
    <x v="0"/>
    <n v="328.25"/>
    <x v="1"/>
  </r>
  <r>
    <x v="0"/>
    <n v="112.99"/>
    <x v="1"/>
  </r>
  <r>
    <x v="0"/>
    <n v="0"/>
    <x v="0"/>
  </r>
  <r>
    <x v="0"/>
    <n v="0"/>
    <x v="0"/>
  </r>
  <r>
    <x v="0"/>
    <n v="0"/>
    <x v="0"/>
  </r>
  <r>
    <x v="0"/>
    <n v="237"/>
    <x v="4"/>
  </r>
  <r>
    <x v="0"/>
    <n v="0"/>
    <x v="0"/>
  </r>
  <r>
    <x v="0"/>
    <n v="0"/>
    <x v="0"/>
  </r>
  <r>
    <x v="0"/>
    <n v="0"/>
    <x v="0"/>
  </r>
  <r>
    <x v="1"/>
    <n v="2232"/>
    <x v="1"/>
  </r>
  <r>
    <x v="1"/>
    <n v="1926"/>
    <x v="1"/>
  </r>
  <r>
    <x v="1"/>
    <n v="2736"/>
    <x v="1"/>
  </r>
  <r>
    <x v="1"/>
    <n v="2070"/>
    <x v="1"/>
  </r>
  <r>
    <x v="1"/>
    <n v="2070"/>
    <x v="1"/>
  </r>
  <r>
    <x v="1"/>
    <n v="1521"/>
    <x v="1"/>
  </r>
  <r>
    <x v="1"/>
    <n v="1385.8"/>
    <x v="1"/>
  </r>
  <r>
    <x v="1"/>
    <n v="997.1"/>
    <x v="1"/>
  </r>
  <r>
    <x v="1"/>
    <n v="2771.6"/>
    <x v="1"/>
  </r>
  <r>
    <x v="0"/>
    <n v="-4025"/>
    <x v="0"/>
  </r>
  <r>
    <x v="0"/>
    <n v="-1346.39"/>
    <x v="0"/>
  </r>
  <r>
    <x v="0"/>
    <n v="-927.9"/>
    <x v="0"/>
  </r>
  <r>
    <x v="0"/>
    <n v="-274.41000000000003"/>
    <x v="0"/>
  </r>
  <r>
    <x v="0"/>
    <n v="-169.78"/>
    <x v="0"/>
  </r>
  <r>
    <x v="0"/>
    <n v="-12.97"/>
    <x v="0"/>
  </r>
  <r>
    <x v="0"/>
    <n v="-3.67"/>
    <x v="0"/>
  </r>
  <r>
    <x v="0"/>
    <n v="-1.53"/>
    <x v="0"/>
  </r>
  <r>
    <x v="0"/>
    <n v="-0.02"/>
    <x v="0"/>
  </r>
  <r>
    <x v="0"/>
    <n v="0.16"/>
    <x v="0"/>
  </r>
  <r>
    <x v="0"/>
    <n v="0.38"/>
    <x v="0"/>
  </r>
  <r>
    <x v="0"/>
    <n v="2.21"/>
    <x v="0"/>
  </r>
  <r>
    <x v="0"/>
    <n v="45.44"/>
    <x v="0"/>
  </r>
  <r>
    <x v="0"/>
    <n v="48.73"/>
    <x v="0"/>
  </r>
  <r>
    <x v="0"/>
    <n v="511.71"/>
    <x v="0"/>
  </r>
  <r>
    <x v="0"/>
    <n v="905"/>
    <x v="0"/>
  </r>
  <r>
    <x v="0"/>
    <n v="243.76"/>
    <x v="8"/>
  </r>
  <r>
    <x v="0"/>
    <n v="62.4"/>
    <x v="4"/>
  </r>
  <r>
    <x v="0"/>
    <n v="1156.1099999999999"/>
    <x v="12"/>
  </r>
  <r>
    <x v="0"/>
    <n v="1069.6099999999999"/>
    <x v="12"/>
  </r>
  <r>
    <x v="0"/>
    <n v="802.43"/>
    <x v="12"/>
  </r>
  <r>
    <x v="1"/>
    <n v="40.72"/>
    <x v="4"/>
  </r>
  <r>
    <x v="0"/>
    <n v="3.42"/>
    <x v="12"/>
  </r>
  <r>
    <x v="0"/>
    <n v="564.35"/>
    <x v="12"/>
  </r>
  <r>
    <x v="0"/>
    <n v="238.08"/>
    <x v="12"/>
  </r>
  <r>
    <x v="0"/>
    <n v="1400"/>
    <x v="1"/>
  </r>
  <r>
    <x v="0"/>
    <n v="181"/>
    <x v="12"/>
  </r>
  <r>
    <x v="0"/>
    <n v="112.43"/>
    <x v="0"/>
  </r>
  <r>
    <x v="0"/>
    <n v="238.14"/>
    <x v="1"/>
  </r>
  <r>
    <x v="0"/>
    <n v="234.9"/>
    <x v="10"/>
  </r>
  <r>
    <x v="1"/>
    <n v="246.39"/>
    <x v="1"/>
  </r>
  <r>
    <x v="0"/>
    <n v="24.15"/>
    <x v="7"/>
  </r>
  <r>
    <x v="0"/>
    <n v="19.899999999999999"/>
    <x v="1"/>
  </r>
  <r>
    <x v="0"/>
    <n v="60.25"/>
    <x v="0"/>
  </r>
  <r>
    <x v="1"/>
    <n v="19.899999999999999"/>
    <x v="1"/>
  </r>
  <r>
    <x v="1"/>
    <n v="550.13"/>
    <x v="12"/>
  </r>
  <r>
    <x v="0"/>
    <n v="188.33"/>
    <x v="6"/>
  </r>
  <r>
    <x v="0"/>
    <n v="1505"/>
    <x v="7"/>
  </r>
  <r>
    <x v="0"/>
    <n v="68.260000000000005"/>
    <x v="4"/>
  </r>
  <r>
    <x v="0"/>
    <n v="183.75"/>
    <x v="8"/>
  </r>
  <r>
    <x v="1"/>
    <n v="148.72999999999999"/>
    <x v="4"/>
  </r>
  <r>
    <x v="0"/>
    <n v="588.5"/>
    <x v="12"/>
  </r>
  <r>
    <x v="0"/>
    <n v="0"/>
    <x v="8"/>
  </r>
  <r>
    <x v="0"/>
    <n v="1909.66"/>
    <x v="8"/>
  </r>
  <r>
    <x v="0"/>
    <n v="119.9"/>
    <x v="0"/>
  </r>
  <r>
    <x v="1"/>
    <n v="569.25"/>
    <x v="0"/>
  </r>
  <r>
    <x v="1"/>
    <n v="569.25"/>
    <x v="12"/>
  </r>
  <r>
    <x v="1"/>
    <n v="569.25"/>
    <x v="7"/>
  </r>
  <r>
    <x v="1"/>
    <n v="262.45999999999998"/>
    <x v="0"/>
  </r>
  <r>
    <x v="1"/>
    <n v="153.58000000000001"/>
    <x v="9"/>
  </r>
  <r>
    <x v="1"/>
    <n v="60"/>
    <x v="8"/>
  </r>
  <r>
    <x v="0"/>
    <n v="40"/>
    <x v="12"/>
  </r>
  <r>
    <x v="0"/>
    <n v="58.47"/>
    <x v="0"/>
  </r>
  <r>
    <x v="0"/>
    <n v="1593.15"/>
    <x v="9"/>
  </r>
  <r>
    <x v="0"/>
    <n v="399.99"/>
    <x v="1"/>
  </r>
  <r>
    <x v="0"/>
    <n v="214.46"/>
    <x v="7"/>
  </r>
  <r>
    <x v="0"/>
    <n v="208.75"/>
    <x v="8"/>
  </r>
  <r>
    <x v="0"/>
    <n v="13.54"/>
    <x v="13"/>
  </r>
  <r>
    <x v="1"/>
    <n v="368.59"/>
    <x v="8"/>
  </r>
  <r>
    <x v="0"/>
    <n v="295"/>
    <x v="4"/>
  </r>
  <r>
    <x v="0"/>
    <n v="190"/>
    <x v="4"/>
  </r>
  <r>
    <x v="0"/>
    <n v="141.97"/>
    <x v="0"/>
  </r>
  <r>
    <x v="0"/>
    <n v="450"/>
    <x v="10"/>
  </r>
  <r>
    <x v="0"/>
    <n v="3219.53"/>
    <x v="1"/>
  </r>
  <r>
    <x v="0"/>
    <n v="95.13"/>
    <x v="3"/>
  </r>
  <r>
    <x v="1"/>
    <n v="1391.04"/>
    <x v="2"/>
  </r>
  <r>
    <x v="0"/>
    <n v="2744.93"/>
    <x v="11"/>
  </r>
  <r>
    <x v="1"/>
    <n v="37.869999999999997"/>
    <x v="9"/>
  </r>
  <r>
    <x v="0"/>
    <n v="35.9"/>
    <x v="6"/>
  </r>
  <r>
    <x v="1"/>
    <n v="273.31"/>
    <x v="9"/>
  </r>
  <r>
    <x v="0"/>
    <n v="27.49"/>
    <x v="0"/>
  </r>
  <r>
    <x v="0"/>
    <n v="237"/>
    <x v="4"/>
  </r>
  <r>
    <x v="0"/>
    <n v="159.19999999999999"/>
    <x v="4"/>
  </r>
  <r>
    <x v="0"/>
    <n v="69.819999999999993"/>
    <x v="4"/>
  </r>
  <r>
    <x v="0"/>
    <n v="40.44"/>
    <x v="4"/>
  </r>
  <r>
    <x v="0"/>
    <n v="40"/>
    <x v="4"/>
  </r>
  <r>
    <x v="0"/>
    <n v="40"/>
    <x v="4"/>
  </r>
  <r>
    <x v="0"/>
    <n v="18"/>
    <x v="4"/>
  </r>
  <r>
    <x v="0"/>
    <n v="10"/>
    <x v="4"/>
  </r>
  <r>
    <x v="0"/>
    <n v="10"/>
    <x v="4"/>
  </r>
  <r>
    <x v="0"/>
    <n v="10"/>
    <x v="4"/>
  </r>
  <r>
    <x v="0"/>
    <n v="10"/>
    <x v="4"/>
  </r>
  <r>
    <x v="0"/>
    <n v="10"/>
    <x v="4"/>
  </r>
  <r>
    <x v="0"/>
    <n v="10"/>
    <x v="4"/>
  </r>
  <r>
    <x v="0"/>
    <n v="3.5"/>
    <x v="4"/>
  </r>
  <r>
    <x v="0"/>
    <n v="3.5"/>
    <x v="4"/>
  </r>
  <r>
    <x v="0"/>
    <n v="3.37"/>
    <x v="4"/>
  </r>
  <r>
    <x v="0"/>
    <n v="2.72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1.99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0.5"/>
    <x v="4"/>
  </r>
  <r>
    <x v="0"/>
    <n v="23"/>
    <x v="5"/>
  </r>
  <r>
    <x v="0"/>
    <n v="139.9"/>
    <x v="5"/>
  </r>
  <r>
    <x v="0"/>
    <n v="187.61"/>
    <x v="5"/>
  </r>
  <r>
    <x v="0"/>
    <n v="209.94"/>
    <x v="5"/>
  </r>
  <r>
    <x v="0"/>
    <n v="30"/>
    <x v="5"/>
  </r>
  <r>
    <x v="0"/>
    <n v="581.05999999999995"/>
    <x v="5"/>
  </r>
  <r>
    <x v="1"/>
    <n v="896.19"/>
    <x v="1"/>
  </r>
  <r>
    <x v="1"/>
    <n v="80.95"/>
    <x v="4"/>
  </r>
  <r>
    <x v="1"/>
    <n v="20"/>
    <x v="1"/>
  </r>
  <r>
    <x v="1"/>
    <n v="50"/>
    <x v="1"/>
  </r>
  <r>
    <x v="1"/>
    <n v="9"/>
    <x v="4"/>
  </r>
  <r>
    <x v="1"/>
    <n v="50"/>
    <x v="1"/>
  </r>
  <r>
    <x v="1"/>
    <n v="200"/>
    <x v="8"/>
  </r>
  <r>
    <x v="1"/>
    <n v="103.5"/>
    <x v="1"/>
  </r>
  <r>
    <x v="1"/>
    <n v="819.85"/>
    <x v="1"/>
  </r>
  <r>
    <x v="1"/>
    <n v="87.01"/>
    <x v="1"/>
  </r>
  <r>
    <x v="1"/>
    <n v="1621"/>
    <x v="0"/>
  </r>
  <r>
    <x v="1"/>
    <n v="5664.66"/>
    <x v="0"/>
  </r>
  <r>
    <x v="1"/>
    <n v="276.68"/>
    <x v="0"/>
  </r>
  <r>
    <x v="1"/>
    <n v="16000"/>
    <x v="0"/>
  </r>
  <r>
    <x v="1"/>
    <n v="40"/>
    <x v="1"/>
  </r>
  <r>
    <x v="1"/>
    <n v="2000"/>
    <x v="0"/>
  </r>
  <r>
    <x v="1"/>
    <n v="400"/>
    <x v="0"/>
  </r>
  <r>
    <x v="1"/>
    <n v="694"/>
    <x v="0"/>
  </r>
  <r>
    <x v="1"/>
    <n v="222.6"/>
    <x v="5"/>
  </r>
  <r>
    <x v="1"/>
    <n v="27.65"/>
    <x v="5"/>
  </r>
  <r>
    <x v="1"/>
    <n v="26.5"/>
    <x v="3"/>
  </r>
  <r>
    <x v="1"/>
    <n v="587.77"/>
    <x v="0"/>
  </r>
  <r>
    <x v="1"/>
    <n v="394"/>
    <x v="7"/>
  </r>
  <r>
    <x v="1"/>
    <n v="91.5"/>
    <x v="1"/>
  </r>
  <r>
    <x v="1"/>
    <n v="119"/>
    <x v="1"/>
  </r>
  <r>
    <x v="1"/>
    <n v="136.62"/>
    <x v="4"/>
  </r>
  <r>
    <x v="1"/>
    <n v="1175.04"/>
    <x v="4"/>
  </r>
  <r>
    <x v="1"/>
    <n v="2647.76"/>
    <x v="4"/>
  </r>
  <r>
    <x v="1"/>
    <n v="800"/>
    <x v="4"/>
  </r>
  <r>
    <x v="1"/>
    <n v="2144.65"/>
    <x v="4"/>
  </r>
  <r>
    <x v="1"/>
    <n v="130"/>
    <x v="4"/>
  </r>
  <r>
    <x v="1"/>
    <n v="2200"/>
    <x v="4"/>
  </r>
  <r>
    <x v="1"/>
    <n v="0.99"/>
    <x v="4"/>
  </r>
  <r>
    <x v="1"/>
    <n v="0.99"/>
    <x v="4"/>
  </r>
  <r>
    <x v="1"/>
    <n v="6750"/>
    <x v="10"/>
  </r>
  <r>
    <x v="1"/>
    <n v="450"/>
    <x v="4"/>
  </r>
  <r>
    <x v="1"/>
    <n v="1000"/>
    <x v="11"/>
  </r>
  <r>
    <x v="1"/>
    <n v="3250"/>
    <x v="10"/>
  </r>
  <r>
    <x v="1"/>
    <n v="800"/>
    <x v="0"/>
  </r>
  <r>
    <x v="1"/>
    <n v="-489"/>
    <x v="1"/>
  </r>
  <r>
    <x v="1"/>
    <n v="124.7"/>
    <x v="0"/>
  </r>
  <r>
    <x v="1"/>
    <n v="2177.1"/>
    <x v="5"/>
  </r>
  <r>
    <x v="0"/>
    <n v="574.9"/>
    <x v="1"/>
  </r>
  <r>
    <x v="1"/>
    <n v="574.9"/>
    <x v="1"/>
  </r>
  <r>
    <x v="1"/>
    <n v="509.9"/>
    <x v="0"/>
  </r>
  <r>
    <x v="1"/>
    <n v="348.39"/>
    <x v="5"/>
  </r>
  <r>
    <x v="1"/>
    <n v="3"/>
    <x v="4"/>
  </r>
  <r>
    <x v="1"/>
    <n v="3"/>
    <x v="4"/>
  </r>
  <r>
    <x v="1"/>
    <n v="31"/>
    <x v="4"/>
  </r>
  <r>
    <x v="1"/>
    <n v="41"/>
    <x v="4"/>
  </r>
  <r>
    <x v="1"/>
    <n v="529.35"/>
    <x v="4"/>
  </r>
  <r>
    <x v="1"/>
    <n v="121.06"/>
    <x v="1"/>
  </r>
  <r>
    <x v="1"/>
    <n v="116.2"/>
    <x v="5"/>
  </r>
  <r>
    <x v="1"/>
    <n v="500"/>
    <x v="5"/>
  </r>
  <r>
    <x v="1"/>
    <n v="126"/>
    <x v="5"/>
  </r>
  <r>
    <x v="1"/>
    <n v="397"/>
    <x v="5"/>
  </r>
  <r>
    <x v="1"/>
    <n v="80"/>
    <x v="1"/>
  </r>
  <r>
    <x v="1"/>
    <n v="3919.6"/>
    <x v="10"/>
  </r>
  <r>
    <x v="1"/>
    <n v="705.46"/>
    <x v="6"/>
  </r>
  <r>
    <x v="1"/>
    <n v="683.99"/>
    <x v="6"/>
  </r>
  <r>
    <x v="1"/>
    <n v="584.28"/>
    <x v="1"/>
  </r>
  <r>
    <x v="1"/>
    <n v="29.9"/>
    <x v="3"/>
  </r>
  <r>
    <x v="1"/>
    <n v="120.9"/>
    <x v="10"/>
  </r>
  <r>
    <x v="1"/>
    <n v="454.08"/>
    <x v="3"/>
  </r>
  <r>
    <x v="1"/>
    <n v="100"/>
    <x v="6"/>
  </r>
  <r>
    <x v="1"/>
    <n v="1220"/>
    <x v="5"/>
  </r>
  <r>
    <x v="1"/>
    <n v="650"/>
    <x v="5"/>
  </r>
  <r>
    <x v="1"/>
    <n v="613.4"/>
    <x v="5"/>
  </r>
  <r>
    <x v="1"/>
    <n v="538"/>
    <x v="5"/>
  </r>
  <r>
    <x v="1"/>
    <n v="292.76"/>
    <x v="5"/>
  </r>
  <r>
    <x v="1"/>
    <n v="200"/>
    <x v="5"/>
  </r>
  <r>
    <x v="1"/>
    <n v="159.94999999999999"/>
    <x v="5"/>
  </r>
  <r>
    <x v="1"/>
    <n v="138.96"/>
    <x v="5"/>
  </r>
  <r>
    <x v="1"/>
    <n v="92.55"/>
    <x v="5"/>
  </r>
  <r>
    <x v="1"/>
    <n v="68"/>
    <x v="5"/>
  </r>
  <r>
    <x v="1"/>
    <n v="58.99"/>
    <x v="5"/>
  </r>
  <r>
    <x v="1"/>
    <n v="37.9"/>
    <x v="5"/>
  </r>
  <r>
    <x v="1"/>
    <n v="29.99"/>
    <x v="5"/>
  </r>
  <r>
    <x v="1"/>
    <n v="29.99"/>
    <x v="5"/>
  </r>
  <r>
    <x v="1"/>
    <n v="28"/>
    <x v="5"/>
  </r>
  <r>
    <x v="1"/>
    <n v="23.9"/>
    <x v="5"/>
  </r>
  <r>
    <x v="1"/>
    <n v="23.78"/>
    <x v="5"/>
  </r>
  <r>
    <x v="1"/>
    <n v="20.93"/>
    <x v="5"/>
  </r>
  <r>
    <x v="1"/>
    <n v="19.95"/>
    <x v="5"/>
  </r>
  <r>
    <x v="1"/>
    <n v="220"/>
    <x v="0"/>
  </r>
  <r>
    <x v="1"/>
    <n v="64.59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120"/>
    <x v="5"/>
  </r>
  <r>
    <x v="1"/>
    <n v="-44.22"/>
    <x v="1"/>
  </r>
  <r>
    <x v="1"/>
    <n v="-103.18"/>
    <x v="1"/>
  </r>
  <r>
    <x v="1"/>
    <n v="-7.54"/>
    <x v="1"/>
  </r>
  <r>
    <x v="1"/>
    <n v="-73.7"/>
    <x v="1"/>
  </r>
  <r>
    <x v="1"/>
    <n v="-72.11"/>
    <x v="1"/>
  </r>
  <r>
    <x v="1"/>
    <n v="-22.11"/>
    <x v="1"/>
  </r>
  <r>
    <x v="1"/>
    <n v="-51.59"/>
    <x v="1"/>
  </r>
  <r>
    <x v="1"/>
    <n v="-14.74"/>
    <x v="1"/>
  </r>
  <r>
    <x v="1"/>
    <n v="-7.37"/>
    <x v="1"/>
  </r>
  <r>
    <x v="1"/>
    <n v="-45.24"/>
    <x v="1"/>
  </r>
  <r>
    <x v="1"/>
    <n v="-22.56"/>
    <x v="1"/>
  </r>
  <r>
    <x v="1"/>
    <n v="-44.22"/>
    <x v="1"/>
  </r>
  <r>
    <x v="1"/>
    <n v="-22.11"/>
    <x v="1"/>
  </r>
  <r>
    <x v="1"/>
    <n v="-0.55000000000000004"/>
    <x v="1"/>
  </r>
  <r>
    <x v="1"/>
    <n v="-0.1"/>
    <x v="1"/>
  </r>
  <r>
    <x v="1"/>
    <n v="-2.59"/>
    <x v="1"/>
  </r>
  <r>
    <x v="1"/>
    <n v="-66.33"/>
    <x v="1"/>
  </r>
  <r>
    <x v="1"/>
    <n v="-22.11"/>
    <x v="1"/>
  </r>
  <r>
    <x v="1"/>
    <n v="-22.11"/>
    <x v="1"/>
  </r>
  <r>
    <x v="1"/>
    <n v="-117.92"/>
    <x v="1"/>
  </r>
  <r>
    <x v="1"/>
    <n v="-44.22"/>
    <x v="1"/>
  </r>
  <r>
    <x v="1"/>
    <n v="-36.85"/>
    <x v="1"/>
  </r>
  <r>
    <x v="1"/>
    <n v="-540"/>
    <x v="1"/>
  </r>
  <r>
    <x v="1"/>
    <n v="-7.37"/>
    <x v="1"/>
  </r>
  <r>
    <x v="1"/>
    <n v="-22.56"/>
    <x v="1"/>
  </r>
  <r>
    <x v="1"/>
    <n v="-66.33"/>
    <x v="1"/>
  </r>
  <r>
    <x v="1"/>
    <n v="-110.55"/>
    <x v="1"/>
  </r>
  <r>
    <x v="1"/>
    <n v="-140.03"/>
    <x v="1"/>
  </r>
  <r>
    <x v="1"/>
    <n v="-58.96"/>
    <x v="1"/>
  </r>
  <r>
    <x v="1"/>
    <n v="-36.85"/>
    <x v="1"/>
  </r>
  <r>
    <x v="1"/>
    <n v="-22.11"/>
    <x v="1"/>
  </r>
  <r>
    <x v="1"/>
    <n v="-29.48"/>
    <x v="1"/>
  </r>
  <r>
    <x v="1"/>
    <n v="-44.22"/>
    <x v="1"/>
  </r>
  <r>
    <x v="1"/>
    <n v="-29.48"/>
    <x v="1"/>
  </r>
  <r>
    <x v="1"/>
    <n v="-29.48"/>
    <x v="1"/>
  </r>
  <r>
    <x v="1"/>
    <n v="-58.96"/>
    <x v="1"/>
  </r>
  <r>
    <x v="1"/>
    <n v="-37.71"/>
    <x v="1"/>
  </r>
  <r>
    <x v="1"/>
    <n v="-51.59"/>
    <x v="1"/>
  </r>
  <r>
    <x v="1"/>
    <n v="-44.22"/>
    <x v="1"/>
  </r>
  <r>
    <x v="1"/>
    <n v="-7.37"/>
    <x v="1"/>
  </r>
  <r>
    <x v="1"/>
    <n v="-44.22"/>
    <x v="1"/>
  </r>
  <r>
    <x v="1"/>
    <n v="-44.22"/>
    <x v="1"/>
  </r>
  <r>
    <x v="1"/>
    <n v="-36.85"/>
    <x v="1"/>
  </r>
  <r>
    <x v="1"/>
    <n v="-103.18"/>
    <x v="1"/>
  </r>
  <r>
    <x v="1"/>
    <n v="-176.88"/>
    <x v="1"/>
  </r>
  <r>
    <x v="1"/>
    <n v="70"/>
    <x v="1"/>
  </r>
  <r>
    <x v="1"/>
    <n v="310"/>
    <x v="1"/>
  </r>
  <r>
    <x v="1"/>
    <n v="0"/>
    <x v="0"/>
  </r>
  <r>
    <x v="1"/>
    <n v="0"/>
    <x v="0"/>
  </r>
  <r>
    <x v="1"/>
    <n v="0"/>
    <x v="0"/>
  </r>
  <r>
    <x v="1"/>
    <n v="-6703.22"/>
    <x v="0"/>
  </r>
  <r>
    <x v="1"/>
    <n v="-705.73"/>
    <x v="0"/>
  </r>
  <r>
    <x v="1"/>
    <n v="-1068.53"/>
    <x v="0"/>
  </r>
  <r>
    <x v="1"/>
    <n v="-120"/>
    <x v="0"/>
  </r>
  <r>
    <x v="1"/>
    <n v="-0.01"/>
    <x v="0"/>
  </r>
  <r>
    <x v="1"/>
    <n v="2771.6"/>
    <x v="1"/>
  </r>
  <r>
    <x v="0"/>
    <n v="2826"/>
    <x v="1"/>
  </r>
  <r>
    <x v="0"/>
    <n v="2808"/>
    <x v="1"/>
  </r>
  <r>
    <x v="0"/>
    <n v="2052"/>
    <x v="1"/>
  </r>
  <r>
    <x v="0"/>
    <n v="1908"/>
    <x v="1"/>
  </r>
  <r>
    <x v="0"/>
    <n v="18"/>
    <x v="1"/>
  </r>
  <r>
    <x v="0"/>
    <n v="2112.5"/>
    <x v="1"/>
  </r>
  <r>
    <x v="0"/>
    <n v="1977.3"/>
    <x v="1"/>
  </r>
  <r>
    <x v="0"/>
    <n v="1419.6"/>
    <x v="1"/>
  </r>
  <r>
    <x v="0"/>
    <n v="1233.7"/>
    <x v="1"/>
  </r>
  <r>
    <x v="0"/>
    <n v="2844"/>
    <x v="1"/>
  </r>
  <r>
    <x v="0"/>
    <n v="2450.5"/>
    <x v="1"/>
  </r>
  <r>
    <x v="1"/>
    <n v="243.76"/>
    <x v="8"/>
  </r>
  <r>
    <x v="1"/>
    <n v="27.6"/>
    <x v="0"/>
  </r>
  <r>
    <x v="1"/>
    <n v="1194.19"/>
    <x v="12"/>
  </r>
  <r>
    <x v="1"/>
    <n v="819.98"/>
    <x v="12"/>
  </r>
  <r>
    <x v="1"/>
    <n v="3.47"/>
    <x v="12"/>
  </r>
  <r>
    <x v="1"/>
    <n v="1106.92"/>
    <x v="12"/>
  </r>
  <r>
    <x v="0"/>
    <n v="158.38999999999999"/>
    <x v="4"/>
  </r>
  <r>
    <x v="1"/>
    <n v="163.05000000000001"/>
    <x v="4"/>
  </r>
  <r>
    <x v="0"/>
    <n v="40"/>
    <x v="12"/>
  </r>
  <r>
    <x v="1"/>
    <n v="266.95999999999998"/>
    <x v="7"/>
  </r>
  <r>
    <x v="1"/>
    <n v="24.15"/>
    <x v="7"/>
  </r>
  <r>
    <x v="0"/>
    <n v="279.58999999999997"/>
    <x v="7"/>
  </r>
  <r>
    <x v="1"/>
    <n v="60.25"/>
    <x v="0"/>
  </r>
  <r>
    <x v="1"/>
    <n v="160.47999999999999"/>
    <x v="2"/>
  </r>
  <r>
    <x v="1"/>
    <n v="120.12"/>
    <x v="0"/>
  </r>
  <r>
    <x v="1"/>
    <n v="22.4"/>
    <x v="0"/>
  </r>
  <r>
    <x v="1"/>
    <n v="160.47999999999999"/>
    <x v="1"/>
  </r>
  <r>
    <x v="1"/>
    <n v="99"/>
    <x v="6"/>
  </r>
  <r>
    <x v="1"/>
    <n v="1505"/>
    <x v="7"/>
  </r>
  <r>
    <x v="1"/>
    <n v="183.75"/>
    <x v="7"/>
  </r>
  <r>
    <x v="0"/>
    <n v="158.4"/>
    <x v="4"/>
  </r>
  <r>
    <x v="1"/>
    <n v="20"/>
    <x v="6"/>
  </r>
  <r>
    <x v="1"/>
    <n v="60"/>
    <x v="0"/>
  </r>
  <r>
    <x v="1"/>
    <n v="119.9"/>
    <x v="0"/>
  </r>
  <r>
    <x v="1"/>
    <n v="1400"/>
    <x v="1"/>
  </r>
  <r>
    <x v="1"/>
    <n v="3357.92"/>
    <x v="8"/>
  </r>
  <r>
    <x v="0"/>
    <n v="158.38999999999999"/>
    <x v="1"/>
  </r>
  <r>
    <x v="0"/>
    <n v="58.65"/>
    <x v="6"/>
  </r>
  <r>
    <x v="1"/>
    <n v="58.03"/>
    <x v="6"/>
  </r>
  <r>
    <x v="0"/>
    <n v="27.39"/>
    <x v="9"/>
  </r>
  <r>
    <x v="1"/>
    <n v="152.93"/>
    <x v="0"/>
  </r>
  <r>
    <x v="1"/>
    <n v="564.9"/>
    <x v="4"/>
  </r>
  <r>
    <x v="1"/>
    <n v="10.64"/>
    <x v="0"/>
  </r>
  <r>
    <x v="1"/>
    <n v="39.31"/>
    <x v="4"/>
  </r>
  <r>
    <x v="1"/>
    <n v="27.91"/>
    <x v="9"/>
  </r>
  <r>
    <x v="1"/>
    <n v="35.9"/>
    <x v="6"/>
  </r>
  <r>
    <x v="1"/>
    <n v="40"/>
    <x v="12"/>
  </r>
  <r>
    <x v="1"/>
    <n v="40"/>
    <x v="12"/>
  </r>
  <r>
    <x v="1"/>
    <n v="1593.15"/>
    <x v="9"/>
  </r>
  <r>
    <x v="1"/>
    <n v="814.42"/>
    <x v="4"/>
  </r>
  <r>
    <x v="1"/>
    <n v="399.99"/>
    <x v="1"/>
  </r>
  <r>
    <x v="0"/>
    <n v="750.84"/>
    <x v="12"/>
  </r>
  <r>
    <x v="1"/>
    <n v="742.22"/>
    <x v="12"/>
  </r>
  <r>
    <x v="0"/>
    <n v="55.72"/>
    <x v="6"/>
  </r>
  <r>
    <x v="1"/>
    <n v="54.64"/>
    <x v="6"/>
  </r>
  <r>
    <x v="0"/>
    <n v="440.86"/>
    <x v="4"/>
  </r>
  <r>
    <x v="1"/>
    <n v="531.32000000000005"/>
    <x v="4"/>
  </r>
  <r>
    <x v="1"/>
    <n v="225"/>
    <x v="8"/>
  </r>
  <r>
    <x v="1"/>
    <n v="225"/>
    <x v="10"/>
  </r>
  <r>
    <x v="1"/>
    <n v="95.13"/>
    <x v="3"/>
  </r>
  <r>
    <x v="1"/>
    <n v="3219.53"/>
    <x v="1"/>
  </r>
  <r>
    <x v="1"/>
    <n v="376.94"/>
    <x v="7"/>
  </r>
  <r>
    <x v="1"/>
    <n v="2744.93"/>
    <x v="11"/>
  </r>
  <r>
    <x v="0"/>
    <n v="257.14"/>
    <x v="7"/>
  </r>
  <r>
    <x v="0"/>
    <n v="109.83"/>
    <x v="7"/>
  </r>
  <r>
    <x v="1"/>
    <n v="564.1"/>
    <x v="0"/>
  </r>
  <r>
    <x v="1"/>
    <n v="109.71"/>
    <x v="7"/>
  </r>
  <r>
    <x v="1"/>
    <n v="23.27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1.0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1"/>
    <n v="13.6"/>
    <x v="4"/>
  </r>
  <r>
    <x v="1"/>
    <n v="0.5"/>
    <x v="4"/>
  </r>
  <r>
    <x v="1"/>
    <n v="13.6"/>
    <x v="4"/>
  </r>
  <r>
    <x v="1"/>
    <n v="13.6"/>
    <x v="4"/>
  </r>
  <r>
    <x v="1"/>
    <n v="13.6"/>
    <x v="4"/>
  </r>
  <r>
    <x v="1"/>
    <n v="60"/>
    <x v="4"/>
  </r>
  <r>
    <x v="1"/>
    <n v="237"/>
    <x v="4"/>
  </r>
  <r>
    <x v="1"/>
    <n v="43.81"/>
    <x v="4"/>
  </r>
  <r>
    <x v="1"/>
    <n v="18"/>
    <x v="4"/>
  </r>
  <r>
    <x v="1"/>
    <n v="159.19999999999999"/>
    <x v="4"/>
  </r>
  <r>
    <x v="1"/>
    <n v="10"/>
    <x v="4"/>
  </r>
  <r>
    <x v="1"/>
    <n v="1"/>
    <x v="4"/>
  </r>
  <r>
    <x v="1"/>
    <n v="10"/>
    <x v="4"/>
  </r>
  <r>
    <x v="1"/>
    <n v="10"/>
    <x v="4"/>
  </r>
  <r>
    <x v="1"/>
    <n v="10"/>
    <x v="4"/>
  </r>
  <r>
    <x v="1"/>
    <n v="0.5"/>
    <x v="4"/>
  </r>
  <r>
    <x v="1"/>
    <n v="1.99"/>
    <x v="4"/>
  </r>
  <r>
    <x v="1"/>
    <n v="0.5"/>
    <x v="4"/>
  </r>
  <r>
    <x v="1"/>
    <n v="1.99"/>
    <x v="4"/>
  </r>
  <r>
    <x v="1"/>
    <n v="0.5"/>
    <x v="4"/>
  </r>
  <r>
    <x v="1"/>
    <n v="20"/>
    <x v="4"/>
  </r>
  <r>
    <x v="1"/>
    <n v="0.5"/>
    <x v="4"/>
  </r>
  <r>
    <x v="1"/>
    <n v="0.5"/>
    <x v="4"/>
  </r>
  <r>
    <x v="1"/>
    <n v="1.99"/>
    <x v="4"/>
  </r>
  <r>
    <x v="1"/>
    <n v="0.5"/>
    <x v="4"/>
  </r>
  <r>
    <x v="1"/>
    <n v="1.99"/>
    <x v="4"/>
  </r>
  <r>
    <x v="1"/>
    <n v="20"/>
    <x v="4"/>
  </r>
  <r>
    <x v="1"/>
    <n v="10"/>
    <x v="4"/>
  </r>
  <r>
    <x v="1"/>
    <n v="0.5"/>
    <x v="4"/>
  </r>
  <r>
    <x v="1"/>
    <n v="0.5"/>
    <x v="4"/>
  </r>
  <r>
    <x v="1"/>
    <n v="139.9"/>
    <x v="5"/>
  </r>
  <r>
    <x v="1"/>
    <n v="193.54"/>
    <x v="5"/>
  </r>
  <r>
    <x v="1"/>
    <n v="301.16000000000003"/>
    <x v="5"/>
  </r>
  <r>
    <x v="1"/>
    <n v="30"/>
    <x v="4"/>
  </r>
  <r>
    <x v="1"/>
    <n v="0"/>
    <x v="5"/>
  </r>
  <r>
    <x v="1"/>
    <n v="613.08000000000004"/>
    <x v="5"/>
  </r>
  <r>
    <x v="1"/>
    <n v="150"/>
    <x v="0"/>
  </r>
  <r>
    <x v="1"/>
    <n v="3385.05"/>
    <x v="1"/>
  </r>
  <r>
    <x v="1"/>
    <n v="1466.4"/>
    <x v="4"/>
  </r>
  <r>
    <x v="1"/>
    <n v="125"/>
    <x v="1"/>
  </r>
  <r>
    <x v="1"/>
    <n v="244.17"/>
    <x v="7"/>
  </r>
  <r>
    <x v="1"/>
    <n v="93.1"/>
    <x v="4"/>
  </r>
  <r>
    <x v="1"/>
    <n v="1.99"/>
    <x v="4"/>
  </r>
  <r>
    <x v="1"/>
    <n v="0.5"/>
    <x v="4"/>
  </r>
  <r>
    <x v="1"/>
    <n v="0.5"/>
    <x v="4"/>
  </r>
  <r>
    <x v="1"/>
    <n v="0.5"/>
    <x v="4"/>
  </r>
  <r>
    <x v="1"/>
    <n v="0.5"/>
    <x v="4"/>
  </r>
  <r>
    <x v="0"/>
    <n v="-48.66"/>
    <x v="0"/>
  </r>
  <r>
    <x v="0"/>
    <n v="9.68"/>
    <x v="0"/>
  </r>
  <r>
    <x v="0"/>
    <n v="13588.1"/>
    <x v="13"/>
  </r>
  <r>
    <x v="0"/>
    <n v="3984.34"/>
    <x v="13"/>
  </r>
  <r>
    <x v="0"/>
    <n v="16222.26"/>
    <x v="11"/>
  </r>
  <r>
    <x v="1"/>
    <n v="3500.3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ágina60" cacheId="4" applyNumberFormats="0" applyBorderFormats="0" applyFontFormats="0" applyPatternFormats="0" applyAlignmentFormats="0" applyWidthHeightFormats="0" dataCaption="" updatedVersion="7" compact="0" compactData="0">
  <location ref="E1:H17" firstHeaderRow="1" firstDataRow="2" firstDataCol="1"/>
  <pivotFields count="3">
    <pivotField name="Mês da Emissão" axis="axisCol" compact="0" outline="0" multipleItemSelectionAllowed="1" showAll="0" sortType="ascending">
      <items count="3">
        <item x="0"/>
        <item x="1"/>
        <item t="default"/>
      </items>
    </pivotField>
    <pivotField name="Pago ou Recebido" dataField="1" compact="0" numFmtId="4" outline="0" multipleItemSelectionAllowed="1" showAll="0"/>
    <pivotField name="Setor" axis="axisRow" compact="0" outline="0" multipleItemSelectionAllowed="1" showAll="0" sortType="ascending">
      <items count="15">
        <item x="8"/>
        <item x="11"/>
        <item x="5"/>
        <item x="0"/>
        <item x="13"/>
        <item x="6"/>
        <item x="2"/>
        <item x="4"/>
        <item x="3"/>
        <item x="7"/>
        <item x="1"/>
        <item x="10"/>
        <item x="9"/>
        <item x="12"/>
        <item t="default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Pago ou Recebido" fld="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78" dT="2026-03-18T19:57:07.00" personId="{fa4bd874-78c1-473a-8bbf-760b2d13c2c6}" id="{e4ddb6ad-e466-41e6-9410-71e3462a8d5b}" done="0">
    <x18tc:text xml:space="preserve">Condomínio de janeiro + fevereiro</x18tc:text>
  </x18tc:threadedComment>
  <x18tc:threadedComment ref="F73" dT="2026-03-18T19:55:51.00" personId="{fa4bd874-78c1-473a-8bbf-760b2d13c2c6}" id="{6b2ec77e-71df-4d8a-ab35-c4dc1328069f}" done="0">
    <x18tc:text xml:space="preserve">Pagamento à Bruna como PJ</x18tc:text>
  </x18tc:threadedComment>
  <x18tc:threadedComment ref="G80" dT="2026-03-19T11:48:06.00" personId="{fa4bd874-78c1-473a-8bbf-760b2d13c2c6}" id="{e9288af5-81cd-47cb-85ed-9084a37e984e}" done="0">
    <x18tc:text xml:space="preserve">Recarga dos números pré-pagos, realizada a cada 2 meses, no valor de R$ 690</x18tc:text>
  </x18tc:threadedComment>
  <x18tc:threadedComment ref="G70" dT="2026-03-19T12:01:03.00" personId="{fa4bd874-78c1-473a-8bbf-760b2d13c2c6}" id="{72d38862-3e4c-4c27-ab4f-921aca0acdcf}" done="0">
    <x18tc:text xml:space="preserve">Aumento programado com as adições da Clariane e Bruna - o Marcelo possui o detalhamento.</x18tc:text>
  </x18tc:threadedComment>
  <x18tc:threadedComment ref="F86" dT="2026-03-19T11:46:37.00" personId="{fa4bd874-78c1-473a-8bbf-760b2d13c2c6}" id="{8a9c91c9-917b-4b03-9ce3-6ce57bb084e3}" done="0">
    <x18tc:text xml:space="preserve">Houve o pagamentod e 2 parcelas do RD Station (Cada parcela é R$ 1.2619,60 - são 3 parcelas)</x18tc:text>
  </x18tc:threadedComment>
  <x18tc:threadedComment ref="I51" dT="2026-05-13T20:30:35.00" personId="{fa4bd874-78c1-473a-8bbf-760b2d13c2c6}" id="{295aeb89-09f6-49cb-b76d-3e151cf4923d}" done="0">
    <x18tc:text xml:space="preserve">*Anúncios expansão - Facebook: R$ 11.78,21
* Campanhas retroativas 2025: R$ 6.714,28</x18tc:text>
  </x18tc:threadedComment>
  <x18tc:threadedComment ref="I80" dT="2026-05-13T20:40:32.00" personId="{fa4bd874-78c1-473a-8bbf-760b2d13c2c6}" id="{b0bbd875-907c-4863-b0a5-387cf565f000}" done="0">
    <x18tc:text xml:space="preserve">Recarga dos números pré-pagos, realizada a cada 2 meses, no valor de R$ 735</x18tc:text>
  </x18tc:threadedComment>
  <x18tc:threadedComment ref="I83" dT="2026-05-13T20:46:56.00" personId="{fa4bd874-78c1-473a-8bbf-760b2d13c2c6}" id="{309e1a76-2c56-4393-a800-9c72298b5f1d}" done="0">
    <x18tc:text xml:space="preserve">*ALTERAÇÃO CONTRATUAL SPDX: R$ 2.000</x18tc:text>
  </x18tc:threadedComment>
  <x18tc:threadedComment ref="I86" dT="2026-05-14T13:32:26.00" personId="{fa4bd874-78c1-473a-8bbf-760b2d13c2c6}" id="{e3ef0db1-918f-4de1-abef-507bceb94591}" done="0">
    <x18tc:text xml:space="preserve">Aumento provocado por:
- Contratação do LinkedIn anual: R$ 7.319,88
- Contratação Kommo: R$ 1.323,32
- Pagamento anual Miro: R$ R$ 1.076,56
- Despesas extras com o GITHUB: R$ 921</x18tc:text>
  </x18tc:threadedComment>
  <x18tc:threadedComment ref="I100" dT="2026-05-14T13:54:34.00" personId="{fa4bd874-78c1-473a-8bbf-760b2d13c2c6}" id="{981f288e-7dc8-4284-b7bd-81c911eedc6d}" done="0">
    <x18tc:text xml:space="preserve">Pagamentos anuais do servidor do iFormei.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06" dT="2026-02-19T20:50:12.00" personId="{fa4bd874-78c1-473a-8bbf-760b2d13c2c6}" id="{68c29db5-9932-476d-a4bb-5079b965f82c}" done="1">
    <x18tc:text xml:space="preserve">APROVEITOU-SE MAIS CRÉDITO DO QUE O VALOR A SER PAGO NA COMPETÊNCIA.
Lembrar que o aproveitamento soma no trimestre e aqui é uma provisão de impostos.</x18tc:text>
  </x18tc:threadedComment>
  <x18tc:threadedComment ref="F73" dT="2026-02-19T20:55:41.00" personId="{fa4bd874-78c1-473a-8bbf-760b2d13c2c6}" id="{888ac30e-ea34-4efc-ab0a-f47347747372}" done="0">
    <x18tc:text xml:space="preserve">R$ 6.402,31 - Bruna - Apenas em Janeiro</x18tc:text>
  </x18tc:threadedComment>
  <x18tc:threadedComment ref="F65" dT="2026-02-19T20:57:30.00" personId="{fa4bd874-78c1-473a-8bbf-760b2d13c2c6}" id="{a1bdd1c4-cd5e-4ad3-846e-3a9877c3b7a7}" done="0">
    <x18tc:text xml:space="preserve">R$ 695 - Bruna - Apenas em Janeiro
R$ 600 - Clari - Apenas em Janeiro</x18tc:text>
  </x18tc:threadedComment>
  <x18tc:threadedComment ref="F61" dT="2026-02-19T20:58:34.00" personId="{fa4bd874-78c1-473a-8bbf-760b2d13c2c6}" id="{c2d3c4a4-524b-437c-aa2a-4b00d8d3b446}" done="0">
    <x18tc:text xml:space="preserve">541,32 - Clari - Apenas em Janeiro</x18tc:text>
  </x18tc:threadedComment>
  <x18tc:threadedComment ref="F56" dT="2026-02-19T20:59:12.00" personId="{fa4bd874-78c1-473a-8bbf-760b2d13c2c6}" id="{e4f38876-4511-42b6-8420-3cd72ce59952}" done="0">
    <x18tc:text xml:space="preserve">608,99 - Clari - Apenas em Janeiro</x18tc:text>
  </x18tc:threadedComment>
  <x18tc:threadedComment ref="F54" dT="2026-02-19T20:59:45.00" personId="{fa4bd874-78c1-473a-8bbf-760b2d13c2c6}" id="{ed8f8ba4-68bb-4f99-81b0-754e7403a805}" done="0">
    <x18tc:text xml:space="preserve">203 - Clari - Apenas em Janeiro</x18tc:text>
  </x18tc:threadedComment>
  <x18tc:threadedComment ref="F53" dT="2026-02-19T21:00:14.00" personId="{fa4bd874-78c1-473a-8bbf-760b2d13c2c6}" id="{a9ac35eb-b39d-41ed-ab1f-2911a5a92098}" done="0">
    <x18tc:text xml:space="preserve">6.766,50 - Clari - Apenas em Janeiro</x18tc:text>
  </x18tc:threadedComment>
  <x18tc:threadedComment ref="I111" dT="2026-05-07T19:31:28.00" personId="{fa4bd874-78c1-473a-8bbf-760b2d13c2c6}" id="{e7ae1f49-44fa-4f34-9670-8b4c19065c3d}" done="0">
    <x18tc:text xml:space="preserve">Começa a valer o novo CSLL</x18tc:text>
  </x18tc:threadedComment>
  <x18tc:threadedComment ref="J18" dT="2026-06-16T17:56:56.00" personId="{fa4bd874-78c1-473a-8bbf-760b2d13c2c6}" id="{88e0fb8f-e321-4bfb-ae02-359a97eb4e95}" done="1">
    <x18tc:text xml:space="preserve">Início do faturamento via Filial. ISS em Chácara 2%. Todos, exceto Viva JF</x18tc:text>
  </x18tc:threadedComment>
  <x18tc:threadedComment ref="J38" dT="2026-06-16T19:57:05.00" personId="{fa4bd874-78c1-473a-8bbf-760b2d13c2c6}" id="{42c78626-2817-4d60-8036-e25fe59354bc}" done="0">
    <x18tc:text xml:space="preserve">Novo cálculo de ISS considerando a V E Filial</x18tc:text>
  </x18tc:threadedComment>
  <x18tc:threadedComment ref="J46" dT="2026-07-13T14:33:43.00" personId="{fa4bd874-78c1-473a-8bbf-760b2d13c2c6}" id="{698a45ef-dfb9-41fb-a7a6-6e20aaca59b5}" done="0">
    <x18tc:text xml:space="preserve">Viagens do Squad de Fotos em Outras Despesas Administrativas</x18tc:text>
  </x18tc:threadedComment>
  <x18tc:threadedComment ref="J87" dT="2026-07-13T14:33:55.00" personId="{fa4bd874-78c1-473a-8bbf-760b2d13c2c6}" id="{5ff60108-0991-4255-8c8e-0b6d0cf3d577}" done="0">
    <x18tc:text xml:space="preserve">Viagens do Squad de Fotos em Outras Despesas Administrativas</x18tc:text>
  </x18tc:threadedComment>
  <x18tc:threadedComment ref="K46" dT="2026-07-13T14:41:32.00" personId="{fa4bd874-78c1-473a-8bbf-760b2d13c2c6}" id="{9bdfb646-bd9c-4874-8d27-fab6429eb5f3}" done="0">
    <x18tc:text xml:space="preserve">Viagem Jhonny e Dionisio para Consultoria Vinci em Consultorias e Treinamentos</x18tc:text>
  </x18tc:threadedComment>
  <x18tc:threadedComment ref="K90" dT="2026-09-15T18:25:56.00" personId="{fa4bd874-78c1-473a-8bbf-760b2d13c2c6}" id="{a2bf591a-60cc-4917-aebc-20812596aac8}" done="0">
    <x18tc:text xml:space="preserve">Viagem Jhonny e Dionisio para Consultoria Vinci em Consultorias e Treinamentos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92" dT="2026-03-11T20:42:14.00" personId="{fa4bd874-78c1-473a-8bbf-760b2d13c2c6}" id="{6c65c6f2-c011-4c81-96cb-71bbc7fe09d8}" done="0">
    <x18tc:text xml:space="preserve">Considerar esse valor a partir de fevereiro: Clariane + Bruna</x18tc:text>
  </x18tc:threadedComment>
  <x18tc:threadedComment ref="A24" dT="2026-03-18T16:42:53.00" personId="{fa4bd874-78c1-473a-8bbf-760b2d13c2c6}" id="{95ec6fc1-6dc9-4238-96fb-55c0f0385944}" done="0">
    <x18tc:text xml:space="preserve">Rendimento de aplicações - todas as contas, exceto unificadas e LP Rend do BB (por data de emissão)</x18tc:text>
  </x18tc:threadedComment>
  <x18tc:threadedComment ref="B106" dT="2026-05-12T19:30:43.00" personId="{fa4bd874-78c1-473a-8bbf-760b2d13c2c6}" id="{0186da6d-49b8-44e5-9550-0a10396c3d91}" done="0">
    <x18tc:text xml:space="preserve">2025 + 2026</x18tc:text>
  </x18tc:threadedComment>
  <x18tc:threadedComment ref="B105" dT="2026-05-12T19:29:16.00" personId="{fa4bd874-78c1-473a-8bbf-760b2d13c2c6}" id="{502b993a-8dd5-43f8-99e5-b2634d5556e3}" done="0">
    <x18tc:text xml:space="preserve">2025 + 2026</x18tc:text>
  </x18tc:threadedComment>
  <x18tc:threadedComment ref="A103" dT="2026-05-12T19:29:31.00" personId="{fa4bd874-78c1-473a-8bbf-760b2d13c2c6}" id="{b5d7042a-93bc-43da-86b4-8ca375565bcc}" done="0">
    <x18tc:text xml:space="preserve">DRE por data de pagamento, filtrar projeto</x18tc:text>
  </x18tc:threadedComment>
  <x18tc:threadedComment ref="A103" dT="2026-05-12T19:31:41.00" personId="{fa4bd874-78c1-473a-8bbf-760b2d13c2c6}" id="{5317ceb6-be75-4fa3-9628-84fe60dd2a69}" parentId="{b5d7042a-93bc-43da-86b4-8ca375565bcc}">
    <x18tc:text xml:space="preserve">NÃO CONSIDERAR TARIFAS, pois já estão na categoria de tarifas que nao recebe separação por projetos</x18tc:text>
  </x18tc:threadedComment>
  <x18tc:threadedComment ref="E24" dT="2026-05-12T19:34:27.00" personId="{fa4bd874-78c1-473a-8bbf-760b2d13c2c6}" id="{2ba2e915-6f50-4ed7-bde4-fe4433e76f42}" done="1">
    <x18tc:text xml:space="preserve">Não tem registro em abril</x18tc:text>
  </x18tc:threadedComment>
  <x18tc:threadedComment ref="F60" dT="2026-06-17T18:47:26.00" personId="{fa4bd874-78c1-473a-8bbf-760b2d13c2c6}" id="{77f09943-4595-4434-af3d-c0076a31ff21}" done="0">
    <x18tc:text xml:space="preserve">Considerando os de fechamentos pois foram da Viva JF</x18tc:text>
  </x18tc:threadedComment>
  <x18tc:threadedComment ref="G27" dT="2026-07-13T19:14:03.00" personId="{fa4bd874-78c1-473a-8bbf-760b2d13c2c6}" id="{2f76357e-7d71-4128-9be9-34f65fb821f3}" done="0">
    <x18tc:text xml:space="preserve">A partir dessa data, faremos a competência correta.
1. Valor gerado na base de recorrência;
2. Valores pagos em junho, de compatência de meses anteriores (exceto maio);
3. NÃO CONSIDERAR NENHUM RECEBIMENTO DE RECORRÊNCIA DE JUNHO DE 2026 EM DIANTE FORA DA COMPETÊNCIA (Fechamentos continuam sendo na data do fechamento)</x18tc:text>
  </x18tc:threadedComment>
  <x18tc:threadedComment ref="G19" dT="2026-07-13T19:08:30.00" personId="{fa4bd874-78c1-473a-8bbf-760b2d13c2c6}" id="{9d4aae5d-d474-4ec2-b923-9a609e93e7db}" done="0">
    <x18tc:text xml:space="preserve">Valor na Dataforte + V Company</x18tc:text>
  </x18tc:threadedComment>
  <x18tc:threadedComment ref="G28" dT="2026-07-13T19:17:04.00" personId="{fa4bd874-78c1-473a-8bbf-760b2d13c2c6}" id="{9ccfb7ad-babf-4fa3-adf5-2fe202352b5a}" done="1">
    <x18tc:text xml:space="preserve">Valor gerado na base</x18tc:text>
  </x18tc:threadedComment>
  <x18tc:threadedComment ref="G31" dT="2026-07-13T19:18:33.00" personId="{fa4bd874-78c1-473a-8bbf-760b2d13c2c6}" id="{762458c4-de55-45de-a18d-52e7cc36cd70}" done="0">
    <x18tc:text xml:space="preserve">Valor gerado na base</x18tc:text>
  </x18tc:threadedComment>
  <x18tc:threadedComment ref="G28" dT="2026-07-13T19:19:42.00" personId="{fa4bd874-78c1-473a-8bbf-760b2d13c2c6}" id="{7cab9294-7b62-4946-b32d-f84e343e08e9}" done="1">
    <x18tc:text xml:space="preserve">Considerar valores recebidos, que não são recorrentes e são de meses anteriores</x18tc:text>
  </x18tc:threadedComment>
  <x18tc:threadedComment ref="G42" dT="2026-07-13T20:57:28.00" personId="{fa4bd874-78c1-473a-8bbf-760b2d13c2c6}" id="{2651838a-3366-40a6-8529-c3d612bfe889}" done="0">
    <x18tc:text xml:space="preserve">Excluir JDF no fornecedor da Omie</x18tc:text>
  </x18tc:threadedComment>
  <x18tc:threadedComment ref="G17" dT="2026-08-10T18:23:29.00" personId="{fa4bd874-78c1-473a-8bbf-760b2d13c2c6}" id="{a3269aea-1c3c-42a4-9f67-7f682607c774}" done="0">
    <x18tc:text xml:space="preserve">Dataforte + V Company</x18tc:text>
  </x18tc:threadedComment>
  <x18tc:threadedComment ref="H28" dT="2026-08-13T17:04:00.00" personId="{fa4bd874-78c1-473a-8bbf-760b2d13c2c6}" id="{c9c532c2-f2f6-4bcc-9d4d-fd45615208fd}" done="0">
    <x18tc:text xml:space="preserve">Tudo o que tem lançado sem ser pós - VIA OMIE</x18tc:text>
  </x18tc:threadedComment>
  <x18tc:threadedComment ref="H29" dT="2026-08-13T17:07:27.00" personId="{fa4bd874-78c1-473a-8bbf-760b2d13c2c6}" id="{78b14b03-e87f-4213-a500-5dce75c0a5b7}" done="0">
    <x18tc:text xml:space="preserve">Tirar toda a competência de junho de 2026 em diante, pois é a data de corte (de junho em diante, já entram por competência, independente de qualquer coisa.
Os de fechamentos, avaliar caso a caso se está sendo cobrado algo que deveria ter sido pago de junho em diante. Caso sim, desconsiderar esses valores. Ex. Fundo X pagou 1000 no fechamento, mas desses 1000, 100 sao de junho e 50 de julho de 26, então o valor que entra no fechamento e deve ser considerado é de 850</x18tc:text>
  </x18tc:threadedComment>
  <x18tc:threadedComment ref="H30" dT="2026-08-13T17:08:12.00" personId="{fa4bd874-78c1-473a-8bbf-760b2d13c2c6}" id="{90f5823f-f833-4f31-a6cf-6f94eda9c3f0}" done="0">
    <x18tc:text xml:space="preserve">Tudo que foi pago no mês, mas nao é competência de junho 26 em diante.</x18tc:text>
  </x18tc:threadedComment>
  <x18tc:threadedComment ref="H31" dT="2026-08-13T17:08:17.00" personId="{fa4bd874-78c1-473a-8bbf-760b2d13c2c6}" id="{f9c700a9-76fe-486b-a6e9-616722436328}" done="0">
    <x18tc:text xml:space="preserve">Base gerada</x18tc:text>
  </x18tc:threadedComment>
  <x18tc:threadedComment ref="H46" dT="2026-08-13T17:08:49.00" personId="{fa4bd874-78c1-473a-8bbf-760b2d13c2c6}" id="{a7e622e2-7c73-4875-a6e9-724ae5c32156}" done="0">
    <x18tc:text xml:space="preserve">Tirei o valor pela base que é gerada para o lukinha, apenas tirei Viva JF. (unidade 2)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2" dT="2026-04-10T18:29:47.00" personId="{fa4bd874-78c1-473a-8bbf-760b2d13c2c6}" id="{a5ba054f-96a3-4055-a73a-764cb44513ef}" done="0">
    <x18tc:text xml:space="preserve">-2801,96: valor da viagem do Regis e Barbara para SP. Eles foram para evento, então entra como Treinamento. Será inserido pelos lançamentos mesmo.</x18tc:text>
  </x18tc:threadedComment>
  <x18tc:threadedComment ref="H13" dT="2026-08-12T15:25:49.00" personId="{fa4bd874-78c1-473a-8bbf-760b2d13c2c6}" id="{31072e62-ab4a-4758-8741-82ec6842fb64}" done="0">
    <x18tc:text xml:space="preserve">Viagem lançada nos lançamentos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8" dT="2026-04-15T18:17:27.00" personId="{fa4bd874-78c1-473a-8bbf-760b2d13c2c6}" id="{96f9f145-9b9a-4b28-82e0-bf35c0ad578b}" done="0">
    <x18tc:text xml:space="preserve">INSS</x18tc:text>
  </x18tc:threadedComment>
  <x18tc:threadedComment ref="F65" dT="2026-04-15T18:17:33.00" personId="{fa4bd874-78c1-473a-8bbf-760b2d13c2c6}" id="{8acb1554-f862-4dac-8ddf-e27943082db8}" done="1">
    <x18tc:text xml:space="preserve">INSS</x18tc:text>
  </x18tc:threadedComment>
  <x18tc:threadedComment ref="G618" dT="2026-05-13T17:43:17.00" personId="{fa4bd874-78c1-473a-8bbf-760b2d13c2c6}" id="{e96315f2-3e7f-4e1d-90f2-9a4e414e8ae9}" done="0">
    <x18tc:text xml:space="preserve">Quebra do contrato de experiência.</x18tc:text>
  </x18tc:threadedComment>
  <x18tc:threadedComment ref="J608" dT="2026-08-13T15:20:15.00" personId="{fa4bd874-78c1-473a-8bbf-760b2d13c2c6}" id="{5fa233b8-5340-4732-90df-27f1425d4388}" done="0">
    <x18tc:text xml:space="preserve">Férias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9" dT="2026-08-13T17:13:33.00" personId="{fa4bd874-78c1-473a-8bbf-760b2d13c2c6}" id="{beff20d7-d21e-447e-b769-1ba5b323fd58}" done="0">
    <x18tc:text xml:space="preserve">E_MAIL: CONCILIAÇÃO NOTAS "PERDIDAS" PERSE - FUNDO JOÃO PEDRO-CONDÉ UNIFEN-MEDICI 2026-2 (ASS)#6592#BHZ - RP 861427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amazon.com.br/" TargetMode="External"/><Relationship Id="rId13" Type="http://schemas.openxmlformats.org/officeDocument/2006/relationships/hyperlink" Target="http://zoom.us/" TargetMode="External"/><Relationship Id="rId18" Type="http://schemas.openxmlformats.org/officeDocument/2006/relationships/hyperlink" Target="http://pipefy.com/" TargetMode="External"/><Relationship Id="rId3" Type="http://schemas.openxmlformats.org/officeDocument/2006/relationships/hyperlink" Target="https://docs.google.com/spreadsheets/d/1lBQpBsSs90rIaon1jQUCdzyjA4uGu_1uOPxvwrm-ToM/edit?gid=675069016" TargetMode="External"/><Relationship Id="rId21" Type="http://schemas.openxmlformats.org/officeDocument/2006/relationships/hyperlink" Target="http://livekit.io/" TargetMode="External"/><Relationship Id="rId7" Type="http://schemas.openxmlformats.org/officeDocument/2006/relationships/hyperlink" Target="http://amazon.com.br/" TargetMode="External"/><Relationship Id="rId12" Type="http://schemas.openxmlformats.org/officeDocument/2006/relationships/hyperlink" Target="http://zoom.us/" TargetMode="External"/><Relationship Id="rId17" Type="http://schemas.openxmlformats.org/officeDocument/2006/relationships/hyperlink" Target="http://pipefy.com/" TargetMode="External"/><Relationship Id="rId25" Type="http://schemas.openxmlformats.org/officeDocument/2006/relationships/drawing" Target="../drawings/drawing2.xml"/><Relationship Id="rId2" Type="http://schemas.openxmlformats.org/officeDocument/2006/relationships/hyperlink" Target="http://amazon.com.br/" TargetMode="External"/><Relationship Id="rId16" Type="http://schemas.openxmlformats.org/officeDocument/2006/relationships/hyperlink" Target="http://pipefy.com/" TargetMode="External"/><Relationship Id="rId20" Type="http://schemas.openxmlformats.org/officeDocument/2006/relationships/hyperlink" Target="http://daily.co/" TargetMode="External"/><Relationship Id="rId1" Type="http://schemas.openxmlformats.org/officeDocument/2006/relationships/hyperlink" Target="http://amazon.com.br/" TargetMode="External"/><Relationship Id="rId6" Type="http://schemas.openxmlformats.org/officeDocument/2006/relationships/hyperlink" Target="https://docs.google.com/spreadsheets/d/1lBQpBsSs90rIaon1jQUCdzyjA4uGu_1uOPxvwrm-ToM/edit?gid=675069016" TargetMode="External"/><Relationship Id="rId11" Type="http://schemas.openxmlformats.org/officeDocument/2006/relationships/hyperlink" Target="https://docs.google.com/spreadsheets/d/1lBQpBsSs90rIaon1jQUCdzyjA4uGu_1uOPxvwrm-ToM/edit?gid=675069016" TargetMode="External"/><Relationship Id="rId24" Type="http://schemas.openxmlformats.org/officeDocument/2006/relationships/hyperlink" Target="http://pipefy.com/" TargetMode="External"/><Relationship Id="rId5" Type="http://schemas.openxmlformats.org/officeDocument/2006/relationships/hyperlink" Target="https://docs.google.com/spreadsheets/d/1lBQpBsSs90rIaon1jQUCdzyjA4uGu_1uOPxvwrm-ToM/edit?gid=675069016" TargetMode="External"/><Relationship Id="rId15" Type="http://schemas.openxmlformats.org/officeDocument/2006/relationships/hyperlink" Target="http://pipefy.com/" TargetMode="External"/><Relationship Id="rId23" Type="http://schemas.openxmlformats.org/officeDocument/2006/relationships/hyperlink" Target="http://pipefy.com/" TargetMode="External"/><Relationship Id="rId10" Type="http://schemas.openxmlformats.org/officeDocument/2006/relationships/hyperlink" Target="https://docs.google.com/spreadsheets/d/1lBQpBsSs90rIaon1jQUCdzyjA4uGu_1uOPxvwrm-ToM/edit?gid=675069016" TargetMode="External"/><Relationship Id="rId19" Type="http://schemas.openxmlformats.org/officeDocument/2006/relationships/hyperlink" Target="http://pipefy.com/" TargetMode="External"/><Relationship Id="rId4" Type="http://schemas.openxmlformats.org/officeDocument/2006/relationships/hyperlink" Target="https://docs.google.com/spreadsheets/d/1lBQpBsSs90rIaon1jQUCdzyjA4uGu_1uOPxvwrm-ToM/edit?gid=675069016" TargetMode="External"/><Relationship Id="rId9" Type="http://schemas.openxmlformats.org/officeDocument/2006/relationships/hyperlink" Target="https://docs.google.com/spreadsheets/d/1lBQpBsSs90rIaon1jQUCdzyjA4uGu_1uOPxvwrm-ToM/edit?gid=675069016" TargetMode="External"/><Relationship Id="rId14" Type="http://schemas.openxmlformats.org/officeDocument/2006/relationships/hyperlink" Target="http://pipefy.com/" TargetMode="External"/><Relationship Id="rId22" Type="http://schemas.openxmlformats.org/officeDocument/2006/relationships/hyperlink" Target="http://livekit.i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docs.google.com/spreadsheets/d/16Ppfd99d-jqg8nGDJZHCuc5dUzkKZT8js7FIPQVOfro/edit?gid=0" TargetMode="External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kyBkzMKrenntj9sW4lvCy-9Zdz7cP_Vzi18NsRGJYtA/edit?gid=1632824091" TargetMode="External"/><Relationship Id="rId1" Type="http://schemas.openxmlformats.org/officeDocument/2006/relationships/hyperlink" Target="https://docs.google.com/spreadsheets/d/1aNtuXMQHWWuTvb6HS5U-qYhDtxVTGJwjKdTMdOrYr4E/edit?gid=1296483353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hyperlink" Target="https://docs.google.com/spreadsheets/d/1vRfNYFRkN_aFRgcgnhVd-FIk2fEvdC7rJWatwcJ49-E/edit?gid=813083212" TargetMode="External"/><Relationship Id="rId4" Type="http://schemas.microsoft.com/office/2017/10/relationships/threadedComment" Target="../threadedComments/threadedComment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zoom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20"/>
  <sheetViews>
    <sheetView showGridLines="0" tabSelected="1" workbookViewId="0"/>
  </sheetViews>
  <sheetFormatPr defaultColWidth="14.42578125" defaultRowHeight="15" customHeight="1" outlineLevelRow="3"/>
  <cols>
    <col min="1" max="4" width="3" customWidth="1"/>
    <col min="5" max="5" width="37.140625" customWidth="1"/>
    <col min="6" max="6" width="13.5703125" customWidth="1"/>
    <col min="7" max="7" width="12.42578125" customWidth="1"/>
    <col min="8" max="8" width="13.5703125" customWidth="1"/>
    <col min="9" max="17" width="13.28515625" customWidth="1"/>
    <col min="18" max="18" width="18.85546875" customWidth="1"/>
    <col min="19" max="19" width="9.7109375" customWidth="1"/>
    <col min="20" max="20" width="15.85546875" customWidth="1"/>
    <col min="21" max="21" width="16.5703125" customWidth="1"/>
    <col min="22" max="22" width="16.7109375" customWidth="1"/>
    <col min="23" max="27" width="8.7109375" customWidth="1"/>
  </cols>
  <sheetData>
    <row r="1" spans="1:27" ht="45" customHeight="1">
      <c r="A1" s="1"/>
      <c r="B1" s="1"/>
      <c r="C1" s="1"/>
      <c r="D1" s="1"/>
      <c r="E1" s="1"/>
      <c r="F1" s="2"/>
      <c r="G1" s="2"/>
      <c r="H1" s="3"/>
      <c r="I1" s="4"/>
      <c r="J1" s="3"/>
      <c r="K1" s="3"/>
      <c r="L1" s="3"/>
      <c r="M1" s="3"/>
      <c r="N1" s="3"/>
      <c r="O1" s="3"/>
      <c r="P1" s="3"/>
      <c r="Q1" s="3"/>
      <c r="R1" s="4"/>
      <c r="S1" s="1"/>
      <c r="T1" s="4"/>
      <c r="U1" s="4"/>
      <c r="V1" s="4"/>
      <c r="W1" s="1"/>
      <c r="X1" s="1"/>
      <c r="Y1" s="1"/>
      <c r="Z1" s="1"/>
      <c r="AA1" s="1"/>
    </row>
    <row r="2" spans="1:27" ht="15.75">
      <c r="A2" s="5"/>
      <c r="B2" s="6"/>
      <c r="C2" s="6"/>
      <c r="D2" s="6"/>
      <c r="E2" s="7"/>
      <c r="F2" s="8" t="s">
        <v>0</v>
      </c>
      <c r="G2" s="8" t="s">
        <v>1</v>
      </c>
      <c r="H2" s="8" t="s">
        <v>2</v>
      </c>
      <c r="I2" s="8" t="s">
        <v>3</v>
      </c>
      <c r="J2" s="8" t="s">
        <v>4</v>
      </c>
      <c r="K2" s="8" t="s">
        <v>5</v>
      </c>
      <c r="L2" s="8" t="s">
        <v>6</v>
      </c>
      <c r="M2" s="8" t="s">
        <v>7</v>
      </c>
      <c r="N2" s="8" t="s">
        <v>8</v>
      </c>
      <c r="O2" s="8" t="s">
        <v>9</v>
      </c>
      <c r="P2" s="8" t="s">
        <v>10</v>
      </c>
      <c r="Q2" s="8" t="s">
        <v>11</v>
      </c>
      <c r="R2" s="9">
        <v>2026</v>
      </c>
      <c r="S2" s="10"/>
      <c r="T2" s="8" t="s">
        <v>12</v>
      </c>
      <c r="U2" s="8" t="s">
        <v>13</v>
      </c>
      <c r="V2" s="8">
        <v>2024</v>
      </c>
      <c r="W2" s="5"/>
      <c r="X2" s="5"/>
      <c r="Y2" s="5"/>
      <c r="Z2" s="5"/>
      <c r="AA2" s="5"/>
    </row>
    <row r="3" spans="1:27" ht="5.25" customHeight="1">
      <c r="A3" s="11"/>
      <c r="B3" s="12"/>
      <c r="C3" s="12"/>
      <c r="D3" s="13"/>
      <c r="E3" s="12"/>
      <c r="F3" s="12"/>
      <c r="G3" s="12"/>
      <c r="H3" s="12"/>
      <c r="I3" s="14"/>
      <c r="J3" s="12"/>
      <c r="K3" s="12"/>
      <c r="L3" s="12"/>
      <c r="M3" s="12"/>
      <c r="N3" s="12"/>
      <c r="O3" s="12"/>
      <c r="P3" s="12"/>
      <c r="Q3" s="12"/>
      <c r="R3" s="15"/>
      <c r="S3" s="16"/>
      <c r="T3" s="17"/>
      <c r="U3" s="17"/>
      <c r="V3" s="17"/>
      <c r="W3" s="18"/>
      <c r="X3" s="18"/>
      <c r="Y3" s="18"/>
      <c r="Z3" s="18"/>
      <c r="AA3" s="18"/>
    </row>
    <row r="4" spans="1:27">
      <c r="A4" s="11"/>
      <c r="B4" s="19" t="s">
        <v>14</v>
      </c>
      <c r="C4" s="20"/>
      <c r="D4" s="21"/>
      <c r="E4" s="20"/>
      <c r="F4" s="22">
        <f t="shared" ref="F4:R4" ca="1" si="0">F5+F8+F11+F14+F15+F16+F17+F21+F22+F23</f>
        <v>1686702.629881999</v>
      </c>
      <c r="G4" s="22">
        <f t="shared" ca="1" si="0"/>
        <v>1279880.2365419997</v>
      </c>
      <c r="H4" s="22">
        <f t="shared" ca="1" si="0"/>
        <v>1452060.5651819985</v>
      </c>
      <c r="I4" s="23">
        <f t="shared" ca="1" si="0"/>
        <v>1422561.47951</v>
      </c>
      <c r="J4" s="22">
        <f t="shared" ca="1" si="0"/>
        <v>1596280.5676409989</v>
      </c>
      <c r="K4" s="22">
        <f t="shared" ca="1" si="0"/>
        <v>1566051.9602569987</v>
      </c>
      <c r="L4" s="22">
        <f t="shared" ca="1" si="0"/>
        <v>1647475.2447529996</v>
      </c>
      <c r="M4" s="22">
        <f t="shared" ca="1" si="0"/>
        <v>1388629.2929740003</v>
      </c>
      <c r="N4" s="22">
        <f t="shared" ca="1" si="0"/>
        <v>0</v>
      </c>
      <c r="O4" s="22">
        <f t="shared" ca="1" si="0"/>
        <v>0</v>
      </c>
      <c r="P4" s="22">
        <f t="shared" ca="1" si="0"/>
        <v>0</v>
      </c>
      <c r="Q4" s="22">
        <f t="shared" ca="1" si="0"/>
        <v>0</v>
      </c>
      <c r="R4" s="24">
        <f t="shared" ca="1" si="0"/>
        <v>12039641.976740995</v>
      </c>
      <c r="S4" s="25"/>
      <c r="T4" s="22">
        <f t="shared" ref="T4:T115" ca="1" si="1">SUM(F4:K4)</f>
        <v>9003537.4390139952</v>
      </c>
      <c r="U4" s="22">
        <f t="shared" ref="U4:U115" ca="1" si="2">SUM(L4:Q4)</f>
        <v>3036104.5377270002</v>
      </c>
      <c r="V4" s="22">
        <f t="shared" ref="V4:V57" ca="1" si="3">T4+U4</f>
        <v>12039641.976740995</v>
      </c>
      <c r="W4" s="11"/>
      <c r="X4" s="11"/>
      <c r="Y4" s="11"/>
      <c r="Z4" s="11"/>
      <c r="AA4" s="11"/>
    </row>
    <row r="5" spans="1:27" outlineLevel="1" collapsed="1">
      <c r="A5" s="26"/>
      <c r="B5" s="27"/>
      <c r="C5" s="27" t="s">
        <v>15</v>
      </c>
      <c r="D5" s="28"/>
      <c r="E5" s="27"/>
      <c r="F5" s="29">
        <f t="shared" ref="F5:R5" si="4">SUM(F6:F7)</f>
        <v>858569.87</v>
      </c>
      <c r="G5" s="29">
        <f t="shared" si="4"/>
        <v>598623.73999999987</v>
      </c>
      <c r="H5" s="29">
        <f t="shared" si="4"/>
        <v>606841.34</v>
      </c>
      <c r="I5" s="29">
        <f t="shared" si="4"/>
        <v>632427.22</v>
      </c>
      <c r="J5" s="29">
        <f t="shared" si="4"/>
        <v>530748.99</v>
      </c>
      <c r="K5" s="29">
        <f t="shared" si="4"/>
        <v>750091.11</v>
      </c>
      <c r="L5" s="29">
        <f t="shared" si="4"/>
        <v>765899.30999999994</v>
      </c>
      <c r="M5" s="29">
        <f t="shared" si="4"/>
        <v>606346.88000000012</v>
      </c>
      <c r="N5" s="29">
        <f t="shared" si="4"/>
        <v>0</v>
      </c>
      <c r="O5" s="29">
        <f t="shared" si="4"/>
        <v>0</v>
      </c>
      <c r="P5" s="29">
        <f t="shared" si="4"/>
        <v>0</v>
      </c>
      <c r="Q5" s="29">
        <f t="shared" si="4"/>
        <v>0</v>
      </c>
      <c r="R5" s="30">
        <f t="shared" si="4"/>
        <v>5349548.459999999</v>
      </c>
      <c r="S5" s="31"/>
      <c r="T5" s="29">
        <f t="shared" si="1"/>
        <v>3977302.27</v>
      </c>
      <c r="U5" s="29">
        <f t="shared" si="2"/>
        <v>1372246.19</v>
      </c>
      <c r="V5" s="29">
        <f t="shared" si="3"/>
        <v>5349548.46</v>
      </c>
      <c r="W5" s="26"/>
      <c r="X5" s="26"/>
      <c r="Y5" s="26"/>
      <c r="Z5" s="26"/>
      <c r="AA5" s="26"/>
    </row>
    <row r="6" spans="1:27" hidden="1" outlineLevel="2">
      <c r="A6" s="32"/>
      <c r="B6" s="33"/>
      <c r="C6" s="33"/>
      <c r="D6" s="33" t="s">
        <v>16</v>
      </c>
      <c r="E6" s="33"/>
      <c r="F6" s="34">
        <f>'Cálculos de Impostos'!F6</f>
        <v>742596.16</v>
      </c>
      <c r="G6" s="34">
        <f>'Cálculos de Impostos'!G6</f>
        <v>520688.7099999999</v>
      </c>
      <c r="H6" s="34">
        <f>'Cálculos de Impostos'!H6</f>
        <v>578703</v>
      </c>
      <c r="I6" s="34">
        <f>'Cálculos de Impostos'!I6</f>
        <v>609147.53999999992</v>
      </c>
      <c r="J6" s="34">
        <f>'Cálculos de Impostos'!J6</f>
        <v>518335.48999999993</v>
      </c>
      <c r="K6" s="34">
        <f>'Cálculos de Impostos'!K6</f>
        <v>638364.5</v>
      </c>
      <c r="L6" s="34">
        <f>'Cálculos de Impostos'!L6</f>
        <v>678311.33</v>
      </c>
      <c r="M6" s="34">
        <f>'Cálculos de Impostos'!M6</f>
        <v>534530.06000000006</v>
      </c>
      <c r="N6" s="34">
        <f>'Cálculos de Impostos'!N6</f>
        <v>0</v>
      </c>
      <c r="O6" s="34">
        <f>'Cálculos de Impostos'!O6</f>
        <v>0</v>
      </c>
      <c r="P6" s="34">
        <f>'Cálculos de Impostos'!P6</f>
        <v>0</v>
      </c>
      <c r="Q6" s="34">
        <f>'Cálculos de Impostos'!Q6</f>
        <v>0</v>
      </c>
      <c r="R6" s="35">
        <f t="shared" ref="R6:R7" si="5">SUM(F6:Q6)</f>
        <v>4820676.7899999991</v>
      </c>
      <c r="S6" s="36"/>
      <c r="T6" s="34">
        <f t="shared" si="1"/>
        <v>3607835.3999999994</v>
      </c>
      <c r="U6" s="34">
        <f t="shared" si="2"/>
        <v>1212841.3900000001</v>
      </c>
      <c r="V6" s="34">
        <f t="shared" si="3"/>
        <v>4820676.7899999991</v>
      </c>
      <c r="W6" s="32"/>
      <c r="X6" s="32"/>
      <c r="Y6" s="32"/>
      <c r="Z6" s="32"/>
      <c r="AA6" s="32"/>
    </row>
    <row r="7" spans="1:27" hidden="1" outlineLevel="2">
      <c r="A7" s="32"/>
      <c r="B7" s="33"/>
      <c r="C7" s="33"/>
      <c r="D7" s="33" t="s">
        <v>17</v>
      </c>
      <c r="E7" s="33"/>
      <c r="F7" s="34">
        <f>'Cálculos de Impostos'!F7</f>
        <v>115973.71</v>
      </c>
      <c r="G7" s="34">
        <f>'Cálculos de Impostos'!G7</f>
        <v>77935.03</v>
      </c>
      <c r="H7" s="34">
        <f>'Cálculos de Impostos'!H7</f>
        <v>28138.34</v>
      </c>
      <c r="I7" s="34">
        <f>'Cálculos de Impostos'!I7</f>
        <v>23279.68</v>
      </c>
      <c r="J7" s="34">
        <f>'Cálculos de Impostos'!J7</f>
        <v>12413.5</v>
      </c>
      <c r="K7" s="34">
        <f>'Cálculos de Impostos'!K7</f>
        <v>111726.61</v>
      </c>
      <c r="L7" s="34">
        <f>'Cálculos de Impostos'!L7</f>
        <v>87587.98</v>
      </c>
      <c r="M7" s="34">
        <f>'Cálculos de Impostos'!M7</f>
        <v>71816.820000000007</v>
      </c>
      <c r="N7" s="34">
        <f>'Cálculos de Impostos'!N7</f>
        <v>0</v>
      </c>
      <c r="O7" s="34">
        <f>'Cálculos de Impostos'!O7</f>
        <v>0</v>
      </c>
      <c r="P7" s="34">
        <f>'Cálculos de Impostos'!P7</f>
        <v>0</v>
      </c>
      <c r="Q7" s="34">
        <f>'Cálculos de Impostos'!Q7</f>
        <v>0</v>
      </c>
      <c r="R7" s="35">
        <f t="shared" si="5"/>
        <v>528871.66999999993</v>
      </c>
      <c r="S7" s="36"/>
      <c r="T7" s="34">
        <f t="shared" si="1"/>
        <v>369466.87</v>
      </c>
      <c r="U7" s="34">
        <f t="shared" si="2"/>
        <v>159404.79999999999</v>
      </c>
      <c r="V7" s="34">
        <f t="shared" si="3"/>
        <v>528871.66999999993</v>
      </c>
      <c r="W7" s="32"/>
      <c r="X7" s="32"/>
      <c r="Y7" s="32"/>
      <c r="Z7" s="32"/>
      <c r="AA7" s="32"/>
    </row>
    <row r="8" spans="1:27" outlineLevel="1" collapsed="1">
      <c r="A8" s="26"/>
      <c r="B8" s="27"/>
      <c r="C8" s="27" t="s">
        <v>18</v>
      </c>
      <c r="D8" s="28"/>
      <c r="E8" s="27"/>
      <c r="F8" s="29">
        <f t="shared" ref="F8:R8" si="6">SUM(F9:F10)</f>
        <v>53494.86</v>
      </c>
      <c r="G8" s="29">
        <f t="shared" si="6"/>
        <v>36027.51</v>
      </c>
      <c r="H8" s="29">
        <f t="shared" si="6"/>
        <v>40270.14</v>
      </c>
      <c r="I8" s="29">
        <f t="shared" si="6"/>
        <v>37264.5</v>
      </c>
      <c r="J8" s="29">
        <f t="shared" si="6"/>
        <v>36951.480000000003</v>
      </c>
      <c r="K8" s="29">
        <f t="shared" si="6"/>
        <v>46118.450000000004</v>
      </c>
      <c r="L8" s="29">
        <f t="shared" si="6"/>
        <v>45244.39</v>
      </c>
      <c r="M8" s="29">
        <f t="shared" si="6"/>
        <v>38702.04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30">
        <f t="shared" si="6"/>
        <v>334073.36999999994</v>
      </c>
      <c r="S8" s="31"/>
      <c r="T8" s="29">
        <f t="shared" si="1"/>
        <v>250126.94000000003</v>
      </c>
      <c r="U8" s="29">
        <f t="shared" si="2"/>
        <v>83946.43</v>
      </c>
      <c r="V8" s="29">
        <f t="shared" si="3"/>
        <v>334073.37</v>
      </c>
      <c r="W8" s="26"/>
      <c r="X8" s="26"/>
      <c r="Y8" s="26"/>
      <c r="Z8" s="26"/>
      <c r="AA8" s="26"/>
    </row>
    <row r="9" spans="1:27" hidden="1" outlineLevel="2">
      <c r="A9" s="32"/>
      <c r="B9" s="33"/>
      <c r="C9" s="33"/>
      <c r="D9" s="33" t="s">
        <v>19</v>
      </c>
      <c r="E9" s="33"/>
      <c r="F9" s="34">
        <f>'Cálculos de Impostos'!F9</f>
        <v>46209.41</v>
      </c>
      <c r="G9" s="34">
        <f>'Cálculos de Impostos'!G9</f>
        <v>30939.14</v>
      </c>
      <c r="H9" s="34">
        <f>'Cálculos de Impostos'!H9</f>
        <v>38474.080000000002</v>
      </c>
      <c r="I9" s="34">
        <f>'Cálculos de Impostos'!I9</f>
        <v>35766.61</v>
      </c>
      <c r="J9" s="34">
        <f>'Cálculos de Impostos'!J9</f>
        <v>32874.720000000001</v>
      </c>
      <c r="K9" s="34">
        <f>'Cálculos de Impostos'!K9</f>
        <v>44826.720000000001</v>
      </c>
      <c r="L9" s="34">
        <f>'Cálculos de Impostos'!L9</f>
        <v>43952.659999999996</v>
      </c>
      <c r="M9" s="34">
        <f>'Cálculos de Impostos'!M9</f>
        <v>36368.870000000003</v>
      </c>
      <c r="N9" s="34">
        <f>'Cálculos de Impostos'!N9</f>
        <v>0</v>
      </c>
      <c r="O9" s="34">
        <f>'Cálculos de Impostos'!O9</f>
        <v>0</v>
      </c>
      <c r="P9" s="34">
        <f>'Cálculos de Impostos'!P9</f>
        <v>0</v>
      </c>
      <c r="Q9" s="34">
        <f>'Cálculos de Impostos'!Q9</f>
        <v>0</v>
      </c>
      <c r="R9" s="35">
        <f t="shared" ref="R9:R10" si="7">SUM(F9:Q9)</f>
        <v>309412.20999999996</v>
      </c>
      <c r="S9" s="36"/>
      <c r="T9" s="34">
        <f t="shared" si="1"/>
        <v>229090.68</v>
      </c>
      <c r="U9" s="34">
        <f t="shared" si="2"/>
        <v>80321.53</v>
      </c>
      <c r="V9" s="34">
        <f t="shared" si="3"/>
        <v>309412.20999999996</v>
      </c>
      <c r="W9" s="32"/>
      <c r="X9" s="32"/>
      <c r="Y9" s="32"/>
      <c r="Z9" s="32"/>
      <c r="AA9" s="32"/>
    </row>
    <row r="10" spans="1:27" hidden="1" outlineLevel="2">
      <c r="A10" s="32"/>
      <c r="B10" s="33"/>
      <c r="C10" s="33"/>
      <c r="D10" s="33" t="s">
        <v>20</v>
      </c>
      <c r="E10" s="33"/>
      <c r="F10" s="34">
        <f>'Cálculos de Impostos'!F10</f>
        <v>7285.45</v>
      </c>
      <c r="G10" s="34">
        <f>'Cálculos de Impostos'!G10</f>
        <v>5088.37</v>
      </c>
      <c r="H10" s="34">
        <f>'Cálculos de Impostos'!H10</f>
        <v>1796.06</v>
      </c>
      <c r="I10" s="34">
        <f>'Cálculos de Impostos'!I10</f>
        <v>1497.89</v>
      </c>
      <c r="J10" s="34">
        <f>'Cálculos de Impostos'!J10</f>
        <v>4076.76</v>
      </c>
      <c r="K10" s="34">
        <f>'Cálculos de Impostos'!K10</f>
        <v>1291.73</v>
      </c>
      <c r="L10" s="34">
        <f>'Cálculos de Impostos'!L10</f>
        <v>1291.73</v>
      </c>
      <c r="M10" s="34">
        <f>'Cálculos de Impostos'!M10</f>
        <v>2333.17</v>
      </c>
      <c r="N10" s="34">
        <f>'Cálculos de Impostos'!N10</f>
        <v>0</v>
      </c>
      <c r="O10" s="34">
        <f>'Cálculos de Impostos'!O10</f>
        <v>0</v>
      </c>
      <c r="P10" s="34">
        <f>'Cálculos de Impostos'!P10</f>
        <v>0</v>
      </c>
      <c r="Q10" s="34">
        <f>'Cálculos de Impostos'!Q10</f>
        <v>0</v>
      </c>
      <c r="R10" s="35">
        <f t="shared" si="7"/>
        <v>24661.159999999996</v>
      </c>
      <c r="S10" s="36"/>
      <c r="T10" s="34">
        <f t="shared" si="1"/>
        <v>21036.26</v>
      </c>
      <c r="U10" s="34">
        <f t="shared" si="2"/>
        <v>3624.9</v>
      </c>
      <c r="V10" s="34">
        <f t="shared" si="3"/>
        <v>24661.16</v>
      </c>
      <c r="W10" s="32"/>
      <c r="X10" s="32"/>
      <c r="Y10" s="32"/>
      <c r="Z10" s="32"/>
      <c r="AA10" s="32"/>
    </row>
    <row r="11" spans="1:27" outlineLevel="1" collapsed="1">
      <c r="A11" s="26"/>
      <c r="B11" s="27"/>
      <c r="C11" s="27" t="s">
        <v>21</v>
      </c>
      <c r="D11" s="28"/>
      <c r="E11" s="27"/>
      <c r="F11" s="29">
        <f t="shared" ref="F11:R11" si="8">F12+F13</f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30">
        <f t="shared" si="8"/>
        <v>0</v>
      </c>
      <c r="S11" s="31"/>
      <c r="T11" s="29">
        <f t="shared" si="1"/>
        <v>0</v>
      </c>
      <c r="U11" s="29">
        <f t="shared" si="2"/>
        <v>0</v>
      </c>
      <c r="V11" s="29">
        <f t="shared" si="3"/>
        <v>0</v>
      </c>
      <c r="W11" s="26"/>
      <c r="X11" s="26"/>
      <c r="Y11" s="26"/>
      <c r="Z11" s="26"/>
      <c r="AA11" s="26"/>
    </row>
    <row r="12" spans="1:27" hidden="1" outlineLevel="2">
      <c r="A12" s="37"/>
      <c r="B12" s="38"/>
      <c r="C12" s="38"/>
      <c r="D12" s="38" t="s">
        <v>22</v>
      </c>
      <c r="E12" s="33"/>
      <c r="F12" s="34">
        <f>'Cálculos de Impostos'!F12</f>
        <v>0</v>
      </c>
      <c r="G12" s="34">
        <f>'Cálculos de Impostos'!G12</f>
        <v>0</v>
      </c>
      <c r="H12" s="34">
        <f>'Cálculos de Impostos'!H12</f>
        <v>0</v>
      </c>
      <c r="I12" s="34">
        <f>'Cálculos de Impostos'!I12</f>
        <v>0</v>
      </c>
      <c r="J12" s="34">
        <f>'Cálculos de Impostos'!J12</f>
        <v>0</v>
      </c>
      <c r="K12" s="34">
        <f>'Cálculos de Impostos'!K12</f>
        <v>0</v>
      </c>
      <c r="L12" s="34">
        <f>'Cálculos de Impostos'!L12</f>
        <v>0</v>
      </c>
      <c r="M12" s="34">
        <f>'Cálculos de Impostos'!M12</f>
        <v>0</v>
      </c>
      <c r="N12" s="34">
        <f>'Cálculos de Impostos'!N12</f>
        <v>0</v>
      </c>
      <c r="O12" s="34">
        <f>'Cálculos de Impostos'!O12</f>
        <v>0</v>
      </c>
      <c r="P12" s="34">
        <f>'Cálculos de Impostos'!P12</f>
        <v>0</v>
      </c>
      <c r="Q12" s="34">
        <f>'Cálculos de Impostos'!Q12</f>
        <v>0</v>
      </c>
      <c r="R12" s="35">
        <f t="shared" ref="R12:R16" si="9">SUM(F12:Q12)</f>
        <v>0</v>
      </c>
      <c r="S12" s="36"/>
      <c r="T12" s="34">
        <f t="shared" si="1"/>
        <v>0</v>
      </c>
      <c r="U12" s="34">
        <f t="shared" si="2"/>
        <v>0</v>
      </c>
      <c r="V12" s="34">
        <f t="shared" si="3"/>
        <v>0</v>
      </c>
      <c r="W12" s="32"/>
      <c r="X12" s="32"/>
      <c r="Y12" s="32"/>
      <c r="Z12" s="32"/>
      <c r="AA12" s="32"/>
    </row>
    <row r="13" spans="1:27" hidden="1" outlineLevel="2">
      <c r="A13" s="37"/>
      <c r="B13" s="38"/>
      <c r="C13" s="38"/>
      <c r="D13" s="38" t="s">
        <v>23</v>
      </c>
      <c r="E13" s="33"/>
      <c r="F13" s="34">
        <f>'Cálculos de Impostos'!F13</f>
        <v>0</v>
      </c>
      <c r="G13" s="34">
        <f>'Cálculos de Impostos'!G13</f>
        <v>0</v>
      </c>
      <c r="H13" s="34">
        <f>'Cálculos de Impostos'!H13</f>
        <v>0</v>
      </c>
      <c r="I13" s="34">
        <f>'Cálculos de Impostos'!I13</f>
        <v>0</v>
      </c>
      <c r="J13" s="34">
        <f>'Cálculos de Impostos'!J13</f>
        <v>0</v>
      </c>
      <c r="K13" s="34">
        <f>'Cálculos de Impostos'!K13</f>
        <v>0</v>
      </c>
      <c r="L13" s="34">
        <f>'Cálculos de Impostos'!L13</f>
        <v>0</v>
      </c>
      <c r="M13" s="34">
        <f>'Cálculos de Impostos'!M13</f>
        <v>0</v>
      </c>
      <c r="N13" s="34">
        <f>'Cálculos de Impostos'!N13</f>
        <v>0</v>
      </c>
      <c r="O13" s="34">
        <f>'Cálculos de Impostos'!O13</f>
        <v>0</v>
      </c>
      <c r="P13" s="34">
        <f>'Cálculos de Impostos'!P13</f>
        <v>0</v>
      </c>
      <c r="Q13" s="34">
        <f>'Cálculos de Impostos'!Q13</f>
        <v>0</v>
      </c>
      <c r="R13" s="35">
        <f t="shared" si="9"/>
        <v>0</v>
      </c>
      <c r="S13" s="36"/>
      <c r="T13" s="34">
        <f t="shared" si="1"/>
        <v>0</v>
      </c>
      <c r="U13" s="34">
        <f t="shared" si="2"/>
        <v>0</v>
      </c>
      <c r="V13" s="34">
        <f t="shared" si="3"/>
        <v>0</v>
      </c>
      <c r="W13" s="32"/>
      <c r="X13" s="32"/>
      <c r="Y13" s="32"/>
      <c r="Z13" s="32"/>
      <c r="AA13" s="32"/>
    </row>
    <row r="14" spans="1:27" outlineLevel="1">
      <c r="A14" s="26"/>
      <c r="B14" s="27"/>
      <c r="C14" s="27" t="s">
        <v>24</v>
      </c>
      <c r="D14" s="28"/>
      <c r="E14" s="27"/>
      <c r="F14" s="29">
        <f>'Cálculos de Impostos'!F14</f>
        <v>0</v>
      </c>
      <c r="G14" s="29">
        <f>'Cálculos de Impostos'!G14</f>
        <v>0</v>
      </c>
      <c r="H14" s="29">
        <f>'Cálculos de Impostos'!H14</f>
        <v>0</v>
      </c>
      <c r="I14" s="29">
        <f>'Cálculos de Impostos'!I14</f>
        <v>0</v>
      </c>
      <c r="J14" s="29">
        <f>'Cálculos de Impostos'!J14</f>
        <v>0</v>
      </c>
      <c r="K14" s="29">
        <f>'Cálculos de Impostos'!K14</f>
        <v>0</v>
      </c>
      <c r="L14" s="29">
        <f>'Cálculos de Impostos'!L14</f>
        <v>0</v>
      </c>
      <c r="M14" s="29">
        <f>'Cálculos de Impostos'!M14</f>
        <v>0</v>
      </c>
      <c r="N14" s="29">
        <f>'Cálculos de Impostos'!N14</f>
        <v>0</v>
      </c>
      <c r="O14" s="29">
        <f>'Cálculos de Impostos'!O14</f>
        <v>0</v>
      </c>
      <c r="P14" s="29">
        <f>'Cálculos de Impostos'!P14</f>
        <v>0</v>
      </c>
      <c r="Q14" s="29">
        <f>'Cálculos de Impostos'!Q14</f>
        <v>0</v>
      </c>
      <c r="R14" s="30">
        <f t="shared" si="9"/>
        <v>0</v>
      </c>
      <c r="S14" s="31"/>
      <c r="T14" s="29">
        <f t="shared" si="1"/>
        <v>0</v>
      </c>
      <c r="U14" s="29">
        <f t="shared" si="2"/>
        <v>0</v>
      </c>
      <c r="V14" s="29">
        <f t="shared" si="3"/>
        <v>0</v>
      </c>
      <c r="W14" s="26"/>
      <c r="X14" s="26"/>
      <c r="Y14" s="26"/>
      <c r="Z14" s="26"/>
      <c r="AA14" s="26"/>
    </row>
    <row r="15" spans="1:27" outlineLevel="1">
      <c r="A15" s="26"/>
      <c r="B15" s="27"/>
      <c r="C15" s="27" t="s">
        <v>25</v>
      </c>
      <c r="D15" s="28"/>
      <c r="E15" s="27"/>
      <c r="F15" s="29">
        <f ca="1">'Cálculos de Impostos'!F15</f>
        <v>435100.22167999897</v>
      </c>
      <c r="G15" s="29">
        <f ca="1">'Cálculos de Impostos'!G15</f>
        <v>385150.4877</v>
      </c>
      <c r="H15" s="29">
        <f ca="1">'Cálculos de Impostos'!H15</f>
        <v>538232.08999999904</v>
      </c>
      <c r="I15" s="29">
        <f ca="1">'Cálculos de Impostos'!I15</f>
        <v>487174.31091999996</v>
      </c>
      <c r="J15" s="29">
        <f ca="1">'Cálculos de Impostos'!J15</f>
        <v>486610.35334599897</v>
      </c>
      <c r="K15" s="29">
        <f ca="1">'Cálculos de Impostos'!K15</f>
        <v>486259.17779999902</v>
      </c>
      <c r="L15" s="29">
        <f ca="1">'Cálculos de Impostos'!L15</f>
        <v>517608.19517300004</v>
      </c>
      <c r="M15" s="29">
        <f ca="1">'Cálculos de Impostos'!M15</f>
        <v>467285.15</v>
      </c>
      <c r="N15" s="29">
        <f>'Cálculos de Impostos'!N15</f>
        <v>0</v>
      </c>
      <c r="O15" s="29">
        <f>'Cálculos de Impostos'!O15</f>
        <v>0</v>
      </c>
      <c r="P15" s="29">
        <f>'Cálculos de Impostos'!P15</f>
        <v>0</v>
      </c>
      <c r="Q15" s="29">
        <f>'Cálculos de Impostos'!Q15</f>
        <v>0</v>
      </c>
      <c r="R15" s="30">
        <f t="shared" ca="1" si="9"/>
        <v>3803419.9866189961</v>
      </c>
      <c r="S15" s="39"/>
      <c r="T15" s="29">
        <f t="shared" ca="1" si="1"/>
        <v>2818526.6414459962</v>
      </c>
      <c r="U15" s="29">
        <f t="shared" ca="1" si="2"/>
        <v>984893.34517300013</v>
      </c>
      <c r="V15" s="29">
        <f t="shared" ca="1" si="3"/>
        <v>3803419.9866189966</v>
      </c>
      <c r="W15" s="26"/>
      <c r="X15" s="26"/>
      <c r="Y15" s="26"/>
      <c r="Z15" s="26"/>
      <c r="AA15" s="26"/>
    </row>
    <row r="16" spans="1:27" outlineLevel="1">
      <c r="A16" s="26"/>
      <c r="B16" s="27"/>
      <c r="C16" s="27" t="s">
        <v>26</v>
      </c>
      <c r="D16" s="28"/>
      <c r="E16" s="27"/>
      <c r="F16" s="29">
        <f>'Cálculos de Impostos'!F16</f>
        <v>76119.7</v>
      </c>
      <c r="G16" s="29">
        <f>'Cálculos de Impostos'!G16</f>
        <v>73017</v>
      </c>
      <c r="H16" s="29">
        <f>'Cálculos de Impostos'!H16</f>
        <v>71232.899999999994</v>
      </c>
      <c r="I16" s="29">
        <f>'Cálculos de Impostos'!I16</f>
        <v>70336.100000000006</v>
      </c>
      <c r="J16" s="29">
        <f>'Cálculos de Impostos'!J16</f>
        <v>73790.3</v>
      </c>
      <c r="K16" s="29">
        <f>'Cálculos de Impostos'!K16</f>
        <v>73663</v>
      </c>
      <c r="L16" s="29">
        <f>'Cálculos de Impostos'!L16</f>
        <v>76239.399999999994</v>
      </c>
      <c r="M16" s="29">
        <f>'Cálculos de Impostos'!M16</f>
        <v>77537.100000000006</v>
      </c>
      <c r="N16" s="29">
        <f>'Cálculos de Impostos'!N16</f>
        <v>0</v>
      </c>
      <c r="O16" s="29">
        <f>'Cálculos de Impostos'!O16</f>
        <v>0</v>
      </c>
      <c r="P16" s="29">
        <f>'Cálculos de Impostos'!P16</f>
        <v>0</v>
      </c>
      <c r="Q16" s="29">
        <f>'Cálculos de Impostos'!Q16</f>
        <v>0</v>
      </c>
      <c r="R16" s="30">
        <f t="shared" si="9"/>
        <v>591935.5</v>
      </c>
      <c r="S16" s="31"/>
      <c r="T16" s="29">
        <f t="shared" si="1"/>
        <v>438159</v>
      </c>
      <c r="U16" s="29">
        <f t="shared" si="2"/>
        <v>153776.5</v>
      </c>
      <c r="V16" s="29">
        <f t="shared" si="3"/>
        <v>591935.5</v>
      </c>
      <c r="W16" s="26"/>
      <c r="X16" s="26"/>
      <c r="Y16" s="26"/>
      <c r="Z16" s="26"/>
      <c r="AA16" s="26"/>
    </row>
    <row r="17" spans="1:27" outlineLevel="1" collapsed="1">
      <c r="A17" s="26"/>
      <c r="B17" s="27"/>
      <c r="C17" s="27" t="s">
        <v>27</v>
      </c>
      <c r="D17" s="28"/>
      <c r="E17" s="27"/>
      <c r="F17" s="29">
        <f t="shared" ref="F17:R17" si="10">F18+F19+F20</f>
        <v>175537.31</v>
      </c>
      <c r="G17" s="29">
        <f t="shared" si="10"/>
        <v>105459.15</v>
      </c>
      <c r="H17" s="29">
        <f t="shared" si="10"/>
        <v>115377.65</v>
      </c>
      <c r="I17" s="29">
        <f t="shared" si="10"/>
        <v>107690.23</v>
      </c>
      <c r="J17" s="29">
        <f t="shared" si="10"/>
        <v>125373.64</v>
      </c>
      <c r="K17" s="29">
        <f t="shared" si="10"/>
        <v>130235.64</v>
      </c>
      <c r="L17" s="29">
        <f t="shared" si="10"/>
        <v>159580.32999999999</v>
      </c>
      <c r="M17" s="29">
        <f t="shared" si="10"/>
        <v>110404.66999999998</v>
      </c>
      <c r="N17" s="29">
        <f t="shared" si="10"/>
        <v>0</v>
      </c>
      <c r="O17" s="29">
        <f t="shared" si="10"/>
        <v>0</v>
      </c>
      <c r="P17" s="29">
        <f t="shared" si="10"/>
        <v>0</v>
      </c>
      <c r="Q17" s="29">
        <f t="shared" si="10"/>
        <v>0</v>
      </c>
      <c r="R17" s="30">
        <f t="shared" si="10"/>
        <v>1029658.6199999998</v>
      </c>
      <c r="S17" s="31"/>
      <c r="T17" s="29">
        <f t="shared" si="1"/>
        <v>759673.62</v>
      </c>
      <c r="U17" s="29">
        <f t="shared" si="2"/>
        <v>269985</v>
      </c>
      <c r="V17" s="29">
        <f t="shared" si="3"/>
        <v>1029658.62</v>
      </c>
      <c r="W17" s="26"/>
      <c r="X17" s="26"/>
      <c r="Y17" s="26"/>
      <c r="Z17" s="26"/>
      <c r="AA17" s="26"/>
    </row>
    <row r="18" spans="1:27" hidden="1" outlineLevel="2">
      <c r="A18" s="32"/>
      <c r="B18" s="33"/>
      <c r="C18" s="33"/>
      <c r="D18" s="33" t="s">
        <v>28</v>
      </c>
      <c r="E18" s="33"/>
      <c r="F18" s="34">
        <f>'Cálculos de Impostos'!F18</f>
        <v>33721.79</v>
      </c>
      <c r="G18" s="34">
        <f>'Cálculos de Impostos'!G18</f>
        <v>29503.82</v>
      </c>
      <c r="H18" s="34">
        <f>'Cálculos de Impostos'!H18</f>
        <v>37861.57</v>
      </c>
      <c r="I18" s="34">
        <f>'Cálculos de Impostos'!I18</f>
        <v>31977.18</v>
      </c>
      <c r="J18" s="34">
        <f>'Cálculos de Impostos'!J18</f>
        <v>32255.93</v>
      </c>
      <c r="K18" s="34">
        <f>'Cálculos de Impostos'!K18</f>
        <v>37591.019999999997</v>
      </c>
      <c r="L18" s="34">
        <f>'Cálculos de Impostos'!L18</f>
        <v>39603.360000000001</v>
      </c>
      <c r="M18" s="34">
        <f>'Cálculos de Impostos'!M18</f>
        <v>36696.369999999995</v>
      </c>
      <c r="N18" s="34">
        <f>'Cálculos de Impostos'!N18</f>
        <v>0</v>
      </c>
      <c r="O18" s="34">
        <f>'Cálculos de Impostos'!O18</f>
        <v>0</v>
      </c>
      <c r="P18" s="34">
        <f>'Cálculos de Impostos'!P18</f>
        <v>0</v>
      </c>
      <c r="Q18" s="34">
        <f>'Cálculos de Impostos'!Q18</f>
        <v>0</v>
      </c>
      <c r="R18" s="35">
        <f t="shared" ref="R18:R22" si="11">SUM(F18:Q18)</f>
        <v>279211.03999999998</v>
      </c>
      <c r="S18" s="36"/>
      <c r="T18" s="34">
        <f t="shared" si="1"/>
        <v>202911.30999999997</v>
      </c>
      <c r="U18" s="34">
        <f t="shared" si="2"/>
        <v>76299.73</v>
      </c>
      <c r="V18" s="34">
        <f t="shared" si="3"/>
        <v>279211.03999999998</v>
      </c>
      <c r="W18" s="32"/>
      <c r="X18" s="32"/>
      <c r="Y18" s="32"/>
      <c r="Z18" s="32"/>
      <c r="AA18" s="32"/>
    </row>
    <row r="19" spans="1:27" hidden="1" outlineLevel="2">
      <c r="A19" s="32"/>
      <c r="B19" s="33"/>
      <c r="C19" s="33"/>
      <c r="D19" s="33" t="s">
        <v>29</v>
      </c>
      <c r="E19" s="33"/>
      <c r="F19" s="34">
        <f>'Cálculos de Impostos'!F19</f>
        <v>138056.49</v>
      </c>
      <c r="G19" s="34">
        <f>'Cálculos de Impostos'!G19</f>
        <v>72990.739999999991</v>
      </c>
      <c r="H19" s="34">
        <f>'Cálculos de Impostos'!H19</f>
        <v>73001.08</v>
      </c>
      <c r="I19" s="34">
        <f>'Cálculos de Impostos'!I19</f>
        <v>73181.66</v>
      </c>
      <c r="J19" s="34">
        <f>'Cálculos de Impostos'!J19</f>
        <v>90920.72</v>
      </c>
      <c r="K19" s="34">
        <f>'Cálculos de Impostos'!K19</f>
        <v>89856.48000000001</v>
      </c>
      <c r="L19" s="34">
        <f>'Cálculos de Impostos'!L19</f>
        <v>116286.7</v>
      </c>
      <c r="M19" s="34">
        <f>'Cálculos de Impostos'!M19</f>
        <v>70079.12</v>
      </c>
      <c r="N19" s="34">
        <f>'Cálculos de Impostos'!N19</f>
        <v>0</v>
      </c>
      <c r="O19" s="34">
        <f>'Cálculos de Impostos'!O19</f>
        <v>0</v>
      </c>
      <c r="P19" s="34">
        <f>'Cálculos de Impostos'!P19</f>
        <v>0</v>
      </c>
      <c r="Q19" s="34">
        <f>'Cálculos de Impostos'!Q19</f>
        <v>0</v>
      </c>
      <c r="R19" s="35">
        <f t="shared" si="11"/>
        <v>724372.98999999987</v>
      </c>
      <c r="S19" s="36"/>
      <c r="T19" s="34">
        <f t="shared" si="1"/>
        <v>538007.16999999993</v>
      </c>
      <c r="U19" s="34">
        <f t="shared" si="2"/>
        <v>186365.82</v>
      </c>
      <c r="V19" s="34">
        <f t="shared" si="3"/>
        <v>724372.99</v>
      </c>
      <c r="W19" s="32"/>
      <c r="X19" s="32"/>
      <c r="Y19" s="32"/>
      <c r="Z19" s="32"/>
      <c r="AA19" s="32"/>
    </row>
    <row r="20" spans="1:27" hidden="1" outlineLevel="2">
      <c r="A20" s="32"/>
      <c r="B20" s="33"/>
      <c r="C20" s="33"/>
      <c r="D20" s="33" t="s">
        <v>30</v>
      </c>
      <c r="E20" s="33"/>
      <c r="F20" s="34">
        <f>'Cálculos de Impostos'!F20</f>
        <v>3759.03</v>
      </c>
      <c r="G20" s="34">
        <f>'Cálculos de Impostos'!G20</f>
        <v>2964.59</v>
      </c>
      <c r="H20" s="34">
        <f>'Cálculos de Impostos'!H20</f>
        <v>4515</v>
      </c>
      <c r="I20" s="34">
        <f>'Cálculos de Impostos'!I20</f>
        <v>2531.39</v>
      </c>
      <c r="J20" s="34">
        <f>'Cálculos de Impostos'!J20</f>
        <v>2196.9899999999998</v>
      </c>
      <c r="K20" s="34">
        <f>'Cálculos de Impostos'!K20</f>
        <v>2788.14</v>
      </c>
      <c r="L20" s="34">
        <f>'Cálculos de Impostos'!L20</f>
        <v>3690.27</v>
      </c>
      <c r="M20" s="34">
        <f>'Cálculos de Impostos'!M20</f>
        <v>3629.18</v>
      </c>
      <c r="N20" s="34">
        <f>'Cálculos de Impostos'!N20</f>
        <v>0</v>
      </c>
      <c r="O20" s="34">
        <f>'Cálculos de Impostos'!O20</f>
        <v>0</v>
      </c>
      <c r="P20" s="34">
        <f>'Cálculos de Impostos'!P20</f>
        <v>0</v>
      </c>
      <c r="Q20" s="34">
        <f>'Cálculos de Impostos'!Q20</f>
        <v>0</v>
      </c>
      <c r="R20" s="35">
        <f t="shared" si="11"/>
        <v>26074.59</v>
      </c>
      <c r="S20" s="36"/>
      <c r="T20" s="34">
        <f t="shared" si="1"/>
        <v>18755.14</v>
      </c>
      <c r="U20" s="34">
        <f t="shared" si="2"/>
        <v>7319.45</v>
      </c>
      <c r="V20" s="34">
        <f t="shared" si="3"/>
        <v>26074.59</v>
      </c>
      <c r="W20" s="32"/>
      <c r="X20" s="32"/>
      <c r="Y20" s="32"/>
      <c r="Z20" s="32"/>
      <c r="AA20" s="32"/>
    </row>
    <row r="21" spans="1:27" outlineLevel="1">
      <c r="A21" s="26"/>
      <c r="B21" s="27"/>
      <c r="C21" s="27" t="s">
        <v>31</v>
      </c>
      <c r="D21" s="28"/>
      <c r="E21" s="27"/>
      <c r="F21" s="29">
        <f ca="1">'Cálculos de Impostos'!F21</f>
        <v>3762.29</v>
      </c>
      <c r="G21" s="29">
        <f ca="1">'Cálculos de Impostos'!G21</f>
        <v>6307.8</v>
      </c>
      <c r="H21" s="29">
        <f ca="1">'Cálculos de Impostos'!H21</f>
        <v>6771.63</v>
      </c>
      <c r="I21" s="29">
        <f ca="1">'Cálculos de Impostos'!I21</f>
        <v>7115.56</v>
      </c>
      <c r="J21" s="29">
        <f ca="1">'Cálculos de Impostos'!J21</f>
        <v>263540.40999999997</v>
      </c>
      <c r="K21" s="29">
        <f ca="1">'Cálculos de Impostos'!K21</f>
        <v>12085.48</v>
      </c>
      <c r="L21" s="29">
        <f ca="1">'Cálculos de Impostos'!L21</f>
        <v>9083.4</v>
      </c>
      <c r="M21" s="29">
        <f ca="1">'Cálculos de Impostos'!M21</f>
        <v>10163.01</v>
      </c>
      <c r="N21" s="29">
        <f ca="1">'Cálculos de Impostos'!N21</f>
        <v>0</v>
      </c>
      <c r="O21" s="29">
        <f ca="1">'Cálculos de Impostos'!O21</f>
        <v>0</v>
      </c>
      <c r="P21" s="29">
        <f ca="1">'Cálculos de Impostos'!P21</f>
        <v>0</v>
      </c>
      <c r="Q21" s="29">
        <f ca="1">'Cálculos de Impostos'!Q21</f>
        <v>0</v>
      </c>
      <c r="R21" s="30">
        <f t="shared" ca="1" si="11"/>
        <v>318829.58</v>
      </c>
      <c r="S21" s="31"/>
      <c r="T21" s="29">
        <f t="shared" ca="1" si="1"/>
        <v>299583.17</v>
      </c>
      <c r="U21" s="29">
        <f t="shared" ca="1" si="2"/>
        <v>19246.41</v>
      </c>
      <c r="V21" s="29">
        <f t="shared" ca="1" si="3"/>
        <v>318829.57999999996</v>
      </c>
      <c r="W21" s="26"/>
      <c r="X21" s="26"/>
      <c r="Y21" s="26"/>
      <c r="Z21" s="26"/>
      <c r="AA21" s="26"/>
    </row>
    <row r="22" spans="1:27" outlineLevel="1">
      <c r="A22" s="26"/>
      <c r="B22" s="27"/>
      <c r="C22" s="27" t="s">
        <v>32</v>
      </c>
      <c r="D22" s="28"/>
      <c r="E22" s="27"/>
      <c r="F22" s="29">
        <f ca="1">'Cálculos de Impostos'!F22</f>
        <v>1640.5782019999999</v>
      </c>
      <c r="G22" s="29">
        <f ca="1">'Cálculos de Impostos'!G22</f>
        <v>1146.6088420000001</v>
      </c>
      <c r="H22" s="29">
        <f ca="1">'Cálculos de Impostos'!H22</f>
        <v>1200.1851819999999</v>
      </c>
      <c r="I22" s="29">
        <f ca="1">'Cálculos de Impostos'!I22</f>
        <v>220.52859000000001</v>
      </c>
      <c r="J22" s="29">
        <f ca="1">'Cálculos de Impostos'!J22</f>
        <v>146.88429500000001</v>
      </c>
      <c r="K22" s="29">
        <f ca="1">'Cálculos de Impostos'!K22</f>
        <v>984.60245699999996</v>
      </c>
      <c r="L22" s="29">
        <f ca="1">'Cálculos de Impostos'!L22</f>
        <v>2093.0595800000001</v>
      </c>
      <c r="M22" s="29">
        <f ca="1">'Cálculos de Impostos'!M22</f>
        <v>1140.3429739999999</v>
      </c>
      <c r="N22" s="29">
        <f>'Cálculos de Impostos'!N22</f>
        <v>0</v>
      </c>
      <c r="O22" s="29">
        <f>'Cálculos de Impostos'!O22</f>
        <v>0</v>
      </c>
      <c r="P22" s="29">
        <f>'Cálculos de Impostos'!P22</f>
        <v>0</v>
      </c>
      <c r="Q22" s="29">
        <f>'Cálculos de Impostos'!Q22</f>
        <v>0</v>
      </c>
      <c r="R22" s="30">
        <f t="shared" ca="1" si="11"/>
        <v>8572.7901220000003</v>
      </c>
      <c r="S22" s="31"/>
      <c r="T22" s="29">
        <f t="shared" ca="1" si="1"/>
        <v>5339.3875680000001</v>
      </c>
      <c r="U22" s="29">
        <f t="shared" ca="1" si="2"/>
        <v>3233.4025540000002</v>
      </c>
      <c r="V22" s="29">
        <f t="shared" ca="1" si="3"/>
        <v>8572.7901220000003</v>
      </c>
      <c r="W22" s="26"/>
      <c r="X22" s="26"/>
      <c r="Y22" s="26"/>
      <c r="Z22" s="26"/>
      <c r="AA22" s="26"/>
    </row>
    <row r="23" spans="1:27" outlineLevel="1" collapsed="1">
      <c r="A23" s="26"/>
      <c r="B23" s="27"/>
      <c r="C23" s="27" t="s">
        <v>33</v>
      </c>
      <c r="D23" s="28"/>
      <c r="E23" s="27"/>
      <c r="F23" s="29">
        <f t="shared" ref="F23:R23" si="12">F24+F25+F26</f>
        <v>82477.8</v>
      </c>
      <c r="G23" s="29">
        <f t="shared" si="12"/>
        <v>74147.94</v>
      </c>
      <c r="H23" s="29">
        <f t="shared" si="12"/>
        <v>72134.63</v>
      </c>
      <c r="I23" s="29">
        <f t="shared" si="12"/>
        <v>80333.03</v>
      </c>
      <c r="J23" s="29">
        <f t="shared" si="12"/>
        <v>79118.510000000009</v>
      </c>
      <c r="K23" s="29">
        <f t="shared" si="12"/>
        <v>66614.5</v>
      </c>
      <c r="L23" s="29">
        <f t="shared" si="12"/>
        <v>71727.16</v>
      </c>
      <c r="M23" s="29">
        <f t="shared" si="12"/>
        <v>77050.100000000006</v>
      </c>
      <c r="N23" s="29">
        <f t="shared" si="12"/>
        <v>0</v>
      </c>
      <c r="O23" s="29">
        <f t="shared" si="12"/>
        <v>0</v>
      </c>
      <c r="P23" s="29">
        <f t="shared" si="12"/>
        <v>0</v>
      </c>
      <c r="Q23" s="29">
        <f t="shared" si="12"/>
        <v>0</v>
      </c>
      <c r="R23" s="30">
        <f t="shared" si="12"/>
        <v>603603.66999999993</v>
      </c>
      <c r="S23" s="31"/>
      <c r="T23" s="29">
        <f t="shared" si="1"/>
        <v>454826.41000000003</v>
      </c>
      <c r="U23" s="29">
        <f t="shared" si="2"/>
        <v>148777.26</v>
      </c>
      <c r="V23" s="29">
        <f t="shared" si="3"/>
        <v>603603.67000000004</v>
      </c>
      <c r="W23" s="26"/>
      <c r="X23" s="26"/>
      <c r="Y23" s="26"/>
      <c r="Z23" s="26"/>
      <c r="AA23" s="26"/>
    </row>
    <row r="24" spans="1:27" hidden="1" outlineLevel="2">
      <c r="A24" s="32"/>
      <c r="B24" s="33"/>
      <c r="C24" s="33"/>
      <c r="D24" s="33" t="s">
        <v>34</v>
      </c>
      <c r="E24" s="33"/>
      <c r="F24" s="34">
        <f>'Cálculos de Impostos'!F24</f>
        <v>49703</v>
      </c>
      <c r="G24" s="34">
        <f>'Cálculos de Impostos'!G24</f>
        <v>46767</v>
      </c>
      <c r="H24" s="34">
        <f>'Cálculos de Impostos'!H24</f>
        <v>41835.5</v>
      </c>
      <c r="I24" s="34">
        <f>'Cálculos de Impostos'!I24</f>
        <v>41835.5</v>
      </c>
      <c r="J24" s="34">
        <f>'Cálculos de Impostos'!J24</f>
        <v>45335.5</v>
      </c>
      <c r="K24" s="34">
        <f>'Cálculos de Impostos'!K24</f>
        <v>40214.5</v>
      </c>
      <c r="L24" s="34">
        <f>'Cálculos de Impostos'!L24</f>
        <v>39404</v>
      </c>
      <c r="M24" s="34">
        <f>'Cálculos de Impostos'!M24</f>
        <v>37783</v>
      </c>
      <c r="N24" s="34">
        <f>'Cálculos de Impostos'!N24</f>
        <v>0</v>
      </c>
      <c r="O24" s="34">
        <f>'Cálculos de Impostos'!O24</f>
        <v>0</v>
      </c>
      <c r="P24" s="34">
        <f>'Cálculos de Impostos'!P24</f>
        <v>0</v>
      </c>
      <c r="Q24" s="34">
        <f>'Cálculos de Impostos'!Q24</f>
        <v>0</v>
      </c>
      <c r="R24" s="35">
        <f t="shared" ref="R24:R28" si="13">SUM(F24:Q24)</f>
        <v>342878</v>
      </c>
      <c r="S24" s="36"/>
      <c r="T24" s="34">
        <f t="shared" si="1"/>
        <v>265691</v>
      </c>
      <c r="U24" s="34">
        <f t="shared" si="2"/>
        <v>77187</v>
      </c>
      <c r="V24" s="34">
        <f t="shared" si="3"/>
        <v>342878</v>
      </c>
      <c r="W24" s="32"/>
      <c r="X24" s="32"/>
      <c r="Y24" s="32"/>
      <c r="Z24" s="32"/>
      <c r="AA24" s="32"/>
    </row>
    <row r="25" spans="1:27" hidden="1" outlineLevel="2">
      <c r="A25" s="32"/>
      <c r="B25" s="33"/>
      <c r="C25" s="33"/>
      <c r="D25" s="33" t="s">
        <v>35</v>
      </c>
      <c r="E25" s="33"/>
      <c r="F25" s="34">
        <f>'Cálculos de Impostos'!F25</f>
        <v>3774.8</v>
      </c>
      <c r="G25" s="34">
        <f>'Cálculos de Impostos'!G25</f>
        <v>3380.94</v>
      </c>
      <c r="H25" s="34">
        <f>'Cálculos de Impostos'!H25</f>
        <v>5299.13</v>
      </c>
      <c r="I25" s="34">
        <f>'Cálculos de Impostos'!I25</f>
        <v>12245.03</v>
      </c>
      <c r="J25" s="34">
        <f>'Cálculos de Impostos'!J25</f>
        <v>4283.01</v>
      </c>
      <c r="K25" s="34">
        <f>'Cálculos de Impostos'!K25</f>
        <v>0</v>
      </c>
      <c r="L25" s="34">
        <f>'Cálculos de Impostos'!L25</f>
        <v>3023.16</v>
      </c>
      <c r="M25" s="34">
        <f>'Cálculos de Impostos'!M25</f>
        <v>4967.1000000000004</v>
      </c>
      <c r="N25" s="34">
        <f>'Cálculos de Impostos'!N25</f>
        <v>0</v>
      </c>
      <c r="O25" s="34">
        <f>'Cálculos de Impostos'!O25</f>
        <v>0</v>
      </c>
      <c r="P25" s="34">
        <f>'Cálculos de Impostos'!P25</f>
        <v>0</v>
      </c>
      <c r="Q25" s="34">
        <f>'Cálculos de Impostos'!Q25</f>
        <v>0</v>
      </c>
      <c r="R25" s="35">
        <f t="shared" si="13"/>
        <v>36973.170000000006</v>
      </c>
      <c r="S25" s="36"/>
      <c r="T25" s="34">
        <f t="shared" si="1"/>
        <v>28982.910000000003</v>
      </c>
      <c r="U25" s="34">
        <f t="shared" si="2"/>
        <v>7990.26</v>
      </c>
      <c r="V25" s="34">
        <f t="shared" si="3"/>
        <v>36973.170000000006</v>
      </c>
      <c r="W25" s="32"/>
      <c r="X25" s="32"/>
      <c r="Y25" s="32"/>
      <c r="Z25" s="32"/>
      <c r="AA25" s="32"/>
    </row>
    <row r="26" spans="1:27" hidden="1" outlineLevel="2">
      <c r="A26" s="32"/>
      <c r="B26" s="33"/>
      <c r="C26" s="33"/>
      <c r="D26" s="40" t="s">
        <v>36</v>
      </c>
      <c r="E26" s="33"/>
      <c r="F26" s="34">
        <f>'Cálculos de Impostos'!F26</f>
        <v>29000</v>
      </c>
      <c r="G26" s="34">
        <f>'Cálculos de Impostos'!G26</f>
        <v>24000</v>
      </c>
      <c r="H26" s="34">
        <f>'Cálculos de Impostos'!H26</f>
        <v>25000</v>
      </c>
      <c r="I26" s="34">
        <f>'Cálculos de Impostos'!I26</f>
        <v>26252.5</v>
      </c>
      <c r="J26" s="34">
        <f>'Cálculos de Impostos'!J26</f>
        <v>29500</v>
      </c>
      <c r="K26" s="34">
        <f>'Cálculos de Impostos'!K26</f>
        <v>26400</v>
      </c>
      <c r="L26" s="34">
        <f>'Cálculos de Impostos'!L26</f>
        <v>29300</v>
      </c>
      <c r="M26" s="34">
        <f>'Cálculos de Impostos'!M26</f>
        <v>34300</v>
      </c>
      <c r="N26" s="34">
        <f>'Cálculos de Impostos'!N26</f>
        <v>0</v>
      </c>
      <c r="O26" s="34">
        <f>'Cálculos de Impostos'!O26</f>
        <v>0</v>
      </c>
      <c r="P26" s="34">
        <f>'Cálculos de Impostos'!P26</f>
        <v>0</v>
      </c>
      <c r="Q26" s="34">
        <f>'Cálculos de Impostos'!Q26</f>
        <v>0</v>
      </c>
      <c r="R26" s="35">
        <f t="shared" si="13"/>
        <v>223752.5</v>
      </c>
      <c r="S26" s="36"/>
      <c r="T26" s="34">
        <f t="shared" si="1"/>
        <v>160152.5</v>
      </c>
      <c r="U26" s="34">
        <f t="shared" si="2"/>
        <v>63600</v>
      </c>
      <c r="V26" s="34">
        <f t="shared" si="3"/>
        <v>223752.5</v>
      </c>
      <c r="W26" s="32"/>
      <c r="X26" s="32"/>
      <c r="Y26" s="32"/>
      <c r="Z26" s="32"/>
      <c r="AA26" s="32"/>
    </row>
    <row r="27" spans="1:27">
      <c r="A27" s="11"/>
      <c r="B27" s="19" t="s">
        <v>37</v>
      </c>
      <c r="C27" s="20"/>
      <c r="D27" s="21"/>
      <c r="E27" s="20"/>
      <c r="F27" s="22">
        <f t="shared" ref="F27:Q27" ca="1" si="14">F28+F29+F33+F37</f>
        <v>-104494.82207845419</v>
      </c>
      <c r="G27" s="22">
        <f t="shared" ca="1" si="14"/>
        <v>-75622.535996275008</v>
      </c>
      <c r="H27" s="22">
        <f t="shared" ca="1" si="14"/>
        <v>-80727.962313751807</v>
      </c>
      <c r="I27" s="23">
        <f t="shared" ca="1" si="14"/>
        <v>-78716.017288094648</v>
      </c>
      <c r="J27" s="22">
        <f t="shared" ca="1" si="14"/>
        <v>-74576.060903653051</v>
      </c>
      <c r="K27" s="22">
        <f t="shared" ca="1" si="14"/>
        <v>-187978.63836410316</v>
      </c>
      <c r="L27" s="22">
        <f t="shared" ca="1" si="14"/>
        <v>-75289.378438219719</v>
      </c>
      <c r="M27" s="22">
        <f t="shared" ca="1" si="14"/>
        <v>-61021.42385302802</v>
      </c>
      <c r="N27" s="22">
        <f t="shared" ca="1" si="14"/>
        <v>0</v>
      </c>
      <c r="O27" s="22">
        <f t="shared" ca="1" si="14"/>
        <v>0</v>
      </c>
      <c r="P27" s="22">
        <f t="shared" ca="1" si="14"/>
        <v>0</v>
      </c>
      <c r="Q27" s="22">
        <f t="shared" ca="1" si="14"/>
        <v>0</v>
      </c>
      <c r="R27" s="24">
        <f t="shared" ca="1" si="13"/>
        <v>-738426.83923557948</v>
      </c>
      <c r="S27" s="25"/>
      <c r="T27" s="22">
        <f t="shared" ca="1" si="1"/>
        <v>-602116.03694433183</v>
      </c>
      <c r="U27" s="22">
        <f t="shared" ca="1" si="2"/>
        <v>-136310.80229124773</v>
      </c>
      <c r="V27" s="22">
        <f t="shared" ca="1" si="3"/>
        <v>-738426.83923557959</v>
      </c>
      <c r="W27" s="11"/>
      <c r="X27" s="11"/>
      <c r="Y27" s="11"/>
      <c r="Z27" s="11"/>
      <c r="AA27" s="11"/>
    </row>
    <row r="28" spans="1:27" outlineLevel="1">
      <c r="A28" s="26"/>
      <c r="B28" s="27"/>
      <c r="C28" s="27" t="s">
        <v>38</v>
      </c>
      <c r="D28" s="28"/>
      <c r="E28" s="27"/>
      <c r="F28" s="29">
        <f>'Cálculos de Impostos'!F28</f>
        <v>-19.64</v>
      </c>
      <c r="G28" s="29">
        <f>'Cálculos de Impostos'!G28</f>
        <v>-1292.7400000000002</v>
      </c>
      <c r="H28" s="29">
        <f>'Cálculos de Impostos'!H28</f>
        <v>-4648.3900000000003</v>
      </c>
      <c r="I28" s="29">
        <f>'Cálculos de Impostos'!I28</f>
        <v>-526.91</v>
      </c>
      <c r="J28" s="29">
        <f>'Cálculos de Impostos'!J28</f>
        <v>0</v>
      </c>
      <c r="K28" s="29">
        <f>'Cálculos de Impostos'!K28</f>
        <v>-120275.68</v>
      </c>
      <c r="L28" s="29">
        <f>'Cálculos de Impostos'!L28</f>
        <v>0</v>
      </c>
      <c r="M28" s="29">
        <f>'Cálculos de Impostos'!M28</f>
        <v>-2177.59</v>
      </c>
      <c r="N28" s="29">
        <f>'Cálculos de Impostos'!N28</f>
        <v>0</v>
      </c>
      <c r="O28" s="29">
        <f>'Cálculos de Impostos'!O28</f>
        <v>0</v>
      </c>
      <c r="P28" s="29">
        <f>'Cálculos de Impostos'!P28</f>
        <v>0</v>
      </c>
      <c r="Q28" s="29">
        <f>'Cálculos de Impostos'!Q28</f>
        <v>0</v>
      </c>
      <c r="R28" s="30">
        <f t="shared" si="13"/>
        <v>-128940.94999999998</v>
      </c>
      <c r="S28" s="41"/>
      <c r="T28" s="29">
        <f t="shared" si="1"/>
        <v>-126763.35999999999</v>
      </c>
      <c r="U28" s="29">
        <f t="shared" si="2"/>
        <v>-2177.59</v>
      </c>
      <c r="V28" s="29">
        <f t="shared" si="3"/>
        <v>-128940.94999999998</v>
      </c>
      <c r="W28" s="26"/>
      <c r="X28" s="26"/>
      <c r="Y28" s="26"/>
      <c r="Z28" s="26"/>
      <c r="AA28" s="26"/>
    </row>
    <row r="29" spans="1:27" outlineLevel="1" collapsed="1">
      <c r="A29" s="26"/>
      <c r="B29" s="27"/>
      <c r="C29" s="27" t="s">
        <v>39</v>
      </c>
      <c r="D29" s="28"/>
      <c r="E29" s="27"/>
      <c r="F29" s="29">
        <f t="shared" ref="F29:R29" ca="1" si="15">F30+F31+F32</f>
        <v>-7418.9965124357586</v>
      </c>
      <c r="G29" s="29">
        <f t="shared" ca="1" si="15"/>
        <v>-5264.8179487101124</v>
      </c>
      <c r="H29" s="29">
        <f t="shared" ca="1" si="15"/>
        <v>-5383.390712641788</v>
      </c>
      <c r="I29" s="29">
        <f t="shared" ca="1" si="15"/>
        <v>-5540.4928508069843</v>
      </c>
      <c r="J29" s="29">
        <f t="shared" ca="1" si="15"/>
        <v>-6046.1740953946337</v>
      </c>
      <c r="K29" s="29">
        <f t="shared" ca="1" si="15"/>
        <v>-6415.9908292993659</v>
      </c>
      <c r="L29" s="29">
        <f t="shared" ca="1" si="15"/>
        <v>-6732.5093698558621</v>
      </c>
      <c r="M29" s="29">
        <f t="shared" ca="1" si="15"/>
        <v>-5410.7674546304224</v>
      </c>
      <c r="N29" s="29">
        <f t="shared" ca="1" si="15"/>
        <v>0</v>
      </c>
      <c r="O29" s="29">
        <f t="shared" ca="1" si="15"/>
        <v>0</v>
      </c>
      <c r="P29" s="29">
        <f t="shared" ca="1" si="15"/>
        <v>0</v>
      </c>
      <c r="Q29" s="29">
        <f t="shared" ca="1" si="15"/>
        <v>0</v>
      </c>
      <c r="R29" s="30">
        <f t="shared" ca="1" si="15"/>
        <v>-48213.139773774928</v>
      </c>
      <c r="S29" s="41"/>
      <c r="T29" s="29">
        <f t="shared" ca="1" si="1"/>
        <v>-36069.862949288639</v>
      </c>
      <c r="U29" s="29">
        <f t="shared" ca="1" si="2"/>
        <v>-12143.276824486285</v>
      </c>
      <c r="V29" s="29">
        <f t="shared" ca="1" si="3"/>
        <v>-48213.139773774921</v>
      </c>
      <c r="W29" s="26"/>
      <c r="X29" s="26"/>
      <c r="Y29" s="26"/>
      <c r="Z29" s="26"/>
      <c r="AA29" s="26"/>
    </row>
    <row r="30" spans="1:27" hidden="1" outlineLevel="2">
      <c r="A30" s="42"/>
      <c r="B30" s="43"/>
      <c r="C30" s="43"/>
      <c r="D30" s="43" t="s">
        <v>40</v>
      </c>
      <c r="E30" s="43"/>
      <c r="F30" s="34">
        <f>'Cálculos de Impostos'!F30</f>
        <v>-6029.7187600000007</v>
      </c>
      <c r="G30" s="34">
        <f>'Cálculos de Impostos'!G30</f>
        <v>-4217.7759649999998</v>
      </c>
      <c r="H30" s="34">
        <f>'Cálculos de Impostos'!H30</f>
        <v>-4298.4150950000003</v>
      </c>
      <c r="I30" s="34">
        <f>'Cálculos de Impostos'!I30</f>
        <v>-4451.9055749999998</v>
      </c>
      <c r="J30" s="34">
        <f>'Cálculos de Impostos'!J30</f>
        <v>-3775.9161700000004</v>
      </c>
      <c r="K30" s="34">
        <f>'Cálculos de Impostos'!K30</f>
        <v>-5232.0488350000005</v>
      </c>
      <c r="L30" s="34">
        <f>'Cálculos de Impostos'!L30</f>
        <v>-5385.7768249999999</v>
      </c>
      <c r="M30" s="34">
        <f>'Cálculos de Impostos'!M30</f>
        <v>-4268.6897500000014</v>
      </c>
      <c r="N30" s="34">
        <f>'Cálculos de Impostos'!N30</f>
        <v>0</v>
      </c>
      <c r="O30" s="34">
        <f>'Cálculos de Impostos'!O30</f>
        <v>0</v>
      </c>
      <c r="P30" s="34">
        <f>'Cálculos de Impostos'!P30</f>
        <v>0</v>
      </c>
      <c r="Q30" s="34">
        <f>'Cálculos de Impostos'!Q30</f>
        <v>0</v>
      </c>
      <c r="R30" s="44">
        <f t="shared" ref="R30:R32" si="16">SUM(F30:Q30)</f>
        <v>-37660.246975000002</v>
      </c>
      <c r="S30" s="45"/>
      <c r="T30" s="46">
        <f t="shared" si="1"/>
        <v>-28005.780400000003</v>
      </c>
      <c r="U30" s="46">
        <f t="shared" si="2"/>
        <v>-9654.4665750000022</v>
      </c>
      <c r="V30" s="46">
        <f t="shared" si="3"/>
        <v>-37660.246975000002</v>
      </c>
      <c r="W30" s="42"/>
      <c r="X30" s="42"/>
      <c r="Y30" s="42"/>
      <c r="Z30" s="42"/>
      <c r="AA30" s="42"/>
    </row>
    <row r="31" spans="1:27" hidden="1" outlineLevel="2">
      <c r="A31" s="42"/>
      <c r="B31" s="43"/>
      <c r="C31" s="43"/>
      <c r="D31" s="43" t="s">
        <v>41</v>
      </c>
      <c r="E31" s="43"/>
      <c r="F31" s="34">
        <f>'Cálculos de Impostos'!F31</f>
        <v>-282.76946156000002</v>
      </c>
      <c r="G31" s="34">
        <f>'Cálculos de Impostos'!G31</f>
        <v>-271.67581224000003</v>
      </c>
      <c r="H31" s="34">
        <f>'Cálculos de Impostos'!H31</f>
        <v>-265.45937445600003</v>
      </c>
      <c r="I31" s="34">
        <f>'Cálculos de Impostos'!I31</f>
        <v>-262.53371341600001</v>
      </c>
      <c r="J31" s="34">
        <f>'Cálculos de Impostos'!J31</f>
        <v>-276.30039932</v>
      </c>
      <c r="K31" s="34">
        <f>'Cálculos de Impostos'!K31</f>
        <v>-276.47786464000001</v>
      </c>
      <c r="L31" s="34">
        <f>'Cálculos de Impostos'!L31</f>
        <v>-284.34246623999996</v>
      </c>
      <c r="M31" s="34">
        <f>'Cálculos de Impostos'!M31</f>
        <v>-291.70697613600004</v>
      </c>
      <c r="N31" s="34">
        <f>'Cálculos de Impostos'!N31</f>
        <v>0</v>
      </c>
      <c r="O31" s="34">
        <f>'Cálculos de Impostos'!O31</f>
        <v>0</v>
      </c>
      <c r="P31" s="34">
        <f>'Cálculos de Impostos'!P31</f>
        <v>0</v>
      </c>
      <c r="Q31" s="34">
        <f>'Cálculos de Impostos'!Q31</f>
        <v>0</v>
      </c>
      <c r="R31" s="44">
        <f t="shared" si="16"/>
        <v>-2211.2660680079998</v>
      </c>
      <c r="S31" s="45"/>
      <c r="T31" s="46">
        <f t="shared" si="1"/>
        <v>-1635.2166256319999</v>
      </c>
      <c r="U31" s="46">
        <f t="shared" si="2"/>
        <v>-576.049442376</v>
      </c>
      <c r="V31" s="46">
        <f t="shared" si="3"/>
        <v>-2211.2660680079998</v>
      </c>
      <c r="W31" s="42"/>
      <c r="X31" s="42"/>
      <c r="Y31" s="42"/>
      <c r="Z31" s="42"/>
      <c r="AA31" s="42"/>
    </row>
    <row r="32" spans="1:27" hidden="1" outlineLevel="2">
      <c r="A32" s="42"/>
      <c r="B32" s="43"/>
      <c r="C32" s="43"/>
      <c r="D32" s="43" t="s">
        <v>42</v>
      </c>
      <c r="E32" s="43"/>
      <c r="F32" s="34">
        <f ca="1">'Cálculos de Impostos'!F32</f>
        <v>-1106.5082908757572</v>
      </c>
      <c r="G32" s="34">
        <f ca="1">'Cálculos de Impostos'!G32</f>
        <v>-775.36617147011327</v>
      </c>
      <c r="H32" s="34">
        <f ca="1">'Cálculos de Impostos'!H32</f>
        <v>-819.51624318578774</v>
      </c>
      <c r="I32" s="34">
        <f ca="1">'Cálculos de Impostos'!I32</f>
        <v>-826.05356239098433</v>
      </c>
      <c r="J32" s="34">
        <f ca="1">'Cálculos de Impostos'!J32</f>
        <v>-1993.9575260746333</v>
      </c>
      <c r="K32" s="34">
        <f ca="1">'Cálculos de Impostos'!K32</f>
        <v>-907.46412965936508</v>
      </c>
      <c r="L32" s="34">
        <f ca="1">'Cálculos de Impostos'!L32</f>
        <v>-1062.3900786158622</v>
      </c>
      <c r="M32" s="34">
        <f ca="1">'Cálculos de Impostos'!M32</f>
        <v>-850.37072849442109</v>
      </c>
      <c r="N32" s="34">
        <f ca="1">'Cálculos de Impostos'!N32</f>
        <v>0</v>
      </c>
      <c r="O32" s="34">
        <f ca="1">'Cálculos de Impostos'!O32</f>
        <v>0</v>
      </c>
      <c r="P32" s="34">
        <f ca="1">'Cálculos de Impostos'!P32</f>
        <v>0</v>
      </c>
      <c r="Q32" s="34">
        <f ca="1">'Cálculos de Impostos'!Q32</f>
        <v>0</v>
      </c>
      <c r="R32" s="44">
        <f t="shared" ca="1" si="16"/>
        <v>-8341.6267307669241</v>
      </c>
      <c r="S32" s="45"/>
      <c r="T32" s="46">
        <f t="shared" ca="1" si="1"/>
        <v>-6428.8659236566418</v>
      </c>
      <c r="U32" s="46">
        <f t="shared" ca="1" si="2"/>
        <v>-1912.7608071102832</v>
      </c>
      <c r="V32" s="46">
        <f t="shared" ca="1" si="3"/>
        <v>-8341.6267307669259</v>
      </c>
      <c r="W32" s="42"/>
      <c r="X32" s="42"/>
      <c r="Y32" s="42"/>
      <c r="Z32" s="42"/>
      <c r="AA32" s="42"/>
    </row>
    <row r="33" spans="1:27" outlineLevel="1" collapsed="1">
      <c r="A33" s="26"/>
      <c r="B33" s="27"/>
      <c r="C33" s="27" t="s">
        <v>43</v>
      </c>
      <c r="D33" s="28"/>
      <c r="E33" s="27"/>
      <c r="F33" s="29">
        <f t="shared" ref="F33:R33" ca="1" si="17">F34+F35+F36</f>
        <v>-34235.178372650502</v>
      </c>
      <c r="G33" s="29">
        <f t="shared" ca="1" si="17"/>
        <v>-24294.179280155266</v>
      </c>
      <c r="H33" s="29">
        <f t="shared" ca="1" si="17"/>
        <v>-24841.312394955727</v>
      </c>
      <c r="I33" s="29">
        <f t="shared" ca="1" si="17"/>
        <v>-25566.395150657103</v>
      </c>
      <c r="J33" s="29">
        <f t="shared" ca="1" si="17"/>
        <v>-27895.684159400433</v>
      </c>
      <c r="K33" s="29">
        <f t="shared" ca="1" si="17"/>
        <v>-29606.738216462538</v>
      </c>
      <c r="L33" s="29">
        <f t="shared" ca="1" si="17"/>
        <v>-31066.935636338185</v>
      </c>
      <c r="M33" s="29">
        <f t="shared" ca="1" si="17"/>
        <v>-24967.356073038565</v>
      </c>
      <c r="N33" s="29">
        <f t="shared" ca="1" si="17"/>
        <v>0</v>
      </c>
      <c r="O33" s="29">
        <f t="shared" ca="1" si="17"/>
        <v>0</v>
      </c>
      <c r="P33" s="29">
        <f t="shared" ca="1" si="17"/>
        <v>0</v>
      </c>
      <c r="Q33" s="29">
        <f t="shared" ca="1" si="17"/>
        <v>0</v>
      </c>
      <c r="R33" s="30">
        <f t="shared" ca="1" si="17"/>
        <v>-222473.77928365834</v>
      </c>
      <c r="S33" s="41"/>
      <c r="T33" s="29">
        <f t="shared" ca="1" si="1"/>
        <v>-166439.48757428158</v>
      </c>
      <c r="U33" s="29">
        <f t="shared" ca="1" si="2"/>
        <v>-56034.291709376746</v>
      </c>
      <c r="V33" s="29">
        <f t="shared" ca="1" si="3"/>
        <v>-222473.77928365831</v>
      </c>
      <c r="W33" s="26"/>
      <c r="X33" s="26"/>
      <c r="Y33" s="26"/>
      <c r="Z33" s="26"/>
      <c r="AA33" s="26"/>
    </row>
    <row r="34" spans="1:27" hidden="1" outlineLevel="2">
      <c r="A34" s="42"/>
      <c r="B34" s="43"/>
      <c r="C34" s="43"/>
      <c r="D34" s="43" t="s">
        <v>44</v>
      </c>
      <c r="E34" s="43"/>
      <c r="F34" s="34">
        <f>'Cálculos de Impostos'!F34</f>
        <v>-27829.471199999996</v>
      </c>
      <c r="G34" s="34">
        <f>'Cálculos de Impostos'!G34</f>
        <v>-19466.658299999996</v>
      </c>
      <c r="H34" s="34">
        <f>'Cálculos de Impostos'!H34</f>
        <v>-19838.838899999999</v>
      </c>
      <c r="I34" s="34">
        <f>'Cálculos de Impostos'!I34</f>
        <v>-20547.2565</v>
      </c>
      <c r="J34" s="34">
        <f>'Cálculos de Impostos'!J34</f>
        <v>-17427.305400000001</v>
      </c>
      <c r="K34" s="34">
        <f>'Cálculos de Impostos'!K34</f>
        <v>-24147.917699999998</v>
      </c>
      <c r="L34" s="34">
        <f>'Cálculos de Impostos'!L34</f>
        <v>-24857.431499999999</v>
      </c>
      <c r="M34" s="34">
        <f>'Cálculos de Impostos'!M34</f>
        <v>-19701.645000000004</v>
      </c>
      <c r="N34" s="34">
        <f>'Cálculos de Impostos'!N34</f>
        <v>0</v>
      </c>
      <c r="O34" s="34">
        <f>'Cálculos de Impostos'!O34</f>
        <v>0</v>
      </c>
      <c r="P34" s="34">
        <f>'Cálculos de Impostos'!P34</f>
        <v>0</v>
      </c>
      <c r="Q34" s="34">
        <f>'Cálculos de Impostos'!Q34</f>
        <v>0</v>
      </c>
      <c r="R34" s="44">
        <f t="shared" ref="R34:R36" si="18">SUM(F34:Q34)</f>
        <v>-173816.5245</v>
      </c>
      <c r="S34" s="45"/>
      <c r="T34" s="46">
        <f t="shared" si="1"/>
        <v>-129257.448</v>
      </c>
      <c r="U34" s="46">
        <f t="shared" si="2"/>
        <v>-44559.076500000003</v>
      </c>
      <c r="V34" s="46">
        <f t="shared" si="3"/>
        <v>-173816.5245</v>
      </c>
      <c r="W34" s="42"/>
      <c r="X34" s="42"/>
      <c r="Y34" s="42"/>
      <c r="Z34" s="42"/>
      <c r="AA34" s="42"/>
    </row>
    <row r="35" spans="1:27" hidden="1" outlineLevel="2">
      <c r="A35" s="42"/>
      <c r="B35" s="43"/>
      <c r="C35" s="43"/>
      <c r="D35" s="43" t="s">
        <v>45</v>
      </c>
      <c r="E35" s="43"/>
      <c r="F35" s="34">
        <f>'Cálculos de Impostos'!F35</f>
        <v>-1303.03224854</v>
      </c>
      <c r="G35" s="34">
        <f>'Cálculos de Impostos'!G35</f>
        <v>-1251.9115131600001</v>
      </c>
      <c r="H35" s="34">
        <f>'Cálculos de Impostos'!H35</f>
        <v>-1223.265495804</v>
      </c>
      <c r="I35" s="34">
        <f>'Cálculos de Impostos'!I35</f>
        <v>-1209.7837334439998</v>
      </c>
      <c r="J35" s="34">
        <f>'Cálculos de Impostos'!J35</f>
        <v>-1273.22211038</v>
      </c>
      <c r="K35" s="34">
        <f>'Cálculos de Impostos'!K35</f>
        <v>-1274.0398897599998</v>
      </c>
      <c r="L35" s="34">
        <f>'Cálculos de Impostos'!L35</f>
        <v>-1310.2808241600001</v>
      </c>
      <c r="M35" s="34">
        <f>'Cálculos de Impostos'!M35</f>
        <v>-1344.217281924</v>
      </c>
      <c r="N35" s="34">
        <f>'Cálculos de Impostos'!N35</f>
        <v>0</v>
      </c>
      <c r="O35" s="34">
        <f>'Cálculos de Impostos'!O35</f>
        <v>0</v>
      </c>
      <c r="P35" s="34">
        <f>'Cálculos de Impostos'!P35</f>
        <v>0</v>
      </c>
      <c r="Q35" s="34">
        <f>'Cálculos de Impostos'!Q35</f>
        <v>0</v>
      </c>
      <c r="R35" s="44">
        <f t="shared" si="18"/>
        <v>-10189.753097172001</v>
      </c>
      <c r="S35" s="45"/>
      <c r="T35" s="46">
        <f t="shared" si="1"/>
        <v>-7535.2549910880007</v>
      </c>
      <c r="U35" s="46">
        <f t="shared" si="2"/>
        <v>-2654.498106084</v>
      </c>
      <c r="V35" s="46">
        <f t="shared" si="3"/>
        <v>-10189.753097172001</v>
      </c>
      <c r="W35" s="42"/>
      <c r="X35" s="42"/>
      <c r="Y35" s="42"/>
      <c r="Z35" s="42"/>
      <c r="AA35" s="42"/>
    </row>
    <row r="36" spans="1:27" hidden="1" outlineLevel="2">
      <c r="A36" s="42"/>
      <c r="B36" s="43"/>
      <c r="C36" s="43"/>
      <c r="D36" s="43" t="s">
        <v>46</v>
      </c>
      <c r="E36" s="43"/>
      <c r="F36" s="34">
        <f ca="1">'Cálculos de Impostos'!F36</f>
        <v>-5102.6749241105072</v>
      </c>
      <c r="G36" s="34">
        <f ca="1">'Cálculos de Impostos'!G36</f>
        <v>-3575.6094669952704</v>
      </c>
      <c r="H36" s="34">
        <f ca="1">'Cálculos de Impostos'!H36</f>
        <v>-3779.2079991517262</v>
      </c>
      <c r="I36" s="34">
        <f ca="1">'Cálculos de Impostos'!I36</f>
        <v>-3809.3549172131011</v>
      </c>
      <c r="J36" s="34">
        <f ca="1">'Cálculos de Impostos'!J36</f>
        <v>-9195.1566490204314</v>
      </c>
      <c r="K36" s="34">
        <f ca="1">'Cálculos de Impostos'!K36</f>
        <v>-4184.7806267025408</v>
      </c>
      <c r="L36" s="34">
        <f ca="1">'Cálculos de Impostos'!L36</f>
        <v>-4899.2233121781856</v>
      </c>
      <c r="M36" s="34">
        <f ca="1">'Cálculos de Impostos'!M36</f>
        <v>-3921.4937911145607</v>
      </c>
      <c r="N36" s="34">
        <f ca="1">'Cálculos de Impostos'!N36</f>
        <v>0</v>
      </c>
      <c r="O36" s="34">
        <f ca="1">'Cálculos de Impostos'!O36</f>
        <v>0</v>
      </c>
      <c r="P36" s="34">
        <f ca="1">'Cálculos de Impostos'!P36</f>
        <v>0</v>
      </c>
      <c r="Q36" s="34">
        <f ca="1">'Cálculos de Impostos'!Q36</f>
        <v>0</v>
      </c>
      <c r="R36" s="44">
        <f t="shared" ca="1" si="18"/>
        <v>-38467.501686486321</v>
      </c>
      <c r="S36" s="45"/>
      <c r="T36" s="46">
        <f t="shared" ca="1" si="1"/>
        <v>-29646.784583193574</v>
      </c>
      <c r="U36" s="46">
        <f t="shared" ca="1" si="2"/>
        <v>-8820.7171032927472</v>
      </c>
      <c r="V36" s="46">
        <f t="shared" ca="1" si="3"/>
        <v>-38467.501686486321</v>
      </c>
      <c r="W36" s="42"/>
      <c r="X36" s="42"/>
      <c r="Y36" s="42"/>
      <c r="Z36" s="42"/>
      <c r="AA36" s="42"/>
    </row>
    <row r="37" spans="1:27" outlineLevel="1" collapsed="1">
      <c r="A37" s="26"/>
      <c r="B37" s="27"/>
      <c r="C37" s="27" t="s">
        <v>47</v>
      </c>
      <c r="D37" s="28"/>
      <c r="E37" s="27"/>
      <c r="F37" s="29">
        <f t="shared" ref="F37:R37" ca="1" si="19">F38+F39+F40</f>
        <v>-62821.007193367936</v>
      </c>
      <c r="G37" s="29">
        <f t="shared" ca="1" si="19"/>
        <v>-44770.798767409629</v>
      </c>
      <c r="H37" s="29">
        <f t="shared" ca="1" si="19"/>
        <v>-45854.869206154282</v>
      </c>
      <c r="I37" s="29">
        <f t="shared" ca="1" si="19"/>
        <v>-47082.21928663057</v>
      </c>
      <c r="J37" s="29">
        <f t="shared" ca="1" si="19"/>
        <v>-40634.202648857987</v>
      </c>
      <c r="K37" s="29">
        <f t="shared" ca="1" si="19"/>
        <v>-31680.229318341269</v>
      </c>
      <c r="L37" s="29">
        <f t="shared" ca="1" si="19"/>
        <v>-37489.933432025675</v>
      </c>
      <c r="M37" s="29">
        <f t="shared" ca="1" si="19"/>
        <v>-28465.710325359032</v>
      </c>
      <c r="N37" s="29">
        <f t="shared" ca="1" si="19"/>
        <v>0</v>
      </c>
      <c r="O37" s="29">
        <f t="shared" ca="1" si="19"/>
        <v>0</v>
      </c>
      <c r="P37" s="29">
        <f t="shared" ca="1" si="19"/>
        <v>0</v>
      </c>
      <c r="Q37" s="29">
        <f t="shared" ca="1" si="19"/>
        <v>0</v>
      </c>
      <c r="R37" s="30">
        <f t="shared" ca="1" si="19"/>
        <v>-338798.97017814638</v>
      </c>
      <c r="S37" s="41"/>
      <c r="T37" s="29">
        <f t="shared" ca="1" si="1"/>
        <v>-272843.32642076164</v>
      </c>
      <c r="U37" s="29">
        <f t="shared" ca="1" si="2"/>
        <v>-65955.643757384707</v>
      </c>
      <c r="V37" s="29">
        <f t="shared" ca="1" si="3"/>
        <v>-338798.97017814638</v>
      </c>
      <c r="W37" s="26"/>
      <c r="X37" s="26"/>
      <c r="Y37" s="26"/>
      <c r="Z37" s="26"/>
      <c r="AA37" s="26"/>
    </row>
    <row r="38" spans="1:27" hidden="1" outlineLevel="2">
      <c r="A38" s="42"/>
      <c r="B38" s="43"/>
      <c r="C38" s="43"/>
      <c r="D38" s="43" t="s">
        <v>48</v>
      </c>
      <c r="E38" s="43"/>
      <c r="F38" s="34">
        <f>'Cálculos de Impostos'!F38</f>
        <v>-46382.451999999997</v>
      </c>
      <c r="G38" s="34">
        <f>'Cálculos de Impostos'!G38</f>
        <v>-32444.430499999995</v>
      </c>
      <c r="H38" s="34">
        <f>'Cálculos de Impostos'!H38</f>
        <v>-33064.731500000002</v>
      </c>
      <c r="I38" s="34">
        <f>'Cálculos de Impostos'!I38</f>
        <v>-34245.427500000005</v>
      </c>
      <c r="J38" s="34">
        <f>'Cálculos de Impostos'!J38</f>
        <v>-13572.593499999995</v>
      </c>
      <c r="K38" s="34">
        <f>'Cálculos de Impostos'!K38</f>
        <v>-17709.3079</v>
      </c>
      <c r="L38" s="34">
        <f>'Cálculos de Impostos'!L38</f>
        <v>-21565.747399999997</v>
      </c>
      <c r="M38" s="34">
        <f>'Cálculos de Impostos'!M38</f>
        <v>-15015.573400000001</v>
      </c>
      <c r="N38" s="34">
        <f>'Cálculos de Impostos'!N38</f>
        <v>0</v>
      </c>
      <c r="O38" s="34">
        <f>'Cálculos de Impostos'!O38</f>
        <v>0</v>
      </c>
      <c r="P38" s="34">
        <f>'Cálculos de Impostos'!P38</f>
        <v>0</v>
      </c>
      <c r="Q38" s="34">
        <f>'Cálculos de Impostos'!Q38</f>
        <v>0</v>
      </c>
      <c r="R38" s="47">
        <f t="shared" ref="R38:R40" si="20">SUM(F38:Q38)</f>
        <v>-214000.26369999995</v>
      </c>
      <c r="S38" s="45"/>
      <c r="T38" s="46">
        <f t="shared" si="1"/>
        <v>-177418.94289999997</v>
      </c>
      <c r="U38" s="46">
        <f t="shared" si="2"/>
        <v>-36581.320800000001</v>
      </c>
      <c r="V38" s="46">
        <f t="shared" si="3"/>
        <v>-214000.26369999995</v>
      </c>
      <c r="W38" s="42"/>
      <c r="X38" s="42"/>
      <c r="Y38" s="42"/>
      <c r="Z38" s="42"/>
      <c r="AA38" s="42"/>
    </row>
    <row r="39" spans="1:27" hidden="1" outlineLevel="2">
      <c r="A39" s="42"/>
      <c r="B39" s="43"/>
      <c r="C39" s="43"/>
      <c r="D39" s="43" t="s">
        <v>49</v>
      </c>
      <c r="E39" s="43"/>
      <c r="F39" s="34">
        <f>'Cálculos de Impostos'!F39</f>
        <v>-3104.7322637500001</v>
      </c>
      <c r="G39" s="34">
        <f>'Cálculos de Impostos'!G39</f>
        <v>-2982.9269925000003</v>
      </c>
      <c r="H39" s="34">
        <f>'Cálculos de Impostos'!H39</f>
        <v>-2914.6721857500002</v>
      </c>
      <c r="I39" s="34">
        <f>'Cálculos de Impostos'!I39</f>
        <v>-2882.5492182500002</v>
      </c>
      <c r="J39" s="34">
        <f>'Cálculos de Impostos'!J39</f>
        <v>-3033.7037087500003</v>
      </c>
      <c r="K39" s="34">
        <f>'Cálculos de Impostos'!K39</f>
        <v>-3035.6522300000001</v>
      </c>
      <c r="L39" s="34">
        <f>'Cálculos de Impostos'!L39</f>
        <v>-3122.0034299999998</v>
      </c>
      <c r="M39" s="34">
        <f>'Cálculos de Impostos'!M39</f>
        <v>-3202.86375825</v>
      </c>
      <c r="N39" s="34">
        <f>'Cálculos de Impostos'!N39</f>
        <v>0</v>
      </c>
      <c r="O39" s="34">
        <f>'Cálculos de Impostos'!O39</f>
        <v>0</v>
      </c>
      <c r="P39" s="34">
        <f>'Cálculos de Impostos'!P39</f>
        <v>0</v>
      </c>
      <c r="Q39" s="34">
        <f>'Cálculos de Impostos'!Q39</f>
        <v>0</v>
      </c>
      <c r="R39" s="47">
        <f t="shared" si="20"/>
        <v>-24279.103787250002</v>
      </c>
      <c r="S39" s="45"/>
      <c r="T39" s="46">
        <f t="shared" si="1"/>
        <v>-17954.236599</v>
      </c>
      <c r="U39" s="46">
        <f t="shared" si="2"/>
        <v>-6324.8671882500003</v>
      </c>
      <c r="V39" s="46">
        <f t="shared" si="3"/>
        <v>-24279.103787250002</v>
      </c>
      <c r="W39" s="42"/>
      <c r="X39" s="42"/>
      <c r="Y39" s="42"/>
      <c r="Z39" s="42"/>
      <c r="AA39" s="42"/>
    </row>
    <row r="40" spans="1:27" hidden="1" outlineLevel="2">
      <c r="A40" s="42"/>
      <c r="B40" s="43"/>
      <c r="C40" s="43"/>
      <c r="D40" s="43" t="s">
        <v>50</v>
      </c>
      <c r="E40" s="43"/>
      <c r="F40" s="34">
        <f ca="1">'Cálculos de Impostos'!F40</f>
        <v>-13333.82292961794</v>
      </c>
      <c r="G40" s="34">
        <f ca="1">'Cálculos de Impostos'!G40</f>
        <v>-9343.4412749096391</v>
      </c>
      <c r="H40" s="34">
        <f ca="1">'Cálculos de Impostos'!H40</f>
        <v>-9875.4655204042774</v>
      </c>
      <c r="I40" s="34">
        <f ca="1">'Cálculos de Impostos'!I40</f>
        <v>-9954.2425683805668</v>
      </c>
      <c r="J40" s="34">
        <f ca="1">'Cálculos de Impostos'!J40</f>
        <v>-24027.905440107992</v>
      </c>
      <c r="K40" s="34">
        <f ca="1">'Cálculos de Impostos'!K40</f>
        <v>-10935.269188341272</v>
      </c>
      <c r="L40" s="34">
        <f ca="1">'Cálculos de Impostos'!L40</f>
        <v>-12802.182602025679</v>
      </c>
      <c r="M40" s="34">
        <f ca="1">'Cálculos de Impostos'!M40</f>
        <v>-10247.273167109031</v>
      </c>
      <c r="N40" s="34">
        <f ca="1">'Cálculos de Impostos'!N40</f>
        <v>0</v>
      </c>
      <c r="O40" s="34">
        <f ca="1">'Cálculos de Impostos'!O40</f>
        <v>0</v>
      </c>
      <c r="P40" s="34">
        <f ca="1">'Cálculos de Impostos'!P40</f>
        <v>0</v>
      </c>
      <c r="Q40" s="34">
        <f ca="1">'Cálculos de Impostos'!Q40</f>
        <v>0</v>
      </c>
      <c r="R40" s="47">
        <f t="shared" ca="1" si="20"/>
        <v>-100519.60269089641</v>
      </c>
      <c r="S40" s="45"/>
      <c r="T40" s="46">
        <f t="shared" ca="1" si="1"/>
        <v>-77470.146921761698</v>
      </c>
      <c r="U40" s="46">
        <f t="shared" ca="1" si="2"/>
        <v>-23049.455769134711</v>
      </c>
      <c r="V40" s="46">
        <f t="shared" ca="1" si="3"/>
        <v>-100519.60269089641</v>
      </c>
      <c r="W40" s="42"/>
      <c r="X40" s="42"/>
      <c r="Y40" s="42"/>
      <c r="Z40" s="42"/>
      <c r="AA40" s="42"/>
    </row>
    <row r="41" spans="1:27">
      <c r="A41" s="11"/>
      <c r="B41" s="48" t="s">
        <v>51</v>
      </c>
      <c r="C41" s="49"/>
      <c r="D41" s="50"/>
      <c r="E41" s="49"/>
      <c r="F41" s="51">
        <f t="shared" ref="F41:R41" ca="1" si="21">F4+F27</f>
        <v>1582207.8078035447</v>
      </c>
      <c r="G41" s="51">
        <f t="shared" ca="1" si="21"/>
        <v>1204257.7005457247</v>
      </c>
      <c r="H41" s="51">
        <f t="shared" ca="1" si="21"/>
        <v>1371332.6028682468</v>
      </c>
      <c r="I41" s="52">
        <f t="shared" ca="1" si="21"/>
        <v>1343845.4622219054</v>
      </c>
      <c r="J41" s="51">
        <f t="shared" ca="1" si="21"/>
        <v>1521704.5067373458</v>
      </c>
      <c r="K41" s="51">
        <f t="shared" ca="1" si="21"/>
        <v>1378073.3218928955</v>
      </c>
      <c r="L41" s="51">
        <f t="shared" ca="1" si="21"/>
        <v>1572185.86631478</v>
      </c>
      <c r="M41" s="51">
        <f t="shared" ca="1" si="21"/>
        <v>1327607.8691209722</v>
      </c>
      <c r="N41" s="51">
        <f t="shared" ca="1" si="21"/>
        <v>0</v>
      </c>
      <c r="O41" s="51">
        <f t="shared" ca="1" si="21"/>
        <v>0</v>
      </c>
      <c r="P41" s="51">
        <f t="shared" ca="1" si="21"/>
        <v>0</v>
      </c>
      <c r="Q41" s="51">
        <f t="shared" ca="1" si="21"/>
        <v>0</v>
      </c>
      <c r="R41" s="53">
        <f t="shared" ca="1" si="21"/>
        <v>11301215.137505416</v>
      </c>
      <c r="S41" s="25"/>
      <c r="T41" s="51">
        <f t="shared" ca="1" si="1"/>
        <v>8401421.4020696636</v>
      </c>
      <c r="U41" s="51">
        <f t="shared" ca="1" si="2"/>
        <v>2899793.7354357522</v>
      </c>
      <c r="V41" s="51">
        <f t="shared" ca="1" si="3"/>
        <v>11301215.137505416</v>
      </c>
      <c r="W41" s="11"/>
      <c r="X41" s="11"/>
      <c r="Y41" s="11"/>
      <c r="Z41" s="11"/>
      <c r="AA41" s="11"/>
    </row>
    <row r="42" spans="1:27">
      <c r="A42" s="11"/>
      <c r="B42" s="19" t="s">
        <v>52</v>
      </c>
      <c r="C42" s="20"/>
      <c r="D42" s="21"/>
      <c r="E42" s="20"/>
      <c r="F42" s="22">
        <f t="shared" ref="F42:R42" ca="1" si="22">SUM(F43:F47)</f>
        <v>-75616.963999999993</v>
      </c>
      <c r="G42" s="22">
        <f t="shared" ca="1" si="22"/>
        <v>-46012.149879999997</v>
      </c>
      <c r="H42" s="22">
        <f t="shared" ca="1" si="22"/>
        <v>-61394.776449999983</v>
      </c>
      <c r="I42" s="23">
        <f t="shared" ca="1" si="22"/>
        <v>-52504.5020699999</v>
      </c>
      <c r="J42" s="22">
        <f t="shared" ca="1" si="22"/>
        <v>-235852.36188000001</v>
      </c>
      <c r="K42" s="22">
        <f t="shared" ca="1" si="22"/>
        <v>-30271.710849999999</v>
      </c>
      <c r="L42" s="22">
        <f t="shared" ca="1" si="22"/>
        <v>-54339.314639999982</v>
      </c>
      <c r="M42" s="22">
        <f t="shared" ca="1" si="22"/>
        <v>-14711.09333</v>
      </c>
      <c r="N42" s="22">
        <f t="shared" ca="1" si="22"/>
        <v>0</v>
      </c>
      <c r="O42" s="22">
        <f t="shared" ca="1" si="22"/>
        <v>0</v>
      </c>
      <c r="P42" s="22">
        <f t="shared" ca="1" si="22"/>
        <v>0</v>
      </c>
      <c r="Q42" s="22">
        <f t="shared" ca="1" si="22"/>
        <v>0</v>
      </c>
      <c r="R42" s="24">
        <f t="shared" ca="1" si="22"/>
        <v>-570702.87309999985</v>
      </c>
      <c r="S42" s="54"/>
      <c r="T42" s="22">
        <f t="shared" ca="1" si="1"/>
        <v>-501652.46512999985</v>
      </c>
      <c r="U42" s="22">
        <f t="shared" ca="1" si="2"/>
        <v>-69050.407969999986</v>
      </c>
      <c r="V42" s="22">
        <f t="shared" ca="1" si="3"/>
        <v>-570702.87309999985</v>
      </c>
      <c r="W42" s="1"/>
      <c r="X42" s="1"/>
      <c r="Y42" s="1"/>
      <c r="Z42" s="1"/>
      <c r="AA42" s="1"/>
    </row>
    <row r="43" spans="1:27" outlineLevel="1">
      <c r="A43" s="26"/>
      <c r="B43" s="27"/>
      <c r="C43" s="27" t="s">
        <v>53</v>
      </c>
      <c r="D43" s="28"/>
      <c r="E43" s="27"/>
      <c r="F43" s="29">
        <f>'Cálculos de Impostos'!F43</f>
        <v>-12966.67</v>
      </c>
      <c r="G43" s="29">
        <f>'Cálculos de Impostos'!G43</f>
        <v>-12966.67</v>
      </c>
      <c r="H43" s="29">
        <f>'Cálculos de Impostos'!H43</f>
        <v>-12966.67</v>
      </c>
      <c r="I43" s="29">
        <f>'Cálculos de Impostos'!I43</f>
        <v>-12966.67</v>
      </c>
      <c r="J43" s="29">
        <f>'Cálculos de Impostos'!J43</f>
        <v>-23166.67</v>
      </c>
      <c r="K43" s="29">
        <f>'Cálculos de Impostos'!K43</f>
        <v>-12966.67</v>
      </c>
      <c r="L43" s="29">
        <f>'Cálculos de Impostos'!L43</f>
        <v>-12966.67</v>
      </c>
      <c r="M43" s="29">
        <f>'Cálculos de Impostos'!M43</f>
        <v>-12966.67</v>
      </c>
      <c r="N43" s="29">
        <f>'Cálculos de Impostos'!N43</f>
        <v>0</v>
      </c>
      <c r="O43" s="29">
        <f>'Cálculos de Impostos'!O43</f>
        <v>0</v>
      </c>
      <c r="P43" s="29">
        <f>'Cálculos de Impostos'!P43</f>
        <v>0</v>
      </c>
      <c r="Q43" s="29">
        <f>'Cálculos de Impostos'!Q43</f>
        <v>0</v>
      </c>
      <c r="R43" s="30">
        <f t="shared" ref="R43:R47" si="23">SUM(F43:Q43)</f>
        <v>-113933.36</v>
      </c>
      <c r="S43" s="31"/>
      <c r="T43" s="29">
        <f t="shared" si="1"/>
        <v>-88000.02</v>
      </c>
      <c r="U43" s="29">
        <f t="shared" si="2"/>
        <v>-25933.34</v>
      </c>
      <c r="V43" s="29">
        <f t="shared" si="3"/>
        <v>-113933.36</v>
      </c>
      <c r="W43" s="55"/>
      <c r="X43" s="55"/>
      <c r="Y43" s="55"/>
      <c r="Z43" s="55"/>
      <c r="AA43" s="55"/>
    </row>
    <row r="44" spans="1:27" outlineLevel="1">
      <c r="A44" s="26"/>
      <c r="B44" s="27"/>
      <c r="C44" s="27" t="s">
        <v>54</v>
      </c>
      <c r="D44" s="28"/>
      <c r="E44" s="27"/>
      <c r="F44" s="29">
        <f ca="1">'Cálculos de Impostos'!F44</f>
        <v>-1535.4939999999999</v>
      </c>
      <c r="G44" s="29">
        <f ca="1">'Cálculos de Impostos'!G44</f>
        <v>-2166.0598799999998</v>
      </c>
      <c r="H44" s="29">
        <f ca="1">'Cálculos de Impostos'!H44</f>
        <v>-2401.7164499999999</v>
      </c>
      <c r="I44" s="29">
        <f ca="1">'Cálculos de Impostos'!I44</f>
        <v>-3363.4120699999999</v>
      </c>
      <c r="J44" s="29">
        <f ca="1">'Cálculos de Impostos'!J44</f>
        <v>-188587.80188000004</v>
      </c>
      <c r="K44" s="29">
        <f ca="1">'Cálculos de Impostos'!K44</f>
        <v>-4360.0908499999996</v>
      </c>
      <c r="L44" s="29">
        <f ca="1">'Cálculos de Impostos'!L44</f>
        <v>-5077.9446399999997</v>
      </c>
      <c r="M44" s="29">
        <f ca="1">'Cálculos de Impostos'!M44</f>
        <v>-1744.4233300000001</v>
      </c>
      <c r="N44" s="29">
        <f ca="1">'Cálculos de Impostos'!N44</f>
        <v>0</v>
      </c>
      <c r="O44" s="29">
        <f ca="1">'Cálculos de Impostos'!O44</f>
        <v>0</v>
      </c>
      <c r="P44" s="29">
        <f ca="1">'Cálculos de Impostos'!P44</f>
        <v>0</v>
      </c>
      <c r="Q44" s="29">
        <f ca="1">'Cálculos de Impostos'!Q44</f>
        <v>0</v>
      </c>
      <c r="R44" s="30">
        <f t="shared" ca="1" si="23"/>
        <v>-209236.94310000003</v>
      </c>
      <c r="S44" s="31"/>
      <c r="T44" s="29">
        <f t="shared" ca="1" si="1"/>
        <v>-202414.57513000004</v>
      </c>
      <c r="U44" s="29">
        <f t="shared" ca="1" si="2"/>
        <v>-6822.3679699999993</v>
      </c>
      <c r="V44" s="29">
        <f t="shared" ca="1" si="3"/>
        <v>-209236.94310000003</v>
      </c>
      <c r="W44" s="55"/>
      <c r="X44" s="55"/>
      <c r="Y44" s="55"/>
      <c r="Z44" s="55"/>
      <c r="AA44" s="55"/>
    </row>
    <row r="45" spans="1:27" outlineLevel="1">
      <c r="A45" s="26"/>
      <c r="B45" s="27"/>
      <c r="C45" s="27" t="s">
        <v>55</v>
      </c>
      <c r="D45" s="28"/>
      <c r="E45" s="27"/>
      <c r="F45" s="29">
        <f>'Cálculos de Impostos'!F45</f>
        <v>-45074.340000000004</v>
      </c>
      <c r="G45" s="29">
        <f>'Cálculos de Impostos'!G45</f>
        <v>-9114.1200000000008</v>
      </c>
      <c r="H45" s="29">
        <f>'Cálculos de Impostos'!H45</f>
        <v>-2700</v>
      </c>
      <c r="I45" s="29">
        <f>'Cálculos de Impostos'!I45</f>
        <v>-3658</v>
      </c>
      <c r="J45" s="29">
        <f>'Cálculos de Impostos'!J45</f>
        <v>-4595.6499999999996</v>
      </c>
      <c r="K45" s="29">
        <f>'Cálculos de Impostos'!K45</f>
        <v>-5880.9</v>
      </c>
      <c r="L45" s="29">
        <f>'Cálculos de Impostos'!L45</f>
        <v>-20072.440000000002</v>
      </c>
      <c r="M45" s="29">
        <f>'Cálculos de Impostos'!M45</f>
        <v>0</v>
      </c>
      <c r="N45" s="29">
        <f>'Cálculos de Impostos'!N45</f>
        <v>0</v>
      </c>
      <c r="O45" s="29">
        <f>'Cálculos de Impostos'!O45</f>
        <v>0</v>
      </c>
      <c r="P45" s="29">
        <f>'Cálculos de Impostos'!P45</f>
        <v>0</v>
      </c>
      <c r="Q45" s="29">
        <f>'Cálculos de Impostos'!Q45</f>
        <v>0</v>
      </c>
      <c r="R45" s="30">
        <f t="shared" si="23"/>
        <v>-91095.450000000012</v>
      </c>
      <c r="S45" s="31"/>
      <c r="T45" s="29">
        <f t="shared" si="1"/>
        <v>-71023.010000000009</v>
      </c>
      <c r="U45" s="29">
        <f t="shared" si="2"/>
        <v>-20072.440000000002</v>
      </c>
      <c r="V45" s="29">
        <f t="shared" si="3"/>
        <v>-91095.450000000012</v>
      </c>
      <c r="W45" s="55"/>
      <c r="X45" s="55"/>
      <c r="Y45" s="55"/>
      <c r="Z45" s="55"/>
      <c r="AA45" s="55"/>
    </row>
    <row r="46" spans="1:27" outlineLevel="1">
      <c r="A46" s="26"/>
      <c r="B46" s="27"/>
      <c r="C46" s="27" t="s">
        <v>56</v>
      </c>
      <c r="D46" s="28"/>
      <c r="E46" s="27"/>
      <c r="F46" s="29">
        <f ca="1">'Cálculos de Impostos'!F46</f>
        <v>-9757.3699999999899</v>
      </c>
      <c r="G46" s="29">
        <f ca="1">'Cálculos de Impostos'!G46</f>
        <v>-21765.299999999992</v>
      </c>
      <c r="H46" s="29">
        <f ca="1">'Cálculos de Impostos'!H46</f>
        <v>-43326.389999999985</v>
      </c>
      <c r="I46" s="29">
        <f ca="1">'Cálculos de Impostos'!I46</f>
        <v>-32516.4199999999</v>
      </c>
      <c r="J46" s="29">
        <f ca="1">'Cálculos de Impostos'!J46</f>
        <v>-19502.239999999998</v>
      </c>
      <c r="K46" s="29">
        <f ca="1">'Cálculos de Impostos'!K46</f>
        <v>-7064.0499999999993</v>
      </c>
      <c r="L46" s="29">
        <f ca="1">'Cálculos de Impostos'!L46</f>
        <v>-16222.25999999998</v>
      </c>
      <c r="M46" s="29">
        <f>'Cálculos de Impostos'!M46</f>
        <v>0</v>
      </c>
      <c r="N46" s="29">
        <f>'Cálculos de Impostos'!N46</f>
        <v>0</v>
      </c>
      <c r="O46" s="29">
        <f>'Cálculos de Impostos'!O46</f>
        <v>0</v>
      </c>
      <c r="P46" s="29">
        <f>'Cálculos de Impostos'!P46</f>
        <v>0</v>
      </c>
      <c r="Q46" s="29">
        <f>'Cálculos de Impostos'!Q46</f>
        <v>0</v>
      </c>
      <c r="R46" s="30">
        <f t="shared" ca="1" si="23"/>
        <v>-150154.02999999982</v>
      </c>
      <c r="S46" s="31"/>
      <c r="T46" s="29">
        <f t="shared" ca="1" si="1"/>
        <v>-133931.76999999984</v>
      </c>
      <c r="U46" s="29">
        <f t="shared" ca="1" si="2"/>
        <v>-16222.25999999998</v>
      </c>
      <c r="V46" s="29">
        <f t="shared" ca="1" si="3"/>
        <v>-150154.02999999982</v>
      </c>
      <c r="W46" s="55"/>
      <c r="X46" s="55"/>
      <c r="Y46" s="55"/>
      <c r="Z46" s="55"/>
      <c r="AA46" s="55"/>
    </row>
    <row r="47" spans="1:27" outlineLevel="1">
      <c r="A47" s="26"/>
      <c r="B47" s="27"/>
      <c r="C47" s="56" t="s">
        <v>57</v>
      </c>
      <c r="D47" s="28"/>
      <c r="E47" s="27"/>
      <c r="F47" s="29">
        <f>'Cálculos de Impostos'!F47</f>
        <v>-6283.09</v>
      </c>
      <c r="G47" s="29">
        <f>'Cálculos de Impostos'!G47</f>
        <v>0</v>
      </c>
      <c r="H47" s="29">
        <f>'Cálculos de Impostos'!H47</f>
        <v>0</v>
      </c>
      <c r="I47" s="29">
        <f>'Cálculos de Impostos'!I47</f>
        <v>0</v>
      </c>
      <c r="J47" s="29">
        <f>'Cálculos de Impostos'!J47</f>
        <v>0</v>
      </c>
      <c r="K47" s="29">
        <f>'Cálculos de Impostos'!K47</f>
        <v>0</v>
      </c>
      <c r="L47" s="29">
        <f>'Cálculos de Impostos'!L47</f>
        <v>0</v>
      </c>
      <c r="M47" s="29">
        <f>'Cálculos de Impostos'!M47</f>
        <v>0</v>
      </c>
      <c r="N47" s="29">
        <f>'Cálculos de Impostos'!N47</f>
        <v>0</v>
      </c>
      <c r="O47" s="29">
        <f>'Cálculos de Impostos'!O47</f>
        <v>0</v>
      </c>
      <c r="P47" s="29">
        <f>'Cálculos de Impostos'!P47</f>
        <v>0</v>
      </c>
      <c r="Q47" s="29">
        <f>'Cálculos de Impostos'!Q47</f>
        <v>0</v>
      </c>
      <c r="R47" s="30">
        <f t="shared" si="23"/>
        <v>-6283.09</v>
      </c>
      <c r="S47" s="31"/>
      <c r="T47" s="29">
        <f t="shared" si="1"/>
        <v>-6283.09</v>
      </c>
      <c r="U47" s="29">
        <f t="shared" si="2"/>
        <v>0</v>
      </c>
      <c r="V47" s="29">
        <f t="shared" si="3"/>
        <v>-6283.09</v>
      </c>
      <c r="W47" s="55"/>
      <c r="X47" s="55"/>
      <c r="Y47" s="55"/>
      <c r="Z47" s="55"/>
      <c r="AA47" s="55"/>
    </row>
    <row r="48" spans="1:27" ht="15.75">
      <c r="A48" s="57"/>
      <c r="B48" s="58" t="s">
        <v>58</v>
      </c>
      <c r="C48" s="59"/>
      <c r="D48" s="60"/>
      <c r="E48" s="59"/>
      <c r="F48" s="61">
        <f t="shared" ref="F48:R48" ca="1" si="24">F41+F42</f>
        <v>1506590.8438035448</v>
      </c>
      <c r="G48" s="61">
        <f t="shared" ca="1" si="24"/>
        <v>1158245.5506657248</v>
      </c>
      <c r="H48" s="61">
        <f t="shared" ca="1" si="24"/>
        <v>1309937.8264182468</v>
      </c>
      <c r="I48" s="62">
        <f t="shared" ca="1" si="24"/>
        <v>1291340.9601519054</v>
      </c>
      <c r="J48" s="61">
        <f t="shared" ca="1" si="24"/>
        <v>1285852.1448573458</v>
      </c>
      <c r="K48" s="61">
        <f t="shared" ca="1" si="24"/>
        <v>1347801.6110428956</v>
      </c>
      <c r="L48" s="61">
        <f t="shared" ca="1" si="24"/>
        <v>1517846.55167478</v>
      </c>
      <c r="M48" s="61">
        <f t="shared" ca="1" si="24"/>
        <v>1312896.7757909722</v>
      </c>
      <c r="N48" s="61">
        <f t="shared" ca="1" si="24"/>
        <v>0</v>
      </c>
      <c r="O48" s="61">
        <f t="shared" ca="1" si="24"/>
        <v>0</v>
      </c>
      <c r="P48" s="61">
        <f t="shared" ca="1" si="24"/>
        <v>0</v>
      </c>
      <c r="Q48" s="61">
        <f t="shared" ca="1" si="24"/>
        <v>0</v>
      </c>
      <c r="R48" s="63">
        <f t="shared" ca="1" si="24"/>
        <v>10730512.264405416</v>
      </c>
      <c r="S48" s="64"/>
      <c r="T48" s="61">
        <f t="shared" ca="1" si="1"/>
        <v>7899768.9369396633</v>
      </c>
      <c r="U48" s="61">
        <f t="shared" ca="1" si="2"/>
        <v>2830743.3274657521</v>
      </c>
      <c r="V48" s="61">
        <f t="shared" ca="1" si="3"/>
        <v>10730512.264405414</v>
      </c>
      <c r="W48" s="57"/>
      <c r="X48" s="57"/>
      <c r="Y48" s="57"/>
      <c r="Z48" s="57"/>
      <c r="AA48" s="57"/>
    </row>
    <row r="49" spans="1:27">
      <c r="A49" s="11"/>
      <c r="B49" s="19" t="s">
        <v>59</v>
      </c>
      <c r="C49" s="20"/>
      <c r="D49" s="21"/>
      <c r="E49" s="20"/>
      <c r="F49" s="22">
        <f t="shared" ref="F49:R49" ca="1" si="25">F50+F52+F77+F93+F98</f>
        <v>-840219.09003282536</v>
      </c>
      <c r="G49" s="22">
        <f t="shared" ca="1" si="25"/>
        <v>-815784.65201702446</v>
      </c>
      <c r="H49" s="22">
        <f t="shared" ca="1" si="25"/>
        <v>-837720.9588466034</v>
      </c>
      <c r="I49" s="23">
        <f t="shared" ca="1" si="25"/>
        <v>-844375.57630074746</v>
      </c>
      <c r="J49" s="22">
        <f t="shared" ca="1" si="25"/>
        <v>-838063.10996920825</v>
      </c>
      <c r="K49" s="22">
        <f t="shared" ca="1" si="25"/>
        <v>-819946.9101472341</v>
      </c>
      <c r="L49" s="22">
        <f t="shared" ca="1" si="25"/>
        <v>-827938.24199038255</v>
      </c>
      <c r="M49" s="22">
        <f t="shared" ca="1" si="25"/>
        <v>-801762.39855081588</v>
      </c>
      <c r="N49" s="22">
        <f t="shared" ca="1" si="25"/>
        <v>0</v>
      </c>
      <c r="O49" s="22">
        <f t="shared" ca="1" si="25"/>
        <v>0</v>
      </c>
      <c r="P49" s="22">
        <f t="shared" ca="1" si="25"/>
        <v>0</v>
      </c>
      <c r="Q49" s="22">
        <f t="shared" ca="1" si="25"/>
        <v>0</v>
      </c>
      <c r="R49" s="24">
        <f t="shared" ca="1" si="25"/>
        <v>-6625810.9378548414</v>
      </c>
      <c r="S49" s="54"/>
      <c r="T49" s="22">
        <f t="shared" ca="1" si="1"/>
        <v>-4996110.2973136427</v>
      </c>
      <c r="U49" s="22">
        <f t="shared" ca="1" si="2"/>
        <v>-1629700.6405411984</v>
      </c>
      <c r="V49" s="22">
        <f t="shared" ca="1" si="3"/>
        <v>-6625810.9378548414</v>
      </c>
      <c r="W49" s="1"/>
      <c r="X49" s="1"/>
      <c r="Y49" s="1"/>
      <c r="Z49" s="1"/>
      <c r="AA49" s="1"/>
    </row>
    <row r="50" spans="1:27" outlineLevel="1">
      <c r="A50" s="26"/>
      <c r="B50" s="28"/>
      <c r="C50" s="65" t="s">
        <v>60</v>
      </c>
      <c r="D50" s="28"/>
      <c r="E50" s="27"/>
      <c r="F50" s="66">
        <f t="shared" ref="F50:R50" si="26">F51</f>
        <v>-5904.0899999999992</v>
      </c>
      <c r="G50" s="66">
        <f t="shared" si="26"/>
        <v>-1572.4399999999998</v>
      </c>
      <c r="H50" s="66">
        <f t="shared" si="26"/>
        <v>-1868.52</v>
      </c>
      <c r="I50" s="66">
        <f t="shared" si="26"/>
        <v>-18760.590000000004</v>
      </c>
      <c r="J50" s="66">
        <f t="shared" si="26"/>
        <v>-6865.39</v>
      </c>
      <c r="K50" s="66">
        <f t="shared" si="26"/>
        <v>-10164.83</v>
      </c>
      <c r="L50" s="66">
        <f t="shared" si="26"/>
        <v>-3093.07</v>
      </c>
      <c r="M50" s="66">
        <f t="shared" si="26"/>
        <v>-6624.7099999999982</v>
      </c>
      <c r="N50" s="66">
        <f t="shared" si="26"/>
        <v>0</v>
      </c>
      <c r="O50" s="66">
        <f t="shared" si="26"/>
        <v>0</v>
      </c>
      <c r="P50" s="66">
        <f t="shared" si="26"/>
        <v>0</v>
      </c>
      <c r="Q50" s="66">
        <f t="shared" si="26"/>
        <v>0</v>
      </c>
      <c r="R50" s="67">
        <f t="shared" si="26"/>
        <v>-54853.640000000007</v>
      </c>
      <c r="S50" s="41"/>
      <c r="T50" s="66">
        <f t="shared" si="1"/>
        <v>-45135.860000000008</v>
      </c>
      <c r="U50" s="66">
        <f t="shared" si="2"/>
        <v>-9717.7799999999988</v>
      </c>
      <c r="V50" s="66">
        <f t="shared" si="3"/>
        <v>-54853.640000000007</v>
      </c>
      <c r="W50" s="26"/>
      <c r="X50" s="26"/>
      <c r="Y50" s="26"/>
      <c r="Z50" s="26"/>
      <c r="AA50" s="26"/>
    </row>
    <row r="51" spans="1:27" ht="15.75" outlineLevel="2">
      <c r="A51" s="57"/>
      <c r="B51" s="12"/>
      <c r="C51" s="12"/>
      <c r="D51" s="43" t="s">
        <v>61</v>
      </c>
      <c r="E51" s="12"/>
      <c r="F51" s="34">
        <f>'Cálculos de Impostos'!F51</f>
        <v>-5904.0899999999992</v>
      </c>
      <c r="G51" s="34">
        <f>'Cálculos de Impostos'!G51</f>
        <v>-1572.4399999999998</v>
      </c>
      <c r="H51" s="34">
        <f>'Cálculos de Impostos'!H51</f>
        <v>-1868.52</v>
      </c>
      <c r="I51" s="34">
        <f>'Cálculos de Impostos'!I51</f>
        <v>-18760.590000000004</v>
      </c>
      <c r="J51" s="34">
        <f>'Cálculos de Impostos'!J51</f>
        <v>-6865.39</v>
      </c>
      <c r="K51" s="34">
        <f>'Cálculos de Impostos'!K51</f>
        <v>-10164.83</v>
      </c>
      <c r="L51" s="34">
        <f>'Cálculos de Impostos'!L51</f>
        <v>-3093.07</v>
      </c>
      <c r="M51" s="34">
        <f>'Cálculos de Impostos'!M51</f>
        <v>-6624.7099999999982</v>
      </c>
      <c r="N51" s="34">
        <f>'Cálculos de Impostos'!N51</f>
        <v>0</v>
      </c>
      <c r="O51" s="34">
        <f>'Cálculos de Impostos'!O51</f>
        <v>0</v>
      </c>
      <c r="P51" s="34">
        <f>'Cálculos de Impostos'!P51</f>
        <v>0</v>
      </c>
      <c r="Q51" s="34">
        <f>'Cálculos de Impostos'!Q51</f>
        <v>0</v>
      </c>
      <c r="R51" s="68">
        <f>SUM(F51:Q51)</f>
        <v>-54853.640000000007</v>
      </c>
      <c r="S51" s="69"/>
      <c r="T51" s="46">
        <f t="shared" si="1"/>
        <v>-45135.860000000008</v>
      </c>
      <c r="U51" s="46">
        <f t="shared" si="2"/>
        <v>-9717.7799999999988</v>
      </c>
      <c r="V51" s="46">
        <f t="shared" si="3"/>
        <v>-54853.640000000007</v>
      </c>
      <c r="W51" s="70"/>
      <c r="X51" s="70"/>
      <c r="Y51" s="70"/>
      <c r="Z51" s="70"/>
      <c r="AA51" s="70"/>
    </row>
    <row r="52" spans="1:27" outlineLevel="1">
      <c r="A52" s="26"/>
      <c r="B52" s="27"/>
      <c r="C52" s="65" t="s">
        <v>62</v>
      </c>
      <c r="D52" s="28"/>
      <c r="E52" s="27"/>
      <c r="F52" s="66">
        <f t="shared" ref="F52:R52" ca="1" si="27">SUM(F53:F57,F61:F76)</f>
        <v>-713882.79003282543</v>
      </c>
      <c r="G52" s="66">
        <f t="shared" ca="1" si="27"/>
        <v>-713624.0720170245</v>
      </c>
      <c r="H52" s="66">
        <f t="shared" ca="1" si="27"/>
        <v>-736612.73884660332</v>
      </c>
      <c r="I52" s="66">
        <f t="shared" ca="1" si="27"/>
        <v>-705418.36630074738</v>
      </c>
      <c r="J52" s="66">
        <f t="shared" ca="1" si="27"/>
        <v>-719795.20996920823</v>
      </c>
      <c r="K52" s="66">
        <f t="shared" ca="1" si="27"/>
        <v>-707198.46014723415</v>
      </c>
      <c r="L52" s="66">
        <f t="shared" ca="1" si="27"/>
        <v>-744724.47199038265</v>
      </c>
      <c r="M52" s="66">
        <f t="shared" ca="1" si="27"/>
        <v>-713274.00855081598</v>
      </c>
      <c r="N52" s="66">
        <f t="shared" ca="1" si="27"/>
        <v>0</v>
      </c>
      <c r="O52" s="66">
        <f t="shared" ca="1" si="27"/>
        <v>0</v>
      </c>
      <c r="P52" s="66">
        <f t="shared" ca="1" si="27"/>
        <v>0</v>
      </c>
      <c r="Q52" s="66">
        <f t="shared" ca="1" si="27"/>
        <v>0</v>
      </c>
      <c r="R52" s="67">
        <f t="shared" ca="1" si="27"/>
        <v>-5754530.1178548411</v>
      </c>
      <c r="S52" s="41"/>
      <c r="T52" s="66">
        <f t="shared" ca="1" si="1"/>
        <v>-4296531.6373136435</v>
      </c>
      <c r="U52" s="66">
        <f t="shared" ca="1" si="2"/>
        <v>-1457998.4805411985</v>
      </c>
      <c r="V52" s="66">
        <f t="shared" ca="1" si="3"/>
        <v>-5754530.117854842</v>
      </c>
      <c r="W52" s="55"/>
      <c r="X52" s="55"/>
      <c r="Y52" s="55"/>
      <c r="Z52" s="55"/>
      <c r="AA52" s="55"/>
    </row>
    <row r="53" spans="1:27" outlineLevel="2">
      <c r="A53" s="42"/>
      <c r="B53" s="43"/>
      <c r="C53" s="43"/>
      <c r="D53" s="43" t="s">
        <v>63</v>
      </c>
      <c r="E53" s="43"/>
      <c r="F53" s="34">
        <f>'Cálculos de Impostos'!F53</f>
        <v>-240113.48000000004</v>
      </c>
      <c r="G53" s="34">
        <f>'Cálculos de Impostos'!G53</f>
        <v>-242102.74000000002</v>
      </c>
      <c r="H53" s="34">
        <f>'Cálculos de Impostos'!H53</f>
        <v>-236025.11000000004</v>
      </c>
      <c r="I53" s="34">
        <f>'Cálculos de Impostos'!I53</f>
        <v>-225382.29</v>
      </c>
      <c r="J53" s="34">
        <f>'Cálculos de Impostos'!J53</f>
        <v>-225809.01000000004</v>
      </c>
      <c r="K53" s="34">
        <f>'Cálculos de Impostos'!K53</f>
        <v>-232624.79000000004</v>
      </c>
      <c r="L53" s="34">
        <f>'Cálculos de Impostos'!L53</f>
        <v>-236097.42000000007</v>
      </c>
      <c r="M53" s="34">
        <f>'Cálculos de Impostos'!M53</f>
        <v>-237979.84000000005</v>
      </c>
      <c r="N53" s="34">
        <f>'Cálculos de Impostos'!N53</f>
        <v>0</v>
      </c>
      <c r="O53" s="34">
        <f>'Cálculos de Impostos'!O53</f>
        <v>0</v>
      </c>
      <c r="P53" s="34">
        <f>'Cálculos de Impostos'!P53</f>
        <v>0</v>
      </c>
      <c r="Q53" s="34">
        <f>'Cálculos de Impostos'!Q53</f>
        <v>0</v>
      </c>
      <c r="R53" s="68">
        <f t="shared" ref="R53:R56" si="28">SUM(F53:Q53)</f>
        <v>-1876134.6800000004</v>
      </c>
      <c r="S53" s="71"/>
      <c r="T53" s="46">
        <f t="shared" si="1"/>
        <v>-1402057.4200000002</v>
      </c>
      <c r="U53" s="46">
        <f t="shared" si="2"/>
        <v>-474077.26000000013</v>
      </c>
      <c r="V53" s="46">
        <f t="shared" si="3"/>
        <v>-1876134.6800000002</v>
      </c>
      <c r="W53" s="72"/>
      <c r="X53" s="72"/>
      <c r="Y53" s="72"/>
      <c r="Z53" s="72"/>
      <c r="AA53" s="72"/>
    </row>
    <row r="54" spans="1:27" outlineLevel="2">
      <c r="A54" s="42"/>
      <c r="B54" s="43"/>
      <c r="C54" s="43"/>
      <c r="D54" s="43" t="s">
        <v>64</v>
      </c>
      <c r="E54" s="43"/>
      <c r="F54" s="34">
        <f>'Cálculos de Impostos'!F54</f>
        <v>-8011.5885316666654</v>
      </c>
      <c r="G54" s="34">
        <f>'Cálculos de Impostos'!G54</f>
        <v>-8109.3938808333305</v>
      </c>
      <c r="H54" s="34">
        <f>'Cálculos de Impostos'!H54</f>
        <v>-8022.6528058333306</v>
      </c>
      <c r="I54" s="34">
        <f>'Cálculos de Impostos'!I54</f>
        <v>-7659.9706156249986</v>
      </c>
      <c r="J54" s="34">
        <f>'Cálculos de Impostos'!J54</f>
        <v>-7627.1600328333307</v>
      </c>
      <c r="K54" s="34">
        <f>'Cálculos de Impostos'!K54</f>
        <v>-7863.8276609722216</v>
      </c>
      <c r="L54" s="34">
        <f>'Cálculos de Impostos'!L54</f>
        <v>-7856.1560849999978</v>
      </c>
      <c r="M54" s="34">
        <f>'Cálculos de Impostos'!M54</f>
        <v>-7883.5261209374967</v>
      </c>
      <c r="N54" s="34">
        <f>'Cálculos de Impostos'!N54</f>
        <v>0</v>
      </c>
      <c r="O54" s="34">
        <f>'Cálculos de Impostos'!O54</f>
        <v>0</v>
      </c>
      <c r="P54" s="34">
        <f>'Cálculos de Impostos'!P54</f>
        <v>0</v>
      </c>
      <c r="Q54" s="34">
        <f>'Cálculos de Impostos'!Q54</f>
        <v>0</v>
      </c>
      <c r="R54" s="68">
        <f t="shared" si="28"/>
        <v>-63034.275733701368</v>
      </c>
      <c r="S54" s="71"/>
      <c r="T54" s="46">
        <f t="shared" si="1"/>
        <v>-47294.593527763878</v>
      </c>
      <c r="U54" s="46">
        <f t="shared" si="2"/>
        <v>-15739.682205937494</v>
      </c>
      <c r="V54" s="46">
        <f t="shared" si="3"/>
        <v>-63034.275733701375</v>
      </c>
      <c r="W54" s="72"/>
      <c r="X54" s="72"/>
      <c r="Y54" s="72"/>
      <c r="Z54" s="72"/>
      <c r="AA54" s="72"/>
    </row>
    <row r="55" spans="1:27" outlineLevel="2">
      <c r="A55" s="42"/>
      <c r="B55" s="43"/>
      <c r="C55" s="43"/>
      <c r="D55" s="43" t="s">
        <v>65</v>
      </c>
      <c r="E55" s="43"/>
      <c r="F55" s="34">
        <f>'Cálculos de Impostos'!F55</f>
        <v>-1800.23</v>
      </c>
      <c r="G55" s="34">
        <f>'Cálculos de Impostos'!G55</f>
        <v>0</v>
      </c>
      <c r="H55" s="34">
        <f>'Cálculos de Impostos'!H55</f>
        <v>-25560.770000000004</v>
      </c>
      <c r="I55" s="34">
        <f>'Cálculos de Impostos'!I55</f>
        <v>-11451.61</v>
      </c>
      <c r="J55" s="34">
        <f>'Cálculos de Impostos'!J55</f>
        <v>-4477.71</v>
      </c>
      <c r="K55" s="34">
        <f>'Cálculos de Impostos'!K55</f>
        <v>-3847.35</v>
      </c>
      <c r="L55" s="34">
        <f>'Cálculos de Impostos'!L55</f>
        <v>-14621.74</v>
      </c>
      <c r="M55" s="34">
        <f>'Cálculos de Impostos'!M55</f>
        <v>0</v>
      </c>
      <c r="N55" s="34">
        <f>'Cálculos de Impostos'!N55</f>
        <v>0</v>
      </c>
      <c r="O55" s="34">
        <f>'Cálculos de Impostos'!O55</f>
        <v>0</v>
      </c>
      <c r="P55" s="34">
        <f>'Cálculos de Impostos'!P55</f>
        <v>0</v>
      </c>
      <c r="Q55" s="34">
        <f>'Cálculos de Impostos'!Q55</f>
        <v>0</v>
      </c>
      <c r="R55" s="68">
        <f t="shared" si="28"/>
        <v>-61759.409999999996</v>
      </c>
      <c r="S55" s="71"/>
      <c r="T55" s="46">
        <f t="shared" si="1"/>
        <v>-47137.67</v>
      </c>
      <c r="U55" s="46">
        <f t="shared" si="2"/>
        <v>-14621.74</v>
      </c>
      <c r="V55" s="46">
        <f t="shared" si="3"/>
        <v>-61759.409999999996</v>
      </c>
      <c r="W55" s="72"/>
      <c r="X55" s="72"/>
      <c r="Y55" s="72"/>
      <c r="Z55" s="72"/>
      <c r="AA55" s="72"/>
    </row>
    <row r="56" spans="1:27" outlineLevel="2">
      <c r="A56" s="42"/>
      <c r="B56" s="43"/>
      <c r="C56" s="43"/>
      <c r="D56" s="43" t="s">
        <v>66</v>
      </c>
      <c r="E56" s="43"/>
      <c r="F56" s="34">
        <f>'Cálculos de Impostos'!F56</f>
        <v>-24034.755595000006</v>
      </c>
      <c r="G56" s="34">
        <f>'Cálculos de Impostos'!G56</f>
        <v>-24328.181642500011</v>
      </c>
      <c r="H56" s="34">
        <f>'Cálculos de Impostos'!H56</f>
        <v>-24067.958417500005</v>
      </c>
      <c r="I56" s="34">
        <f>'Cálculos de Impostos'!I56</f>
        <v>-22979.911846875002</v>
      </c>
      <c r="J56" s="34">
        <f>'Cálculos de Impostos'!J56</f>
        <v>-22881.480098500004</v>
      </c>
      <c r="K56" s="34">
        <f>'Cálculos de Impostos'!K56</f>
        <v>-23594.402832083339</v>
      </c>
      <c r="L56" s="34">
        <f>'Cálculos de Impostos'!L56</f>
        <v>-23504.747753571428</v>
      </c>
      <c r="M56" s="34">
        <f>'Cálculos de Impostos'!M56</f>
        <v>-23536.877598437502</v>
      </c>
      <c r="N56" s="34">
        <f>'Cálculos de Impostos'!N56</f>
        <v>0</v>
      </c>
      <c r="O56" s="34">
        <f>'Cálculos de Impostos'!O56</f>
        <v>0</v>
      </c>
      <c r="P56" s="34">
        <f>'Cálculos de Impostos'!P56</f>
        <v>0</v>
      </c>
      <c r="Q56" s="34">
        <f>'Cálculos de Impostos'!Q56</f>
        <v>0</v>
      </c>
      <c r="R56" s="68">
        <f t="shared" si="28"/>
        <v>-188928.31578446733</v>
      </c>
      <c r="S56" s="71"/>
      <c r="T56" s="46">
        <f t="shared" si="1"/>
        <v>-141886.69043245839</v>
      </c>
      <c r="U56" s="46">
        <f t="shared" si="2"/>
        <v>-47041.62535200893</v>
      </c>
      <c r="V56" s="46">
        <f t="shared" si="3"/>
        <v>-188928.31578446733</v>
      </c>
      <c r="W56" s="72"/>
      <c r="X56" s="72"/>
      <c r="Y56" s="72"/>
      <c r="Z56" s="72"/>
      <c r="AA56" s="72"/>
    </row>
    <row r="57" spans="1:27" outlineLevel="2" collapsed="1">
      <c r="A57" s="73"/>
      <c r="B57" s="74"/>
      <c r="C57" s="74"/>
      <c r="D57" s="74" t="s">
        <v>67</v>
      </c>
      <c r="E57" s="43"/>
      <c r="F57" s="34">
        <f ca="1">'Cálculos de Impostos'!F57</f>
        <v>-58074.726563643839</v>
      </c>
      <c r="G57" s="34">
        <f ca="1">'Cálculos de Impostos'!G57</f>
        <v>-54927.448277766518</v>
      </c>
      <c r="H57" s="34">
        <f ca="1">'Cálculos de Impostos'!H57</f>
        <v>-54131.203679935388</v>
      </c>
      <c r="I57" s="34">
        <f ca="1">'Cálculos de Impostos'!I57</f>
        <v>-50530.478135153928</v>
      </c>
      <c r="J57" s="34">
        <f ca="1">'Cálculos de Impostos'!J57</f>
        <v>-69114.838328141384</v>
      </c>
      <c r="K57" s="34">
        <f ca="1">'Cálculos de Impostos'!K57</f>
        <v>-53713.327923555553</v>
      </c>
      <c r="L57" s="34">
        <f ca="1">'Cálculos de Impostos'!L57</f>
        <v>-56424.70127655266</v>
      </c>
      <c r="M57" s="34">
        <f ca="1">'Cálculos de Impostos'!M57</f>
        <v>-53351.469986243188</v>
      </c>
      <c r="N57" s="34">
        <f ca="1">'Cálculos de Impostos'!N57</f>
        <v>0</v>
      </c>
      <c r="O57" s="34">
        <f ca="1">'Cálculos de Impostos'!O57</f>
        <v>0</v>
      </c>
      <c r="P57" s="34">
        <f ca="1">'Cálculos de Impostos'!P57</f>
        <v>0</v>
      </c>
      <c r="Q57" s="34">
        <f ca="1">'Cálculos de Impostos'!Q57</f>
        <v>0</v>
      </c>
      <c r="R57" s="44">
        <f ca="1">R58+R59+R60</f>
        <v>-450268.19417099247</v>
      </c>
      <c r="S57" s="71"/>
      <c r="T57" s="46">
        <f t="shared" ca="1" si="1"/>
        <v>-340492.02290819661</v>
      </c>
      <c r="U57" s="46">
        <f t="shared" ca="1" si="2"/>
        <v>-109776.17126279585</v>
      </c>
      <c r="V57" s="46">
        <f t="shared" ca="1" si="3"/>
        <v>-450268.19417099247</v>
      </c>
      <c r="W57" s="72"/>
      <c r="X57" s="72"/>
      <c r="Y57" s="72"/>
      <c r="Z57" s="72"/>
      <c r="AA57" s="72"/>
    </row>
    <row r="58" spans="1:27" hidden="1" outlineLevel="3">
      <c r="A58" s="75"/>
      <c r="B58" s="76"/>
      <c r="C58" s="76"/>
      <c r="D58" s="77"/>
      <c r="E58" s="76" t="s">
        <v>68</v>
      </c>
      <c r="F58" s="78">
        <f>'Cálculos de Impostos'!F58</f>
        <v>-36654.44874</v>
      </c>
      <c r="G58" s="78">
        <f>'Cálculos de Impostos'!G58</f>
        <v>-38839.456109999999</v>
      </c>
      <c r="H58" s="78">
        <f>'Cálculos de Impostos'!H58</f>
        <v>-37445.108609999996</v>
      </c>
      <c r="I58" s="78">
        <f>'Cálculos de Impostos'!I58</f>
        <v>-33785.222152499999</v>
      </c>
      <c r="J58" s="78">
        <f>'Cálculos de Impostos'!J58</f>
        <v>-33934.987631999989</v>
      </c>
      <c r="K58" s="78">
        <f>'Cálculos de Impostos'!K58</f>
        <v>-35492.678584999994</v>
      </c>
      <c r="L58" s="78">
        <f>'Cálculos de Impostos'!L58</f>
        <v>-35670.111749999996</v>
      </c>
      <c r="M58" s="78">
        <f>'Cálculos de Impostos'!M58</f>
        <v>-35798.843193749999</v>
      </c>
      <c r="N58" s="78">
        <f>'Cálculos de Impostos'!N58</f>
        <v>0</v>
      </c>
      <c r="O58" s="78">
        <f>'Cálculos de Impostos'!O58</f>
        <v>0</v>
      </c>
      <c r="P58" s="78">
        <f>'Cálculos de Impostos'!P58</f>
        <v>0</v>
      </c>
      <c r="Q58" s="78">
        <f>'Cálculos de Impostos'!Q58</f>
        <v>0</v>
      </c>
      <c r="R58" s="79">
        <f t="shared" ref="R58:R76" si="29">SUM(F58:Q58)</f>
        <v>-287620.85677324998</v>
      </c>
      <c r="S58" s="80"/>
      <c r="T58" s="78">
        <f t="shared" si="1"/>
        <v>-216151.90182949998</v>
      </c>
      <c r="U58" s="78">
        <f t="shared" si="2"/>
        <v>-71468.954943749995</v>
      </c>
      <c r="V58" s="78"/>
      <c r="W58" s="81"/>
      <c r="X58" s="81"/>
      <c r="Y58" s="81"/>
      <c r="Z58" s="81"/>
      <c r="AA58" s="81"/>
    </row>
    <row r="59" spans="1:27" hidden="1" outlineLevel="3">
      <c r="A59" s="75"/>
      <c r="B59" s="76"/>
      <c r="C59" s="76"/>
      <c r="D59" s="77"/>
      <c r="E59" s="76" t="s">
        <v>69</v>
      </c>
      <c r="F59" s="78">
        <f>'Cálculos de Impostos'!F59</f>
        <v>-4146.0116999000002</v>
      </c>
      <c r="G59" s="78">
        <f>'Cálculos de Impostos'!G59</f>
        <v>-3983.3548145999998</v>
      </c>
      <c r="H59" s="78">
        <f>'Cálculos de Impostos'!H59</f>
        <v>-3892.20839574</v>
      </c>
      <c r="I59" s="78">
        <f>'Cálculos de Impostos'!I59</f>
        <v>-3849.3118791400002</v>
      </c>
      <c r="J59" s="78">
        <f>'Cálculos de Impostos'!J59</f>
        <v>-4051.1612602999999</v>
      </c>
      <c r="K59" s="78">
        <f>'Cálculos de Impostos'!K59</f>
        <v>-4053.7632855999996</v>
      </c>
      <c r="L59" s="78">
        <f>'Cálculos de Impostos'!L59</f>
        <v>-4169.0753495999998</v>
      </c>
      <c r="M59" s="78">
        <f>'Cálculos de Impostos'!M59</f>
        <v>-4277.0549879399996</v>
      </c>
      <c r="N59" s="78">
        <f>'Cálculos de Impostos'!N59</f>
        <v>0</v>
      </c>
      <c r="O59" s="78">
        <f>'Cálculos de Impostos'!O59</f>
        <v>0</v>
      </c>
      <c r="P59" s="78">
        <f>'Cálculos de Impostos'!P59</f>
        <v>0</v>
      </c>
      <c r="Q59" s="78">
        <f>'Cálculos de Impostos'!Q59</f>
        <v>0</v>
      </c>
      <c r="R59" s="79">
        <f t="shared" si="29"/>
        <v>-32421.941672819998</v>
      </c>
      <c r="S59" s="80"/>
      <c r="T59" s="78">
        <f t="shared" si="1"/>
        <v>-23975.811335279999</v>
      </c>
      <c r="U59" s="78">
        <f t="shared" si="2"/>
        <v>-8446.1303375399984</v>
      </c>
      <c r="V59" s="78"/>
      <c r="W59" s="81"/>
      <c r="X59" s="81"/>
      <c r="Y59" s="81"/>
      <c r="Z59" s="81"/>
      <c r="AA59" s="81"/>
    </row>
    <row r="60" spans="1:27" hidden="1" outlineLevel="3">
      <c r="A60" s="75"/>
      <c r="B60" s="76"/>
      <c r="C60" s="76"/>
      <c r="D60" s="77"/>
      <c r="E60" s="76" t="s">
        <v>70</v>
      </c>
      <c r="F60" s="78">
        <f ca="1">'Cálculos de Impostos'!F60</f>
        <v>-17274.266123743837</v>
      </c>
      <c r="G60" s="78">
        <f ca="1">'Cálculos de Impostos'!G60</f>
        <v>-12104.637353166514</v>
      </c>
      <c r="H60" s="78">
        <f ca="1">'Cálculos de Impostos'!H60</f>
        <v>-12793.886674195392</v>
      </c>
      <c r="I60" s="78">
        <f ca="1">'Cálculos de Impostos'!I60</f>
        <v>-12895.944103513928</v>
      </c>
      <c r="J60" s="78">
        <f ca="1">'Cálculos de Impostos'!J60</f>
        <v>-31128.689435841396</v>
      </c>
      <c r="K60" s="78">
        <f ca="1">'Cálculos de Impostos'!K60</f>
        <v>-14166.88605295556</v>
      </c>
      <c r="L60" s="78">
        <f ca="1">'Cálculos de Impostos'!L60</f>
        <v>-16585.514176952671</v>
      </c>
      <c r="M60" s="78">
        <f ca="1">'Cálculos de Impostos'!M60</f>
        <v>-13275.571804553194</v>
      </c>
      <c r="N60" s="78">
        <f ca="1">'Cálculos de Impostos'!N60</f>
        <v>0</v>
      </c>
      <c r="O60" s="78">
        <f ca="1">'Cálculos de Impostos'!O60</f>
        <v>0</v>
      </c>
      <c r="P60" s="78">
        <f ca="1">'Cálculos de Impostos'!P60</f>
        <v>0</v>
      </c>
      <c r="Q60" s="78">
        <f ca="1">'Cálculos de Impostos'!Q60</f>
        <v>0</v>
      </c>
      <c r="R60" s="79">
        <f t="shared" ca="1" si="29"/>
        <v>-130225.39572492251</v>
      </c>
      <c r="S60" s="80"/>
      <c r="T60" s="78">
        <f t="shared" ca="1" si="1"/>
        <v>-100364.30974341664</v>
      </c>
      <c r="U60" s="78">
        <f t="shared" ca="1" si="2"/>
        <v>-29861.085981505865</v>
      </c>
      <c r="V60" s="78"/>
      <c r="W60" s="81"/>
      <c r="X60" s="81"/>
      <c r="Y60" s="81"/>
      <c r="Z60" s="81"/>
      <c r="AA60" s="81"/>
    </row>
    <row r="61" spans="1:27" outlineLevel="2">
      <c r="A61" s="42"/>
      <c r="B61" s="43"/>
      <c r="C61" s="43"/>
      <c r="D61" s="43" t="s">
        <v>71</v>
      </c>
      <c r="E61" s="43"/>
      <c r="F61" s="34">
        <f>'Cálculos de Impostos'!F61</f>
        <v>-18649.078400000006</v>
      </c>
      <c r="G61" s="34">
        <f>'Cálculos de Impostos'!G61</f>
        <v>-18808.219200000003</v>
      </c>
      <c r="H61" s="34">
        <f>'Cálculos de Impostos'!H61</f>
        <v>-18402.008800000003</v>
      </c>
      <c r="I61" s="34">
        <f>'Cálculos de Impostos'!I61</f>
        <v>-17550.583200000005</v>
      </c>
      <c r="J61" s="34">
        <f>'Cálculos de Impostos'!J61</f>
        <v>-17664.720799999999</v>
      </c>
      <c r="K61" s="34">
        <f>'Cálculos de Impostos'!K61</f>
        <v>-18209.983200000002</v>
      </c>
      <c r="L61" s="34">
        <f>'Cálculos de Impostos'!L61</f>
        <v>-17683.277600000001</v>
      </c>
      <c r="M61" s="34">
        <f>'Cálculos de Impostos'!M61</f>
        <v>-17833.871200000001</v>
      </c>
      <c r="N61" s="34">
        <f>'Cálculos de Impostos'!N61</f>
        <v>0</v>
      </c>
      <c r="O61" s="34">
        <f>'Cálculos de Impostos'!O61</f>
        <v>0</v>
      </c>
      <c r="P61" s="34">
        <f>'Cálculos de Impostos'!P61</f>
        <v>0</v>
      </c>
      <c r="Q61" s="34">
        <f>'Cálculos de Impostos'!Q61</f>
        <v>0</v>
      </c>
      <c r="R61" s="68">
        <f t="shared" si="29"/>
        <v>-144801.74240000002</v>
      </c>
      <c r="S61" s="71"/>
      <c r="T61" s="46">
        <f t="shared" si="1"/>
        <v>-109284.59360000001</v>
      </c>
      <c r="U61" s="46">
        <f t="shared" si="2"/>
        <v>-35517.148800000003</v>
      </c>
      <c r="V61" s="46">
        <f t="shared" ref="V61:V104" si="30">T61+U61</f>
        <v>-144801.74240000002</v>
      </c>
      <c r="W61" s="72"/>
      <c r="X61" s="72"/>
      <c r="Y61" s="72"/>
      <c r="Z61" s="72"/>
      <c r="AA61" s="72"/>
    </row>
    <row r="62" spans="1:27" outlineLevel="2">
      <c r="A62" s="73"/>
      <c r="B62" s="74"/>
      <c r="C62" s="74"/>
      <c r="D62" s="74" t="s">
        <v>72</v>
      </c>
      <c r="E62" s="43"/>
      <c r="F62" s="34">
        <f>'Cálculos de Impostos'!F62</f>
        <v>0</v>
      </c>
      <c r="G62" s="34">
        <f>'Cálculos de Impostos'!G62</f>
        <v>0</v>
      </c>
      <c r="H62" s="34">
        <f>'Cálculos de Impostos'!H62</f>
        <v>0</v>
      </c>
      <c r="I62" s="34">
        <f>'Cálculos de Impostos'!I62</f>
        <v>0</v>
      </c>
      <c r="J62" s="34">
        <f>'Cálculos de Impostos'!J62</f>
        <v>0</v>
      </c>
      <c r="K62" s="34">
        <f>'Cálculos de Impostos'!K62</f>
        <v>0</v>
      </c>
      <c r="L62" s="34">
        <f>'Cálculos de Impostos'!L62</f>
        <v>0</v>
      </c>
      <c r="M62" s="34">
        <f>'Cálculos de Impostos'!M62</f>
        <v>0</v>
      </c>
      <c r="N62" s="34">
        <f>'Cálculos de Impostos'!N62</f>
        <v>0</v>
      </c>
      <c r="O62" s="34">
        <f>'Cálculos de Impostos'!O62</f>
        <v>0</v>
      </c>
      <c r="P62" s="34">
        <f>'Cálculos de Impostos'!P62</f>
        <v>0</v>
      </c>
      <c r="Q62" s="34">
        <f>'Cálculos de Impostos'!Q62</f>
        <v>0</v>
      </c>
      <c r="R62" s="68">
        <f t="shared" si="29"/>
        <v>0</v>
      </c>
      <c r="S62" s="71"/>
      <c r="T62" s="46">
        <f t="shared" si="1"/>
        <v>0</v>
      </c>
      <c r="U62" s="46">
        <f t="shared" si="2"/>
        <v>0</v>
      </c>
      <c r="V62" s="46">
        <f t="shared" si="30"/>
        <v>0</v>
      </c>
      <c r="W62" s="72"/>
      <c r="X62" s="72"/>
      <c r="Y62" s="72"/>
      <c r="Z62" s="72"/>
      <c r="AA62" s="72"/>
    </row>
    <row r="63" spans="1:27" outlineLevel="2">
      <c r="A63" s="73"/>
      <c r="B63" s="74"/>
      <c r="C63" s="74"/>
      <c r="D63" s="74" t="s">
        <v>73</v>
      </c>
      <c r="E63" s="43"/>
      <c r="F63" s="34">
        <f>'Cálculos de Impostos'!F63</f>
        <v>0</v>
      </c>
      <c r="G63" s="34">
        <f>'Cálculos de Impostos'!G63</f>
        <v>0</v>
      </c>
      <c r="H63" s="34">
        <f>'Cálculos de Impostos'!H63</f>
        <v>0</v>
      </c>
      <c r="I63" s="34">
        <f>'Cálculos de Impostos'!I63</f>
        <v>0</v>
      </c>
      <c r="J63" s="34">
        <f>'Cálculos de Impostos'!J63</f>
        <v>0</v>
      </c>
      <c r="K63" s="34">
        <f>'Cálculos de Impostos'!K63</f>
        <v>0</v>
      </c>
      <c r="L63" s="34">
        <f>'Cálculos de Impostos'!L63</f>
        <v>0</v>
      </c>
      <c r="M63" s="34">
        <f>'Cálculos de Impostos'!M63</f>
        <v>0</v>
      </c>
      <c r="N63" s="34">
        <f>'Cálculos de Impostos'!N63</f>
        <v>0</v>
      </c>
      <c r="O63" s="34">
        <f>'Cálculos de Impostos'!O63</f>
        <v>0</v>
      </c>
      <c r="P63" s="34">
        <f>'Cálculos de Impostos'!P63</f>
        <v>0</v>
      </c>
      <c r="Q63" s="34">
        <f>'Cálculos de Impostos'!Q63</f>
        <v>0</v>
      </c>
      <c r="R63" s="68">
        <f t="shared" si="29"/>
        <v>0</v>
      </c>
      <c r="S63" s="71"/>
      <c r="T63" s="46">
        <f t="shared" si="1"/>
        <v>0</v>
      </c>
      <c r="U63" s="46">
        <f t="shared" si="2"/>
        <v>0</v>
      </c>
      <c r="V63" s="46">
        <f t="shared" si="30"/>
        <v>0</v>
      </c>
      <c r="W63" s="72"/>
      <c r="X63" s="72"/>
      <c r="Y63" s="72"/>
      <c r="Z63" s="72"/>
      <c r="AA63" s="72"/>
    </row>
    <row r="64" spans="1:27" outlineLevel="2">
      <c r="A64" s="42"/>
      <c r="B64" s="43"/>
      <c r="C64" s="43"/>
      <c r="D64" s="74" t="s">
        <v>74</v>
      </c>
      <c r="E64" s="43"/>
      <c r="F64" s="34">
        <f>'Cálculos de Impostos'!F64</f>
        <v>-8370.35</v>
      </c>
      <c r="G64" s="34">
        <f>'Cálculos de Impostos'!G64</f>
        <v>-6571.82</v>
      </c>
      <c r="H64" s="34">
        <f>'Cálculos de Impostos'!H64</f>
        <v>-3866.92</v>
      </c>
      <c r="I64" s="34">
        <f>'Cálculos de Impostos'!I64</f>
        <v>-2196.5</v>
      </c>
      <c r="J64" s="34">
        <f>'Cálculos de Impostos'!J64</f>
        <v>-3276.4</v>
      </c>
      <c r="K64" s="34">
        <f>'Cálculos de Impostos'!K64</f>
        <v>-2115.08</v>
      </c>
      <c r="L64" s="34">
        <f>'Cálculos de Impostos'!L64</f>
        <v>-3812.3900000000003</v>
      </c>
      <c r="M64" s="34">
        <f>'Cálculos de Impostos'!M64</f>
        <v>-3677.8700000000003</v>
      </c>
      <c r="N64" s="34">
        <f>'Cálculos de Impostos'!N64</f>
        <v>0</v>
      </c>
      <c r="O64" s="34">
        <f>'Cálculos de Impostos'!O64</f>
        <v>0</v>
      </c>
      <c r="P64" s="34">
        <f>'Cálculos de Impostos'!P64</f>
        <v>0</v>
      </c>
      <c r="Q64" s="34">
        <f>'Cálculos de Impostos'!Q64</f>
        <v>0</v>
      </c>
      <c r="R64" s="68">
        <f t="shared" si="29"/>
        <v>-33887.33</v>
      </c>
      <c r="S64" s="71"/>
      <c r="T64" s="46">
        <f t="shared" si="1"/>
        <v>-26397.07</v>
      </c>
      <c r="U64" s="46">
        <f t="shared" si="2"/>
        <v>-7490.26</v>
      </c>
      <c r="V64" s="46">
        <f t="shared" si="30"/>
        <v>-33887.33</v>
      </c>
      <c r="W64" s="72"/>
      <c r="X64" s="72"/>
      <c r="Y64" s="72"/>
      <c r="Z64" s="72"/>
      <c r="AA64" s="72"/>
    </row>
    <row r="65" spans="1:27" outlineLevel="2">
      <c r="A65" s="42"/>
      <c r="B65" s="43"/>
      <c r="C65" s="43"/>
      <c r="D65" s="43" t="s">
        <v>75</v>
      </c>
      <c r="E65" s="43"/>
      <c r="F65" s="34">
        <f>'Cálculos de Impostos'!F65</f>
        <v>-37118.14</v>
      </c>
      <c r="G65" s="34">
        <f>'Cálculos de Impostos'!G65</f>
        <v>-39531.39</v>
      </c>
      <c r="H65" s="34">
        <f>'Cálculos de Impostos'!H65</f>
        <v>-40001.379999999997</v>
      </c>
      <c r="I65" s="34">
        <f>'Cálculos de Impostos'!I65</f>
        <v>-39103.17</v>
      </c>
      <c r="J65" s="34">
        <f>'Cálculos de Impostos'!J65</f>
        <v>-38078.130000000005</v>
      </c>
      <c r="K65" s="34">
        <f>'Cálculos de Impostos'!K65</f>
        <v>-38841.599999999999</v>
      </c>
      <c r="L65" s="34">
        <f>'Cálculos de Impostos'!L65</f>
        <v>-37844.81</v>
      </c>
      <c r="M65" s="34">
        <f>'Cálculos de Impostos'!M65</f>
        <v>-37735.17</v>
      </c>
      <c r="N65" s="34">
        <f>'Cálculos de Impostos'!N65</f>
        <v>0</v>
      </c>
      <c r="O65" s="34">
        <f>'Cálculos de Impostos'!O65</f>
        <v>0</v>
      </c>
      <c r="P65" s="34">
        <f>'Cálculos de Impostos'!P65</f>
        <v>0</v>
      </c>
      <c r="Q65" s="34">
        <f>'Cálculos de Impostos'!Q65</f>
        <v>0</v>
      </c>
      <c r="R65" s="68">
        <f t="shared" si="29"/>
        <v>-308253.78999999998</v>
      </c>
      <c r="S65" s="71"/>
      <c r="T65" s="46">
        <f t="shared" si="1"/>
        <v>-232673.81000000003</v>
      </c>
      <c r="U65" s="46">
        <f t="shared" si="2"/>
        <v>-75579.98</v>
      </c>
      <c r="V65" s="46">
        <f t="shared" si="30"/>
        <v>-308253.79000000004</v>
      </c>
      <c r="W65" s="72"/>
      <c r="X65" s="72"/>
      <c r="Y65" s="72"/>
      <c r="Z65" s="72"/>
      <c r="AA65" s="72"/>
    </row>
    <row r="66" spans="1:27" outlineLevel="2">
      <c r="B66" s="43"/>
      <c r="C66" s="43"/>
      <c r="D66" s="43" t="s">
        <v>76</v>
      </c>
      <c r="E66" s="43"/>
      <c r="F66" s="34">
        <f>'Cálculos de Impostos'!F66</f>
        <v>-464.81</v>
      </c>
      <c r="G66" s="34">
        <f>'Cálculos de Impostos'!G66</f>
        <v>-404.1</v>
      </c>
      <c r="H66" s="34">
        <f>'Cálculos de Impostos'!H66</f>
        <v>-506.76</v>
      </c>
      <c r="I66" s="34">
        <f>'Cálculos de Impostos'!I66</f>
        <v>-227.53</v>
      </c>
      <c r="J66" s="34">
        <f>'Cálculos de Impostos'!J66</f>
        <v>-150</v>
      </c>
      <c r="K66" s="34">
        <f>'Cálculos de Impostos'!K66</f>
        <v>-157.5</v>
      </c>
      <c r="L66" s="34">
        <f>'Cálculos de Impostos'!L66</f>
        <v>-90</v>
      </c>
      <c r="M66" s="34">
        <f>'Cálculos de Impostos'!M66</f>
        <v>-157.5</v>
      </c>
      <c r="N66" s="34">
        <f>'Cálculos de Impostos'!N66</f>
        <v>0</v>
      </c>
      <c r="O66" s="34">
        <f>'Cálculos de Impostos'!O66</f>
        <v>0</v>
      </c>
      <c r="P66" s="34">
        <f>'Cálculos de Impostos'!P66</f>
        <v>0</v>
      </c>
      <c r="Q66" s="34">
        <f>'Cálculos de Impostos'!Q66</f>
        <v>0</v>
      </c>
      <c r="R66" s="68">
        <f t="shared" si="29"/>
        <v>-2158.1999999999998</v>
      </c>
      <c r="S66" s="71"/>
      <c r="T66" s="46">
        <f t="shared" si="1"/>
        <v>-1910.7</v>
      </c>
      <c r="U66" s="46">
        <f t="shared" si="2"/>
        <v>-247.5</v>
      </c>
      <c r="V66" s="46">
        <f t="shared" si="30"/>
        <v>-2158.1999999999998</v>
      </c>
      <c r="W66" s="72"/>
      <c r="X66" s="72"/>
      <c r="Y66" s="72"/>
      <c r="Z66" s="72"/>
      <c r="AA66" s="72"/>
    </row>
    <row r="67" spans="1:27" outlineLevel="2">
      <c r="A67" s="42"/>
      <c r="B67" s="43"/>
      <c r="C67" s="43"/>
      <c r="D67" s="43" t="s">
        <v>77</v>
      </c>
      <c r="E67" s="43"/>
      <c r="F67" s="34">
        <f>'Cálculos de Impostos'!F67</f>
        <v>0</v>
      </c>
      <c r="G67" s="34">
        <f>'Cálculos de Impostos'!G67</f>
        <v>0</v>
      </c>
      <c r="H67" s="34">
        <f>'Cálculos de Impostos'!H67</f>
        <v>0</v>
      </c>
      <c r="I67" s="34">
        <f>'Cálculos de Impostos'!I67</f>
        <v>0</v>
      </c>
      <c r="J67" s="34">
        <f>'Cálculos de Impostos'!J67</f>
        <v>0</v>
      </c>
      <c r="K67" s="34">
        <f>'Cálculos de Impostos'!K67</f>
        <v>-26.25</v>
      </c>
      <c r="L67" s="34">
        <f>'Cálculos de Impostos'!L67</f>
        <v>0</v>
      </c>
      <c r="M67" s="34">
        <f>'Cálculos de Impostos'!M67</f>
        <v>0</v>
      </c>
      <c r="N67" s="34">
        <f>'Cálculos de Impostos'!N67</f>
        <v>0</v>
      </c>
      <c r="O67" s="34">
        <f>'Cálculos de Impostos'!O67</f>
        <v>0</v>
      </c>
      <c r="P67" s="34">
        <f>'Cálculos de Impostos'!P67</f>
        <v>0</v>
      </c>
      <c r="Q67" s="34">
        <f>'Cálculos de Impostos'!Q67</f>
        <v>0</v>
      </c>
      <c r="R67" s="68">
        <f t="shared" si="29"/>
        <v>-26.25</v>
      </c>
      <c r="S67" s="71"/>
      <c r="T67" s="46">
        <f t="shared" si="1"/>
        <v>-26.25</v>
      </c>
      <c r="U67" s="46">
        <f t="shared" si="2"/>
        <v>0</v>
      </c>
      <c r="V67" s="46">
        <f t="shared" si="30"/>
        <v>-26.25</v>
      </c>
      <c r="W67" s="72"/>
      <c r="X67" s="72"/>
      <c r="Y67" s="72"/>
      <c r="Z67" s="72"/>
      <c r="AA67" s="72"/>
    </row>
    <row r="68" spans="1:27" outlineLevel="2">
      <c r="A68" s="42"/>
      <c r="B68" s="43"/>
      <c r="C68" s="43"/>
      <c r="D68" s="43" t="s">
        <v>78</v>
      </c>
      <c r="E68" s="43"/>
      <c r="F68" s="34">
        <f>'Cálculos de Impostos'!F68</f>
        <v>-15429.9</v>
      </c>
      <c r="G68" s="34">
        <f>'Cálculos de Impostos'!G68</f>
        <v>-17038.600000000002</v>
      </c>
      <c r="H68" s="34">
        <f>'Cálculos de Impostos'!H68</f>
        <v>-18171.300000000003</v>
      </c>
      <c r="I68" s="34">
        <f>'Cálculos de Impostos'!I68</f>
        <v>-16265</v>
      </c>
      <c r="J68" s="34">
        <f>'Cálculos de Impostos'!J68</f>
        <v>-16897.599999999999</v>
      </c>
      <c r="K68" s="34">
        <f>'Cálculos de Impostos'!K68</f>
        <v>-16980.900000000001</v>
      </c>
      <c r="L68" s="34">
        <f>'Cálculos de Impostos'!L68</f>
        <v>-21649.599999999999</v>
      </c>
      <c r="M68" s="34">
        <f>'Cálculos de Impostos'!M68</f>
        <v>-20481.099999999999</v>
      </c>
      <c r="N68" s="34">
        <f>'Cálculos de Impostos'!N68</f>
        <v>0</v>
      </c>
      <c r="O68" s="34">
        <f>'Cálculos de Impostos'!O68</f>
        <v>0</v>
      </c>
      <c r="P68" s="34">
        <f>'Cálculos de Impostos'!P68</f>
        <v>0</v>
      </c>
      <c r="Q68" s="34">
        <f>'Cálculos de Impostos'!Q68</f>
        <v>0</v>
      </c>
      <c r="R68" s="68">
        <f t="shared" si="29"/>
        <v>-142914</v>
      </c>
      <c r="S68" s="71"/>
      <c r="T68" s="46">
        <f t="shared" si="1"/>
        <v>-100783.29999999999</v>
      </c>
      <c r="U68" s="46">
        <f t="shared" si="2"/>
        <v>-42130.7</v>
      </c>
      <c r="V68" s="46">
        <f t="shared" si="30"/>
        <v>-142914</v>
      </c>
      <c r="W68" s="72"/>
      <c r="X68" s="72"/>
      <c r="Y68" s="72"/>
      <c r="Z68" s="72"/>
      <c r="AA68" s="72"/>
    </row>
    <row r="69" spans="1:27" outlineLevel="2">
      <c r="A69" s="42"/>
      <c r="B69" s="43"/>
      <c r="C69" s="43"/>
      <c r="D69" s="43" t="s">
        <v>79</v>
      </c>
      <c r="E69" s="43"/>
      <c r="F69" s="34">
        <f>'Cálculos de Impostos'!F69</f>
        <v>-3690</v>
      </c>
      <c r="G69" s="34">
        <f>'Cálculos de Impostos'!G69</f>
        <v>-3540</v>
      </c>
      <c r="H69" s="34">
        <f>'Cálculos de Impostos'!H69</f>
        <v>-3540</v>
      </c>
      <c r="I69" s="34">
        <f>'Cálculos de Impostos'!I69</f>
        <v>-3540</v>
      </c>
      <c r="J69" s="34">
        <f>'Cálculos de Impostos'!J69</f>
        <v>-3240</v>
      </c>
      <c r="K69" s="34">
        <f>'Cálculos de Impostos'!K69</f>
        <v>-3390</v>
      </c>
      <c r="L69" s="34">
        <f>'Cálculos de Impostos'!L69</f>
        <v>-3390</v>
      </c>
      <c r="M69" s="34">
        <f>'Cálculos de Impostos'!M69</f>
        <v>-3390</v>
      </c>
      <c r="N69" s="34">
        <f>'Cálculos de Impostos'!N69</f>
        <v>0</v>
      </c>
      <c r="O69" s="34">
        <f>'Cálculos de Impostos'!O69</f>
        <v>0</v>
      </c>
      <c r="P69" s="34">
        <f>'Cálculos de Impostos'!P69</f>
        <v>0</v>
      </c>
      <c r="Q69" s="34">
        <f>'Cálculos de Impostos'!Q69</f>
        <v>0</v>
      </c>
      <c r="R69" s="68">
        <f t="shared" si="29"/>
        <v>-27720</v>
      </c>
      <c r="S69" s="71"/>
      <c r="T69" s="46">
        <f t="shared" si="1"/>
        <v>-20940</v>
      </c>
      <c r="U69" s="46">
        <f t="shared" si="2"/>
        <v>-6780</v>
      </c>
      <c r="V69" s="46">
        <f t="shared" si="30"/>
        <v>-27720</v>
      </c>
      <c r="W69" s="72"/>
      <c r="X69" s="72"/>
      <c r="Y69" s="72"/>
      <c r="Z69" s="72"/>
      <c r="AA69" s="72"/>
    </row>
    <row r="70" spans="1:27" outlineLevel="2">
      <c r="A70" s="73"/>
      <c r="B70" s="74"/>
      <c r="C70" s="74"/>
      <c r="D70" s="43" t="s">
        <v>80</v>
      </c>
      <c r="E70" s="43"/>
      <c r="F70" s="34">
        <f>'Cálculos de Impostos'!F70</f>
        <v>-205685</v>
      </c>
      <c r="G70" s="34">
        <f>'Cálculos de Impostos'!G70</f>
        <v>-226448.95</v>
      </c>
      <c r="H70" s="34">
        <f>'Cálculos de Impostos'!H70</f>
        <v>-226448.95</v>
      </c>
      <c r="I70" s="34">
        <f>'Cálculos de Impostos'!I70</f>
        <v>-226448.95</v>
      </c>
      <c r="J70" s="34">
        <f>'Cálculos de Impostos'!J70</f>
        <v>-226448.95</v>
      </c>
      <c r="K70" s="34">
        <f>'Cálculos de Impostos'!K70</f>
        <v>-226448.95</v>
      </c>
      <c r="L70" s="34">
        <f>'Cálculos de Impostos'!L70</f>
        <v>-226448.95</v>
      </c>
      <c r="M70" s="34">
        <f>'Cálculos de Impostos'!M70</f>
        <v>-226448.95</v>
      </c>
      <c r="N70" s="34">
        <f>'Cálculos de Impostos'!N70</f>
        <v>0</v>
      </c>
      <c r="O70" s="34">
        <f>'Cálculos de Impostos'!O70</f>
        <v>0</v>
      </c>
      <c r="P70" s="34">
        <f>'Cálculos de Impostos'!P70</f>
        <v>0</v>
      </c>
      <c r="Q70" s="34">
        <f>'Cálculos de Impostos'!Q70</f>
        <v>0</v>
      </c>
      <c r="R70" s="68">
        <f t="shared" si="29"/>
        <v>-1790827.65</v>
      </c>
      <c r="S70" s="71"/>
      <c r="T70" s="46">
        <f t="shared" si="1"/>
        <v>-1337929.75</v>
      </c>
      <c r="U70" s="46">
        <f t="shared" si="2"/>
        <v>-452897.9</v>
      </c>
      <c r="V70" s="46">
        <f t="shared" si="30"/>
        <v>-1790827.65</v>
      </c>
      <c r="W70" s="72"/>
      <c r="X70" s="72"/>
      <c r="Y70" s="72"/>
      <c r="Z70" s="72"/>
      <c r="AA70" s="72"/>
    </row>
    <row r="71" spans="1:27" outlineLevel="2">
      <c r="A71" s="73"/>
      <c r="B71" s="74"/>
      <c r="C71" s="74"/>
      <c r="D71" s="43" t="s">
        <v>81</v>
      </c>
      <c r="E71" s="43"/>
      <c r="F71" s="34">
        <f>'Cálculos de Impostos'!F71</f>
        <v>-36375</v>
      </c>
      <c r="G71" s="34">
        <f>'Cálculos de Impostos'!G71</f>
        <v>-36375</v>
      </c>
      <c r="H71" s="34">
        <f>'Cálculos de Impostos'!H71</f>
        <v>-36375</v>
      </c>
      <c r="I71" s="34">
        <f>'Cálculos de Impostos'!I71</f>
        <v>-36375</v>
      </c>
      <c r="J71" s="34">
        <f>'Cálculos de Impostos'!J71</f>
        <v>-36375</v>
      </c>
      <c r="K71" s="34">
        <f>'Cálculos de Impostos'!K71</f>
        <v>-36375</v>
      </c>
      <c r="L71" s="34">
        <f>'Cálculos de Impostos'!L71</f>
        <v>-36375</v>
      </c>
      <c r="M71" s="34">
        <f>'Cálculos de Impostos'!M71</f>
        <v>-36375</v>
      </c>
      <c r="N71" s="34">
        <f>'Cálculos de Impostos'!N71</f>
        <v>0</v>
      </c>
      <c r="O71" s="34">
        <f>'Cálculos de Impostos'!O71</f>
        <v>0</v>
      </c>
      <c r="P71" s="34">
        <f>'Cálculos de Impostos'!P71</f>
        <v>0</v>
      </c>
      <c r="Q71" s="34">
        <f>'Cálculos de Impostos'!Q71</f>
        <v>0</v>
      </c>
      <c r="R71" s="68">
        <f t="shared" si="29"/>
        <v>-291000</v>
      </c>
      <c r="S71" s="71"/>
      <c r="T71" s="46">
        <f t="shared" si="1"/>
        <v>-218250</v>
      </c>
      <c r="U71" s="46">
        <f t="shared" si="2"/>
        <v>-72750</v>
      </c>
      <c r="V71" s="46">
        <f t="shared" si="30"/>
        <v>-291000</v>
      </c>
      <c r="W71" s="72"/>
      <c r="X71" s="72"/>
      <c r="Y71" s="72"/>
      <c r="Z71" s="72"/>
      <c r="AA71" s="72"/>
    </row>
    <row r="72" spans="1:27" outlineLevel="2">
      <c r="A72" s="42"/>
      <c r="B72" s="43"/>
      <c r="C72" s="43"/>
      <c r="D72" s="43" t="s">
        <v>82</v>
      </c>
      <c r="E72" s="43"/>
      <c r="F72" s="34">
        <f>'Cálculos de Impostos'!F72</f>
        <v>-460.56</v>
      </c>
      <c r="G72" s="34">
        <f>'Cálculos de Impostos'!G72</f>
        <v>-540.87</v>
      </c>
      <c r="H72" s="34">
        <f>'Cálculos de Impostos'!H72</f>
        <v>-603.97</v>
      </c>
      <c r="I72" s="34">
        <f>'Cálculos de Impostos'!I72</f>
        <v>-440.23</v>
      </c>
      <c r="J72" s="34">
        <f>'Cálculos de Impostos'!J72</f>
        <v>-714.85</v>
      </c>
      <c r="K72" s="34">
        <f>'Cálculos de Impostos'!K72</f>
        <v>-1250.76</v>
      </c>
      <c r="L72" s="34">
        <f>'Cálculos de Impostos'!L72</f>
        <v>-501.73</v>
      </c>
      <c r="M72" s="34">
        <f>'Cálculos de Impostos'!M72</f>
        <v>-505</v>
      </c>
      <c r="N72" s="34">
        <f>'Cálculos de Impostos'!N72</f>
        <v>0</v>
      </c>
      <c r="O72" s="34">
        <f>'Cálculos de Impostos'!O72</f>
        <v>0</v>
      </c>
      <c r="P72" s="34">
        <f>'Cálculos de Impostos'!P72</f>
        <v>0</v>
      </c>
      <c r="Q72" s="34">
        <f>'Cálculos de Impostos'!Q72</f>
        <v>0</v>
      </c>
      <c r="R72" s="68">
        <f t="shared" si="29"/>
        <v>-5017.9699999999993</v>
      </c>
      <c r="S72" s="71"/>
      <c r="T72" s="46">
        <f t="shared" si="1"/>
        <v>-4011.24</v>
      </c>
      <c r="U72" s="46">
        <f t="shared" si="2"/>
        <v>-1006.73</v>
      </c>
      <c r="V72" s="46">
        <f t="shared" si="30"/>
        <v>-5017.9699999999993</v>
      </c>
      <c r="W72" s="72"/>
      <c r="X72" s="72"/>
      <c r="Y72" s="72"/>
      <c r="Z72" s="72"/>
      <c r="AA72" s="72"/>
    </row>
    <row r="73" spans="1:27" outlineLevel="2">
      <c r="A73" s="42"/>
      <c r="B73" s="43"/>
      <c r="C73" s="43"/>
      <c r="D73" s="43" t="s">
        <v>83</v>
      </c>
      <c r="E73" s="43"/>
      <c r="F73" s="34">
        <f>'Cálculos de Impostos'!F73</f>
        <v>-6852.31</v>
      </c>
      <c r="G73" s="34">
        <f>'Cálculos de Impostos'!G73</f>
        <v>-10800</v>
      </c>
      <c r="H73" s="34">
        <f>'Cálculos de Impostos'!H73</f>
        <v>-10450</v>
      </c>
      <c r="I73" s="34">
        <f>'Cálculos de Impostos'!I73</f>
        <v>-14050</v>
      </c>
      <c r="J73" s="34">
        <f>'Cálculos de Impostos'!J73</f>
        <v>-11850</v>
      </c>
      <c r="K73" s="34">
        <f>'Cálculos de Impostos'!K73</f>
        <v>-8200</v>
      </c>
      <c r="L73" s="34">
        <f>'Cálculos de Impostos'!L73</f>
        <v>-9000</v>
      </c>
      <c r="M73" s="34">
        <f>'Cálculos de Impostos'!M73</f>
        <v>-11450</v>
      </c>
      <c r="N73" s="34">
        <f>'Cálculos de Impostos'!N73</f>
        <v>0</v>
      </c>
      <c r="O73" s="34">
        <f>'Cálculos de Impostos'!O73</f>
        <v>0</v>
      </c>
      <c r="P73" s="34">
        <f>'Cálculos de Impostos'!P73</f>
        <v>0</v>
      </c>
      <c r="Q73" s="34">
        <f>'Cálculos de Impostos'!Q73</f>
        <v>0</v>
      </c>
      <c r="R73" s="68">
        <f t="shared" si="29"/>
        <v>-82652.31</v>
      </c>
      <c r="S73" s="71"/>
      <c r="T73" s="46">
        <f t="shared" si="1"/>
        <v>-62202.31</v>
      </c>
      <c r="U73" s="46">
        <f t="shared" si="2"/>
        <v>-20450</v>
      </c>
      <c r="V73" s="46">
        <f t="shared" si="30"/>
        <v>-82652.31</v>
      </c>
      <c r="W73" s="72"/>
      <c r="X73" s="72"/>
      <c r="Y73" s="72"/>
      <c r="Z73" s="72"/>
      <c r="AA73" s="72"/>
    </row>
    <row r="74" spans="1:27" outlineLevel="2">
      <c r="A74" s="42"/>
      <c r="B74" s="43"/>
      <c r="C74" s="43"/>
      <c r="D74" s="43" t="s">
        <v>84</v>
      </c>
      <c r="E74" s="43"/>
      <c r="F74" s="34">
        <f>'Cálculos de Impostos'!F74</f>
        <v>-7213.54</v>
      </c>
      <c r="G74" s="34">
        <f>'Cálculos de Impostos'!G74</f>
        <v>-6215.6399999999994</v>
      </c>
      <c r="H74" s="34">
        <f>'Cálculos de Impostos'!H74</f>
        <v>-4126.62</v>
      </c>
      <c r="I74" s="34">
        <f>'Cálculos de Impostos'!I74</f>
        <v>-6500.4299999999985</v>
      </c>
      <c r="J74" s="34">
        <f>'Cálculos de Impostos'!J74</f>
        <v>-9769.1400000000012</v>
      </c>
      <c r="K74" s="34">
        <f>'Cálculos de Impostos'!K74</f>
        <v>-3772.3099999999995</v>
      </c>
      <c r="L74" s="34">
        <f>'Cálculos de Impostos'!L74</f>
        <v>-5823.76</v>
      </c>
      <c r="M74" s="34">
        <f>'Cálculos de Impostos'!M74</f>
        <v>-2316.5000000000005</v>
      </c>
      <c r="N74" s="34">
        <f>'Cálculos de Impostos'!N74</f>
        <v>0</v>
      </c>
      <c r="O74" s="34">
        <f>'Cálculos de Impostos'!O74</f>
        <v>0</v>
      </c>
      <c r="P74" s="34">
        <f>'Cálculos de Impostos'!P74</f>
        <v>0</v>
      </c>
      <c r="Q74" s="34">
        <f>'Cálculos de Impostos'!Q74</f>
        <v>0</v>
      </c>
      <c r="R74" s="68">
        <f t="shared" si="29"/>
        <v>-45737.939999999995</v>
      </c>
      <c r="S74" s="71"/>
      <c r="T74" s="46">
        <f t="shared" si="1"/>
        <v>-37597.679999999993</v>
      </c>
      <c r="U74" s="46">
        <f t="shared" si="2"/>
        <v>-8140.26</v>
      </c>
      <c r="V74" s="46">
        <f t="shared" si="30"/>
        <v>-45737.939999999995</v>
      </c>
      <c r="W74" s="72"/>
      <c r="X74" s="72"/>
      <c r="Y74" s="72"/>
      <c r="Z74" s="72"/>
      <c r="AA74" s="72"/>
    </row>
    <row r="75" spans="1:27" outlineLevel="2">
      <c r="A75" s="42"/>
      <c r="B75" s="43"/>
      <c r="C75" s="43"/>
      <c r="D75" s="43" t="s">
        <v>85</v>
      </c>
      <c r="E75" s="43"/>
      <c r="F75" s="34">
        <f>'Cálculos de Impostos'!F75</f>
        <v>0</v>
      </c>
      <c r="G75" s="34">
        <f>'Cálculos de Impostos'!G75</f>
        <v>0</v>
      </c>
      <c r="H75" s="34">
        <f>'Cálculos de Impostos'!H75</f>
        <v>0</v>
      </c>
      <c r="I75" s="34">
        <f>'Cálculos de Impostos'!I75</f>
        <v>0</v>
      </c>
      <c r="J75" s="34">
        <f>'Cálculos de Impostos'!J75</f>
        <v>0</v>
      </c>
      <c r="K75" s="34">
        <f>'Cálculos de Impostos'!K75</f>
        <v>0</v>
      </c>
      <c r="L75" s="34">
        <f>'Cálculos de Impostos'!L75</f>
        <v>0</v>
      </c>
      <c r="M75" s="34">
        <f>'Cálculos de Impostos'!M75</f>
        <v>0</v>
      </c>
      <c r="N75" s="34">
        <f>'Cálculos de Impostos'!N75</f>
        <v>0</v>
      </c>
      <c r="O75" s="34">
        <f>'Cálculos de Impostos'!O75</f>
        <v>0</v>
      </c>
      <c r="P75" s="34">
        <f>'Cálculos de Impostos'!P75</f>
        <v>0</v>
      </c>
      <c r="Q75" s="34">
        <f>'Cálculos de Impostos'!Q75</f>
        <v>0</v>
      </c>
      <c r="R75" s="68">
        <f t="shared" si="29"/>
        <v>0</v>
      </c>
      <c r="S75" s="71"/>
      <c r="T75" s="46">
        <f t="shared" si="1"/>
        <v>0</v>
      </c>
      <c r="U75" s="46">
        <f t="shared" si="2"/>
        <v>0</v>
      </c>
      <c r="V75" s="46">
        <f t="shared" si="30"/>
        <v>0</v>
      </c>
      <c r="W75" s="72"/>
      <c r="X75" s="72"/>
      <c r="Y75" s="72"/>
      <c r="Z75" s="72"/>
      <c r="AA75" s="72"/>
    </row>
    <row r="76" spans="1:27" outlineLevel="2">
      <c r="A76" s="82"/>
      <c r="B76" s="74"/>
      <c r="C76" s="74"/>
      <c r="D76" s="74" t="s">
        <v>86</v>
      </c>
      <c r="E76" s="43"/>
      <c r="F76" s="34">
        <f ca="1">-'Cálculos de Impostos'!$A$76*'Cálculos de Impostos'!F115</f>
        <v>-41539.320942514663</v>
      </c>
      <c r="G76" s="34">
        <f ca="1">-'Cálculos de Impostos'!$A$76*'Cálculos de Impostos'!G115</f>
        <v>-17881.71901592474</v>
      </c>
      <c r="H76" s="34">
        <f ca="1">-'Cálculos de Impostos'!$A$76*'Cálculos de Impostos'!H115</f>
        <v>-26312.135143334595</v>
      </c>
      <c r="I76" s="34">
        <f ca="1">-'Cálculos de Impostos'!$A$76*'Cálculos de Impostos'!I115</f>
        <v>-24716.7125030934</v>
      </c>
      <c r="J76" s="34">
        <f ca="1">-'Cálculos de Impostos'!$A$76*'Cálculos de Impostos'!J115</f>
        <v>-25420.220709733418</v>
      </c>
      <c r="K76" s="34">
        <f ca="1">-'Cálculos de Impostos'!$A$76*'Cálculos de Impostos'!K115</f>
        <v>-29786.428530622823</v>
      </c>
      <c r="L76" s="34">
        <f ca="1">-'Cálculos de Impostos'!$A$76*'Cálculos de Impostos'!L115</f>
        <v>-43600.18927525849</v>
      </c>
      <c r="M76" s="34">
        <f ca="1">-'Cálculos de Impostos'!$A$76*'Cálculos de Impostos'!M115</f>
        <v>-30151.333645197832</v>
      </c>
      <c r="N76" s="34">
        <f ca="1">-'Cálculos de Impostos'!$A$76*'Cálculos de Impostos'!N115</f>
        <v>0</v>
      </c>
      <c r="O76" s="34">
        <f ca="1">-'Cálculos de Impostos'!$A$76*'Cálculos de Impostos'!O115</f>
        <v>0</v>
      </c>
      <c r="P76" s="34">
        <f ca="1">-'Cálculos de Impostos'!$A$76*'Cálculos de Impostos'!P115</f>
        <v>0</v>
      </c>
      <c r="Q76" s="34">
        <f ca="1">-'Cálculos de Impostos'!$A$76*'Cálculos de Impostos'!Q115</f>
        <v>0</v>
      </c>
      <c r="R76" s="68">
        <f t="shared" ca="1" si="29"/>
        <v>-239408.05976567997</v>
      </c>
      <c r="S76" s="83"/>
      <c r="T76" s="46">
        <f t="shared" ca="1" si="1"/>
        <v>-165656.53684522366</v>
      </c>
      <c r="U76" s="46">
        <f t="shared" ca="1" si="2"/>
        <v>-73751.522920456322</v>
      </c>
      <c r="V76" s="46">
        <f t="shared" ca="1" si="30"/>
        <v>-239408.05976567999</v>
      </c>
      <c r="W76" s="84"/>
      <c r="X76" s="84"/>
      <c r="Y76" s="84"/>
      <c r="Z76" s="84"/>
      <c r="AA76" s="84"/>
    </row>
    <row r="77" spans="1:27" outlineLevel="1">
      <c r="A77" s="26"/>
      <c r="B77" s="27"/>
      <c r="C77" s="65" t="s">
        <v>87</v>
      </c>
      <c r="D77" s="28"/>
      <c r="E77" s="27"/>
      <c r="F77" s="66">
        <f t="shared" ref="F77:R77" si="31">SUM(F78:F92)</f>
        <v>-118408.18999999997</v>
      </c>
      <c r="G77" s="66">
        <f t="shared" si="31"/>
        <v>-98402.510000000009</v>
      </c>
      <c r="H77" s="66">
        <f t="shared" si="31"/>
        <v>-96863.74</v>
      </c>
      <c r="I77" s="66">
        <f t="shared" si="31"/>
        <v>-116123.88999999998</v>
      </c>
      <c r="J77" s="66">
        <f t="shared" ca="1" si="31"/>
        <v>-110268.50000000003</v>
      </c>
      <c r="K77" s="66">
        <f t="shared" ca="1" si="31"/>
        <v>-100921.62000000001</v>
      </c>
      <c r="L77" s="66">
        <f t="shared" si="31"/>
        <v>-77424.039999999994</v>
      </c>
      <c r="M77" s="66">
        <f t="shared" si="31"/>
        <v>-80931.22</v>
      </c>
      <c r="N77" s="66">
        <f t="shared" si="31"/>
        <v>0</v>
      </c>
      <c r="O77" s="66">
        <f t="shared" si="31"/>
        <v>0</v>
      </c>
      <c r="P77" s="66">
        <f t="shared" si="31"/>
        <v>0</v>
      </c>
      <c r="Q77" s="66">
        <f t="shared" si="31"/>
        <v>0</v>
      </c>
      <c r="R77" s="67">
        <f t="shared" ca="1" si="31"/>
        <v>-799343.71</v>
      </c>
      <c r="S77" s="41"/>
      <c r="T77" s="66">
        <f t="shared" ca="1" si="1"/>
        <v>-640988.44999999995</v>
      </c>
      <c r="U77" s="66">
        <f t="shared" si="2"/>
        <v>-158355.26</v>
      </c>
      <c r="V77" s="66">
        <f t="shared" ca="1" si="30"/>
        <v>-799343.71</v>
      </c>
      <c r="W77" s="55"/>
      <c r="X77" s="55"/>
      <c r="Y77" s="55"/>
      <c r="Z77" s="55"/>
      <c r="AA77" s="55"/>
    </row>
    <row r="78" spans="1:27" outlineLevel="2">
      <c r="A78" s="73"/>
      <c r="B78" s="74"/>
      <c r="C78" s="74"/>
      <c r="D78" s="74" t="s">
        <v>88</v>
      </c>
      <c r="E78" s="43"/>
      <c r="F78" s="34">
        <f>'Cálculos de Impostos'!F78</f>
        <v>-16414</v>
      </c>
      <c r="G78" s="34">
        <f>'Cálculos de Impostos'!G78</f>
        <v>-17589.54</v>
      </c>
      <c r="H78" s="34">
        <f>'Cálculos de Impostos'!H78</f>
        <v>-17001.77</v>
      </c>
      <c r="I78" s="34">
        <f>'Cálculos de Impostos'!I78</f>
        <v>-17014.45</v>
      </c>
      <c r="J78" s="34">
        <f>'Cálculos de Impostos'!J78</f>
        <v>-17014.45</v>
      </c>
      <c r="K78" s="34">
        <f>'Cálculos de Impostos'!K78</f>
        <v>-17014.45</v>
      </c>
      <c r="L78" s="34">
        <f>'Cálculos de Impostos'!L78</f>
        <v>-17014.45</v>
      </c>
      <c r="M78" s="34">
        <f>'Cálculos de Impostos'!M78</f>
        <v>-17014.45</v>
      </c>
      <c r="N78" s="34">
        <f>'Cálculos de Impostos'!N78</f>
        <v>0</v>
      </c>
      <c r="O78" s="34">
        <f>'Cálculos de Impostos'!O78</f>
        <v>0</v>
      </c>
      <c r="P78" s="34">
        <f>'Cálculos de Impostos'!P78</f>
        <v>0</v>
      </c>
      <c r="Q78" s="34">
        <f>'Cálculos de Impostos'!Q78</f>
        <v>0</v>
      </c>
      <c r="R78" s="68">
        <f t="shared" ref="R78:R92" si="32">SUM(F78:Q78)</f>
        <v>-136077.56</v>
      </c>
      <c r="S78" s="71"/>
      <c r="T78" s="46">
        <f t="shared" si="1"/>
        <v>-102048.65999999999</v>
      </c>
      <c r="U78" s="46">
        <f t="shared" si="2"/>
        <v>-34028.9</v>
      </c>
      <c r="V78" s="46">
        <f t="shared" si="30"/>
        <v>-136077.56</v>
      </c>
      <c r="W78" s="72"/>
      <c r="X78" s="72"/>
      <c r="Y78" s="72"/>
      <c r="Z78" s="72"/>
      <c r="AA78" s="72"/>
    </row>
    <row r="79" spans="1:27" outlineLevel="2">
      <c r="A79" s="73"/>
      <c r="B79" s="74"/>
      <c r="C79" s="74"/>
      <c r="D79" s="74" t="s">
        <v>89</v>
      </c>
      <c r="E79" s="43"/>
      <c r="F79" s="34">
        <f>'Cálculos de Impostos'!F79</f>
        <v>-2591.85</v>
      </c>
      <c r="G79" s="34">
        <f>'Cálculos de Impostos'!G79</f>
        <v>-3025.01</v>
      </c>
      <c r="H79" s="34">
        <f>'Cálculos de Impostos'!H79</f>
        <v>-2739.52</v>
      </c>
      <c r="I79" s="34">
        <f>'Cálculos de Impostos'!I79</f>
        <v>-2655.52</v>
      </c>
      <c r="J79" s="34">
        <f>'Cálculos de Impostos'!J79</f>
        <v>-2448.71</v>
      </c>
      <c r="K79" s="34">
        <f>'Cálculos de Impostos'!K79</f>
        <v>-2257.34</v>
      </c>
      <c r="L79" s="34">
        <f>'Cálculos de Impostos'!L79</f>
        <v>-2517.6</v>
      </c>
      <c r="M79" s="34">
        <f>'Cálculos de Impostos'!M79</f>
        <v>-2177.1</v>
      </c>
      <c r="N79" s="34">
        <f>'Cálculos de Impostos'!N79</f>
        <v>0</v>
      </c>
      <c r="O79" s="34">
        <f>'Cálculos de Impostos'!O79</f>
        <v>0</v>
      </c>
      <c r="P79" s="34">
        <f>'Cálculos de Impostos'!P79</f>
        <v>0</v>
      </c>
      <c r="Q79" s="34">
        <f>'Cálculos de Impostos'!Q79</f>
        <v>0</v>
      </c>
      <c r="R79" s="68">
        <f t="shared" si="32"/>
        <v>-20412.649999999998</v>
      </c>
      <c r="S79" s="71"/>
      <c r="T79" s="46">
        <f t="shared" si="1"/>
        <v>-15717.95</v>
      </c>
      <c r="U79" s="46">
        <f t="shared" si="2"/>
        <v>-4694.7</v>
      </c>
      <c r="V79" s="46">
        <f t="shared" si="30"/>
        <v>-20412.650000000001</v>
      </c>
      <c r="W79" s="72"/>
      <c r="X79" s="72"/>
      <c r="Y79" s="72"/>
      <c r="Z79" s="72"/>
      <c r="AA79" s="72"/>
    </row>
    <row r="80" spans="1:27" outlineLevel="2">
      <c r="A80" s="73"/>
      <c r="B80" s="74"/>
      <c r="C80" s="74"/>
      <c r="D80" s="74" t="s">
        <v>90</v>
      </c>
      <c r="E80" s="85"/>
      <c r="F80" s="34">
        <f>'Cálculos de Impostos'!F80</f>
        <v>-1115.3400000000001</v>
      </c>
      <c r="G80" s="34">
        <f>'Cálculos de Impostos'!G80</f>
        <v>-1752.44</v>
      </c>
      <c r="H80" s="34">
        <f>'Cálculos de Impostos'!H80</f>
        <v>-1258.79</v>
      </c>
      <c r="I80" s="34">
        <f>'Cálculos de Impostos'!I80</f>
        <v>-1985.67</v>
      </c>
      <c r="J80" s="34">
        <f>'Cálculos de Impostos'!J80</f>
        <v>-1202.1100000000001</v>
      </c>
      <c r="K80" s="34">
        <f>'Cálculos de Impostos'!K80</f>
        <v>-1897.54</v>
      </c>
      <c r="L80" s="34">
        <f>'Cálculos de Impostos'!L80</f>
        <v>-1171.51</v>
      </c>
      <c r="M80" s="34">
        <f>'Cálculos de Impostos'!M80</f>
        <v>-1277.68</v>
      </c>
      <c r="N80" s="34">
        <f>'Cálculos de Impostos'!N80</f>
        <v>0</v>
      </c>
      <c r="O80" s="34">
        <f>'Cálculos de Impostos'!O80</f>
        <v>0</v>
      </c>
      <c r="P80" s="34">
        <f>'Cálculos de Impostos'!P80</f>
        <v>0</v>
      </c>
      <c r="Q80" s="34">
        <f>'Cálculos de Impostos'!Q80</f>
        <v>0</v>
      </c>
      <c r="R80" s="68">
        <f t="shared" si="32"/>
        <v>-11661.08</v>
      </c>
      <c r="S80" s="71"/>
      <c r="T80" s="46">
        <f t="shared" si="1"/>
        <v>-9211.89</v>
      </c>
      <c r="U80" s="46">
        <f t="shared" si="2"/>
        <v>-2449.19</v>
      </c>
      <c r="V80" s="46">
        <f t="shared" si="30"/>
        <v>-11661.08</v>
      </c>
      <c r="W80" s="72"/>
      <c r="X80" s="72"/>
      <c r="Y80" s="72"/>
      <c r="Z80" s="72"/>
      <c r="AA80" s="72"/>
    </row>
    <row r="81" spans="1:27" outlineLevel="2">
      <c r="A81" s="73"/>
      <c r="B81" s="74"/>
      <c r="C81" s="74"/>
      <c r="D81" s="74" t="s">
        <v>91</v>
      </c>
      <c r="E81" s="43"/>
      <c r="F81" s="34">
        <f>'Cálculos de Impostos'!F81</f>
        <v>-1937.6</v>
      </c>
      <c r="G81" s="34">
        <f>'Cálculos de Impostos'!G81</f>
        <v>-1585</v>
      </c>
      <c r="H81" s="34">
        <f>'Cálculos de Impostos'!H81</f>
        <v>-1900</v>
      </c>
      <c r="I81" s="34">
        <f>'Cálculos de Impostos'!I81</f>
        <v>-942.29</v>
      </c>
      <c r="J81" s="34">
        <f>'Cálculos de Impostos'!J81</f>
        <v>-1298.0999999999999</v>
      </c>
      <c r="K81" s="34">
        <f>'Cálculos de Impostos'!K81</f>
        <v>-3244.9</v>
      </c>
      <c r="L81" s="34">
        <f>'Cálculos de Impostos'!L81</f>
        <v>-2092.5600000000004</v>
      </c>
      <c r="M81" s="34">
        <f>'Cálculos de Impostos'!M81</f>
        <v>-1219.2</v>
      </c>
      <c r="N81" s="34">
        <f>'Cálculos de Impostos'!N81</f>
        <v>0</v>
      </c>
      <c r="O81" s="34">
        <f>'Cálculos de Impostos'!O81</f>
        <v>0</v>
      </c>
      <c r="P81" s="34">
        <f>'Cálculos de Impostos'!P81</f>
        <v>0</v>
      </c>
      <c r="Q81" s="34">
        <f>'Cálculos de Impostos'!Q81</f>
        <v>0</v>
      </c>
      <c r="R81" s="68">
        <f t="shared" si="32"/>
        <v>-14219.650000000001</v>
      </c>
      <c r="S81" s="71"/>
      <c r="T81" s="46">
        <f t="shared" si="1"/>
        <v>-10907.89</v>
      </c>
      <c r="U81" s="46">
        <f t="shared" si="2"/>
        <v>-3311.76</v>
      </c>
      <c r="V81" s="46">
        <f t="shared" si="30"/>
        <v>-14219.65</v>
      </c>
      <c r="W81" s="72"/>
      <c r="X81" s="72"/>
      <c r="Y81" s="72"/>
      <c r="Z81" s="72"/>
      <c r="AA81" s="72"/>
    </row>
    <row r="82" spans="1:27" outlineLevel="2">
      <c r="A82" s="73"/>
      <c r="B82" s="74"/>
      <c r="C82" s="74"/>
      <c r="D82" s="74" t="s">
        <v>92</v>
      </c>
      <c r="E82" s="43"/>
      <c r="F82" s="34">
        <f>'Cálculos de Impostos'!F82</f>
        <v>0</v>
      </c>
      <c r="G82" s="34">
        <f>'Cálculos de Impostos'!G82</f>
        <v>0</v>
      </c>
      <c r="H82" s="34">
        <f>'Cálculos de Impostos'!H82</f>
        <v>0</v>
      </c>
      <c r="I82" s="34">
        <f>'Cálculos de Impostos'!I82</f>
        <v>0</v>
      </c>
      <c r="J82" s="34">
        <f>'Cálculos de Impostos'!J82</f>
        <v>0</v>
      </c>
      <c r="K82" s="34">
        <f>'Cálculos de Impostos'!K82</f>
        <v>0</v>
      </c>
      <c r="L82" s="34">
        <f>'Cálculos de Impostos'!L82</f>
        <v>0</v>
      </c>
      <c r="M82" s="34">
        <f>'Cálculos de Impostos'!M82</f>
        <v>0</v>
      </c>
      <c r="N82" s="34">
        <f>'Cálculos de Impostos'!N82</f>
        <v>0</v>
      </c>
      <c r="O82" s="34">
        <f>'Cálculos de Impostos'!O82</f>
        <v>0</v>
      </c>
      <c r="P82" s="34">
        <f>'Cálculos de Impostos'!P82</f>
        <v>0</v>
      </c>
      <c r="Q82" s="34">
        <f>'Cálculos de Impostos'!Q82</f>
        <v>0</v>
      </c>
      <c r="R82" s="68">
        <f t="shared" si="32"/>
        <v>0</v>
      </c>
      <c r="S82" s="71"/>
      <c r="T82" s="46">
        <f t="shared" si="1"/>
        <v>0</v>
      </c>
      <c r="U82" s="46">
        <f t="shared" si="2"/>
        <v>0</v>
      </c>
      <c r="V82" s="46">
        <f t="shared" si="30"/>
        <v>0</v>
      </c>
      <c r="W82" s="72"/>
      <c r="X82" s="72"/>
      <c r="Y82" s="72"/>
      <c r="Z82" s="72"/>
      <c r="AA82" s="72"/>
    </row>
    <row r="83" spans="1:27" outlineLevel="2">
      <c r="A83" s="42"/>
      <c r="B83" s="43"/>
      <c r="C83" s="43"/>
      <c r="D83" s="43" t="s">
        <v>93</v>
      </c>
      <c r="E83" s="43"/>
      <c r="F83" s="34">
        <f>'Cálculos de Impostos'!F83</f>
        <v>-10450.890000000001</v>
      </c>
      <c r="G83" s="34">
        <f>'Cálculos de Impostos'!G83</f>
        <v>-7580.89</v>
      </c>
      <c r="H83" s="34">
        <f>'Cálculos de Impostos'!H83</f>
        <v>-7611.05</v>
      </c>
      <c r="I83" s="34">
        <f>'Cálculos de Impostos'!I83</f>
        <v>-9799.6899999999987</v>
      </c>
      <c r="J83" s="34">
        <f>'Cálculos de Impostos'!J83</f>
        <v>-8326.25</v>
      </c>
      <c r="K83" s="34">
        <f>'Cálculos de Impostos'!K83</f>
        <v>-8382.65</v>
      </c>
      <c r="L83" s="34">
        <f>'Cálculos de Impostos'!L83</f>
        <v>-8382.65</v>
      </c>
      <c r="M83" s="34">
        <f>'Cálculos de Impostos'!M83</f>
        <v>-10700.47</v>
      </c>
      <c r="N83" s="34">
        <f>'Cálculos de Impostos'!N83</f>
        <v>0</v>
      </c>
      <c r="O83" s="34">
        <f>'Cálculos de Impostos'!O83</f>
        <v>0</v>
      </c>
      <c r="P83" s="34">
        <f>'Cálculos de Impostos'!P83</f>
        <v>0</v>
      </c>
      <c r="Q83" s="34">
        <f>'Cálculos de Impostos'!Q83</f>
        <v>0</v>
      </c>
      <c r="R83" s="68">
        <f t="shared" si="32"/>
        <v>-71234.540000000008</v>
      </c>
      <c r="S83" s="71"/>
      <c r="T83" s="46">
        <f t="shared" si="1"/>
        <v>-52151.420000000006</v>
      </c>
      <c r="U83" s="46">
        <f t="shared" si="2"/>
        <v>-19083.12</v>
      </c>
      <c r="V83" s="46">
        <f t="shared" si="30"/>
        <v>-71234.540000000008</v>
      </c>
      <c r="W83" s="72"/>
      <c r="X83" s="72"/>
      <c r="Y83" s="72"/>
      <c r="Z83" s="72"/>
      <c r="AA83" s="72"/>
    </row>
    <row r="84" spans="1:27" outlineLevel="2">
      <c r="A84" s="86"/>
      <c r="B84" s="86"/>
      <c r="C84" s="86"/>
      <c r="D84" s="86" t="s">
        <v>94</v>
      </c>
      <c r="E84" s="43"/>
      <c r="F84" s="34">
        <f>'Cálculos de Impostos'!F84</f>
        <v>-7285.66</v>
      </c>
      <c r="G84" s="34">
        <f>'Cálculos de Impostos'!G84</f>
        <v>-7285.66</v>
      </c>
      <c r="H84" s="34">
        <f>'Cálculos de Impostos'!H84</f>
        <v>-7285.66</v>
      </c>
      <c r="I84" s="34">
        <f>'Cálculos de Impostos'!I84</f>
        <v>-7285.66</v>
      </c>
      <c r="J84" s="34">
        <f>'Cálculos de Impostos'!J84</f>
        <v>-7646.3099999999995</v>
      </c>
      <c r="K84" s="34">
        <f>'Cálculos de Impostos'!K84</f>
        <v>-7285.66</v>
      </c>
      <c r="L84" s="34">
        <f>'Cálculos de Impostos'!L84</f>
        <v>-7285.66</v>
      </c>
      <c r="M84" s="34">
        <f>'Cálculos de Impostos'!M84</f>
        <v>-7285.66</v>
      </c>
      <c r="N84" s="34">
        <f>'Cálculos de Impostos'!N84</f>
        <v>0</v>
      </c>
      <c r="O84" s="34">
        <f>'Cálculos de Impostos'!O84</f>
        <v>0</v>
      </c>
      <c r="P84" s="34">
        <f>'Cálculos de Impostos'!P84</f>
        <v>0</v>
      </c>
      <c r="Q84" s="34">
        <f>'Cálculos de Impostos'!Q84</f>
        <v>0</v>
      </c>
      <c r="R84" s="68">
        <f t="shared" si="32"/>
        <v>-58645.930000000008</v>
      </c>
      <c r="S84" s="71"/>
      <c r="T84" s="46">
        <f t="shared" si="1"/>
        <v>-44074.61</v>
      </c>
      <c r="U84" s="46">
        <f t="shared" si="2"/>
        <v>-14571.32</v>
      </c>
      <c r="V84" s="46">
        <f t="shared" si="30"/>
        <v>-58645.93</v>
      </c>
      <c r="W84" s="72"/>
      <c r="X84" s="72"/>
      <c r="Y84" s="72"/>
      <c r="Z84" s="72"/>
      <c r="AA84" s="72"/>
    </row>
    <row r="85" spans="1:27" outlineLevel="2">
      <c r="A85" s="73"/>
      <c r="B85" s="74"/>
      <c r="C85" s="74"/>
      <c r="D85" s="74" t="s">
        <v>95</v>
      </c>
      <c r="E85" s="43"/>
      <c r="F85" s="34">
        <f>'Cálculos de Impostos'!F85</f>
        <v>0</v>
      </c>
      <c r="G85" s="34">
        <f>'Cálculos de Impostos'!G85</f>
        <v>0</v>
      </c>
      <c r="H85" s="34">
        <f>'Cálculos de Impostos'!H85</f>
        <v>0</v>
      </c>
      <c r="I85" s="34">
        <f>'Cálculos de Impostos'!I85</f>
        <v>0</v>
      </c>
      <c r="J85" s="34">
        <f>'Cálculos de Impostos'!J85</f>
        <v>0</v>
      </c>
      <c r="K85" s="34">
        <f>'Cálculos de Impostos'!K85</f>
        <v>0</v>
      </c>
      <c r="L85" s="34">
        <f>'Cálculos de Impostos'!L85</f>
        <v>0</v>
      </c>
      <c r="M85" s="34">
        <f>'Cálculos de Impostos'!M85</f>
        <v>0</v>
      </c>
      <c r="N85" s="34">
        <f>'Cálculos de Impostos'!N85</f>
        <v>0</v>
      </c>
      <c r="O85" s="34">
        <f>'Cálculos de Impostos'!O85</f>
        <v>0</v>
      </c>
      <c r="P85" s="34">
        <f>'Cálculos de Impostos'!P85</f>
        <v>0</v>
      </c>
      <c r="Q85" s="34">
        <f>'Cálculos de Impostos'!Q85</f>
        <v>0</v>
      </c>
      <c r="R85" s="68">
        <f t="shared" si="32"/>
        <v>0</v>
      </c>
      <c r="S85" s="71"/>
      <c r="T85" s="46">
        <f t="shared" si="1"/>
        <v>0</v>
      </c>
      <c r="U85" s="46">
        <f t="shared" si="2"/>
        <v>0</v>
      </c>
      <c r="V85" s="46">
        <f t="shared" si="30"/>
        <v>0</v>
      </c>
      <c r="W85" s="72"/>
      <c r="X85" s="72"/>
      <c r="Y85" s="72"/>
      <c r="Z85" s="72"/>
      <c r="AA85" s="72"/>
    </row>
    <row r="86" spans="1:27" outlineLevel="2">
      <c r="A86" s="42"/>
      <c r="B86" s="43"/>
      <c r="C86" s="43"/>
      <c r="D86" s="43" t="s">
        <v>96</v>
      </c>
      <c r="E86" s="43"/>
      <c r="F86" s="34">
        <f>'Cálculos de Impostos'!F86</f>
        <v>-51072.669999999976</v>
      </c>
      <c r="G86" s="34">
        <f>'Cálculos de Impostos'!G86</f>
        <v>-35665.600000000013</v>
      </c>
      <c r="H86" s="34">
        <f>'Cálculos de Impostos'!H86</f>
        <v>-27032.500000000004</v>
      </c>
      <c r="I86" s="34">
        <f>'Cálculos de Impostos'!I86</f>
        <v>-34367.669999999991</v>
      </c>
      <c r="J86" s="34">
        <f>'Cálculos de Impostos'!J86</f>
        <v>-24784.680000000011</v>
      </c>
      <c r="K86" s="34">
        <f>'Cálculos de Impostos'!K86</f>
        <v>-29033.320000000007</v>
      </c>
      <c r="L86" s="34">
        <f>'Cálculos de Impostos'!L86</f>
        <v>-23828.510000000006</v>
      </c>
      <c r="M86" s="34">
        <f>'Cálculos de Impostos'!M86</f>
        <v>-29329.719999999998</v>
      </c>
      <c r="N86" s="34">
        <f>'Cálculos de Impostos'!N86</f>
        <v>0</v>
      </c>
      <c r="O86" s="34">
        <f>'Cálculos de Impostos'!O86</f>
        <v>0</v>
      </c>
      <c r="P86" s="34">
        <f>'Cálculos de Impostos'!P86</f>
        <v>0</v>
      </c>
      <c r="Q86" s="34">
        <f>'Cálculos de Impostos'!Q86</f>
        <v>0</v>
      </c>
      <c r="R86" s="68">
        <f t="shared" si="32"/>
        <v>-255114.67</v>
      </c>
      <c r="S86" s="71"/>
      <c r="T86" s="46">
        <f t="shared" si="1"/>
        <v>-201956.44</v>
      </c>
      <c r="U86" s="46">
        <f t="shared" si="2"/>
        <v>-53158.23</v>
      </c>
      <c r="V86" s="46">
        <f t="shared" si="30"/>
        <v>-255114.67</v>
      </c>
      <c r="W86" s="72"/>
      <c r="X86" s="72"/>
      <c r="Y86" s="72"/>
      <c r="Z86" s="72"/>
      <c r="AA86" s="72"/>
    </row>
    <row r="87" spans="1:27" outlineLevel="2">
      <c r="A87" s="42"/>
      <c r="B87" s="43"/>
      <c r="C87" s="43"/>
      <c r="D87" s="43" t="s">
        <v>97</v>
      </c>
      <c r="E87" s="43"/>
      <c r="F87" s="34">
        <f>'Cálculos de Impostos'!F87</f>
        <v>-700</v>
      </c>
      <c r="G87" s="34">
        <f>'Cálculos de Impostos'!G87</f>
        <v>-499.37</v>
      </c>
      <c r="H87" s="34">
        <f>'Cálculos de Impostos'!H87</f>
        <v>-3796.2599999999998</v>
      </c>
      <c r="I87" s="34">
        <f>'Cálculos de Impostos'!I87</f>
        <v>-3444.99</v>
      </c>
      <c r="J87" s="34">
        <f ca="1">'Cálculos de Impostos'!J87</f>
        <v>-13735.640000000001</v>
      </c>
      <c r="K87" s="34">
        <f>'Cálculos de Impostos'!K87</f>
        <v>-5976.48</v>
      </c>
      <c r="L87" s="34">
        <f>'Cálculos de Impostos'!L87</f>
        <v>-1735.47</v>
      </c>
      <c r="M87" s="34">
        <f>'Cálculos de Impostos'!M87</f>
        <v>-2904.59</v>
      </c>
      <c r="N87" s="34">
        <f>'Cálculos de Impostos'!N87</f>
        <v>0</v>
      </c>
      <c r="O87" s="34">
        <f>'Cálculos de Impostos'!O87</f>
        <v>0</v>
      </c>
      <c r="P87" s="34">
        <f>'Cálculos de Impostos'!P87</f>
        <v>0</v>
      </c>
      <c r="Q87" s="34">
        <f>'Cálculos de Impostos'!Q87</f>
        <v>0</v>
      </c>
      <c r="R87" s="68">
        <f t="shared" ca="1" si="32"/>
        <v>-32792.800000000003</v>
      </c>
      <c r="S87" s="71"/>
      <c r="T87" s="46">
        <f t="shared" ca="1" si="1"/>
        <v>-28152.74</v>
      </c>
      <c r="U87" s="46">
        <f t="shared" si="2"/>
        <v>-4640.0600000000004</v>
      </c>
      <c r="V87" s="46">
        <f t="shared" ca="1" si="30"/>
        <v>-32792.800000000003</v>
      </c>
      <c r="W87" s="72"/>
      <c r="X87" s="72"/>
      <c r="Y87" s="72"/>
      <c r="Z87" s="72"/>
      <c r="AA87" s="72"/>
    </row>
    <row r="88" spans="1:27" outlineLevel="2">
      <c r="A88" s="73"/>
      <c r="B88" s="74"/>
      <c r="C88" s="74"/>
      <c r="D88" s="74" t="s">
        <v>98</v>
      </c>
      <c r="E88" s="43"/>
      <c r="F88" s="34">
        <f>'Cálculos de Impostos'!F88</f>
        <v>-2240.5600000000004</v>
      </c>
      <c r="G88" s="34">
        <f>'Cálculos de Impostos'!G88</f>
        <v>-2146.37</v>
      </c>
      <c r="H88" s="34">
        <f>'Cálculos de Impostos'!H88</f>
        <v>-4186.5</v>
      </c>
      <c r="I88" s="34">
        <f>'Cálculos de Impostos'!I88</f>
        <v>-2283.37</v>
      </c>
      <c r="J88" s="34">
        <f>'Cálculos de Impostos'!J88</f>
        <v>-4127.13</v>
      </c>
      <c r="K88" s="34">
        <f>'Cálculos de Impostos'!K88</f>
        <v>-2695.6400000000003</v>
      </c>
      <c r="L88" s="34">
        <f>'Cálculos de Impostos'!L88</f>
        <v>-2947.17</v>
      </c>
      <c r="M88" s="34">
        <f>'Cálculos de Impostos'!M88</f>
        <v>-4247.0499999999993</v>
      </c>
      <c r="N88" s="34">
        <f>'Cálculos de Impostos'!N88</f>
        <v>0</v>
      </c>
      <c r="O88" s="34">
        <f>'Cálculos de Impostos'!O88</f>
        <v>0</v>
      </c>
      <c r="P88" s="34">
        <f>'Cálculos de Impostos'!P88</f>
        <v>0</v>
      </c>
      <c r="Q88" s="34">
        <f>'Cálculos de Impostos'!Q88</f>
        <v>0</v>
      </c>
      <c r="R88" s="68">
        <f t="shared" si="32"/>
        <v>-24873.789999999997</v>
      </c>
      <c r="S88" s="71"/>
      <c r="T88" s="46">
        <f t="shared" si="1"/>
        <v>-17679.57</v>
      </c>
      <c r="U88" s="46">
        <f t="shared" si="2"/>
        <v>-7194.2199999999993</v>
      </c>
      <c r="V88" s="46">
        <f t="shared" si="30"/>
        <v>-24873.79</v>
      </c>
      <c r="W88" s="72"/>
      <c r="X88" s="72"/>
      <c r="Y88" s="72"/>
      <c r="Z88" s="72"/>
      <c r="AA88" s="72"/>
    </row>
    <row r="89" spans="1:27" outlineLevel="2">
      <c r="A89" s="42"/>
      <c r="B89" s="43"/>
      <c r="C89" s="43"/>
      <c r="D89" s="43" t="s">
        <v>99</v>
      </c>
      <c r="E89" s="43"/>
      <c r="F89" s="34">
        <f>'Cálculos de Impostos'!F89</f>
        <v>-1286.69</v>
      </c>
      <c r="G89" s="34">
        <f>'Cálculos de Impostos'!G89</f>
        <v>-1215.98</v>
      </c>
      <c r="H89" s="34">
        <f>'Cálculos de Impostos'!H89</f>
        <v>-1194.08</v>
      </c>
      <c r="I89" s="34">
        <f>'Cálculos de Impostos'!I89</f>
        <v>-1260.93</v>
      </c>
      <c r="J89" s="34">
        <f>'Cálculos de Impostos'!J89</f>
        <v>-642.46999999999991</v>
      </c>
      <c r="K89" s="34">
        <f>'Cálculos de Impostos'!K89</f>
        <v>-466.6</v>
      </c>
      <c r="L89" s="34">
        <f>'Cálculos de Impostos'!L89</f>
        <v>-1148.81</v>
      </c>
      <c r="M89" s="34">
        <f>'Cálculos de Impostos'!M89</f>
        <v>-1076.8</v>
      </c>
      <c r="N89" s="34">
        <f>'Cálculos de Impostos'!N89</f>
        <v>0</v>
      </c>
      <c r="O89" s="34">
        <f>'Cálculos de Impostos'!O89</f>
        <v>0</v>
      </c>
      <c r="P89" s="34">
        <f>'Cálculos de Impostos'!P89</f>
        <v>0</v>
      </c>
      <c r="Q89" s="34">
        <f>'Cálculos de Impostos'!Q89</f>
        <v>0</v>
      </c>
      <c r="R89" s="68">
        <f t="shared" si="32"/>
        <v>-8292.36</v>
      </c>
      <c r="S89" s="71"/>
      <c r="T89" s="46">
        <f t="shared" si="1"/>
        <v>-6066.7500000000009</v>
      </c>
      <c r="U89" s="46">
        <f t="shared" si="2"/>
        <v>-2225.6099999999997</v>
      </c>
      <c r="V89" s="46">
        <f t="shared" si="30"/>
        <v>-8292.36</v>
      </c>
      <c r="W89" s="72"/>
      <c r="X89" s="72"/>
      <c r="Y89" s="72"/>
      <c r="Z89" s="72"/>
      <c r="AA89" s="72"/>
    </row>
    <row r="90" spans="1:27" outlineLevel="2">
      <c r="A90" s="42"/>
      <c r="B90" s="43"/>
      <c r="C90" s="43"/>
      <c r="D90" s="43" t="s">
        <v>100</v>
      </c>
      <c r="E90" s="43"/>
      <c r="F90" s="34">
        <f>'Cálculos de Impostos'!F90</f>
        <v>-18961.650000000001</v>
      </c>
      <c r="G90" s="34">
        <f>'Cálculos de Impostos'!G90</f>
        <v>-18962.650000000001</v>
      </c>
      <c r="H90" s="34">
        <f>'Cálculos de Impostos'!H90</f>
        <v>-21763.61</v>
      </c>
      <c r="I90" s="34">
        <f>'Cálculos de Impostos'!I90</f>
        <v>-33989.65</v>
      </c>
      <c r="J90" s="34">
        <f>'Cálculos de Impostos'!J90</f>
        <v>-27948.65</v>
      </c>
      <c r="K90" s="34">
        <f ca="1">'Cálculos de Impostos'!K90</f>
        <v>-20936.709999999988</v>
      </c>
      <c r="L90" s="34">
        <f>'Cálculos de Impostos'!L90</f>
        <v>-6205.65</v>
      </c>
      <c r="M90" s="34">
        <f>'Cálculos de Impostos'!M90</f>
        <v>-604.5</v>
      </c>
      <c r="N90" s="34">
        <f>'Cálculos de Impostos'!N90</f>
        <v>0</v>
      </c>
      <c r="O90" s="34">
        <f>'Cálculos de Impostos'!O90</f>
        <v>0</v>
      </c>
      <c r="P90" s="34">
        <f>'Cálculos de Impostos'!P90</f>
        <v>0</v>
      </c>
      <c r="Q90" s="34">
        <f>'Cálculos de Impostos'!Q90</f>
        <v>0</v>
      </c>
      <c r="R90" s="68">
        <f t="shared" ca="1" si="32"/>
        <v>-149373.06999999998</v>
      </c>
      <c r="S90" s="71"/>
      <c r="T90" s="46">
        <f t="shared" ca="1" si="1"/>
        <v>-142562.91999999998</v>
      </c>
      <c r="U90" s="46">
        <f t="shared" si="2"/>
        <v>-6810.15</v>
      </c>
      <c r="V90" s="46">
        <f t="shared" ca="1" si="30"/>
        <v>-149373.06999999998</v>
      </c>
      <c r="W90" s="72"/>
      <c r="X90" s="72"/>
      <c r="Y90" s="72"/>
      <c r="Z90" s="72"/>
      <c r="AA90" s="72"/>
    </row>
    <row r="91" spans="1:27" outlineLevel="2">
      <c r="A91" s="42"/>
      <c r="B91" s="43"/>
      <c r="C91" s="43"/>
      <c r="D91" s="43" t="s">
        <v>101</v>
      </c>
      <c r="E91" s="43"/>
      <c r="F91" s="34">
        <f>'Cálculos de Impostos'!F91</f>
        <v>-4194</v>
      </c>
      <c r="G91" s="34">
        <f>'Cálculos de Impostos'!G91</f>
        <v>-1094</v>
      </c>
      <c r="H91" s="34">
        <f>'Cálculos de Impostos'!H91</f>
        <v>-1094</v>
      </c>
      <c r="I91" s="34">
        <f>'Cálculos de Impostos'!I91</f>
        <v>-1094</v>
      </c>
      <c r="J91" s="34">
        <f>'Cálculos de Impostos'!J91</f>
        <v>-1094</v>
      </c>
      <c r="K91" s="34">
        <f>'Cálculos de Impostos'!K91</f>
        <v>-1094</v>
      </c>
      <c r="L91" s="34">
        <f>'Cálculos de Impostos'!L91</f>
        <v>-3094</v>
      </c>
      <c r="M91" s="34">
        <f>'Cálculos de Impostos'!M91</f>
        <v>-3094</v>
      </c>
      <c r="N91" s="34">
        <f>'Cálculos de Impostos'!N91</f>
        <v>0</v>
      </c>
      <c r="O91" s="34">
        <f>'Cálculos de Impostos'!O91</f>
        <v>0</v>
      </c>
      <c r="P91" s="34">
        <f>'Cálculos de Impostos'!P91</f>
        <v>0</v>
      </c>
      <c r="Q91" s="34">
        <f>'Cálculos de Impostos'!Q91</f>
        <v>0</v>
      </c>
      <c r="R91" s="68">
        <f t="shared" si="32"/>
        <v>-15852</v>
      </c>
      <c r="S91" s="71"/>
      <c r="T91" s="46">
        <f t="shared" si="1"/>
        <v>-9664</v>
      </c>
      <c r="U91" s="46">
        <f t="shared" si="2"/>
        <v>-6188</v>
      </c>
      <c r="V91" s="46">
        <f t="shared" si="30"/>
        <v>-15852</v>
      </c>
      <c r="W91" s="72"/>
      <c r="X91" s="72"/>
      <c r="Y91" s="72"/>
      <c r="Z91" s="72"/>
      <c r="AA91" s="72"/>
    </row>
    <row r="92" spans="1:27" outlineLevel="2">
      <c r="A92" s="42"/>
      <c r="B92" s="43"/>
      <c r="C92" s="43"/>
      <c r="D92" s="43" t="s">
        <v>102</v>
      </c>
      <c r="E92" s="43"/>
      <c r="F92" s="34">
        <f>'Cálculos de Impostos'!F92</f>
        <v>-157.28</v>
      </c>
      <c r="G92" s="34">
        <f>'Cálculos de Impostos'!G92</f>
        <v>0</v>
      </c>
      <c r="H92" s="34">
        <f>'Cálculos de Impostos'!H92</f>
        <v>0</v>
      </c>
      <c r="I92" s="34">
        <f>'Cálculos de Impostos'!I92</f>
        <v>0</v>
      </c>
      <c r="J92" s="34">
        <f>'Cálculos de Impostos'!J92</f>
        <v>0</v>
      </c>
      <c r="K92" s="34">
        <f>'Cálculos de Impostos'!K92</f>
        <v>-636.33000000000004</v>
      </c>
      <c r="L92" s="34">
        <f>'Cálculos de Impostos'!L92</f>
        <v>0</v>
      </c>
      <c r="M92" s="34">
        <f>'Cálculos de Impostos'!M92</f>
        <v>0</v>
      </c>
      <c r="N92" s="34">
        <f>'Cálculos de Impostos'!N92</f>
        <v>0</v>
      </c>
      <c r="O92" s="34">
        <f>'Cálculos de Impostos'!O92</f>
        <v>0</v>
      </c>
      <c r="P92" s="34">
        <f>'Cálculos de Impostos'!P92</f>
        <v>0</v>
      </c>
      <c r="Q92" s="34">
        <f>'Cálculos de Impostos'!Q92</f>
        <v>0</v>
      </c>
      <c r="R92" s="68">
        <f t="shared" si="32"/>
        <v>-793.61</v>
      </c>
      <c r="S92" s="71"/>
      <c r="T92" s="46">
        <f t="shared" si="1"/>
        <v>-793.61</v>
      </c>
      <c r="U92" s="46">
        <f t="shared" si="2"/>
        <v>0</v>
      </c>
      <c r="V92" s="46">
        <f t="shared" si="30"/>
        <v>-793.61</v>
      </c>
      <c r="W92" s="72"/>
      <c r="X92" s="72"/>
      <c r="Y92" s="72"/>
      <c r="Z92" s="72"/>
      <c r="AA92" s="72"/>
    </row>
    <row r="93" spans="1:27" outlineLevel="1">
      <c r="A93" s="26"/>
      <c r="B93" s="27"/>
      <c r="C93" s="65" t="s">
        <v>103</v>
      </c>
      <c r="D93" s="28"/>
      <c r="E93" s="27"/>
      <c r="F93" s="66">
        <f t="shared" ref="F93:R93" si="33">SUM(F94:F97)</f>
        <v>-1905.0200000000002</v>
      </c>
      <c r="G93" s="66">
        <f t="shared" si="33"/>
        <v>-2066.63</v>
      </c>
      <c r="H93" s="66">
        <f t="shared" si="33"/>
        <v>-2208.3000000000002</v>
      </c>
      <c r="I93" s="66">
        <f t="shared" si="33"/>
        <v>-1825.06</v>
      </c>
      <c r="J93" s="66">
        <f t="shared" si="33"/>
        <v>-870.58000000000015</v>
      </c>
      <c r="K93" s="66">
        <f t="shared" si="33"/>
        <v>-1353.5499999999997</v>
      </c>
      <c r="L93" s="66">
        <f t="shared" si="33"/>
        <v>-1123.21</v>
      </c>
      <c r="M93" s="66">
        <f t="shared" si="33"/>
        <v>-807.7600000000001</v>
      </c>
      <c r="N93" s="66">
        <f t="shared" si="33"/>
        <v>0</v>
      </c>
      <c r="O93" s="66">
        <f t="shared" si="33"/>
        <v>0</v>
      </c>
      <c r="P93" s="66">
        <f t="shared" si="33"/>
        <v>0</v>
      </c>
      <c r="Q93" s="66">
        <f t="shared" si="33"/>
        <v>0</v>
      </c>
      <c r="R93" s="67">
        <f t="shared" si="33"/>
        <v>-12160.11</v>
      </c>
      <c r="S93" s="31"/>
      <c r="T93" s="66">
        <f t="shared" si="1"/>
        <v>-10229.14</v>
      </c>
      <c r="U93" s="66">
        <f t="shared" si="2"/>
        <v>-1930.9700000000003</v>
      </c>
      <c r="V93" s="66">
        <f t="shared" si="30"/>
        <v>-12160.11</v>
      </c>
      <c r="W93" s="55"/>
      <c r="X93" s="55"/>
      <c r="Y93" s="55"/>
      <c r="Z93" s="55"/>
      <c r="AA93" s="55"/>
    </row>
    <row r="94" spans="1:27" outlineLevel="2">
      <c r="A94" s="42"/>
      <c r="B94" s="43"/>
      <c r="C94" s="43"/>
      <c r="D94" s="43" t="s">
        <v>104</v>
      </c>
      <c r="E94" s="43"/>
      <c r="F94" s="34">
        <f>'Cálculos de Impostos'!F94</f>
        <v>0</v>
      </c>
      <c r="G94" s="34">
        <f>'Cálculos de Impostos'!G94</f>
        <v>0</v>
      </c>
      <c r="H94" s="34">
        <f>'Cálculos de Impostos'!H94</f>
        <v>0</v>
      </c>
      <c r="I94" s="34">
        <f>'Cálculos de Impostos'!I94</f>
        <v>0</v>
      </c>
      <c r="J94" s="34">
        <f>'Cálculos de Impostos'!J94</f>
        <v>0</v>
      </c>
      <c r="K94" s="34">
        <f>'Cálculos de Impostos'!K94</f>
        <v>0</v>
      </c>
      <c r="L94" s="34">
        <f>'Cálculos de Impostos'!L94</f>
        <v>0</v>
      </c>
      <c r="M94" s="34">
        <f>'Cálculos de Impostos'!M94</f>
        <v>0</v>
      </c>
      <c r="N94" s="34">
        <f>'Cálculos de Impostos'!N94</f>
        <v>0</v>
      </c>
      <c r="O94" s="34">
        <f>'Cálculos de Impostos'!O94</f>
        <v>0</v>
      </c>
      <c r="P94" s="34">
        <f>'Cálculos de Impostos'!P94</f>
        <v>0</v>
      </c>
      <c r="Q94" s="34">
        <f>'Cálculos de Impostos'!Q94</f>
        <v>0</v>
      </c>
      <c r="R94" s="68">
        <f t="shared" ref="R94:R97" si="34">SUM(F94:Q94)</f>
        <v>0</v>
      </c>
      <c r="S94" s="71"/>
      <c r="T94" s="46">
        <f t="shared" si="1"/>
        <v>0</v>
      </c>
      <c r="U94" s="46">
        <f t="shared" si="2"/>
        <v>0</v>
      </c>
      <c r="V94" s="46">
        <f t="shared" si="30"/>
        <v>0</v>
      </c>
      <c r="W94" s="72"/>
      <c r="X94" s="72"/>
      <c r="Y94" s="72"/>
      <c r="Z94" s="72"/>
      <c r="AA94" s="72"/>
    </row>
    <row r="95" spans="1:27" outlineLevel="2">
      <c r="A95" s="42"/>
      <c r="B95" s="43"/>
      <c r="C95" s="43"/>
      <c r="D95" s="43" t="s">
        <v>105</v>
      </c>
      <c r="E95" s="43"/>
      <c r="F95" s="34">
        <f>'Cálculos de Impostos'!F95</f>
        <v>0</v>
      </c>
      <c r="G95" s="34">
        <f>'Cálculos de Impostos'!G95</f>
        <v>0</v>
      </c>
      <c r="H95" s="34">
        <f>'Cálculos de Impostos'!H95</f>
        <v>0</v>
      </c>
      <c r="I95" s="34">
        <f>'Cálculos de Impostos'!I95</f>
        <v>0</v>
      </c>
      <c r="J95" s="34">
        <f>'Cálculos de Impostos'!J95</f>
        <v>0</v>
      </c>
      <c r="K95" s="34">
        <f>'Cálculos de Impostos'!K95</f>
        <v>0</v>
      </c>
      <c r="L95" s="34">
        <f>'Cálculos de Impostos'!L95</f>
        <v>0</v>
      </c>
      <c r="M95" s="34">
        <f>'Cálculos de Impostos'!M95</f>
        <v>0</v>
      </c>
      <c r="N95" s="34">
        <f>'Cálculos de Impostos'!N95</f>
        <v>0</v>
      </c>
      <c r="O95" s="34">
        <f>'Cálculos de Impostos'!O95</f>
        <v>0</v>
      </c>
      <c r="P95" s="34">
        <f>'Cálculos de Impostos'!P95</f>
        <v>0</v>
      </c>
      <c r="Q95" s="34">
        <f>'Cálculos de Impostos'!Q95</f>
        <v>0</v>
      </c>
      <c r="R95" s="68">
        <f t="shared" si="34"/>
        <v>0</v>
      </c>
      <c r="S95" s="71"/>
      <c r="T95" s="46">
        <f t="shared" si="1"/>
        <v>0</v>
      </c>
      <c r="U95" s="46">
        <f t="shared" si="2"/>
        <v>0</v>
      </c>
      <c r="V95" s="46">
        <f t="shared" si="30"/>
        <v>0</v>
      </c>
      <c r="W95" s="72"/>
      <c r="X95" s="72"/>
      <c r="Y95" s="72"/>
      <c r="Z95" s="72"/>
      <c r="AA95" s="72"/>
    </row>
    <row r="96" spans="1:27" outlineLevel="2">
      <c r="A96" s="42"/>
      <c r="B96" s="43"/>
      <c r="C96" s="43"/>
      <c r="D96" s="43" t="s">
        <v>106</v>
      </c>
      <c r="E96" s="43"/>
      <c r="F96" s="34">
        <f>'Cálculos de Impostos'!F96</f>
        <v>-1035.3300000000002</v>
      </c>
      <c r="G96" s="34">
        <f>'Cálculos de Impostos'!G96</f>
        <v>-1383.57</v>
      </c>
      <c r="H96" s="34">
        <f>'Cálculos de Impostos'!H96</f>
        <v>-1878.8900000000003</v>
      </c>
      <c r="I96" s="34">
        <f>'Cálculos de Impostos'!I96</f>
        <v>-983.22</v>
      </c>
      <c r="J96" s="34">
        <f>'Cálculos de Impostos'!J96</f>
        <v>-838.97000000000014</v>
      </c>
      <c r="K96" s="34">
        <f>'Cálculos de Impostos'!K96</f>
        <v>-1254.8299999999997</v>
      </c>
      <c r="L96" s="34">
        <f>'Cálculos de Impostos'!L96</f>
        <v>-1093</v>
      </c>
      <c r="M96" s="34">
        <f>'Cálculos de Impostos'!M96</f>
        <v>-807.7600000000001</v>
      </c>
      <c r="N96" s="34">
        <f>'Cálculos de Impostos'!N96</f>
        <v>0</v>
      </c>
      <c r="O96" s="34">
        <f>'Cálculos de Impostos'!O96</f>
        <v>0</v>
      </c>
      <c r="P96" s="34">
        <f>'Cálculos de Impostos'!P96</f>
        <v>0</v>
      </c>
      <c r="Q96" s="34">
        <f>'Cálculos de Impostos'!Q96</f>
        <v>0</v>
      </c>
      <c r="R96" s="68">
        <f t="shared" si="34"/>
        <v>-9275.5700000000015</v>
      </c>
      <c r="S96" s="45"/>
      <c r="T96" s="46">
        <f t="shared" si="1"/>
        <v>-7374.8100000000013</v>
      </c>
      <c r="U96" s="46">
        <f t="shared" si="2"/>
        <v>-1900.7600000000002</v>
      </c>
      <c r="V96" s="46">
        <f t="shared" si="30"/>
        <v>-9275.5700000000015</v>
      </c>
      <c r="W96" s="72"/>
      <c r="X96" s="72"/>
      <c r="Y96" s="72"/>
      <c r="Z96" s="72"/>
      <c r="AA96" s="72"/>
    </row>
    <row r="97" spans="1:27" outlineLevel="2">
      <c r="A97" s="42"/>
      <c r="B97" s="43"/>
      <c r="C97" s="43"/>
      <c r="D97" s="43" t="s">
        <v>107</v>
      </c>
      <c r="E97" s="43"/>
      <c r="F97" s="34">
        <f>'Cálculos de Impostos'!F97</f>
        <v>-869.69</v>
      </c>
      <c r="G97" s="34">
        <f>'Cálculos de Impostos'!G97</f>
        <v>-683.06</v>
      </c>
      <c r="H97" s="34">
        <f>'Cálculos de Impostos'!H97</f>
        <v>-329.41</v>
      </c>
      <c r="I97" s="34">
        <f>'Cálculos de Impostos'!I97</f>
        <v>-841.84</v>
      </c>
      <c r="J97" s="34">
        <f>'Cálculos de Impostos'!J97</f>
        <v>-31.61</v>
      </c>
      <c r="K97" s="34">
        <f>'Cálculos de Impostos'!K97</f>
        <v>-98.72</v>
      </c>
      <c r="L97" s="34">
        <f>'Cálculos de Impostos'!L97</f>
        <v>-30.21</v>
      </c>
      <c r="M97" s="34">
        <f>'Cálculos de Impostos'!M97</f>
        <v>0</v>
      </c>
      <c r="N97" s="34">
        <f>'Cálculos de Impostos'!N97</f>
        <v>0</v>
      </c>
      <c r="O97" s="34">
        <f>'Cálculos de Impostos'!O97</f>
        <v>0</v>
      </c>
      <c r="P97" s="34">
        <f>'Cálculos de Impostos'!P97</f>
        <v>0</v>
      </c>
      <c r="Q97" s="34">
        <f>'Cálculos de Impostos'!Q97</f>
        <v>0</v>
      </c>
      <c r="R97" s="68">
        <f t="shared" si="34"/>
        <v>-2884.54</v>
      </c>
      <c r="S97" s="71"/>
      <c r="T97" s="46">
        <f t="shared" si="1"/>
        <v>-2854.33</v>
      </c>
      <c r="U97" s="46">
        <f t="shared" si="2"/>
        <v>-30.21</v>
      </c>
      <c r="V97" s="46">
        <f t="shared" si="30"/>
        <v>-2884.54</v>
      </c>
      <c r="W97" s="72"/>
      <c r="X97" s="72"/>
      <c r="Y97" s="72"/>
      <c r="Z97" s="72"/>
      <c r="AA97" s="72"/>
    </row>
    <row r="98" spans="1:27" outlineLevel="1">
      <c r="A98" s="26"/>
      <c r="B98" s="27"/>
      <c r="C98" s="65" t="s">
        <v>108</v>
      </c>
      <c r="D98" s="28"/>
      <c r="E98" s="27"/>
      <c r="F98" s="66">
        <f t="shared" ref="F98:R98" si="35">SUM(F99:F100)</f>
        <v>-119</v>
      </c>
      <c r="G98" s="66">
        <f t="shared" si="35"/>
        <v>-119</v>
      </c>
      <c r="H98" s="66">
        <f t="shared" si="35"/>
        <v>-167.66</v>
      </c>
      <c r="I98" s="66">
        <f t="shared" si="35"/>
        <v>-2247.67</v>
      </c>
      <c r="J98" s="66">
        <f t="shared" si="35"/>
        <v>-263.43</v>
      </c>
      <c r="K98" s="66">
        <f t="shared" si="35"/>
        <v>-308.45</v>
      </c>
      <c r="L98" s="66">
        <f t="shared" si="35"/>
        <v>-1573.45</v>
      </c>
      <c r="M98" s="66">
        <f t="shared" si="35"/>
        <v>-124.7</v>
      </c>
      <c r="N98" s="66">
        <f t="shared" si="35"/>
        <v>0</v>
      </c>
      <c r="O98" s="66">
        <f t="shared" si="35"/>
        <v>0</v>
      </c>
      <c r="P98" s="66">
        <f t="shared" si="35"/>
        <v>0</v>
      </c>
      <c r="Q98" s="66">
        <f t="shared" si="35"/>
        <v>0</v>
      </c>
      <c r="R98" s="67">
        <f t="shared" si="35"/>
        <v>-4923.3599999999997</v>
      </c>
      <c r="S98" s="31"/>
      <c r="T98" s="66">
        <f t="shared" si="1"/>
        <v>-3225.2099999999996</v>
      </c>
      <c r="U98" s="66">
        <f t="shared" si="2"/>
        <v>-1698.15</v>
      </c>
      <c r="V98" s="66">
        <f t="shared" si="30"/>
        <v>-4923.3599999999997</v>
      </c>
      <c r="W98" s="55"/>
      <c r="X98" s="55"/>
      <c r="Y98" s="55"/>
      <c r="Z98" s="55"/>
      <c r="AA98" s="55"/>
    </row>
    <row r="99" spans="1:27" outlineLevel="2">
      <c r="A99" s="42"/>
      <c r="B99" s="43"/>
      <c r="C99" s="43"/>
      <c r="D99" s="43" t="s">
        <v>109</v>
      </c>
      <c r="E99" s="43"/>
      <c r="F99" s="34">
        <f>'Cálculos de Impostos'!F99</f>
        <v>-119</v>
      </c>
      <c r="G99" s="34">
        <f>'Cálculos de Impostos'!G99</f>
        <v>-119</v>
      </c>
      <c r="H99" s="34">
        <f>'Cálculos de Impostos'!H99</f>
        <v>-124.7</v>
      </c>
      <c r="I99" s="34">
        <f>'Cálculos de Impostos'!I99</f>
        <v>-482.94</v>
      </c>
      <c r="J99" s="34">
        <f>'Cálculos de Impostos'!J99</f>
        <v>-124.7</v>
      </c>
      <c r="K99" s="34">
        <f>'Cálculos de Impostos'!K99</f>
        <v>-124.7</v>
      </c>
      <c r="L99" s="34">
        <f>'Cálculos de Impostos'!L99</f>
        <v>-1389.7</v>
      </c>
      <c r="M99" s="34">
        <f>'Cálculos de Impostos'!M99</f>
        <v>-124.7</v>
      </c>
      <c r="N99" s="34">
        <f>'Cálculos de Impostos'!N99</f>
        <v>0</v>
      </c>
      <c r="O99" s="34">
        <f>'Cálculos de Impostos'!O99</f>
        <v>0</v>
      </c>
      <c r="P99" s="34">
        <f>'Cálculos de Impostos'!P99</f>
        <v>0</v>
      </c>
      <c r="Q99" s="34">
        <f>'Cálculos de Impostos'!Q99</f>
        <v>0</v>
      </c>
      <c r="R99" s="68">
        <f t="shared" ref="R99:R100" si="36">SUM(F99:Q99)</f>
        <v>-2609.4399999999996</v>
      </c>
      <c r="S99" s="71"/>
      <c r="T99" s="46">
        <f t="shared" si="1"/>
        <v>-1095.04</v>
      </c>
      <c r="U99" s="46">
        <f t="shared" si="2"/>
        <v>-1514.4</v>
      </c>
      <c r="V99" s="46">
        <f t="shared" si="30"/>
        <v>-2609.44</v>
      </c>
      <c r="W99" s="72"/>
      <c r="X99" s="72"/>
      <c r="Y99" s="72"/>
      <c r="Z99" s="72"/>
      <c r="AA99" s="72"/>
    </row>
    <row r="100" spans="1:27" outlineLevel="2">
      <c r="A100" s="42"/>
      <c r="B100" s="43"/>
      <c r="C100" s="43"/>
      <c r="D100" s="43" t="s">
        <v>110</v>
      </c>
      <c r="E100" s="43"/>
      <c r="F100" s="34">
        <f>'Cálculos de Impostos'!F100</f>
        <v>0</v>
      </c>
      <c r="G100" s="34">
        <f>'Cálculos de Impostos'!G100</f>
        <v>0</v>
      </c>
      <c r="H100" s="34">
        <f>'Cálculos de Impostos'!H100</f>
        <v>-42.96</v>
      </c>
      <c r="I100" s="34">
        <f>'Cálculos de Impostos'!I100</f>
        <v>-1764.73</v>
      </c>
      <c r="J100" s="34">
        <f>'Cálculos de Impostos'!J100</f>
        <v>-138.72999999999999</v>
      </c>
      <c r="K100" s="34">
        <f>'Cálculos de Impostos'!K100</f>
        <v>-183.75</v>
      </c>
      <c r="L100" s="34">
        <f>'Cálculos de Impostos'!L100</f>
        <v>-183.75</v>
      </c>
      <c r="M100" s="34">
        <f>'Cálculos de Impostos'!M100</f>
        <v>0</v>
      </c>
      <c r="N100" s="34">
        <f>'Cálculos de Impostos'!N100</f>
        <v>0</v>
      </c>
      <c r="O100" s="34">
        <f>'Cálculos de Impostos'!O100</f>
        <v>0</v>
      </c>
      <c r="P100" s="34">
        <f>'Cálculos de Impostos'!P100</f>
        <v>0</v>
      </c>
      <c r="Q100" s="34">
        <f>'Cálculos de Impostos'!Q100</f>
        <v>0</v>
      </c>
      <c r="R100" s="68">
        <f t="shared" si="36"/>
        <v>-2313.92</v>
      </c>
      <c r="S100" s="71"/>
      <c r="T100" s="46">
        <f t="shared" si="1"/>
        <v>-2130.17</v>
      </c>
      <c r="U100" s="46">
        <f t="shared" si="2"/>
        <v>-183.75</v>
      </c>
      <c r="V100" s="46">
        <f t="shared" si="30"/>
        <v>-2313.92</v>
      </c>
      <c r="W100" s="72"/>
      <c r="X100" s="72"/>
      <c r="Y100" s="72"/>
      <c r="Z100" s="72"/>
      <c r="AA100" s="72"/>
    </row>
    <row r="101" spans="1:27" ht="15.75">
      <c r="A101" s="57"/>
      <c r="B101" s="58" t="s">
        <v>111</v>
      </c>
      <c r="C101" s="60"/>
      <c r="D101" s="60"/>
      <c r="E101" s="59"/>
      <c r="F101" s="61">
        <f t="shared" ref="F101:R101" ca="1" si="37">F48+F49</f>
        <v>666371.7537707194</v>
      </c>
      <c r="G101" s="61">
        <f t="shared" ca="1" si="37"/>
        <v>342460.89864870033</v>
      </c>
      <c r="H101" s="61">
        <f t="shared" ca="1" si="37"/>
        <v>472216.86757164344</v>
      </c>
      <c r="I101" s="62">
        <f t="shared" ca="1" si="37"/>
        <v>446965.38385115797</v>
      </c>
      <c r="J101" s="61">
        <f t="shared" ca="1" si="37"/>
        <v>447789.0348881376</v>
      </c>
      <c r="K101" s="61">
        <f t="shared" ca="1" si="37"/>
        <v>527854.70089566149</v>
      </c>
      <c r="L101" s="61">
        <f t="shared" ca="1" si="37"/>
        <v>689908.30968439742</v>
      </c>
      <c r="M101" s="61">
        <f t="shared" ca="1" si="37"/>
        <v>511134.37724015629</v>
      </c>
      <c r="N101" s="61">
        <f t="shared" ca="1" si="37"/>
        <v>0</v>
      </c>
      <c r="O101" s="61">
        <f t="shared" ca="1" si="37"/>
        <v>0</v>
      </c>
      <c r="P101" s="61">
        <f t="shared" ca="1" si="37"/>
        <v>0</v>
      </c>
      <c r="Q101" s="61">
        <f t="shared" ca="1" si="37"/>
        <v>0</v>
      </c>
      <c r="R101" s="63">
        <f t="shared" ca="1" si="37"/>
        <v>4104701.326550575</v>
      </c>
      <c r="S101" s="64"/>
      <c r="T101" s="61">
        <f t="shared" ca="1" si="1"/>
        <v>2903658.6396260201</v>
      </c>
      <c r="U101" s="61">
        <f t="shared" ca="1" si="2"/>
        <v>1201042.6869245537</v>
      </c>
      <c r="V101" s="61">
        <f t="shared" ca="1" si="30"/>
        <v>4104701.326550574</v>
      </c>
      <c r="W101" s="87"/>
      <c r="X101" s="87"/>
      <c r="Y101" s="87"/>
      <c r="Z101" s="87"/>
      <c r="AA101" s="87"/>
    </row>
    <row r="102" spans="1:27">
      <c r="A102" s="88"/>
      <c r="B102" s="89"/>
      <c r="C102" s="89" t="s">
        <v>112</v>
      </c>
      <c r="D102" s="90"/>
      <c r="E102" s="27"/>
      <c r="F102" s="29">
        <f>'Cálculos de Impostos'!F102</f>
        <v>15584.31</v>
      </c>
      <c r="G102" s="29">
        <f>'Cálculos de Impostos'!G102</f>
        <v>14237.36</v>
      </c>
      <c r="H102" s="29">
        <f>'Cálculos de Impostos'!H102</f>
        <v>14183.15</v>
      </c>
      <c r="I102" s="29">
        <f>'Cálculos de Impostos'!I102</f>
        <v>15216.83</v>
      </c>
      <c r="J102" s="29">
        <f>'Cálculos de Impostos'!J102</f>
        <v>13209.710000000001</v>
      </c>
      <c r="K102" s="29">
        <f>'Cálculos de Impostos'!K102</f>
        <v>8721.029999999997</v>
      </c>
      <c r="L102" s="29">
        <f>'Cálculos de Impostos'!L102</f>
        <v>17437.349999999999</v>
      </c>
      <c r="M102" s="29">
        <f>'Cálculos de Impostos'!M102</f>
        <v>11672.58</v>
      </c>
      <c r="N102" s="29">
        <f>'Cálculos de Impostos'!N102</f>
        <v>0</v>
      </c>
      <c r="O102" s="29">
        <f>'Cálculos de Impostos'!O102</f>
        <v>0</v>
      </c>
      <c r="P102" s="29">
        <f>'Cálculos de Impostos'!P102</f>
        <v>0</v>
      </c>
      <c r="Q102" s="29">
        <f>'Cálculos de Impostos'!Q102</f>
        <v>0</v>
      </c>
      <c r="R102" s="30">
        <f t="shared" ref="R102:R103" si="38">SUM(F102:Q102)</f>
        <v>110262.31999999999</v>
      </c>
      <c r="S102" s="31"/>
      <c r="T102" s="29">
        <f t="shared" si="1"/>
        <v>81152.39</v>
      </c>
      <c r="U102" s="29">
        <f t="shared" si="2"/>
        <v>29109.93</v>
      </c>
      <c r="V102" s="29">
        <f t="shared" si="30"/>
        <v>110262.32</v>
      </c>
      <c r="W102" s="55"/>
      <c r="X102" s="55"/>
      <c r="Y102" s="55"/>
      <c r="Z102" s="55"/>
      <c r="AA102" s="55"/>
    </row>
    <row r="103" spans="1:27">
      <c r="A103" s="91"/>
      <c r="B103" s="92"/>
      <c r="C103" s="92" t="s">
        <v>113</v>
      </c>
      <c r="D103" s="92"/>
      <c r="E103" s="93"/>
      <c r="F103" s="29">
        <f>'Cálculos de Impostos'!F103</f>
        <v>0</v>
      </c>
      <c r="G103" s="29">
        <f>'Cálculos de Impostos'!G103</f>
        <v>0</v>
      </c>
      <c r="H103" s="29">
        <f>'Cálculos de Impostos'!H103</f>
        <v>0</v>
      </c>
      <c r="I103" s="29">
        <f>'Cálculos de Impostos'!I103</f>
        <v>0</v>
      </c>
      <c r="J103" s="29">
        <f>'Cálculos de Impostos'!J103</f>
        <v>0</v>
      </c>
      <c r="K103" s="29">
        <f>'Cálculos de Impostos'!K103</f>
        <v>0</v>
      </c>
      <c r="L103" s="29">
        <f>'Cálculos de Impostos'!L103</f>
        <v>0</v>
      </c>
      <c r="M103" s="29">
        <f>'Cálculos de Impostos'!M103</f>
        <v>0</v>
      </c>
      <c r="N103" s="29">
        <f>'Cálculos de Impostos'!N103</f>
        <v>0</v>
      </c>
      <c r="O103" s="29">
        <f>'Cálculos de Impostos'!O103</f>
        <v>0</v>
      </c>
      <c r="P103" s="29">
        <f>'Cálculos de Impostos'!P103</f>
        <v>0</v>
      </c>
      <c r="Q103" s="29">
        <f>'Cálculos de Impostos'!Q103</f>
        <v>0</v>
      </c>
      <c r="R103" s="94">
        <f t="shared" si="38"/>
        <v>0</v>
      </c>
      <c r="S103" s="95"/>
      <c r="T103" s="29">
        <f t="shared" si="1"/>
        <v>0</v>
      </c>
      <c r="U103" s="29">
        <f t="shared" si="2"/>
        <v>0</v>
      </c>
      <c r="V103" s="29">
        <f t="shared" si="30"/>
        <v>0</v>
      </c>
      <c r="W103" s="96"/>
      <c r="X103" s="96"/>
      <c r="Y103" s="96"/>
      <c r="Z103" s="96"/>
      <c r="AA103" s="96"/>
    </row>
    <row r="104" spans="1:27" ht="15.75">
      <c r="A104" s="57"/>
      <c r="B104" s="97" t="s">
        <v>114</v>
      </c>
      <c r="C104" s="98"/>
      <c r="D104" s="99"/>
      <c r="E104" s="98"/>
      <c r="F104" s="100">
        <f t="shared" ref="F104:R104" ca="1" si="39">F101+F102+F103</f>
        <v>681956.06377071945</v>
      </c>
      <c r="G104" s="100">
        <f t="shared" ca="1" si="39"/>
        <v>356698.25864870031</v>
      </c>
      <c r="H104" s="100">
        <f t="shared" ca="1" si="39"/>
        <v>486400.01757164346</v>
      </c>
      <c r="I104" s="101">
        <f t="shared" ca="1" si="39"/>
        <v>462182.21385115798</v>
      </c>
      <c r="J104" s="100">
        <f t="shared" ca="1" si="39"/>
        <v>460998.74488813762</v>
      </c>
      <c r="K104" s="100">
        <f t="shared" ca="1" si="39"/>
        <v>536575.73089566152</v>
      </c>
      <c r="L104" s="100">
        <f t="shared" ca="1" si="39"/>
        <v>707345.6596843974</v>
      </c>
      <c r="M104" s="100">
        <f t="shared" ca="1" si="39"/>
        <v>522806.95724015631</v>
      </c>
      <c r="N104" s="100">
        <f t="shared" ca="1" si="39"/>
        <v>0</v>
      </c>
      <c r="O104" s="100">
        <f t="shared" ca="1" si="39"/>
        <v>0</v>
      </c>
      <c r="P104" s="100">
        <f t="shared" ca="1" si="39"/>
        <v>0</v>
      </c>
      <c r="Q104" s="100">
        <f t="shared" ca="1" si="39"/>
        <v>0</v>
      </c>
      <c r="R104" s="102">
        <f t="shared" ca="1" si="39"/>
        <v>4214963.6465505753</v>
      </c>
      <c r="S104" s="64"/>
      <c r="T104" s="100">
        <f t="shared" ca="1" si="1"/>
        <v>2984811.0296260202</v>
      </c>
      <c r="U104" s="100">
        <f t="shared" ca="1" si="2"/>
        <v>1230152.6169245536</v>
      </c>
      <c r="V104" s="100">
        <f t="shared" ca="1" si="30"/>
        <v>4214963.6465505734</v>
      </c>
      <c r="W104" s="57"/>
      <c r="X104" s="57"/>
      <c r="Y104" s="57"/>
      <c r="Z104" s="57"/>
      <c r="AA104" s="57"/>
    </row>
    <row r="105" spans="1:27" collapsed="1">
      <c r="A105" s="26"/>
      <c r="B105" s="27"/>
      <c r="C105" s="27" t="s">
        <v>115</v>
      </c>
      <c r="D105" s="28"/>
      <c r="E105" s="27"/>
      <c r="F105" s="103">
        <f t="shared" ref="F105:R105" ca="1" si="40">SUM(F106:F109)</f>
        <v>-143908.20947145275</v>
      </c>
      <c r="G105" s="103">
        <f t="shared" ca="1" si="40"/>
        <v>-116879.28006559369</v>
      </c>
      <c r="H105" s="103">
        <f t="shared" ca="1" si="40"/>
        <v>-142948.10452653767</v>
      </c>
      <c r="I105" s="104">
        <f t="shared" ca="1" si="40"/>
        <v>-136789.47856702155</v>
      </c>
      <c r="J105" s="103">
        <f t="shared" ca="1" si="40"/>
        <v>-128916.59105472961</v>
      </c>
      <c r="K105" s="103">
        <f t="shared" ca="1" si="40"/>
        <v>-145561.70847668237</v>
      </c>
      <c r="L105" s="103">
        <f t="shared" ca="1" si="40"/>
        <v>-145719.74716769735</v>
      </c>
      <c r="M105" s="103">
        <f t="shared" ca="1" si="40"/>
        <v>-131901.66197142797</v>
      </c>
      <c r="N105" s="103">
        <f t="shared" ca="1" si="40"/>
        <v>0</v>
      </c>
      <c r="O105" s="103">
        <f t="shared" ca="1" si="40"/>
        <v>0</v>
      </c>
      <c r="P105" s="103">
        <f t="shared" ca="1" si="40"/>
        <v>0</v>
      </c>
      <c r="Q105" s="103">
        <f t="shared" ca="1" si="40"/>
        <v>0</v>
      </c>
      <c r="R105" s="105">
        <f t="shared" ca="1" si="40"/>
        <v>-1092624.7813011429</v>
      </c>
      <c r="S105" s="31"/>
      <c r="T105" s="103">
        <f t="shared" ca="1" si="1"/>
        <v>-815003.37216201774</v>
      </c>
      <c r="U105" s="103">
        <f t="shared" ca="1" si="2"/>
        <v>-277621.40913912532</v>
      </c>
      <c r="V105" s="103"/>
      <c r="W105" s="55"/>
      <c r="X105" s="55"/>
      <c r="Y105" s="55"/>
      <c r="Z105" s="55"/>
      <c r="AA105" s="55"/>
    </row>
    <row r="106" spans="1:27" hidden="1" outlineLevel="1">
      <c r="A106" s="42"/>
      <c r="B106" s="43"/>
      <c r="C106" s="43"/>
      <c r="D106" s="43" t="s">
        <v>116</v>
      </c>
      <c r="E106" s="43"/>
      <c r="F106" s="34">
        <f>'Cálculos de Impostos'!F106</f>
        <v>-70312.858340000006</v>
      </c>
      <c r="G106" s="34">
        <f>'Cálculos de Impostos'!G106</f>
        <v>-52651.580639999993</v>
      </c>
      <c r="H106" s="34">
        <f>'Cálculos de Impostos'!H106</f>
        <v>-53739.949380000005</v>
      </c>
      <c r="I106" s="34">
        <f>'Cálculos de Impostos'!I106</f>
        <v>-55882.0625</v>
      </c>
      <c r="J106" s="34">
        <f>'Cálculos de Impostos'!J106</f>
        <v>-46605.764499999997</v>
      </c>
      <c r="K106" s="34">
        <f>'Cálculos de Impostos'!K106</f>
        <v>-66041.262419999999</v>
      </c>
      <c r="L106" s="34">
        <f>'Cálculos de Impostos'!L106</f>
        <v>-61048.544020000008</v>
      </c>
      <c r="M106" s="34">
        <f>'Cálculos de Impostos'!M106</f>
        <v>-53181.858600000021</v>
      </c>
      <c r="N106" s="34">
        <f>'Cálculos de Impostos'!N106</f>
        <v>0</v>
      </c>
      <c r="O106" s="34">
        <f>'Cálculos de Impostos'!O106</f>
        <v>0</v>
      </c>
      <c r="P106" s="34">
        <f>'Cálculos de Impostos'!P106</f>
        <v>0</v>
      </c>
      <c r="Q106" s="34">
        <f>'Cálculos de Impostos'!Q106</f>
        <v>0</v>
      </c>
      <c r="R106" s="68">
        <f t="shared" ref="R106:R109" si="41">SUM(F106:Q106)</f>
        <v>-459463.88040000008</v>
      </c>
      <c r="S106" s="45"/>
      <c r="T106" s="46">
        <f t="shared" si="1"/>
        <v>-345233.47778000002</v>
      </c>
      <c r="U106" s="46">
        <f t="shared" si="2"/>
        <v>-114230.40262000004</v>
      </c>
      <c r="V106" s="46">
        <f t="shared" ref="V106:V115" si="42">T106+U106</f>
        <v>-459463.88040000002</v>
      </c>
      <c r="W106" s="42"/>
      <c r="X106" s="42"/>
      <c r="Y106" s="42"/>
      <c r="Z106" s="42"/>
      <c r="AA106" s="42"/>
    </row>
    <row r="107" spans="1:27" hidden="1" outlineLevel="1">
      <c r="A107" s="42"/>
      <c r="B107" s="43"/>
      <c r="C107" s="43"/>
      <c r="D107" s="43" t="s">
        <v>117</v>
      </c>
      <c r="E107" s="43"/>
      <c r="F107" s="34">
        <f>'Cálculos de Impostos'!F107</f>
        <v>-382.12089400000002</v>
      </c>
      <c r="G107" s="34">
        <f>'Cálculos de Impostos'!G107</f>
        <v>-367.12947600000001</v>
      </c>
      <c r="H107" s="34">
        <f>'Cálculos de Impostos'!H107</f>
        <v>-358.72888440000003</v>
      </c>
      <c r="I107" s="34">
        <f>'Cálculos de Impostos'!I107</f>
        <v>-354.77528840000002</v>
      </c>
      <c r="J107" s="34">
        <f>'Cálculos de Impostos'!J107</f>
        <v>-373.37891800000006</v>
      </c>
      <c r="K107" s="34">
        <f>'Cálculos de Impostos'!K107</f>
        <v>-373.61873600000001</v>
      </c>
      <c r="L107" s="34">
        <f>'Cálculos de Impostos'!L107</f>
        <v>-384.246576</v>
      </c>
      <c r="M107" s="34">
        <f>'Cálculos de Impostos'!M107</f>
        <v>-394.19861640000005</v>
      </c>
      <c r="N107" s="34">
        <f>'Cálculos de Impostos'!N107</f>
        <v>0</v>
      </c>
      <c r="O107" s="34">
        <f>'Cálculos de Impostos'!O107</f>
        <v>0</v>
      </c>
      <c r="P107" s="34">
        <f>'Cálculos de Impostos'!P107</f>
        <v>0</v>
      </c>
      <c r="Q107" s="34">
        <f>'Cálculos de Impostos'!Q107</f>
        <v>0</v>
      </c>
      <c r="R107" s="68">
        <f t="shared" si="41"/>
        <v>-2988.1973892000001</v>
      </c>
      <c r="S107" s="71"/>
      <c r="T107" s="46">
        <f t="shared" si="1"/>
        <v>-2209.7521968000001</v>
      </c>
      <c r="U107" s="46">
        <f t="shared" si="2"/>
        <v>-778.4451924</v>
      </c>
      <c r="V107" s="46">
        <f t="shared" si="42"/>
        <v>-2988.1973892000001</v>
      </c>
      <c r="W107" s="72"/>
      <c r="X107" s="72"/>
      <c r="Y107" s="72"/>
      <c r="Z107" s="72"/>
      <c r="AA107" s="72"/>
    </row>
    <row r="108" spans="1:27" hidden="1" outlineLevel="1">
      <c r="A108" s="42"/>
      <c r="B108" s="43"/>
      <c r="C108" s="43"/>
      <c r="D108" s="43" t="s">
        <v>118</v>
      </c>
      <c r="E108" s="43"/>
      <c r="F108" s="34">
        <f ca="1">'Cálculos de Impostos'!F108</f>
        <v>-1592.0982602528884</v>
      </c>
      <c r="G108" s="34">
        <f ca="1">'Cálculos de Impostos'!G108</f>
        <v>-1115.6347790936882</v>
      </c>
      <c r="H108" s="34">
        <f ca="1">'Cálculos de Impostos'!H108</f>
        <v>-1179.1600621378241</v>
      </c>
      <c r="I108" s="34">
        <f ca="1">'Cálculos de Impostos'!I108</f>
        <v>-1188.5662768215602</v>
      </c>
      <c r="J108" s="34">
        <f ca="1">'Cálculos de Impostos'!J108</f>
        <v>-2869.0036346397601</v>
      </c>
      <c r="K108" s="34">
        <f ca="1">'Cálculos de Impostos'!K108</f>
        <v>-1305.70378368254</v>
      </c>
      <c r="L108" s="34">
        <f ca="1">'Cálculos de Impostos'!L108</f>
        <v>-1528.6188181523198</v>
      </c>
      <c r="M108" s="34">
        <f ca="1">'Cálculos de Impostos'!M108</f>
        <v>-1223.5550050279442</v>
      </c>
      <c r="N108" s="34">
        <f ca="1">'Cálculos de Impostos'!N108</f>
        <v>0</v>
      </c>
      <c r="O108" s="34">
        <f ca="1">'Cálculos de Impostos'!O108</f>
        <v>0</v>
      </c>
      <c r="P108" s="34">
        <f ca="1">'Cálculos de Impostos'!P108</f>
        <v>0</v>
      </c>
      <c r="Q108" s="34">
        <f ca="1">'Cálculos de Impostos'!Q108</f>
        <v>0</v>
      </c>
      <c r="R108" s="68">
        <f t="shared" ca="1" si="41"/>
        <v>-12002.340619808523</v>
      </c>
      <c r="S108" s="45"/>
      <c r="T108" s="46">
        <f t="shared" ca="1" si="1"/>
        <v>-9250.1667966282603</v>
      </c>
      <c r="U108" s="46">
        <f t="shared" ca="1" si="2"/>
        <v>-2752.1738231802638</v>
      </c>
      <c r="V108" s="46">
        <f t="shared" ca="1" si="42"/>
        <v>-12002.340619808525</v>
      </c>
      <c r="W108" s="42"/>
      <c r="X108" s="42"/>
      <c r="Y108" s="42"/>
      <c r="Z108" s="42"/>
      <c r="AA108" s="42"/>
    </row>
    <row r="109" spans="1:27" hidden="1" outlineLevel="1">
      <c r="A109" s="42"/>
      <c r="B109" s="43"/>
      <c r="C109" s="43"/>
      <c r="D109" s="43" t="s">
        <v>119</v>
      </c>
      <c r="E109" s="43"/>
      <c r="F109" s="34">
        <f ca="1">'Cálculos de Impostos'!F109</f>
        <v>-71621.131977199839</v>
      </c>
      <c r="G109" s="34">
        <f ca="1">'Cálculos de Impostos'!G109</f>
        <v>-62744.935170500001</v>
      </c>
      <c r="H109" s="34">
        <f ca="1">'Cálculos de Impostos'!H109</f>
        <v>-87670.266199999838</v>
      </c>
      <c r="I109" s="34">
        <f ca="1">'Cálculos de Impostos'!I109</f>
        <v>-79364.074501800002</v>
      </c>
      <c r="J109" s="34">
        <f ca="1">'Cálculos de Impostos'!J109</f>
        <v>-79068.444002089847</v>
      </c>
      <c r="K109" s="34">
        <f ca="1">'Cálculos de Impostos'!K109</f>
        <v>-77841.123536999832</v>
      </c>
      <c r="L109" s="34">
        <f ca="1">'Cálculos de Impostos'!L109</f>
        <v>-82758.337753545013</v>
      </c>
      <c r="M109" s="34">
        <f ca="1">'Cálculos de Impostos'!M109</f>
        <v>-77102.049750000006</v>
      </c>
      <c r="N109" s="34">
        <f>'Cálculos de Impostos'!N109</f>
        <v>0</v>
      </c>
      <c r="O109" s="34">
        <f>'Cálculos de Impostos'!O109</f>
        <v>0</v>
      </c>
      <c r="P109" s="34">
        <f>'Cálculos de Impostos'!P109</f>
        <v>0</v>
      </c>
      <c r="Q109" s="34">
        <f>'Cálculos de Impostos'!Q109</f>
        <v>0</v>
      </c>
      <c r="R109" s="68">
        <f t="shared" ca="1" si="41"/>
        <v>-618170.36289213435</v>
      </c>
      <c r="S109" s="45"/>
      <c r="T109" s="46">
        <f t="shared" ca="1" si="1"/>
        <v>-458309.97538858932</v>
      </c>
      <c r="U109" s="46">
        <f t="shared" ca="1" si="2"/>
        <v>-159860.38750354503</v>
      </c>
      <c r="V109" s="46">
        <f t="shared" ca="1" si="42"/>
        <v>-618170.36289213435</v>
      </c>
      <c r="W109" s="42"/>
      <c r="X109" s="42"/>
      <c r="Y109" s="42"/>
      <c r="Z109" s="42"/>
      <c r="AA109" s="42"/>
    </row>
    <row r="110" spans="1:27" collapsed="1">
      <c r="A110" s="26"/>
      <c r="B110" s="27"/>
      <c r="C110" s="27" t="s">
        <v>120</v>
      </c>
      <c r="D110" s="28"/>
      <c r="E110" s="27"/>
      <c r="F110" s="103">
        <f t="shared" ref="F110:R110" ca="1" si="43">SUM(F111:F114)</f>
        <v>-29397.493883971278</v>
      </c>
      <c r="G110" s="103">
        <f t="shared" ca="1" si="43"/>
        <v>-20856.737123206975</v>
      </c>
      <c r="H110" s="103">
        <f t="shared" ca="1" si="43"/>
        <v>-21258.946952220598</v>
      </c>
      <c r="I110" s="104">
        <f t="shared" ca="1" si="43"/>
        <v>-22735.772249568865</v>
      </c>
      <c r="J110" s="103">
        <f t="shared" ca="1" si="43"/>
        <v>-20810.709513559785</v>
      </c>
      <c r="K110" s="103">
        <f t="shared" ca="1" si="43"/>
        <v>-26278.218755922218</v>
      </c>
      <c r="L110" s="103">
        <f t="shared" ca="1" si="43"/>
        <v>-27740.151126283279</v>
      </c>
      <c r="M110" s="103">
        <f t="shared" ca="1" si="43"/>
        <v>-21701.216394749459</v>
      </c>
      <c r="N110" s="103">
        <f t="shared" ca="1" si="43"/>
        <v>0</v>
      </c>
      <c r="O110" s="103">
        <f t="shared" ca="1" si="43"/>
        <v>0</v>
      </c>
      <c r="P110" s="103">
        <f t="shared" ca="1" si="43"/>
        <v>0</v>
      </c>
      <c r="Q110" s="103">
        <f t="shared" ca="1" si="43"/>
        <v>0</v>
      </c>
      <c r="R110" s="105">
        <f t="shared" ca="1" si="43"/>
        <v>-190779.24599948246</v>
      </c>
      <c r="S110" s="41"/>
      <c r="T110" s="103">
        <f t="shared" ca="1" si="1"/>
        <v>-141337.87847844974</v>
      </c>
      <c r="U110" s="103">
        <f t="shared" ca="1" si="2"/>
        <v>-49441.367521032735</v>
      </c>
      <c r="V110" s="103">
        <f t="shared" ca="1" si="42"/>
        <v>-190779.24599948246</v>
      </c>
      <c r="W110" s="26"/>
      <c r="X110" s="26"/>
      <c r="Y110" s="26"/>
      <c r="Z110" s="26"/>
      <c r="AA110" s="26"/>
    </row>
    <row r="111" spans="1:27" hidden="1" outlineLevel="1">
      <c r="A111" s="42"/>
      <c r="B111" s="43"/>
      <c r="C111" s="43"/>
      <c r="D111" s="43" t="s">
        <v>121</v>
      </c>
      <c r="E111" s="43"/>
      <c r="F111" s="34">
        <f>'Cálculos de Impostos'!F111</f>
        <v>-27670.052123999998</v>
      </c>
      <c r="G111" s="34">
        <f>'Cálculos de Impostos'!G111</f>
        <v>-19559.318399999996</v>
      </c>
      <c r="H111" s="34">
        <f>'Cálculos de Impostos'!H111</f>
        <v>-19913.294124</v>
      </c>
      <c r="I111" s="34">
        <f>'Cálculos de Impostos'!I111</f>
        <v>-21385.348379999999</v>
      </c>
      <c r="J111" s="34">
        <f>'Cálculos de Impostos'!J111</f>
        <v>-17973.624779999998</v>
      </c>
      <c r="K111" s="34">
        <f>'Cálculos de Impostos'!K111</f>
        <v>-24808.811551199997</v>
      </c>
      <c r="L111" s="34">
        <f>'Cálculos de Impostos'!L111</f>
        <v>-26066.393906399997</v>
      </c>
      <c r="M111" s="34">
        <f>'Cálculos de Impostos'!M111</f>
        <v>-20285.681976000007</v>
      </c>
      <c r="N111" s="34">
        <f>'Cálculos de Impostos'!N111</f>
        <v>0</v>
      </c>
      <c r="O111" s="34">
        <f>'Cálculos de Impostos'!O111</f>
        <v>0</v>
      </c>
      <c r="P111" s="34">
        <f>'Cálculos de Impostos'!P111</f>
        <v>0</v>
      </c>
      <c r="Q111" s="34">
        <f>'Cálculos de Impostos'!Q111</f>
        <v>0</v>
      </c>
      <c r="R111" s="68">
        <f t="shared" ref="R111:R114" si="44">SUM(F111:Q111)</f>
        <v>-177662.5252416</v>
      </c>
      <c r="S111" s="45"/>
      <c r="T111" s="46">
        <f t="shared" si="1"/>
        <v>-131310.44935919999</v>
      </c>
      <c r="U111" s="46">
        <f t="shared" si="2"/>
        <v>-46352.075882400008</v>
      </c>
      <c r="V111" s="46">
        <f t="shared" si="42"/>
        <v>-177662.5252416</v>
      </c>
      <c r="W111" s="42"/>
      <c r="X111" s="42"/>
      <c r="Y111" s="42"/>
      <c r="Z111" s="42"/>
      <c r="AA111" s="42"/>
    </row>
    <row r="112" spans="1:27" hidden="1" outlineLevel="1">
      <c r="A112" s="42"/>
      <c r="B112" s="43"/>
      <c r="C112" s="43"/>
      <c r="D112" s="43" t="s">
        <v>122</v>
      </c>
      <c r="E112" s="43"/>
      <c r="F112" s="34">
        <f>'Cálculos de Impostos'!F112</f>
        <v>-334.35578225</v>
      </c>
      <c r="G112" s="34">
        <f>'Cálculos de Impostos'!G112</f>
        <v>-321.23829150000006</v>
      </c>
      <c r="H112" s="34">
        <f>'Cálculos de Impostos'!H112</f>
        <v>-313.88777385000003</v>
      </c>
      <c r="I112" s="34">
        <f>'Cálculos de Impostos'!I112</f>
        <v>-310.42837735000001</v>
      </c>
      <c r="J112" s="34">
        <f>'Cálculos de Impostos'!J112</f>
        <v>-326.70655325000007</v>
      </c>
      <c r="K112" s="34">
        <f>'Cálculos de Impostos'!K112</f>
        <v>-326.91639400000003</v>
      </c>
      <c r="L112" s="34">
        <f>'Cálculos de Impostos'!L112</f>
        <v>-336.215754</v>
      </c>
      <c r="M112" s="34">
        <f>'Cálculos de Impostos'!M112</f>
        <v>-344.92378935000005</v>
      </c>
      <c r="N112" s="34">
        <f>'Cálculos de Impostos'!N112</f>
        <v>0</v>
      </c>
      <c r="O112" s="34">
        <f>'Cálculos de Impostos'!O112</f>
        <v>0</v>
      </c>
      <c r="P112" s="34">
        <f>'Cálculos de Impostos'!P112</f>
        <v>0</v>
      </c>
      <c r="Q112" s="34">
        <f>'Cálculos de Impostos'!Q112</f>
        <v>0</v>
      </c>
      <c r="R112" s="68">
        <f t="shared" si="44"/>
        <v>-2614.6727155500002</v>
      </c>
      <c r="S112" s="45"/>
      <c r="T112" s="46">
        <f t="shared" si="1"/>
        <v>-1933.5331722000003</v>
      </c>
      <c r="U112" s="46">
        <f t="shared" si="2"/>
        <v>-681.13954335000005</v>
      </c>
      <c r="V112" s="46">
        <f t="shared" si="42"/>
        <v>-2614.6727155500002</v>
      </c>
      <c r="W112" s="42"/>
      <c r="X112" s="42"/>
      <c r="Y112" s="42"/>
      <c r="Z112" s="42"/>
      <c r="AA112" s="42"/>
    </row>
    <row r="113" spans="1:27" hidden="1" outlineLevel="1">
      <c r="A113" s="42"/>
      <c r="B113" s="72"/>
      <c r="C113" s="72"/>
      <c r="D113" s="72" t="s">
        <v>123</v>
      </c>
      <c r="E113" s="72"/>
      <c r="F113" s="34">
        <f ca="1">'Cálculos de Impostos'!F113</f>
        <v>-1393.0859777212772</v>
      </c>
      <c r="G113" s="34">
        <f ca="1">'Cálculos de Impostos'!G113</f>
        <v>-976.18043170697717</v>
      </c>
      <c r="H113" s="34">
        <f ca="1">'Cálculos de Impostos'!H113</f>
        <v>-1031.7650543705961</v>
      </c>
      <c r="I113" s="34">
        <f ca="1">'Cálculos de Impostos'!I113</f>
        <v>-1039.9954922188651</v>
      </c>
      <c r="J113" s="34">
        <f ca="1">'Cálculos de Impostos'!J113</f>
        <v>-2510.37818030979</v>
      </c>
      <c r="K113" s="34">
        <f ca="1">'Cálculos de Impostos'!K113</f>
        <v>-1142.4908107222225</v>
      </c>
      <c r="L113" s="34">
        <f ca="1">'Cálculos de Impostos'!L113</f>
        <v>-1337.5414658832799</v>
      </c>
      <c r="M113" s="34">
        <f ca="1">'Cálculos de Impostos'!M113</f>
        <v>-1070.6106293994512</v>
      </c>
      <c r="N113" s="34">
        <f ca="1">'Cálculos de Impostos'!N113</f>
        <v>0</v>
      </c>
      <c r="O113" s="34">
        <f ca="1">'Cálculos de Impostos'!O113</f>
        <v>0</v>
      </c>
      <c r="P113" s="34">
        <f ca="1">'Cálculos de Impostos'!P113</f>
        <v>0</v>
      </c>
      <c r="Q113" s="34">
        <f ca="1">'Cálculos de Impostos'!Q113</f>
        <v>0</v>
      </c>
      <c r="R113" s="106">
        <f t="shared" ca="1" si="44"/>
        <v>-10502.048042332459</v>
      </c>
      <c r="S113" s="45"/>
      <c r="T113" s="46">
        <f t="shared" ca="1" si="1"/>
        <v>-8093.8959470497284</v>
      </c>
      <c r="U113" s="46">
        <f t="shared" ca="1" si="2"/>
        <v>-2408.1520952827314</v>
      </c>
      <c r="V113" s="46">
        <f t="shared" ca="1" si="42"/>
        <v>-10502.048042332459</v>
      </c>
      <c r="W113" s="42"/>
      <c r="X113" s="42"/>
      <c r="Y113" s="42"/>
      <c r="Z113" s="42"/>
      <c r="AA113" s="42"/>
    </row>
    <row r="114" spans="1:27" hidden="1" outlineLevel="1">
      <c r="A114" s="107"/>
      <c r="B114" s="108"/>
      <c r="C114" s="108"/>
      <c r="D114" s="108" t="s">
        <v>124</v>
      </c>
      <c r="E114" s="108"/>
      <c r="F114" s="34">
        <f>'Cálculos de Impostos'!F114</f>
        <v>0</v>
      </c>
      <c r="G114" s="34">
        <f>'Cálculos de Impostos'!G114</f>
        <v>0</v>
      </c>
      <c r="H114" s="34">
        <f>'Cálculos de Impostos'!H114</f>
        <v>0</v>
      </c>
      <c r="I114" s="34">
        <f>'Cálculos de Impostos'!I114</f>
        <v>0</v>
      </c>
      <c r="J114" s="34">
        <f>'Cálculos de Impostos'!J114</f>
        <v>0</v>
      </c>
      <c r="K114" s="34">
        <f>'Cálculos de Impostos'!K114</f>
        <v>0</v>
      </c>
      <c r="L114" s="34">
        <f>'Cálculos de Impostos'!L114</f>
        <v>0</v>
      </c>
      <c r="M114" s="34">
        <f>'Cálculos de Impostos'!M114</f>
        <v>0</v>
      </c>
      <c r="N114" s="34">
        <f>'Cálculos de Impostos'!N114</f>
        <v>0</v>
      </c>
      <c r="O114" s="34">
        <f>'Cálculos de Impostos'!O114</f>
        <v>0</v>
      </c>
      <c r="P114" s="34">
        <f>'Cálculos de Impostos'!P114</f>
        <v>0</v>
      </c>
      <c r="Q114" s="34">
        <f>'Cálculos de Impostos'!Q114</f>
        <v>0</v>
      </c>
      <c r="R114" s="109">
        <f t="shared" si="44"/>
        <v>0</v>
      </c>
      <c r="S114" s="110"/>
      <c r="T114" s="46">
        <f t="shared" si="1"/>
        <v>0</v>
      </c>
      <c r="U114" s="46">
        <f t="shared" si="2"/>
        <v>0</v>
      </c>
      <c r="V114" s="46">
        <f t="shared" si="42"/>
        <v>0</v>
      </c>
      <c r="W114" s="107"/>
      <c r="X114" s="107"/>
      <c r="Y114" s="107"/>
      <c r="Z114" s="107"/>
      <c r="AA114" s="107"/>
    </row>
    <row r="115" spans="1:27" ht="15.75">
      <c r="A115" s="57"/>
      <c r="B115" s="111" t="s">
        <v>125</v>
      </c>
      <c r="C115" s="112"/>
      <c r="D115" s="113"/>
      <c r="E115" s="112"/>
      <c r="F115" s="114">
        <f t="shared" ref="F115:R115" ca="1" si="45">F104+F105+F110</f>
        <v>508650.36041529541</v>
      </c>
      <c r="G115" s="114">
        <f t="shared" ca="1" si="45"/>
        <v>218962.24145989964</v>
      </c>
      <c r="H115" s="114">
        <f t="shared" ca="1" si="45"/>
        <v>322192.96609288518</v>
      </c>
      <c r="I115" s="115">
        <f t="shared" ca="1" si="45"/>
        <v>302656.96303456754</v>
      </c>
      <c r="J115" s="114">
        <f t="shared" ca="1" si="45"/>
        <v>311271.44431984826</v>
      </c>
      <c r="K115" s="114">
        <f t="shared" ca="1" si="45"/>
        <v>364735.80366305693</v>
      </c>
      <c r="L115" s="114">
        <f t="shared" ca="1" si="45"/>
        <v>533885.76139041688</v>
      </c>
      <c r="M115" s="114">
        <f t="shared" ca="1" si="45"/>
        <v>369204.07887397887</v>
      </c>
      <c r="N115" s="114">
        <f t="shared" ca="1" si="45"/>
        <v>0</v>
      </c>
      <c r="O115" s="114">
        <f t="shared" ca="1" si="45"/>
        <v>0</v>
      </c>
      <c r="P115" s="114">
        <f t="shared" ca="1" si="45"/>
        <v>0</v>
      </c>
      <c r="Q115" s="116">
        <f t="shared" ca="1" si="45"/>
        <v>0</v>
      </c>
      <c r="R115" s="117">
        <f t="shared" ca="1" si="45"/>
        <v>2931559.6192499502</v>
      </c>
      <c r="S115" s="64"/>
      <c r="T115" s="114">
        <f t="shared" ca="1" si="1"/>
        <v>2028469.778985553</v>
      </c>
      <c r="U115" s="114">
        <f t="shared" ca="1" si="2"/>
        <v>903089.84026439581</v>
      </c>
      <c r="V115" s="114">
        <f t="shared" ca="1" si="42"/>
        <v>2931559.6192499488</v>
      </c>
      <c r="W115" s="57"/>
      <c r="X115" s="57"/>
      <c r="Y115" s="57"/>
      <c r="Z115" s="57"/>
      <c r="AA115" s="57"/>
    </row>
    <row r="116" spans="1:27" ht="13.5" customHeight="1">
      <c r="A116" s="42"/>
      <c r="B116" s="42"/>
      <c r="C116" s="42"/>
      <c r="D116" s="42"/>
      <c r="E116" s="42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45"/>
      <c r="T116" s="120"/>
      <c r="U116" s="121"/>
      <c r="V116" s="120"/>
      <c r="W116" s="42"/>
      <c r="X116" s="42"/>
      <c r="Y116" s="42"/>
      <c r="Z116" s="42"/>
      <c r="AA116" s="42"/>
    </row>
    <row r="117" spans="1:27" ht="13.5" customHeight="1">
      <c r="A117" s="1"/>
      <c r="B117" s="1"/>
      <c r="C117" s="1"/>
      <c r="D117" s="1"/>
      <c r="E117" s="1"/>
      <c r="F117" s="122"/>
      <c r="G117" s="122"/>
      <c r="H117" s="121"/>
      <c r="I117" s="123"/>
      <c r="J117" s="121"/>
      <c r="K117" s="124"/>
      <c r="L117" s="124"/>
      <c r="M117" s="124"/>
      <c r="N117" s="119"/>
      <c r="O117" s="4"/>
      <c r="P117" s="125"/>
      <c r="Q117" s="4"/>
      <c r="R117" s="4"/>
      <c r="S117" s="1"/>
      <c r="T117" s="4"/>
      <c r="U117" s="121"/>
      <c r="V117" s="4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26"/>
      <c r="F118" s="127"/>
      <c r="G118" s="127"/>
      <c r="H118" s="127"/>
      <c r="I118" s="128"/>
      <c r="J118" s="129"/>
      <c r="K118" s="130"/>
      <c r="L118" s="130"/>
      <c r="M118" s="4"/>
      <c r="N118" s="4"/>
      <c r="O118" s="4"/>
      <c r="P118" s="125"/>
      <c r="Q118" s="4"/>
      <c r="R118" s="4"/>
      <c r="S118" s="1"/>
      <c r="T118" s="4"/>
      <c r="U118" s="121"/>
      <c r="V118" s="4"/>
      <c r="W118" s="1"/>
      <c r="X118" s="1"/>
      <c r="Y118" s="1"/>
      <c r="Z118" s="1"/>
      <c r="AA118" s="1"/>
    </row>
    <row r="119" spans="1:27" ht="13.5" customHeight="1">
      <c r="A119" s="1"/>
      <c r="C119" s="1"/>
      <c r="D119" s="1"/>
      <c r="E119" s="131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4"/>
      <c r="S119" s="1"/>
      <c r="T119" s="4"/>
      <c r="U119" s="121"/>
      <c r="V119" s="4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132"/>
      <c r="F120" s="133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4"/>
      <c r="S120" s="1"/>
      <c r="T120" s="4"/>
      <c r="U120" s="121"/>
      <c r="V120" s="4"/>
      <c r="W120" s="1"/>
      <c r="X120" s="1"/>
      <c r="Y120" s="1"/>
      <c r="Z120" s="1"/>
      <c r="AA120" s="1"/>
    </row>
  </sheetData>
  <pageMargins left="0.511811024" right="0.511811024" top="0.78740157499999996" bottom="0.78740157499999996" header="0" footer="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48"/>
  <sheetViews>
    <sheetView showGridLines="0" workbookViewId="0"/>
  </sheetViews>
  <sheetFormatPr defaultColWidth="14.42578125" defaultRowHeight="15" customHeight="1" outlineLevelRow="3"/>
  <cols>
    <col min="1" max="1" width="5.7109375" customWidth="1"/>
    <col min="2" max="4" width="3" customWidth="1"/>
    <col min="5" max="5" width="37.140625" customWidth="1"/>
    <col min="6" max="6" width="13.5703125" customWidth="1"/>
    <col min="7" max="7" width="12.42578125" customWidth="1"/>
    <col min="8" max="8" width="13.5703125" customWidth="1"/>
    <col min="9" max="17" width="13.28515625" customWidth="1"/>
    <col min="18" max="18" width="18.85546875" customWidth="1"/>
    <col min="19" max="19" width="9.7109375" customWidth="1"/>
    <col min="20" max="20" width="15.85546875" customWidth="1"/>
    <col min="21" max="21" width="16.5703125" customWidth="1"/>
    <col min="22" max="22" width="16.7109375" customWidth="1"/>
    <col min="23" max="27" width="8.7109375" customWidth="1"/>
  </cols>
  <sheetData>
    <row r="1" spans="1:27" ht="14.25" customHeight="1">
      <c r="A1" s="1"/>
      <c r="B1" s="1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34"/>
      <c r="S1" s="1"/>
      <c r="T1" s="4"/>
      <c r="U1" s="4"/>
      <c r="V1" s="4"/>
      <c r="W1" s="1"/>
      <c r="X1" s="1"/>
      <c r="Y1" s="1"/>
      <c r="Z1" s="1"/>
      <c r="AA1" s="1"/>
    </row>
    <row r="2" spans="1:27" ht="15.75">
      <c r="A2" s="135"/>
      <c r="B2" s="136"/>
      <c r="C2" s="136"/>
      <c r="D2" s="136"/>
      <c r="E2" s="137"/>
      <c r="F2" s="8" t="s">
        <v>0</v>
      </c>
      <c r="G2" s="8" t="s">
        <v>1</v>
      </c>
      <c r="H2" s="8" t="s">
        <v>2</v>
      </c>
      <c r="I2" s="8" t="s">
        <v>3</v>
      </c>
      <c r="J2" s="8" t="s">
        <v>4</v>
      </c>
      <c r="K2" s="8" t="s">
        <v>5</v>
      </c>
      <c r="L2" s="8" t="s">
        <v>6</v>
      </c>
      <c r="M2" s="8" t="s">
        <v>7</v>
      </c>
      <c r="N2" s="8" t="s">
        <v>8</v>
      </c>
      <c r="O2" s="8" t="s">
        <v>9</v>
      </c>
      <c r="P2" s="8" t="s">
        <v>10</v>
      </c>
      <c r="Q2" s="8" t="s">
        <v>11</v>
      </c>
      <c r="R2" s="9">
        <v>2026</v>
      </c>
      <c r="S2" s="10"/>
      <c r="T2" s="8" t="s">
        <v>12</v>
      </c>
      <c r="U2" s="8" t="s">
        <v>13</v>
      </c>
      <c r="V2" s="8">
        <v>2024</v>
      </c>
      <c r="W2" s="5"/>
      <c r="X2" s="5"/>
      <c r="Y2" s="5"/>
      <c r="Z2" s="5"/>
      <c r="AA2" s="5"/>
    </row>
    <row r="3" spans="1:27" ht="5.25" customHeight="1">
      <c r="A3" s="11"/>
      <c r="B3" s="12"/>
      <c r="C3" s="12"/>
      <c r="D3" s="13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8"/>
      <c r="S3" s="16"/>
      <c r="T3" s="17"/>
      <c r="U3" s="17"/>
      <c r="V3" s="17"/>
      <c r="W3" s="18"/>
      <c r="X3" s="18"/>
      <c r="Y3" s="18"/>
      <c r="Z3" s="18"/>
      <c r="AA3" s="18"/>
    </row>
    <row r="4" spans="1:27">
      <c r="A4" s="11"/>
      <c r="B4" s="19" t="s">
        <v>14</v>
      </c>
      <c r="C4" s="20"/>
      <c r="D4" s="21"/>
      <c r="E4" s="20"/>
      <c r="F4" s="22">
        <f t="shared" ref="F4:R4" ca="1" si="0">F5+F8+F11+F14+F15+F16+F17+F21+F22+F23</f>
        <v>1686702.629881999</v>
      </c>
      <c r="G4" s="22">
        <f t="shared" ca="1" si="0"/>
        <v>1279880.2365419997</v>
      </c>
      <c r="H4" s="22">
        <f t="shared" ca="1" si="0"/>
        <v>1452060.5651819985</v>
      </c>
      <c r="I4" s="22">
        <f t="shared" ca="1" si="0"/>
        <v>1422561.47951</v>
      </c>
      <c r="J4" s="22">
        <f t="shared" ca="1" si="0"/>
        <v>1596280.5676409989</v>
      </c>
      <c r="K4" s="22">
        <f t="shared" ca="1" si="0"/>
        <v>1566051.9602569987</v>
      </c>
      <c r="L4" s="22">
        <f t="shared" ca="1" si="0"/>
        <v>1647475.2447529996</v>
      </c>
      <c r="M4" s="22">
        <f t="shared" ca="1" si="0"/>
        <v>1388629.2929740003</v>
      </c>
      <c r="N4" s="22">
        <f t="shared" ca="1" si="0"/>
        <v>0</v>
      </c>
      <c r="O4" s="22">
        <f t="shared" ca="1" si="0"/>
        <v>0</v>
      </c>
      <c r="P4" s="22">
        <f t="shared" ca="1" si="0"/>
        <v>0</v>
      </c>
      <c r="Q4" s="22">
        <f t="shared" ca="1" si="0"/>
        <v>0</v>
      </c>
      <c r="R4" s="139">
        <f t="shared" ca="1" si="0"/>
        <v>12039641.976740995</v>
      </c>
      <c r="S4" s="25"/>
      <c r="T4" s="22">
        <f t="shared" ref="T4:T115" ca="1" si="1">SUM(F4:K4)</f>
        <v>9003537.4390139952</v>
      </c>
      <c r="U4" s="22">
        <f t="shared" ref="U4:U115" ca="1" si="2">SUM(L4:Q4)</f>
        <v>3036104.5377270002</v>
      </c>
      <c r="V4" s="22">
        <f t="shared" ref="V4:V57" ca="1" si="3">T4+U4</f>
        <v>12039641.976740995</v>
      </c>
      <c r="W4" s="11"/>
      <c r="X4" s="11"/>
      <c r="Y4" s="11"/>
      <c r="Z4" s="11"/>
      <c r="AA4" s="11"/>
    </row>
    <row r="5" spans="1:27" outlineLevel="1">
      <c r="A5" s="26"/>
      <c r="B5" s="27"/>
      <c r="C5" s="27" t="s">
        <v>15</v>
      </c>
      <c r="D5" s="28"/>
      <c r="E5" s="27"/>
      <c r="F5" s="29">
        <f t="shared" ref="F5:R5" si="4">SUM(F6:F7)</f>
        <v>858569.87</v>
      </c>
      <c r="G5" s="29">
        <f t="shared" si="4"/>
        <v>598623.73999999987</v>
      </c>
      <c r="H5" s="29">
        <f t="shared" si="4"/>
        <v>606841.34</v>
      </c>
      <c r="I5" s="29">
        <f t="shared" si="4"/>
        <v>632427.22</v>
      </c>
      <c r="J5" s="29">
        <f t="shared" si="4"/>
        <v>530748.99</v>
      </c>
      <c r="K5" s="29">
        <f t="shared" si="4"/>
        <v>750091.11</v>
      </c>
      <c r="L5" s="29">
        <f t="shared" si="4"/>
        <v>765899.30999999994</v>
      </c>
      <c r="M5" s="29">
        <f t="shared" si="4"/>
        <v>606346.88000000012</v>
      </c>
      <c r="N5" s="29">
        <f t="shared" si="4"/>
        <v>0</v>
      </c>
      <c r="O5" s="29">
        <f t="shared" si="4"/>
        <v>0</v>
      </c>
      <c r="P5" s="29">
        <f t="shared" si="4"/>
        <v>0</v>
      </c>
      <c r="Q5" s="29">
        <f t="shared" si="4"/>
        <v>0</v>
      </c>
      <c r="R5" s="140">
        <f t="shared" si="4"/>
        <v>5349548.459999999</v>
      </c>
      <c r="S5" s="31"/>
      <c r="T5" s="29">
        <f t="shared" si="1"/>
        <v>3977302.27</v>
      </c>
      <c r="U5" s="29">
        <f t="shared" si="2"/>
        <v>1372246.19</v>
      </c>
      <c r="V5" s="29">
        <f t="shared" si="3"/>
        <v>5349548.46</v>
      </c>
      <c r="W5" s="26"/>
      <c r="X5" s="26"/>
      <c r="Y5" s="26"/>
      <c r="Z5" s="26"/>
      <c r="AA5" s="26"/>
    </row>
    <row r="6" spans="1:27" outlineLevel="2">
      <c r="A6" s="32"/>
      <c r="B6" s="33"/>
      <c r="C6" s="33"/>
      <c r="D6" s="33" t="s">
        <v>16</v>
      </c>
      <c r="E6" s="33"/>
      <c r="F6" s="34">
        <f>'Outras Informações'!B5</f>
        <v>742596.16</v>
      </c>
      <c r="G6" s="34">
        <f>'Outras Informações'!C5</f>
        <v>520688.7099999999</v>
      </c>
      <c r="H6" s="34">
        <f>'Outras Informações'!D5</f>
        <v>578703</v>
      </c>
      <c r="I6" s="34">
        <f>'Outras Informações'!E5</f>
        <v>609147.53999999992</v>
      </c>
      <c r="J6" s="34">
        <f>'Outras Informações'!F5</f>
        <v>518335.48999999993</v>
      </c>
      <c r="K6" s="34">
        <f>'Outras Informações'!G5</f>
        <v>638364.5</v>
      </c>
      <c r="L6" s="34">
        <f>'Outras Informações'!H5</f>
        <v>678311.33</v>
      </c>
      <c r="M6" s="34">
        <f>'Outras Informações'!I5</f>
        <v>534530.06000000006</v>
      </c>
      <c r="N6" s="34">
        <f>'Outras Informações'!J5</f>
        <v>0</v>
      </c>
      <c r="O6" s="34">
        <f>'Outras Informações'!K5</f>
        <v>0</v>
      </c>
      <c r="P6" s="34">
        <f>'Outras Informações'!L5</f>
        <v>0</v>
      </c>
      <c r="Q6" s="34">
        <f>'Outras Informações'!M5</f>
        <v>0</v>
      </c>
      <c r="R6" s="141">
        <f t="shared" ref="R6:R7" si="5">SUM(F6:Q6)</f>
        <v>4820676.7899999991</v>
      </c>
      <c r="S6" s="36"/>
      <c r="T6" s="34">
        <f t="shared" si="1"/>
        <v>3607835.3999999994</v>
      </c>
      <c r="U6" s="34">
        <f t="shared" si="2"/>
        <v>1212841.3900000001</v>
      </c>
      <c r="V6" s="34">
        <f t="shared" si="3"/>
        <v>4820676.7899999991</v>
      </c>
      <c r="W6" s="32"/>
      <c r="X6" s="32"/>
      <c r="Y6" s="32"/>
      <c r="Z6" s="32"/>
      <c r="AA6" s="32"/>
    </row>
    <row r="7" spans="1:27" outlineLevel="2">
      <c r="A7" s="32"/>
      <c r="B7" s="33"/>
      <c r="C7" s="33"/>
      <c r="D7" s="33" t="s">
        <v>17</v>
      </c>
      <c r="E7" s="33"/>
      <c r="F7" s="34">
        <f>'Outras Informações'!B6</f>
        <v>115973.71</v>
      </c>
      <c r="G7" s="34">
        <f>'Outras Informações'!C6</f>
        <v>77935.03</v>
      </c>
      <c r="H7" s="34">
        <f>'Outras Informações'!D6</f>
        <v>28138.34</v>
      </c>
      <c r="I7" s="34">
        <f>'Outras Informações'!E6</f>
        <v>23279.68</v>
      </c>
      <c r="J7" s="34">
        <f>'Outras Informações'!F6</f>
        <v>12413.5</v>
      </c>
      <c r="K7" s="34">
        <f>'Outras Informações'!G6</f>
        <v>111726.61</v>
      </c>
      <c r="L7" s="34">
        <f>'Outras Informações'!H6</f>
        <v>87587.98</v>
      </c>
      <c r="M7" s="34">
        <f>'Outras Informações'!I6</f>
        <v>71816.820000000007</v>
      </c>
      <c r="N7" s="34">
        <f>'Outras Informações'!J6</f>
        <v>0</v>
      </c>
      <c r="O7" s="34">
        <f>'Outras Informações'!K6</f>
        <v>0</v>
      </c>
      <c r="P7" s="34">
        <f>'Outras Informações'!L6</f>
        <v>0</v>
      </c>
      <c r="Q7" s="34">
        <f>'Outras Informações'!M6</f>
        <v>0</v>
      </c>
      <c r="R7" s="141">
        <f t="shared" si="5"/>
        <v>528871.66999999993</v>
      </c>
      <c r="S7" s="36"/>
      <c r="T7" s="34">
        <f t="shared" si="1"/>
        <v>369466.87</v>
      </c>
      <c r="U7" s="34">
        <f t="shared" si="2"/>
        <v>159404.79999999999</v>
      </c>
      <c r="V7" s="34">
        <f t="shared" si="3"/>
        <v>528871.66999999993</v>
      </c>
      <c r="W7" s="32"/>
      <c r="X7" s="32"/>
      <c r="Y7" s="32"/>
      <c r="Z7" s="32"/>
      <c r="AA7" s="32"/>
    </row>
    <row r="8" spans="1:27" outlineLevel="1">
      <c r="A8" s="26"/>
      <c r="B8" s="27"/>
      <c r="C8" s="27" t="s">
        <v>18</v>
      </c>
      <c r="D8" s="28"/>
      <c r="E8" s="27"/>
      <c r="F8" s="29">
        <f t="shared" ref="F8:R8" si="6">SUM(F9:F10)</f>
        <v>53494.86</v>
      </c>
      <c r="G8" s="29">
        <f t="shared" si="6"/>
        <v>36027.51</v>
      </c>
      <c r="H8" s="29">
        <f t="shared" si="6"/>
        <v>40270.14</v>
      </c>
      <c r="I8" s="29">
        <f t="shared" si="6"/>
        <v>37264.5</v>
      </c>
      <c r="J8" s="29">
        <f t="shared" si="6"/>
        <v>36951.480000000003</v>
      </c>
      <c r="K8" s="29">
        <f t="shared" si="6"/>
        <v>46118.450000000004</v>
      </c>
      <c r="L8" s="29">
        <f t="shared" si="6"/>
        <v>45244.39</v>
      </c>
      <c r="M8" s="29">
        <f t="shared" si="6"/>
        <v>38702.04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140">
        <f t="shared" si="6"/>
        <v>334073.36999999994</v>
      </c>
      <c r="S8" s="31"/>
      <c r="T8" s="29">
        <f t="shared" si="1"/>
        <v>250126.94000000003</v>
      </c>
      <c r="U8" s="29">
        <f t="shared" si="2"/>
        <v>83946.43</v>
      </c>
      <c r="V8" s="29">
        <f t="shared" si="3"/>
        <v>334073.37</v>
      </c>
      <c r="W8" s="26"/>
      <c r="X8" s="26"/>
      <c r="Y8" s="26"/>
      <c r="Z8" s="26"/>
      <c r="AA8" s="26"/>
    </row>
    <row r="9" spans="1:27" outlineLevel="2">
      <c r="A9" s="32"/>
      <c r="B9" s="33"/>
      <c r="C9" s="33"/>
      <c r="D9" s="33" t="s">
        <v>19</v>
      </c>
      <c r="E9" s="33"/>
      <c r="F9" s="34">
        <f>'Outras Informações'!B7</f>
        <v>46209.41</v>
      </c>
      <c r="G9" s="34">
        <f>'Outras Informações'!C7</f>
        <v>30939.14</v>
      </c>
      <c r="H9" s="34">
        <f>'Outras Informações'!D7</f>
        <v>38474.080000000002</v>
      </c>
      <c r="I9" s="34">
        <f>'Outras Informações'!E7</f>
        <v>35766.61</v>
      </c>
      <c r="J9" s="34">
        <f>'Outras Informações'!F7</f>
        <v>32874.720000000001</v>
      </c>
      <c r="K9" s="34">
        <f>'Outras Informações'!G7</f>
        <v>44826.720000000001</v>
      </c>
      <c r="L9" s="34">
        <f>'Outras Informações'!H7</f>
        <v>43952.659999999996</v>
      </c>
      <c r="M9" s="34">
        <f>'Outras Informações'!I7</f>
        <v>36368.870000000003</v>
      </c>
      <c r="N9" s="34">
        <f>'Outras Informações'!J7</f>
        <v>0</v>
      </c>
      <c r="O9" s="34">
        <f>'Outras Informações'!K7</f>
        <v>0</v>
      </c>
      <c r="P9" s="34">
        <f>'Outras Informações'!L7</f>
        <v>0</v>
      </c>
      <c r="Q9" s="34">
        <f>'Outras Informações'!M7</f>
        <v>0</v>
      </c>
      <c r="R9" s="141">
        <f t="shared" ref="R9:R10" si="7">SUM(F9:Q9)</f>
        <v>309412.20999999996</v>
      </c>
      <c r="S9" s="36"/>
      <c r="T9" s="34">
        <f t="shared" si="1"/>
        <v>229090.68</v>
      </c>
      <c r="U9" s="34">
        <f t="shared" si="2"/>
        <v>80321.53</v>
      </c>
      <c r="V9" s="34">
        <f t="shared" si="3"/>
        <v>309412.20999999996</v>
      </c>
      <c r="W9" s="32"/>
      <c r="X9" s="32"/>
      <c r="Y9" s="32"/>
      <c r="Z9" s="32"/>
      <c r="AA9" s="32"/>
    </row>
    <row r="10" spans="1:27" outlineLevel="2">
      <c r="A10" s="32"/>
      <c r="B10" s="33"/>
      <c r="C10" s="33"/>
      <c r="D10" s="33" t="s">
        <v>20</v>
      </c>
      <c r="E10" s="33"/>
      <c r="F10" s="34">
        <f>'Outras Informações'!B8</f>
        <v>7285.45</v>
      </c>
      <c r="G10" s="34">
        <f>'Outras Informações'!C8</f>
        <v>5088.37</v>
      </c>
      <c r="H10" s="34">
        <f>'Outras Informações'!D8</f>
        <v>1796.06</v>
      </c>
      <c r="I10" s="34">
        <f>'Outras Informações'!E8</f>
        <v>1497.89</v>
      </c>
      <c r="J10" s="34">
        <f>'Outras Informações'!F8</f>
        <v>4076.76</v>
      </c>
      <c r="K10" s="34">
        <f>'Outras Informações'!G8</f>
        <v>1291.73</v>
      </c>
      <c r="L10" s="34">
        <f>'Outras Informações'!H8</f>
        <v>1291.73</v>
      </c>
      <c r="M10" s="34">
        <f>'Outras Informações'!I8</f>
        <v>2333.17</v>
      </c>
      <c r="N10" s="34">
        <f>'Outras Informações'!J8</f>
        <v>0</v>
      </c>
      <c r="O10" s="34">
        <f>'Outras Informações'!K8</f>
        <v>0</v>
      </c>
      <c r="P10" s="34">
        <f>'Outras Informações'!L8</f>
        <v>0</v>
      </c>
      <c r="Q10" s="34">
        <f>'Outras Informações'!M8</f>
        <v>0</v>
      </c>
      <c r="R10" s="141">
        <f t="shared" si="7"/>
        <v>24661.159999999996</v>
      </c>
      <c r="S10" s="36"/>
      <c r="T10" s="34">
        <f t="shared" si="1"/>
        <v>21036.26</v>
      </c>
      <c r="U10" s="34">
        <f t="shared" si="2"/>
        <v>3624.9</v>
      </c>
      <c r="V10" s="34">
        <f t="shared" si="3"/>
        <v>24661.16</v>
      </c>
      <c r="W10" s="32"/>
      <c r="X10" s="32"/>
      <c r="Y10" s="32"/>
      <c r="Z10" s="32"/>
      <c r="AA10" s="32"/>
    </row>
    <row r="11" spans="1:27" outlineLevel="1">
      <c r="A11" s="26"/>
      <c r="B11" s="27"/>
      <c r="C11" s="27" t="s">
        <v>21</v>
      </c>
      <c r="D11" s="28"/>
      <c r="E11" s="27"/>
      <c r="F11" s="29">
        <f t="shared" ref="F11:R11" si="8">F12+F13</f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140">
        <f t="shared" si="8"/>
        <v>0</v>
      </c>
      <c r="S11" s="31"/>
      <c r="T11" s="29">
        <f t="shared" si="1"/>
        <v>0</v>
      </c>
      <c r="U11" s="29">
        <f t="shared" si="2"/>
        <v>0</v>
      </c>
      <c r="V11" s="29">
        <f t="shared" si="3"/>
        <v>0</v>
      </c>
      <c r="W11" s="26"/>
      <c r="X11" s="26"/>
      <c r="Y11" s="26"/>
      <c r="Z11" s="26"/>
      <c r="AA11" s="26"/>
    </row>
    <row r="12" spans="1:27" outlineLevel="2">
      <c r="A12" s="37"/>
      <c r="B12" s="38"/>
      <c r="C12" s="38"/>
      <c r="D12" s="38" t="s">
        <v>22</v>
      </c>
      <c r="E12" s="33"/>
      <c r="F12" s="34">
        <f>'Outras Informações'!B65</f>
        <v>0</v>
      </c>
      <c r="G12" s="34">
        <f>'Outras Informações'!C65</f>
        <v>0</v>
      </c>
      <c r="H12" s="34">
        <f>'Outras Informações'!D65</f>
        <v>0</v>
      </c>
      <c r="I12" s="34">
        <f>'Outras Informações'!E65</f>
        <v>0</v>
      </c>
      <c r="J12" s="34">
        <f>'Outras Informações'!F65</f>
        <v>0</v>
      </c>
      <c r="K12" s="34">
        <f>'Outras Informações'!G65</f>
        <v>0</v>
      </c>
      <c r="L12" s="34">
        <f>'Outras Informações'!H65</f>
        <v>0</v>
      </c>
      <c r="M12" s="34">
        <f>'Outras Informações'!I65</f>
        <v>0</v>
      </c>
      <c r="N12" s="34">
        <f>'Outras Informações'!J65</f>
        <v>0</v>
      </c>
      <c r="O12" s="34">
        <f>'Outras Informações'!K65</f>
        <v>0</v>
      </c>
      <c r="P12" s="34">
        <f>'Outras Informações'!L65</f>
        <v>0</v>
      </c>
      <c r="Q12" s="34">
        <f>'Outras Informações'!M65</f>
        <v>0</v>
      </c>
      <c r="R12" s="141">
        <f t="shared" ref="R12:R16" si="9">SUM(F12:Q12)</f>
        <v>0</v>
      </c>
      <c r="S12" s="36"/>
      <c r="T12" s="34">
        <f t="shared" si="1"/>
        <v>0</v>
      </c>
      <c r="U12" s="34">
        <f t="shared" si="2"/>
        <v>0</v>
      </c>
      <c r="V12" s="34">
        <f t="shared" si="3"/>
        <v>0</v>
      </c>
      <c r="W12" s="32"/>
      <c r="X12" s="32"/>
      <c r="Y12" s="32"/>
      <c r="Z12" s="32"/>
      <c r="AA12" s="32"/>
    </row>
    <row r="13" spans="1:27" outlineLevel="2">
      <c r="A13" s="37"/>
      <c r="B13" s="38"/>
      <c r="C13" s="38"/>
      <c r="D13" s="38" t="s">
        <v>23</v>
      </c>
      <c r="E13" s="33"/>
      <c r="F13" s="34">
        <f>'Outras Informações'!B74</f>
        <v>0</v>
      </c>
      <c r="G13" s="34">
        <f>'Outras Informações'!C74</f>
        <v>0</v>
      </c>
      <c r="H13" s="34">
        <f>'Outras Informações'!D74</f>
        <v>0</v>
      </c>
      <c r="I13" s="34">
        <f>'Outras Informações'!E74</f>
        <v>0</v>
      </c>
      <c r="J13" s="34">
        <f>'Outras Informações'!F74</f>
        <v>0</v>
      </c>
      <c r="K13" s="34">
        <f>'Outras Informações'!G74</f>
        <v>0</v>
      </c>
      <c r="L13" s="34">
        <f>'Outras Informações'!H74</f>
        <v>0</v>
      </c>
      <c r="M13" s="34">
        <f>'Outras Informações'!I74</f>
        <v>0</v>
      </c>
      <c r="N13" s="34">
        <f>'Outras Informações'!J74</f>
        <v>0</v>
      </c>
      <c r="O13" s="34">
        <f>'Outras Informações'!K74</f>
        <v>0</v>
      </c>
      <c r="P13" s="34">
        <f>'Outras Informações'!L74</f>
        <v>0</v>
      </c>
      <c r="Q13" s="34">
        <f>'Outras Informações'!M74</f>
        <v>0</v>
      </c>
      <c r="R13" s="141">
        <f t="shared" si="9"/>
        <v>0</v>
      </c>
      <c r="S13" s="36"/>
      <c r="T13" s="34">
        <f t="shared" si="1"/>
        <v>0</v>
      </c>
      <c r="U13" s="34">
        <f t="shared" si="2"/>
        <v>0</v>
      </c>
      <c r="V13" s="34">
        <f t="shared" si="3"/>
        <v>0</v>
      </c>
      <c r="W13" s="32"/>
      <c r="X13" s="32"/>
      <c r="Y13" s="32"/>
      <c r="Z13" s="32"/>
      <c r="AA13" s="32"/>
    </row>
    <row r="14" spans="1:27" outlineLevel="1">
      <c r="A14" s="26"/>
      <c r="B14" s="27"/>
      <c r="C14" s="27" t="s">
        <v>24</v>
      </c>
      <c r="D14" s="28"/>
      <c r="E14" s="27"/>
      <c r="F14" s="29">
        <f>'Outras Informações'!B9</f>
        <v>0</v>
      </c>
      <c r="G14" s="29">
        <f>'Outras Informações'!C9</f>
        <v>0</v>
      </c>
      <c r="H14" s="29">
        <f>'Outras Informações'!D9</f>
        <v>0</v>
      </c>
      <c r="I14" s="29">
        <f>'Outras Informações'!E9</f>
        <v>0</v>
      </c>
      <c r="J14" s="29">
        <f>'Outras Informações'!F9</f>
        <v>0</v>
      </c>
      <c r="K14" s="29">
        <f>'Outras Informações'!G9</f>
        <v>0</v>
      </c>
      <c r="L14" s="29">
        <f>'Outras Informações'!H9</f>
        <v>0</v>
      </c>
      <c r="M14" s="29">
        <f>'Outras Informações'!I9</f>
        <v>0</v>
      </c>
      <c r="N14" s="29">
        <f>'Outras Informações'!J9</f>
        <v>0</v>
      </c>
      <c r="O14" s="29">
        <f>'Outras Informações'!K9</f>
        <v>0</v>
      </c>
      <c r="P14" s="29">
        <f>'Outras Informações'!L9</f>
        <v>0</v>
      </c>
      <c r="Q14" s="29">
        <f>'Outras Informações'!M9</f>
        <v>0</v>
      </c>
      <c r="R14" s="140">
        <f t="shared" si="9"/>
        <v>0</v>
      </c>
      <c r="S14" s="31"/>
      <c r="T14" s="29">
        <f t="shared" si="1"/>
        <v>0</v>
      </c>
      <c r="U14" s="29">
        <f t="shared" si="2"/>
        <v>0</v>
      </c>
      <c r="V14" s="29">
        <f t="shared" si="3"/>
        <v>0</v>
      </c>
      <c r="W14" s="26"/>
      <c r="X14" s="26"/>
      <c r="Y14" s="26"/>
      <c r="Z14" s="26"/>
      <c r="AA14" s="26"/>
    </row>
    <row r="15" spans="1:27" outlineLevel="1">
      <c r="A15" s="26"/>
      <c r="B15" s="27"/>
      <c r="C15" s="27" t="s">
        <v>25</v>
      </c>
      <c r="D15" s="28"/>
      <c r="E15" s="27"/>
      <c r="F15" s="29">
        <f ca="1">'Outras Informações'!B10</f>
        <v>435100.22167999897</v>
      </c>
      <c r="G15" s="29">
        <f ca="1">'Outras Informações'!C10</f>
        <v>385150.4877</v>
      </c>
      <c r="H15" s="29">
        <f ca="1">'Outras Informações'!D10</f>
        <v>538232.08999999904</v>
      </c>
      <c r="I15" s="29">
        <f ca="1">'Outras Informações'!E10</f>
        <v>487174.31091999996</v>
      </c>
      <c r="J15" s="29">
        <f ca="1">'Outras Informações'!F10</f>
        <v>486610.35334599897</v>
      </c>
      <c r="K15" s="29">
        <f ca="1">'Outras Informações'!G10</f>
        <v>486259.17779999902</v>
      </c>
      <c r="L15" s="29">
        <f ca="1">'Outras Informações'!H10</f>
        <v>517608.19517300004</v>
      </c>
      <c r="M15" s="29">
        <f ca="1">'Outras Informações'!I10</f>
        <v>467285.15</v>
      </c>
      <c r="N15" s="29">
        <f>'Outras Informações'!J10</f>
        <v>0</v>
      </c>
      <c r="O15" s="29">
        <f>'Outras Informações'!K10</f>
        <v>0</v>
      </c>
      <c r="P15" s="29">
        <f>'Outras Informações'!L10</f>
        <v>0</v>
      </c>
      <c r="Q15" s="29">
        <f>'Outras Informações'!M10</f>
        <v>0</v>
      </c>
      <c r="R15" s="140">
        <f t="shared" ca="1" si="9"/>
        <v>3803419.9866189961</v>
      </c>
      <c r="S15" s="39"/>
      <c r="T15" s="29">
        <f t="shared" ca="1" si="1"/>
        <v>2818526.6414459962</v>
      </c>
      <c r="U15" s="29">
        <f t="shared" ca="1" si="2"/>
        <v>984893.34517300013</v>
      </c>
      <c r="V15" s="29">
        <f t="shared" ca="1" si="3"/>
        <v>3803419.9866189966</v>
      </c>
      <c r="W15" s="26"/>
      <c r="X15" s="26"/>
      <c r="Y15" s="26"/>
      <c r="Z15" s="26"/>
      <c r="AA15" s="26"/>
    </row>
    <row r="16" spans="1:27" outlineLevel="1">
      <c r="A16" s="26"/>
      <c r="B16" s="27"/>
      <c r="C16" s="27" t="s">
        <v>26</v>
      </c>
      <c r="D16" s="28"/>
      <c r="E16" s="27"/>
      <c r="F16" s="29">
        <f>'Outras Informações'!B11</f>
        <v>76119.7</v>
      </c>
      <c r="G16" s="29">
        <f>'Outras Informações'!C11</f>
        <v>73017</v>
      </c>
      <c r="H16" s="29">
        <f>'Outras Informações'!D11</f>
        <v>71232.899999999994</v>
      </c>
      <c r="I16" s="29">
        <f>'Outras Informações'!E11</f>
        <v>70336.100000000006</v>
      </c>
      <c r="J16" s="29">
        <f>'Outras Informações'!F11</f>
        <v>73790.3</v>
      </c>
      <c r="K16" s="29">
        <f>'Outras Informações'!G11</f>
        <v>73663</v>
      </c>
      <c r="L16" s="29">
        <f>'Outras Informações'!H11</f>
        <v>76239.399999999994</v>
      </c>
      <c r="M16" s="29">
        <f>'Outras Informações'!I11</f>
        <v>77537.100000000006</v>
      </c>
      <c r="N16" s="29">
        <f>'Outras Informações'!J11</f>
        <v>0</v>
      </c>
      <c r="O16" s="29">
        <f>'Outras Informações'!K11</f>
        <v>0</v>
      </c>
      <c r="P16" s="29">
        <f>'Outras Informações'!L11</f>
        <v>0</v>
      </c>
      <c r="Q16" s="29">
        <f>'Outras Informações'!M11</f>
        <v>0</v>
      </c>
      <c r="R16" s="140">
        <f t="shared" si="9"/>
        <v>591935.5</v>
      </c>
      <c r="S16" s="31"/>
      <c r="T16" s="29">
        <f t="shared" si="1"/>
        <v>438159</v>
      </c>
      <c r="U16" s="29">
        <f t="shared" si="2"/>
        <v>153776.5</v>
      </c>
      <c r="V16" s="29">
        <f t="shared" si="3"/>
        <v>591935.5</v>
      </c>
      <c r="W16" s="26"/>
      <c r="X16" s="26"/>
      <c r="Y16" s="26"/>
      <c r="Z16" s="26"/>
      <c r="AA16" s="26"/>
    </row>
    <row r="17" spans="1:27" outlineLevel="1">
      <c r="A17" s="26"/>
      <c r="B17" s="27"/>
      <c r="C17" s="27" t="s">
        <v>27</v>
      </c>
      <c r="D17" s="28"/>
      <c r="E17" s="27"/>
      <c r="F17" s="29">
        <f t="shared" ref="F17:R17" si="10">F18+F19+F20</f>
        <v>175537.31</v>
      </c>
      <c r="G17" s="29">
        <f t="shared" si="10"/>
        <v>105459.15</v>
      </c>
      <c r="H17" s="29">
        <f t="shared" si="10"/>
        <v>115377.65</v>
      </c>
      <c r="I17" s="29">
        <f t="shared" si="10"/>
        <v>107690.23</v>
      </c>
      <c r="J17" s="29">
        <f t="shared" si="10"/>
        <v>125373.64</v>
      </c>
      <c r="K17" s="29">
        <f t="shared" si="10"/>
        <v>130235.64</v>
      </c>
      <c r="L17" s="29">
        <f t="shared" si="10"/>
        <v>159580.32999999999</v>
      </c>
      <c r="M17" s="29">
        <f t="shared" si="10"/>
        <v>110404.66999999998</v>
      </c>
      <c r="N17" s="29">
        <f t="shared" si="10"/>
        <v>0</v>
      </c>
      <c r="O17" s="29">
        <f t="shared" si="10"/>
        <v>0</v>
      </c>
      <c r="P17" s="29">
        <f t="shared" si="10"/>
        <v>0</v>
      </c>
      <c r="Q17" s="29">
        <f t="shared" si="10"/>
        <v>0</v>
      </c>
      <c r="R17" s="140">
        <f t="shared" si="10"/>
        <v>1029658.6199999998</v>
      </c>
      <c r="S17" s="31"/>
      <c r="T17" s="29">
        <f t="shared" si="1"/>
        <v>759673.62</v>
      </c>
      <c r="U17" s="29">
        <f t="shared" si="2"/>
        <v>269985</v>
      </c>
      <c r="V17" s="29">
        <f t="shared" si="3"/>
        <v>1029658.62</v>
      </c>
      <c r="W17" s="26"/>
      <c r="X17" s="26"/>
      <c r="Y17" s="26"/>
      <c r="Z17" s="26"/>
      <c r="AA17" s="26"/>
    </row>
    <row r="18" spans="1:27" outlineLevel="2">
      <c r="A18" s="32"/>
      <c r="B18" s="33"/>
      <c r="C18" s="33"/>
      <c r="D18" s="33" t="s">
        <v>28</v>
      </c>
      <c r="E18" s="33"/>
      <c r="F18" s="34">
        <f>'Outras Informações'!B12</f>
        <v>33721.79</v>
      </c>
      <c r="G18" s="34">
        <f>'Outras Informações'!C12</f>
        <v>29503.82</v>
      </c>
      <c r="H18" s="34">
        <f>'Outras Informações'!D12</f>
        <v>37861.57</v>
      </c>
      <c r="I18" s="34">
        <f>'Outras Informações'!E12</f>
        <v>31977.18</v>
      </c>
      <c r="J18" s="34">
        <f>'Outras Informações'!F12</f>
        <v>32255.93</v>
      </c>
      <c r="K18" s="34">
        <f>'Outras Informações'!G12</f>
        <v>37591.019999999997</v>
      </c>
      <c r="L18" s="34">
        <f>'Outras Informações'!H12</f>
        <v>39603.360000000001</v>
      </c>
      <c r="M18" s="34">
        <f>'Outras Informações'!I12</f>
        <v>36696.369999999995</v>
      </c>
      <c r="N18" s="34">
        <f>'Outras Informações'!J12</f>
        <v>0</v>
      </c>
      <c r="O18" s="34">
        <f>'Outras Informações'!K12</f>
        <v>0</v>
      </c>
      <c r="P18" s="34">
        <f>'Outras Informações'!L12</f>
        <v>0</v>
      </c>
      <c r="Q18" s="34">
        <f>'Outras Informações'!M12</f>
        <v>0</v>
      </c>
      <c r="R18" s="141">
        <f t="shared" ref="R18:R22" si="11">SUM(F18:Q18)</f>
        <v>279211.03999999998</v>
      </c>
      <c r="S18" s="36"/>
      <c r="T18" s="34">
        <f t="shared" si="1"/>
        <v>202911.30999999997</v>
      </c>
      <c r="U18" s="34">
        <f t="shared" si="2"/>
        <v>76299.73</v>
      </c>
      <c r="V18" s="34">
        <f t="shared" si="3"/>
        <v>279211.03999999998</v>
      </c>
      <c r="W18" s="32"/>
      <c r="X18" s="32"/>
      <c r="Y18" s="32"/>
      <c r="Z18" s="32"/>
      <c r="AA18" s="32"/>
    </row>
    <row r="19" spans="1:27" outlineLevel="2">
      <c r="A19" s="32"/>
      <c r="B19" s="33"/>
      <c r="C19" s="33"/>
      <c r="D19" s="33" t="s">
        <v>29</v>
      </c>
      <c r="E19" s="33"/>
      <c r="F19" s="34">
        <f>'Outras Informações'!B13</f>
        <v>138056.49</v>
      </c>
      <c r="G19" s="34">
        <f>'Outras Informações'!C13</f>
        <v>72990.739999999991</v>
      </c>
      <c r="H19" s="34">
        <f>'Outras Informações'!D13</f>
        <v>73001.08</v>
      </c>
      <c r="I19" s="34">
        <f>'Outras Informações'!E13</f>
        <v>73181.66</v>
      </c>
      <c r="J19" s="34">
        <f>'Outras Informações'!F13</f>
        <v>90920.72</v>
      </c>
      <c r="K19" s="34">
        <f>'Outras Informações'!G13</f>
        <v>89856.48000000001</v>
      </c>
      <c r="L19" s="34">
        <f>'Outras Informações'!H13</f>
        <v>116286.7</v>
      </c>
      <c r="M19" s="34">
        <f>'Outras Informações'!I13</f>
        <v>70079.12</v>
      </c>
      <c r="N19" s="34">
        <f>'Outras Informações'!J13</f>
        <v>0</v>
      </c>
      <c r="O19" s="34">
        <f>'Outras Informações'!K13</f>
        <v>0</v>
      </c>
      <c r="P19" s="34">
        <f>'Outras Informações'!L13</f>
        <v>0</v>
      </c>
      <c r="Q19" s="34">
        <f>'Outras Informações'!M13</f>
        <v>0</v>
      </c>
      <c r="R19" s="141">
        <f t="shared" si="11"/>
        <v>724372.98999999987</v>
      </c>
      <c r="S19" s="36"/>
      <c r="T19" s="34">
        <f t="shared" si="1"/>
        <v>538007.16999999993</v>
      </c>
      <c r="U19" s="34">
        <f t="shared" si="2"/>
        <v>186365.82</v>
      </c>
      <c r="V19" s="34">
        <f t="shared" si="3"/>
        <v>724372.99</v>
      </c>
      <c r="W19" s="32"/>
      <c r="X19" s="32"/>
      <c r="Y19" s="32"/>
      <c r="Z19" s="32"/>
      <c r="AA19" s="32"/>
    </row>
    <row r="20" spans="1:27" outlineLevel="2">
      <c r="A20" s="32"/>
      <c r="B20" s="33"/>
      <c r="C20" s="33"/>
      <c r="D20" s="33" t="s">
        <v>30</v>
      </c>
      <c r="E20" s="33"/>
      <c r="F20" s="34">
        <f>'Outras Informações'!B14</f>
        <v>3759.03</v>
      </c>
      <c r="G20" s="34">
        <f>'Outras Informações'!C14</f>
        <v>2964.59</v>
      </c>
      <c r="H20" s="34">
        <f>'Outras Informações'!D14</f>
        <v>4515</v>
      </c>
      <c r="I20" s="34">
        <f>'Outras Informações'!E14</f>
        <v>2531.39</v>
      </c>
      <c r="J20" s="34">
        <f>'Outras Informações'!F14</f>
        <v>2196.9899999999998</v>
      </c>
      <c r="K20" s="34">
        <f>'Outras Informações'!G14</f>
        <v>2788.14</v>
      </c>
      <c r="L20" s="34">
        <f>'Outras Informações'!H14</f>
        <v>3690.27</v>
      </c>
      <c r="M20" s="34">
        <f>'Outras Informações'!I14</f>
        <v>3629.18</v>
      </c>
      <c r="N20" s="34">
        <f>'Outras Informações'!J14</f>
        <v>0</v>
      </c>
      <c r="O20" s="34">
        <f>'Outras Informações'!K14</f>
        <v>0</v>
      </c>
      <c r="P20" s="34">
        <f>'Outras Informações'!L14</f>
        <v>0</v>
      </c>
      <c r="Q20" s="34">
        <f>'Outras Informações'!M14</f>
        <v>0</v>
      </c>
      <c r="R20" s="141">
        <f t="shared" si="11"/>
        <v>26074.59</v>
      </c>
      <c r="S20" s="36"/>
      <c r="T20" s="34">
        <f t="shared" si="1"/>
        <v>18755.14</v>
      </c>
      <c r="U20" s="34">
        <f t="shared" si="2"/>
        <v>7319.45</v>
      </c>
      <c r="V20" s="34">
        <f t="shared" si="3"/>
        <v>26074.59</v>
      </c>
      <c r="W20" s="32"/>
      <c r="X20" s="32"/>
      <c r="Y20" s="32"/>
      <c r="Z20" s="32"/>
      <c r="AA20" s="32"/>
    </row>
    <row r="21" spans="1:27" outlineLevel="1">
      <c r="A21" s="26"/>
      <c r="B21" s="27"/>
      <c r="C21" s="27" t="s">
        <v>31</v>
      </c>
      <c r="D21" s="28"/>
      <c r="E21" s="27"/>
      <c r="F21" s="29">
        <f ca="1">'Outras Informações'!B15</f>
        <v>3762.29</v>
      </c>
      <c r="G21" s="29">
        <f ca="1">'Outras Informações'!C15</f>
        <v>6307.8</v>
      </c>
      <c r="H21" s="29">
        <f ca="1">'Outras Informações'!D15</f>
        <v>6771.63</v>
      </c>
      <c r="I21" s="29">
        <f ca="1">'Outras Informações'!E15</f>
        <v>7115.56</v>
      </c>
      <c r="J21" s="29">
        <f ca="1">'Outras Informações'!F15</f>
        <v>263540.40999999997</v>
      </c>
      <c r="K21" s="29">
        <f ca="1">'Outras Informações'!G15</f>
        <v>12085.48</v>
      </c>
      <c r="L21" s="29">
        <f ca="1">'Outras Informações'!H15</f>
        <v>9083.4</v>
      </c>
      <c r="M21" s="29">
        <f ca="1">'Outras Informações'!I15</f>
        <v>10163.01</v>
      </c>
      <c r="N21" s="29">
        <f ca="1">'Outras Informações'!J15</f>
        <v>0</v>
      </c>
      <c r="O21" s="29">
        <f ca="1">'Outras Informações'!K15</f>
        <v>0</v>
      </c>
      <c r="P21" s="29">
        <f ca="1">'Outras Informações'!L15</f>
        <v>0</v>
      </c>
      <c r="Q21" s="29">
        <f ca="1">'Outras Informações'!M15</f>
        <v>0</v>
      </c>
      <c r="R21" s="140">
        <f t="shared" ca="1" si="11"/>
        <v>318829.58</v>
      </c>
      <c r="S21" s="31"/>
      <c r="T21" s="29">
        <f t="shared" ca="1" si="1"/>
        <v>299583.17</v>
      </c>
      <c r="U21" s="29">
        <f t="shared" ca="1" si="2"/>
        <v>19246.41</v>
      </c>
      <c r="V21" s="29">
        <f t="shared" ca="1" si="3"/>
        <v>318829.57999999996</v>
      </c>
      <c r="W21" s="26"/>
      <c r="X21" s="26"/>
      <c r="Y21" s="26"/>
      <c r="Z21" s="26"/>
      <c r="AA21" s="26"/>
    </row>
    <row r="22" spans="1:27" outlineLevel="1">
      <c r="A22" s="26"/>
      <c r="B22" s="27"/>
      <c r="C22" s="27" t="s">
        <v>32</v>
      </c>
      <c r="D22" s="28"/>
      <c r="E22" s="27"/>
      <c r="F22" s="29">
        <f ca="1">'Outras Informações'!B16</f>
        <v>1640.5782019999999</v>
      </c>
      <c r="G22" s="29">
        <f ca="1">'Outras Informações'!C16</f>
        <v>1146.6088420000001</v>
      </c>
      <c r="H22" s="29">
        <f ca="1">'Outras Informações'!D16</f>
        <v>1200.1851819999999</v>
      </c>
      <c r="I22" s="29">
        <f ca="1">'Outras Informações'!E16</f>
        <v>220.52859000000001</v>
      </c>
      <c r="J22" s="29">
        <f ca="1">'Outras Informações'!F16</f>
        <v>146.88429500000001</v>
      </c>
      <c r="K22" s="29">
        <f ca="1">'Outras Informações'!G16</f>
        <v>984.60245699999996</v>
      </c>
      <c r="L22" s="29">
        <f ca="1">'Outras Informações'!H16</f>
        <v>2093.0595800000001</v>
      </c>
      <c r="M22" s="29">
        <f ca="1">'Outras Informações'!I16</f>
        <v>1140.3429739999999</v>
      </c>
      <c r="N22" s="29">
        <f>'Outras Informações'!J16</f>
        <v>0</v>
      </c>
      <c r="O22" s="29">
        <f>'Outras Informações'!K16</f>
        <v>0</v>
      </c>
      <c r="P22" s="29">
        <f>'Outras Informações'!L16</f>
        <v>0</v>
      </c>
      <c r="Q22" s="29">
        <f>'Outras Informações'!M16</f>
        <v>0</v>
      </c>
      <c r="R22" s="140">
        <f t="shared" ca="1" si="11"/>
        <v>8572.7901220000003</v>
      </c>
      <c r="S22" s="31"/>
      <c r="T22" s="29">
        <f t="shared" ca="1" si="1"/>
        <v>5339.3875680000001</v>
      </c>
      <c r="U22" s="29">
        <f t="shared" ca="1" si="2"/>
        <v>3233.4025540000002</v>
      </c>
      <c r="V22" s="29">
        <f t="shared" ca="1" si="3"/>
        <v>8572.7901220000003</v>
      </c>
      <c r="W22" s="26"/>
      <c r="X22" s="26"/>
      <c r="Y22" s="26"/>
      <c r="Z22" s="26"/>
      <c r="AA22" s="26"/>
    </row>
    <row r="23" spans="1:27" outlineLevel="1">
      <c r="A23" s="26"/>
      <c r="B23" s="27"/>
      <c r="C23" s="27" t="s">
        <v>33</v>
      </c>
      <c r="D23" s="28"/>
      <c r="E23" s="27"/>
      <c r="F23" s="29">
        <f t="shared" ref="F23:R23" si="12">F24+F25+F26</f>
        <v>82477.8</v>
      </c>
      <c r="G23" s="29">
        <f t="shared" si="12"/>
        <v>74147.94</v>
      </c>
      <c r="H23" s="29">
        <f t="shared" si="12"/>
        <v>72134.63</v>
      </c>
      <c r="I23" s="29">
        <f t="shared" si="12"/>
        <v>80333.03</v>
      </c>
      <c r="J23" s="29">
        <f t="shared" si="12"/>
        <v>79118.510000000009</v>
      </c>
      <c r="K23" s="29">
        <f t="shared" si="12"/>
        <v>66614.5</v>
      </c>
      <c r="L23" s="29">
        <f t="shared" si="12"/>
        <v>71727.16</v>
      </c>
      <c r="M23" s="29">
        <f t="shared" si="12"/>
        <v>77050.100000000006</v>
      </c>
      <c r="N23" s="29">
        <f t="shared" si="12"/>
        <v>0</v>
      </c>
      <c r="O23" s="29">
        <f t="shared" si="12"/>
        <v>0</v>
      </c>
      <c r="P23" s="29">
        <f t="shared" si="12"/>
        <v>0</v>
      </c>
      <c r="Q23" s="29">
        <f t="shared" si="12"/>
        <v>0</v>
      </c>
      <c r="R23" s="140">
        <f t="shared" si="12"/>
        <v>603603.66999999993</v>
      </c>
      <c r="S23" s="31"/>
      <c r="T23" s="29">
        <f t="shared" si="1"/>
        <v>454826.41000000003</v>
      </c>
      <c r="U23" s="29">
        <f t="shared" si="2"/>
        <v>148777.26</v>
      </c>
      <c r="V23" s="29">
        <f t="shared" si="3"/>
        <v>603603.67000000004</v>
      </c>
      <c r="W23" s="26"/>
      <c r="X23" s="26"/>
      <c r="Y23" s="26"/>
      <c r="Z23" s="26"/>
      <c r="AA23" s="26"/>
    </row>
    <row r="24" spans="1:27" outlineLevel="2">
      <c r="A24" s="32"/>
      <c r="B24" s="33"/>
      <c r="C24" s="33"/>
      <c r="D24" s="33" t="s">
        <v>34</v>
      </c>
      <c r="E24" s="33"/>
      <c r="F24" s="34">
        <f>'Outras Informações'!B17</f>
        <v>49703</v>
      </c>
      <c r="G24" s="34">
        <f>'Outras Informações'!C17</f>
        <v>46767</v>
      </c>
      <c r="H24" s="34">
        <f>'Outras Informações'!D17</f>
        <v>41835.5</v>
      </c>
      <c r="I24" s="34">
        <f>'Outras Informações'!E17</f>
        <v>41835.5</v>
      </c>
      <c r="J24" s="34">
        <f>'Outras Informações'!F17</f>
        <v>45335.5</v>
      </c>
      <c r="K24" s="34">
        <f>'Outras Informações'!G17</f>
        <v>40214.5</v>
      </c>
      <c r="L24" s="34">
        <f>'Outras Informações'!H17</f>
        <v>39404</v>
      </c>
      <c r="M24" s="34">
        <f>'Outras Informações'!I17</f>
        <v>37783</v>
      </c>
      <c r="N24" s="34">
        <f>'Outras Informações'!J17</f>
        <v>0</v>
      </c>
      <c r="O24" s="34">
        <f>'Outras Informações'!K17</f>
        <v>0</v>
      </c>
      <c r="P24" s="34">
        <f>'Outras Informações'!L17</f>
        <v>0</v>
      </c>
      <c r="Q24" s="34">
        <f>'Outras Informações'!M17</f>
        <v>0</v>
      </c>
      <c r="R24" s="141">
        <f t="shared" ref="R24:R28" si="13">SUM(F24:Q24)</f>
        <v>342878</v>
      </c>
      <c r="S24" s="36"/>
      <c r="T24" s="34">
        <f t="shared" si="1"/>
        <v>265691</v>
      </c>
      <c r="U24" s="34">
        <f t="shared" si="2"/>
        <v>77187</v>
      </c>
      <c r="V24" s="34">
        <f t="shared" si="3"/>
        <v>342878</v>
      </c>
      <c r="W24" s="32"/>
      <c r="X24" s="32"/>
      <c r="Y24" s="32"/>
      <c r="Z24" s="32"/>
      <c r="AA24" s="32"/>
    </row>
    <row r="25" spans="1:27" outlineLevel="2">
      <c r="A25" s="32"/>
      <c r="B25" s="33"/>
      <c r="C25" s="33"/>
      <c r="D25" s="33" t="s">
        <v>35</v>
      </c>
      <c r="E25" s="33"/>
      <c r="F25" s="34">
        <f>'Outras Informações'!B18</f>
        <v>3774.8</v>
      </c>
      <c r="G25" s="34">
        <f>'Outras Informações'!C18</f>
        <v>3380.94</v>
      </c>
      <c r="H25" s="34">
        <f>'Outras Informações'!D18</f>
        <v>5299.13</v>
      </c>
      <c r="I25" s="34">
        <f>'Outras Informações'!E18</f>
        <v>12245.03</v>
      </c>
      <c r="J25" s="34">
        <f>'Outras Informações'!F18</f>
        <v>4283.01</v>
      </c>
      <c r="K25" s="34">
        <f>'Outras Informações'!G18</f>
        <v>0</v>
      </c>
      <c r="L25" s="34">
        <f>'Outras Informações'!H18</f>
        <v>3023.16</v>
      </c>
      <c r="M25" s="34">
        <f>'Outras Informações'!I18</f>
        <v>4967.1000000000004</v>
      </c>
      <c r="N25" s="34">
        <f>'Outras Informações'!J18</f>
        <v>0</v>
      </c>
      <c r="O25" s="34">
        <f>'Outras Informações'!K18</f>
        <v>0</v>
      </c>
      <c r="P25" s="34">
        <f>'Outras Informações'!L18</f>
        <v>0</v>
      </c>
      <c r="Q25" s="34">
        <f>'Outras Informações'!M18</f>
        <v>0</v>
      </c>
      <c r="R25" s="141">
        <f t="shared" si="13"/>
        <v>36973.170000000006</v>
      </c>
      <c r="S25" s="36"/>
      <c r="T25" s="34">
        <f t="shared" si="1"/>
        <v>28982.910000000003</v>
      </c>
      <c r="U25" s="34">
        <f t="shared" si="2"/>
        <v>7990.26</v>
      </c>
      <c r="V25" s="34">
        <f t="shared" si="3"/>
        <v>36973.170000000006</v>
      </c>
      <c r="W25" s="32"/>
      <c r="X25" s="32"/>
      <c r="Y25" s="32"/>
      <c r="Z25" s="32"/>
      <c r="AA25" s="32"/>
    </row>
    <row r="26" spans="1:27" outlineLevel="2">
      <c r="A26" s="32"/>
      <c r="B26" s="33"/>
      <c r="C26" s="33"/>
      <c r="D26" s="40" t="s">
        <v>36</v>
      </c>
      <c r="E26" s="33"/>
      <c r="F26" s="34">
        <f>'Outras Informações'!B19</f>
        <v>29000</v>
      </c>
      <c r="G26" s="34">
        <f>'Outras Informações'!C19</f>
        <v>24000</v>
      </c>
      <c r="H26" s="34">
        <f>'Outras Informações'!D19</f>
        <v>25000</v>
      </c>
      <c r="I26" s="34">
        <f>'Outras Informações'!E19</f>
        <v>26252.5</v>
      </c>
      <c r="J26" s="34">
        <f>'Outras Informações'!F19</f>
        <v>29500</v>
      </c>
      <c r="K26" s="34">
        <f>'Outras Informações'!G19</f>
        <v>26400</v>
      </c>
      <c r="L26" s="34">
        <f>'Outras Informações'!H19</f>
        <v>29300</v>
      </c>
      <c r="M26" s="34">
        <f>'Outras Informações'!I19</f>
        <v>34300</v>
      </c>
      <c r="N26" s="34">
        <f>'Outras Informações'!J19</f>
        <v>0</v>
      </c>
      <c r="O26" s="34">
        <f>'Outras Informações'!K19</f>
        <v>0</v>
      </c>
      <c r="P26" s="34">
        <f>'Outras Informações'!L19</f>
        <v>0</v>
      </c>
      <c r="Q26" s="34">
        <f>'Outras Informações'!M19</f>
        <v>0</v>
      </c>
      <c r="R26" s="141">
        <f t="shared" si="13"/>
        <v>223752.5</v>
      </c>
      <c r="S26" s="36"/>
      <c r="T26" s="34">
        <f t="shared" si="1"/>
        <v>160152.5</v>
      </c>
      <c r="U26" s="34">
        <f t="shared" si="2"/>
        <v>63600</v>
      </c>
      <c r="V26" s="34">
        <f t="shared" si="3"/>
        <v>223752.5</v>
      </c>
      <c r="W26" s="32"/>
      <c r="X26" s="32"/>
      <c r="Y26" s="32"/>
      <c r="Z26" s="32"/>
      <c r="AA26" s="32"/>
    </row>
    <row r="27" spans="1:27">
      <c r="A27" s="11"/>
      <c r="B27" s="19" t="s">
        <v>37</v>
      </c>
      <c r="C27" s="20"/>
      <c r="D27" s="21"/>
      <c r="E27" s="20"/>
      <c r="F27" s="22">
        <f t="shared" ref="F27:Q27" ca="1" si="14">F28+F29+F33+F37</f>
        <v>-104494.82207845419</v>
      </c>
      <c r="G27" s="22">
        <f t="shared" ca="1" si="14"/>
        <v>-75622.535996275008</v>
      </c>
      <c r="H27" s="22">
        <f t="shared" ca="1" si="14"/>
        <v>-80727.962313751807</v>
      </c>
      <c r="I27" s="22">
        <f t="shared" ca="1" si="14"/>
        <v>-78716.017288094648</v>
      </c>
      <c r="J27" s="22">
        <f t="shared" ca="1" si="14"/>
        <v>-74576.060903653051</v>
      </c>
      <c r="K27" s="22">
        <f t="shared" ca="1" si="14"/>
        <v>-187978.63836410316</v>
      </c>
      <c r="L27" s="22">
        <f t="shared" ca="1" si="14"/>
        <v>-75289.378438219719</v>
      </c>
      <c r="M27" s="22">
        <f t="shared" ca="1" si="14"/>
        <v>-61021.42385302802</v>
      </c>
      <c r="N27" s="22">
        <f t="shared" ca="1" si="14"/>
        <v>0</v>
      </c>
      <c r="O27" s="22">
        <f t="shared" ca="1" si="14"/>
        <v>0</v>
      </c>
      <c r="P27" s="22">
        <f t="shared" ca="1" si="14"/>
        <v>0</v>
      </c>
      <c r="Q27" s="22">
        <f t="shared" ca="1" si="14"/>
        <v>0</v>
      </c>
      <c r="R27" s="139">
        <f t="shared" ca="1" si="13"/>
        <v>-738426.83923557948</v>
      </c>
      <c r="S27" s="25"/>
      <c r="T27" s="22">
        <f t="shared" ca="1" si="1"/>
        <v>-602116.03694433183</v>
      </c>
      <c r="U27" s="22">
        <f t="shared" ca="1" si="2"/>
        <v>-136310.80229124773</v>
      </c>
      <c r="V27" s="22">
        <f t="shared" ca="1" si="3"/>
        <v>-738426.83923557959</v>
      </c>
      <c r="W27" s="11"/>
      <c r="X27" s="11"/>
      <c r="Y27" s="11"/>
      <c r="Z27" s="11"/>
      <c r="AA27" s="11"/>
    </row>
    <row r="28" spans="1:27" outlineLevel="1">
      <c r="A28" s="26"/>
      <c r="B28" s="27"/>
      <c r="C28" s="27" t="s">
        <v>38</v>
      </c>
      <c r="D28" s="28"/>
      <c r="E28" s="27"/>
      <c r="F28" s="29">
        <f>SUMIFS('Lançamentos Omie'!$G:$G,'Lançamentos Omie'!$I:$I,$C28,'Lançamentos Omie'!$F:$F,F$2)</f>
        <v>-19.64</v>
      </c>
      <c r="G28" s="29">
        <f>SUMIFS('Lançamentos Omie'!$G:$G,'Lançamentos Omie'!$I:$I,$C28,'Lançamentos Omie'!$F:$F,G$2)</f>
        <v>-1292.7400000000002</v>
      </c>
      <c r="H28" s="29">
        <f>SUMIFS('Lançamentos Omie'!$G:$G,'Lançamentos Omie'!$I:$I,$C28,'Lançamentos Omie'!$F:$F,H$2)</f>
        <v>-4648.3900000000003</v>
      </c>
      <c r="I28" s="29">
        <f>SUMIFS('Lançamentos Omie'!$G:$G,'Lançamentos Omie'!$I:$I,$C28,'Lançamentos Omie'!$F:$F,I$2)</f>
        <v>-526.91</v>
      </c>
      <c r="J28" s="29">
        <f>SUMIFS('Lançamentos Omie'!$G:$G,'Lançamentos Omie'!$I:$I,$C28,'Lançamentos Omie'!$F:$F,J$2)</f>
        <v>0</v>
      </c>
      <c r="K28" s="29">
        <f>SUMIFS('Lançamentos Omie'!$G:$G,'Lançamentos Omie'!$I:$I,$C28,'Lançamentos Omie'!$F:$F,K$2)</f>
        <v>-120275.68</v>
      </c>
      <c r="L28" s="29">
        <f>SUMIFS('Lançamentos Omie'!$G:$G,'Lançamentos Omie'!$I:$I,$C28,'Lançamentos Omie'!$F:$F,L$2)</f>
        <v>0</v>
      </c>
      <c r="M28" s="29">
        <f>SUMIFS('Lançamentos Omie'!$G:$G,'Lançamentos Omie'!$I:$I,$C28,'Lançamentos Omie'!$F:$F,M$2)</f>
        <v>-2177.59</v>
      </c>
      <c r="N28" s="29">
        <f>SUMIFS('Lançamentos Omie'!$G:$G,'Lançamentos Omie'!$I:$I,$C28,'Lançamentos Omie'!$F:$F,N$2)</f>
        <v>0</v>
      </c>
      <c r="O28" s="29">
        <f>SUMIFS('Lançamentos Omie'!$G:$G,'Lançamentos Omie'!$I:$I,$C28,'Lançamentos Omie'!$F:$F,O$2)</f>
        <v>0</v>
      </c>
      <c r="P28" s="29">
        <f>SUMIFS('Lançamentos Omie'!$G:$G,'Lançamentos Omie'!$I:$I,$C28,'Lançamentos Omie'!$F:$F,P$2)</f>
        <v>0</v>
      </c>
      <c r="Q28" s="29">
        <f>SUMIFS('Lançamentos Omie'!$G:$G,'Lançamentos Omie'!$I:$I,$C28,'Lançamentos Omie'!$F:$F,Q$2)</f>
        <v>0</v>
      </c>
      <c r="R28" s="140">
        <f t="shared" si="13"/>
        <v>-128940.94999999998</v>
      </c>
      <c r="S28" s="41"/>
      <c r="T28" s="29">
        <f t="shared" si="1"/>
        <v>-126763.35999999999</v>
      </c>
      <c r="U28" s="29">
        <f t="shared" si="2"/>
        <v>-2177.59</v>
      </c>
      <c r="V28" s="29">
        <f t="shared" si="3"/>
        <v>-128940.94999999998</v>
      </c>
      <c r="W28" s="26"/>
      <c r="X28" s="26"/>
      <c r="Y28" s="26"/>
      <c r="Z28" s="26"/>
      <c r="AA28" s="26"/>
    </row>
    <row r="29" spans="1:27" outlineLevel="1">
      <c r="A29" s="26"/>
      <c r="B29" s="27"/>
      <c r="C29" s="27" t="s">
        <v>39</v>
      </c>
      <c r="D29" s="28"/>
      <c r="E29" s="27"/>
      <c r="F29" s="29">
        <f t="shared" ref="F29:R29" ca="1" si="15">F30+F31+F32</f>
        <v>-7418.9965124357586</v>
      </c>
      <c r="G29" s="29">
        <f t="shared" ca="1" si="15"/>
        <v>-5264.8179487101124</v>
      </c>
      <c r="H29" s="29">
        <f t="shared" ca="1" si="15"/>
        <v>-5383.390712641788</v>
      </c>
      <c r="I29" s="29">
        <f t="shared" ca="1" si="15"/>
        <v>-5540.4928508069843</v>
      </c>
      <c r="J29" s="29">
        <f t="shared" ca="1" si="15"/>
        <v>-6046.1740953946337</v>
      </c>
      <c r="K29" s="29">
        <f t="shared" ca="1" si="15"/>
        <v>-6415.9908292993659</v>
      </c>
      <c r="L29" s="29">
        <f t="shared" ca="1" si="15"/>
        <v>-6732.5093698558621</v>
      </c>
      <c r="M29" s="29">
        <f t="shared" ca="1" si="15"/>
        <v>-5410.7674546304224</v>
      </c>
      <c r="N29" s="29">
        <f t="shared" ca="1" si="15"/>
        <v>0</v>
      </c>
      <c r="O29" s="29">
        <f t="shared" ca="1" si="15"/>
        <v>0</v>
      </c>
      <c r="P29" s="29">
        <f t="shared" ca="1" si="15"/>
        <v>0</v>
      </c>
      <c r="Q29" s="29">
        <f t="shared" ca="1" si="15"/>
        <v>0</v>
      </c>
      <c r="R29" s="140">
        <f t="shared" ca="1" si="15"/>
        <v>-48213.139773774928</v>
      </c>
      <c r="S29" s="41"/>
      <c r="T29" s="29">
        <f t="shared" ca="1" si="1"/>
        <v>-36069.862949288639</v>
      </c>
      <c r="U29" s="29">
        <f t="shared" ca="1" si="2"/>
        <v>-12143.276824486285</v>
      </c>
      <c r="V29" s="29">
        <f t="shared" ca="1" si="3"/>
        <v>-48213.139773774921</v>
      </c>
      <c r="W29" s="26"/>
      <c r="X29" s="26"/>
      <c r="Y29" s="26"/>
      <c r="Z29" s="26"/>
      <c r="AA29" s="26"/>
    </row>
    <row r="30" spans="1:27" outlineLevel="2">
      <c r="A30" s="42"/>
      <c r="B30" s="43"/>
      <c r="C30" s="43"/>
      <c r="D30" s="43" t="s">
        <v>40</v>
      </c>
      <c r="E30" s="43"/>
      <c r="F30" s="142">
        <f t="shared" ref="F30:Q30" si="16">-0.65%*(F5+F8+F11+F14)-0.65%*F102</f>
        <v>-6029.7187600000007</v>
      </c>
      <c r="G30" s="142">
        <f t="shared" si="16"/>
        <v>-4217.7759649999998</v>
      </c>
      <c r="H30" s="142">
        <f t="shared" si="16"/>
        <v>-4298.4150950000003</v>
      </c>
      <c r="I30" s="142">
        <f t="shared" si="16"/>
        <v>-4451.9055749999998</v>
      </c>
      <c r="J30" s="142">
        <f t="shared" si="16"/>
        <v>-3775.9161700000004</v>
      </c>
      <c r="K30" s="142">
        <f t="shared" si="16"/>
        <v>-5232.0488350000005</v>
      </c>
      <c r="L30" s="142">
        <f t="shared" si="16"/>
        <v>-5385.7768249999999</v>
      </c>
      <c r="M30" s="142">
        <f t="shared" si="16"/>
        <v>-4268.6897500000014</v>
      </c>
      <c r="N30" s="142">
        <f t="shared" si="16"/>
        <v>0</v>
      </c>
      <c r="O30" s="142">
        <f t="shared" si="16"/>
        <v>0</v>
      </c>
      <c r="P30" s="142">
        <f t="shared" si="16"/>
        <v>0</v>
      </c>
      <c r="Q30" s="142">
        <f t="shared" si="16"/>
        <v>0</v>
      </c>
      <c r="R30" s="143">
        <f t="shared" ref="R30:R32" si="17">SUM(F30:Q30)</f>
        <v>-37660.246975000002</v>
      </c>
      <c r="S30" s="45"/>
      <c r="T30" s="46">
        <f t="shared" si="1"/>
        <v>-28005.780400000003</v>
      </c>
      <c r="U30" s="46">
        <f t="shared" si="2"/>
        <v>-9654.4665750000022</v>
      </c>
      <c r="V30" s="46">
        <f t="shared" si="3"/>
        <v>-37660.246975000002</v>
      </c>
      <c r="W30" s="42"/>
      <c r="X30" s="42"/>
      <c r="Y30" s="42"/>
      <c r="Z30" s="42"/>
      <c r="AA30" s="42"/>
    </row>
    <row r="31" spans="1:27" outlineLevel="2">
      <c r="A31" s="42"/>
      <c r="B31" s="43"/>
      <c r="C31" s="43"/>
      <c r="D31" s="43" t="s">
        <v>41</v>
      </c>
      <c r="E31" s="43"/>
      <c r="F31" s="46">
        <f>-('Outras Informações'!B90*2.96%*(F16))</f>
        <v>-282.76946156000002</v>
      </c>
      <c r="G31" s="46">
        <f>-('Outras Informações'!C90*2.96%*(G16))</f>
        <v>-271.67581224000003</v>
      </c>
      <c r="H31" s="46">
        <f>-('Outras Informações'!D90*2.96%*(H16))</f>
        <v>-265.45937445600003</v>
      </c>
      <c r="I31" s="46">
        <f>-('Outras Informações'!E90*2.96%*(I16))</f>
        <v>-262.53371341600001</v>
      </c>
      <c r="J31" s="46">
        <f>-('Outras Informações'!F90*2.96%*(J16))</f>
        <v>-276.30039932</v>
      </c>
      <c r="K31" s="46">
        <f>-('Outras Informações'!G90*2.96%*(K16))</f>
        <v>-276.47786464000001</v>
      </c>
      <c r="L31" s="46">
        <f>-('Outras Informações'!H90*2.96%*(L16))</f>
        <v>-284.34246623999996</v>
      </c>
      <c r="M31" s="46">
        <f>-('Outras Informações'!I90*2.96%*(M16))</f>
        <v>-291.70697613600004</v>
      </c>
      <c r="N31" s="46">
        <f>-('Outras Informações'!J90*2.96%*(N16))</f>
        <v>0</v>
      </c>
      <c r="O31" s="46">
        <f>-('Outras Informações'!K90*2.96%*(O16))</f>
        <v>0</v>
      </c>
      <c r="P31" s="46">
        <f>-('Outras Informações'!L90*2.96%*(P16))</f>
        <v>0</v>
      </c>
      <c r="Q31" s="46">
        <f>-('Outras Informações'!M90*2.96%*(Q16))</f>
        <v>0</v>
      </c>
      <c r="R31" s="143">
        <f t="shared" si="17"/>
        <v>-2211.2660680079998</v>
      </c>
      <c r="S31" s="45"/>
      <c r="T31" s="46">
        <f t="shared" si="1"/>
        <v>-1635.2166256319999</v>
      </c>
      <c r="U31" s="46">
        <f t="shared" si="2"/>
        <v>-576.049442376</v>
      </c>
      <c r="V31" s="46">
        <f t="shared" si="3"/>
        <v>-2211.2660680079998</v>
      </c>
      <c r="W31" s="42"/>
      <c r="X31" s="42"/>
      <c r="Y31" s="42"/>
      <c r="Z31" s="42"/>
      <c r="AA31" s="42"/>
    </row>
    <row r="32" spans="1:27" outlineLevel="2">
      <c r="A32" s="42"/>
      <c r="B32" s="43"/>
      <c r="C32" s="43"/>
      <c r="D32" s="43" t="s">
        <v>42</v>
      </c>
      <c r="E32" s="43"/>
      <c r="F32" s="46">
        <f ca="1">-('Outras Informações'!B89*2.78%*(F17+F21+F22+F23))</f>
        <v>-1106.5082908757572</v>
      </c>
      <c r="G32" s="46">
        <f ca="1">-('Outras Informações'!C89*2.78%*(G17+G21+G22+G23))</f>
        <v>-775.36617147011327</v>
      </c>
      <c r="H32" s="46">
        <f ca="1">-('Outras Informações'!D89*2.78%*(H17+H21+H22+H23))</f>
        <v>-819.51624318578774</v>
      </c>
      <c r="I32" s="46">
        <f ca="1">-('Outras Informações'!E89*2.78%*(I17+I21+I22+I23))</f>
        <v>-826.05356239098433</v>
      </c>
      <c r="J32" s="46">
        <f ca="1">-('Outras Informações'!F89*2.78%*(J17+J21+J22+J23))</f>
        <v>-1993.9575260746333</v>
      </c>
      <c r="K32" s="46">
        <f ca="1">-('Outras Informações'!G89*2.78%*(K17+K21+K22+K23))</f>
        <v>-907.46412965936508</v>
      </c>
      <c r="L32" s="46">
        <f ca="1">-('Outras Informações'!H89*2.78%*(L17+L21+L22+L23))</f>
        <v>-1062.3900786158622</v>
      </c>
      <c r="M32" s="46">
        <f ca="1">-('Outras Informações'!I89*2.78%*(M17+M21+M22+M23))</f>
        <v>-850.37072849442109</v>
      </c>
      <c r="N32" s="46">
        <f ca="1">-('Outras Informações'!J89*2.78%*(N17+N21+N22+N23))</f>
        <v>0</v>
      </c>
      <c r="O32" s="46">
        <f ca="1">-('Outras Informações'!K89*2.78%*(O17+O21+O22+O23))</f>
        <v>0</v>
      </c>
      <c r="P32" s="46">
        <f ca="1">-('Outras Informações'!L89*2.78%*(P17+P21+P22+P23))</f>
        <v>0</v>
      </c>
      <c r="Q32" s="46">
        <f ca="1">-('Outras Informações'!M89*2.78%*(Q17+Q21+Q22+Q23))</f>
        <v>0</v>
      </c>
      <c r="R32" s="143">
        <f t="shared" ca="1" si="17"/>
        <v>-8341.6267307669241</v>
      </c>
      <c r="S32" s="45"/>
      <c r="T32" s="46">
        <f t="shared" ca="1" si="1"/>
        <v>-6428.8659236566418</v>
      </c>
      <c r="U32" s="46">
        <f t="shared" ca="1" si="2"/>
        <v>-1912.7608071102832</v>
      </c>
      <c r="V32" s="46">
        <f t="shared" ca="1" si="3"/>
        <v>-8341.6267307669259</v>
      </c>
      <c r="W32" s="42"/>
      <c r="X32" s="42"/>
      <c r="Y32" s="42"/>
      <c r="Z32" s="42"/>
      <c r="AA32" s="42"/>
    </row>
    <row r="33" spans="1:27" outlineLevel="1">
      <c r="A33" s="26"/>
      <c r="B33" s="27"/>
      <c r="C33" s="27" t="s">
        <v>43</v>
      </c>
      <c r="D33" s="28"/>
      <c r="E33" s="27"/>
      <c r="F33" s="29">
        <f t="shared" ref="F33:R33" ca="1" si="18">F34+F35+F36</f>
        <v>-34235.178372650502</v>
      </c>
      <c r="G33" s="29">
        <f t="shared" ca="1" si="18"/>
        <v>-24294.179280155266</v>
      </c>
      <c r="H33" s="29">
        <f t="shared" ca="1" si="18"/>
        <v>-24841.312394955727</v>
      </c>
      <c r="I33" s="29">
        <f t="shared" ca="1" si="18"/>
        <v>-25566.395150657103</v>
      </c>
      <c r="J33" s="29">
        <f t="shared" ca="1" si="18"/>
        <v>-27895.684159400433</v>
      </c>
      <c r="K33" s="29">
        <f t="shared" ca="1" si="18"/>
        <v>-29606.738216462538</v>
      </c>
      <c r="L33" s="29">
        <f t="shared" ca="1" si="18"/>
        <v>-31066.935636338185</v>
      </c>
      <c r="M33" s="29">
        <f t="shared" ca="1" si="18"/>
        <v>-24967.356073038565</v>
      </c>
      <c r="N33" s="29">
        <f t="shared" ca="1" si="18"/>
        <v>0</v>
      </c>
      <c r="O33" s="29">
        <f t="shared" ca="1" si="18"/>
        <v>0</v>
      </c>
      <c r="P33" s="29">
        <f t="shared" ca="1" si="18"/>
        <v>0</v>
      </c>
      <c r="Q33" s="29">
        <f t="shared" ca="1" si="18"/>
        <v>0</v>
      </c>
      <c r="R33" s="140">
        <f t="shared" ca="1" si="18"/>
        <v>-222473.77928365834</v>
      </c>
      <c r="S33" s="41"/>
      <c r="T33" s="29">
        <f t="shared" ca="1" si="1"/>
        <v>-166439.48757428158</v>
      </c>
      <c r="U33" s="29">
        <f t="shared" ca="1" si="2"/>
        <v>-56034.291709376746</v>
      </c>
      <c r="V33" s="29">
        <f t="shared" ca="1" si="3"/>
        <v>-222473.77928365831</v>
      </c>
      <c r="W33" s="26"/>
      <c r="X33" s="26"/>
      <c r="Y33" s="26"/>
      <c r="Z33" s="26"/>
      <c r="AA33" s="26"/>
    </row>
    <row r="34" spans="1:27" outlineLevel="2">
      <c r="A34" s="42"/>
      <c r="B34" s="43"/>
      <c r="C34" s="43"/>
      <c r="D34" s="43" t="s">
        <v>44</v>
      </c>
      <c r="E34" s="43"/>
      <c r="F34" s="46">
        <f t="shared" ref="F34:Q34" si="19">-3%*(F5+F8+F11+F14)-3%*F102</f>
        <v>-27829.471199999996</v>
      </c>
      <c r="G34" s="46">
        <f t="shared" si="19"/>
        <v>-19466.658299999996</v>
      </c>
      <c r="H34" s="46">
        <f t="shared" si="19"/>
        <v>-19838.838899999999</v>
      </c>
      <c r="I34" s="46">
        <f t="shared" si="19"/>
        <v>-20547.2565</v>
      </c>
      <c r="J34" s="46">
        <f t="shared" si="19"/>
        <v>-17427.305400000001</v>
      </c>
      <c r="K34" s="46">
        <f t="shared" si="19"/>
        <v>-24147.917699999998</v>
      </c>
      <c r="L34" s="46">
        <f t="shared" si="19"/>
        <v>-24857.431499999999</v>
      </c>
      <c r="M34" s="46">
        <f t="shared" si="19"/>
        <v>-19701.645000000004</v>
      </c>
      <c r="N34" s="46">
        <f t="shared" si="19"/>
        <v>0</v>
      </c>
      <c r="O34" s="46">
        <f t="shared" si="19"/>
        <v>0</v>
      </c>
      <c r="P34" s="46">
        <f t="shared" si="19"/>
        <v>0</v>
      </c>
      <c r="Q34" s="46">
        <f t="shared" si="19"/>
        <v>0</v>
      </c>
      <c r="R34" s="143">
        <f t="shared" ref="R34:R36" si="20">SUM(F34:Q34)</f>
        <v>-173816.5245</v>
      </c>
      <c r="S34" s="45"/>
      <c r="T34" s="46">
        <f t="shared" si="1"/>
        <v>-129257.448</v>
      </c>
      <c r="U34" s="46">
        <f t="shared" si="2"/>
        <v>-44559.076500000003</v>
      </c>
      <c r="V34" s="46">
        <f t="shared" si="3"/>
        <v>-173816.5245</v>
      </c>
      <c r="W34" s="42"/>
      <c r="X34" s="42"/>
      <c r="Y34" s="42"/>
      <c r="Z34" s="42"/>
      <c r="AA34" s="42"/>
    </row>
    <row r="35" spans="1:27" outlineLevel="2">
      <c r="A35" s="42"/>
      <c r="B35" s="43"/>
      <c r="C35" s="43"/>
      <c r="D35" s="43" t="s">
        <v>45</v>
      </c>
      <c r="E35" s="43"/>
      <c r="F35" s="46">
        <f>-('Outras Informações'!B90*13.64%*(F16))</f>
        <v>-1303.03224854</v>
      </c>
      <c r="G35" s="46">
        <f>-('Outras Informações'!C90*13.64%*(G16))</f>
        <v>-1251.9115131600001</v>
      </c>
      <c r="H35" s="46">
        <f>-('Outras Informações'!D90*13.64%*(H16))</f>
        <v>-1223.265495804</v>
      </c>
      <c r="I35" s="46">
        <f>-('Outras Informações'!E90*13.64%*(I16))</f>
        <v>-1209.7837334439998</v>
      </c>
      <c r="J35" s="46">
        <f>-('Outras Informações'!F90*13.64%*(J16))</f>
        <v>-1273.22211038</v>
      </c>
      <c r="K35" s="46">
        <f>-('Outras Informações'!G90*13.64%*(K16))</f>
        <v>-1274.0398897599998</v>
      </c>
      <c r="L35" s="46">
        <f>-('Outras Informações'!H90*13.64%*(L16))</f>
        <v>-1310.2808241600001</v>
      </c>
      <c r="M35" s="46">
        <f>-('Outras Informações'!I90*13.64%*(M16))</f>
        <v>-1344.217281924</v>
      </c>
      <c r="N35" s="46">
        <f>-('Outras Informações'!J90*13.64%*(N16))</f>
        <v>0</v>
      </c>
      <c r="O35" s="46">
        <f>-('Outras Informações'!K90*13.64%*(O16))</f>
        <v>0</v>
      </c>
      <c r="P35" s="46">
        <f>-('Outras Informações'!L90*13.64%*(P16))</f>
        <v>0</v>
      </c>
      <c r="Q35" s="46">
        <f>-('Outras Informações'!M90*13.64%*(Q16))</f>
        <v>0</v>
      </c>
      <c r="R35" s="143">
        <f t="shared" si="20"/>
        <v>-10189.753097172001</v>
      </c>
      <c r="S35" s="45"/>
      <c r="T35" s="46">
        <f t="shared" si="1"/>
        <v>-7535.2549910880007</v>
      </c>
      <c r="U35" s="46">
        <f t="shared" si="2"/>
        <v>-2654.498106084</v>
      </c>
      <c r="V35" s="46">
        <f t="shared" si="3"/>
        <v>-10189.753097172001</v>
      </c>
      <c r="W35" s="42"/>
      <c r="X35" s="42"/>
      <c r="Y35" s="42"/>
      <c r="Z35" s="42"/>
      <c r="AA35" s="42"/>
    </row>
    <row r="36" spans="1:27" outlineLevel="2">
      <c r="A36" s="42"/>
      <c r="B36" s="43"/>
      <c r="C36" s="43"/>
      <c r="D36" s="43" t="s">
        <v>46</v>
      </c>
      <c r="E36" s="43"/>
      <c r="F36" s="46">
        <f ca="1">-('Outras Informações'!B89*12.82%*(F17+F21+F22+F23))</f>
        <v>-5102.6749241105072</v>
      </c>
      <c r="G36" s="46">
        <f ca="1">-('Outras Informações'!C89*12.82%*(G17+G21+G22+G23))</f>
        <v>-3575.6094669952704</v>
      </c>
      <c r="H36" s="46">
        <f ca="1">-('Outras Informações'!D89*12.82%*(H17+H21+H22+H23))</f>
        <v>-3779.2079991517262</v>
      </c>
      <c r="I36" s="46">
        <f ca="1">-('Outras Informações'!E89*12.82%*(I17+I21+I22+I23))</f>
        <v>-3809.3549172131011</v>
      </c>
      <c r="J36" s="46">
        <f ca="1">-('Outras Informações'!F89*12.82%*(J17+J21+J22+J23))</f>
        <v>-9195.1566490204314</v>
      </c>
      <c r="K36" s="46">
        <f ca="1">-('Outras Informações'!G89*12.82%*(K17+K21+K22+K23))</f>
        <v>-4184.7806267025408</v>
      </c>
      <c r="L36" s="46">
        <f ca="1">-('Outras Informações'!H89*12.82%*(L17+L21+L22+L23))</f>
        <v>-4899.2233121781856</v>
      </c>
      <c r="M36" s="46">
        <f ca="1">-('Outras Informações'!I89*12.82%*(M17+M21+M22+M23))</f>
        <v>-3921.4937911145607</v>
      </c>
      <c r="N36" s="46">
        <f ca="1">-('Outras Informações'!J89*12.82%*(N17+N21+N22+N23))</f>
        <v>0</v>
      </c>
      <c r="O36" s="46">
        <f ca="1">-('Outras Informações'!K89*12.82%*(O17+O21+O22+O23))</f>
        <v>0</v>
      </c>
      <c r="P36" s="46">
        <f ca="1">-('Outras Informações'!L89*12.82%*(P17+P21+P22+P23))</f>
        <v>0</v>
      </c>
      <c r="Q36" s="46">
        <f ca="1">-('Outras Informações'!M89*12.82%*(Q17+Q21+Q22+Q23))</f>
        <v>0</v>
      </c>
      <c r="R36" s="143">
        <f t="shared" ca="1" si="20"/>
        <v>-38467.501686486321</v>
      </c>
      <c r="S36" s="45"/>
      <c r="T36" s="46">
        <f t="shared" ca="1" si="1"/>
        <v>-29646.784583193574</v>
      </c>
      <c r="U36" s="46">
        <f t="shared" ca="1" si="2"/>
        <v>-8820.7171032927472</v>
      </c>
      <c r="V36" s="46">
        <f t="shared" ca="1" si="3"/>
        <v>-38467.501686486321</v>
      </c>
      <c r="W36" s="42"/>
      <c r="X36" s="42"/>
      <c r="Y36" s="42"/>
      <c r="Z36" s="42"/>
      <c r="AA36" s="42"/>
    </row>
    <row r="37" spans="1:27" outlineLevel="1">
      <c r="A37" s="26"/>
      <c r="B37" s="27"/>
      <c r="C37" s="27" t="s">
        <v>47</v>
      </c>
      <c r="D37" s="28"/>
      <c r="E37" s="27"/>
      <c r="F37" s="29">
        <f t="shared" ref="F37:R37" ca="1" si="21">F38+F39+F40</f>
        <v>-62821.007193367936</v>
      </c>
      <c r="G37" s="29">
        <f t="shared" ca="1" si="21"/>
        <v>-44770.798767409629</v>
      </c>
      <c r="H37" s="29">
        <f t="shared" ca="1" si="21"/>
        <v>-45854.869206154282</v>
      </c>
      <c r="I37" s="29">
        <f t="shared" ca="1" si="21"/>
        <v>-47082.21928663057</v>
      </c>
      <c r="J37" s="29">
        <f t="shared" ca="1" si="21"/>
        <v>-40634.202648857987</v>
      </c>
      <c r="K37" s="29">
        <f t="shared" ca="1" si="21"/>
        <v>-31680.229318341269</v>
      </c>
      <c r="L37" s="29">
        <f t="shared" ca="1" si="21"/>
        <v>-37489.933432025675</v>
      </c>
      <c r="M37" s="29">
        <f t="shared" ca="1" si="21"/>
        <v>-28465.710325359032</v>
      </c>
      <c r="N37" s="29">
        <f t="shared" ca="1" si="21"/>
        <v>0</v>
      </c>
      <c r="O37" s="29">
        <f t="shared" ca="1" si="21"/>
        <v>0</v>
      </c>
      <c r="P37" s="29">
        <f t="shared" ca="1" si="21"/>
        <v>0</v>
      </c>
      <c r="Q37" s="29">
        <f t="shared" ca="1" si="21"/>
        <v>0</v>
      </c>
      <c r="R37" s="140">
        <f t="shared" ca="1" si="21"/>
        <v>-338798.97017814638</v>
      </c>
      <c r="S37" s="41"/>
      <c r="T37" s="29">
        <f t="shared" ca="1" si="1"/>
        <v>-272843.32642076164</v>
      </c>
      <c r="U37" s="29">
        <f t="shared" ca="1" si="2"/>
        <v>-65955.643757384707</v>
      </c>
      <c r="V37" s="29">
        <f t="shared" ca="1" si="3"/>
        <v>-338798.97017814638</v>
      </c>
      <c r="W37" s="26"/>
      <c r="X37" s="26"/>
      <c r="Y37" s="26"/>
      <c r="Z37" s="26"/>
      <c r="AA37" s="26"/>
    </row>
    <row r="38" spans="1:27" outlineLevel="2">
      <c r="A38" s="42"/>
      <c r="B38" s="43"/>
      <c r="C38" s="43"/>
      <c r="D38" s="43" t="s">
        <v>48</v>
      </c>
      <c r="E38" s="43"/>
      <c r="F38" s="46">
        <f t="shared" ref="F38:I38" si="22">-5%*(F5+F8+F11+F14)-5%*F102</f>
        <v>-46382.451999999997</v>
      </c>
      <c r="G38" s="46">
        <f t="shared" si="22"/>
        <v>-32444.430499999995</v>
      </c>
      <c r="H38" s="46">
        <f t="shared" si="22"/>
        <v>-33064.731500000002</v>
      </c>
      <c r="I38" s="46">
        <f t="shared" si="22"/>
        <v>-34245.427500000005</v>
      </c>
      <c r="J38" s="46">
        <f>-5%*('Outras Informações'!F60+J11+J14)-5%*J102-2%*'Outras Informações'!F61</f>
        <v>-13572.593499999995</v>
      </c>
      <c r="K38" s="46">
        <f>-5%*('Outras Informações'!G60+K11+K14)-5%*K102-2%*'Outras Informações'!G61</f>
        <v>-17709.3079</v>
      </c>
      <c r="L38" s="46">
        <f>-5%*('Outras Informações'!H60+L11+L14)-5%*L102-2%*'Outras Informações'!H61</f>
        <v>-21565.747399999997</v>
      </c>
      <c r="M38" s="46">
        <f>-5%*('Outras Informações'!I60+M11+M14)-5%*M102-2%*'Outras Informações'!I61</f>
        <v>-15015.573400000001</v>
      </c>
      <c r="N38" s="46">
        <f>-5%*('Outras Informações'!J60+N11+N14)-5%*N102-2%*'Outras Informações'!J61</f>
        <v>0</v>
      </c>
      <c r="O38" s="46">
        <f>-5%*('Outras Informações'!K60+O11+O14)-5%*O102-2%*'Outras Informações'!K61</f>
        <v>0</v>
      </c>
      <c r="P38" s="46">
        <f>-5%*('Outras Informações'!L60+P11+P14)-5%*P102-2%*'Outras Informações'!L61</f>
        <v>0</v>
      </c>
      <c r="Q38" s="46">
        <f>-5%*('Outras Informações'!M60+Q11+Q14)-5%*Q102-2%*'Outras Informações'!M61</f>
        <v>0</v>
      </c>
      <c r="R38" s="143">
        <f t="shared" ref="R38:R40" si="23">SUM(F38:Q38)</f>
        <v>-214000.26369999995</v>
      </c>
      <c r="S38" s="45"/>
      <c r="T38" s="46">
        <f t="shared" si="1"/>
        <v>-177418.94289999997</v>
      </c>
      <c r="U38" s="46">
        <f t="shared" si="2"/>
        <v>-36581.320800000001</v>
      </c>
      <c r="V38" s="46">
        <f t="shared" si="3"/>
        <v>-214000.26369999995</v>
      </c>
      <c r="W38" s="42"/>
      <c r="X38" s="42"/>
      <c r="Y38" s="42"/>
      <c r="Z38" s="42"/>
      <c r="AA38" s="42"/>
    </row>
    <row r="39" spans="1:27" outlineLevel="2">
      <c r="A39" s="42"/>
      <c r="B39" s="43"/>
      <c r="C39" s="43"/>
      <c r="D39" s="43" t="s">
        <v>49</v>
      </c>
      <c r="E39" s="43"/>
      <c r="F39" s="46">
        <f>-('Outras Informações'!B90*32.5%*(F16))</f>
        <v>-3104.7322637500001</v>
      </c>
      <c r="G39" s="46">
        <f>-('Outras Informações'!C90*32.5%*(G16))</f>
        <v>-2982.9269925000003</v>
      </c>
      <c r="H39" s="46">
        <f>-('Outras Informações'!D90*32.5%*(H16))</f>
        <v>-2914.6721857500002</v>
      </c>
      <c r="I39" s="46">
        <f>-('Outras Informações'!E90*32.5%*(I16))</f>
        <v>-2882.5492182500002</v>
      </c>
      <c r="J39" s="46">
        <f>-('Outras Informações'!F90*32.5%*(J16))</f>
        <v>-3033.7037087500003</v>
      </c>
      <c r="K39" s="46">
        <f>-('Outras Informações'!G90*32.5%*(K16))</f>
        <v>-3035.6522300000001</v>
      </c>
      <c r="L39" s="46">
        <f>-('Outras Informações'!H90*32.5%*(L16))</f>
        <v>-3122.0034299999998</v>
      </c>
      <c r="M39" s="46">
        <f>-('Outras Informações'!I90*32.5%*(M16))</f>
        <v>-3202.86375825</v>
      </c>
      <c r="N39" s="46">
        <f>-('Outras Informações'!J90*32.5%*(N16))</f>
        <v>0</v>
      </c>
      <c r="O39" s="46">
        <f>-('Outras Informações'!K90*32.5%*(O16))</f>
        <v>0</v>
      </c>
      <c r="P39" s="46">
        <f>-('Outras Informações'!L90*32.5%*(P16))</f>
        <v>0</v>
      </c>
      <c r="Q39" s="46">
        <f>-('Outras Informações'!M90*32.5%*(Q16))</f>
        <v>0</v>
      </c>
      <c r="R39" s="143">
        <f t="shared" si="23"/>
        <v>-24279.103787250002</v>
      </c>
      <c r="S39" s="45"/>
      <c r="T39" s="46">
        <f t="shared" si="1"/>
        <v>-17954.236599</v>
      </c>
      <c r="U39" s="46">
        <f t="shared" si="2"/>
        <v>-6324.8671882500003</v>
      </c>
      <c r="V39" s="46">
        <f t="shared" si="3"/>
        <v>-24279.103787250002</v>
      </c>
      <c r="W39" s="42"/>
      <c r="X39" s="42"/>
      <c r="Y39" s="42"/>
      <c r="Z39" s="42"/>
      <c r="AA39" s="42"/>
    </row>
    <row r="40" spans="1:27" outlineLevel="2">
      <c r="A40" s="42"/>
      <c r="B40" s="43"/>
      <c r="C40" s="43"/>
      <c r="D40" s="43" t="s">
        <v>50</v>
      </c>
      <c r="E40" s="43"/>
      <c r="F40" s="46">
        <f ca="1">-('Outras Informações'!B89*33.5%*(F17+F21+F22+F23))</f>
        <v>-13333.82292961794</v>
      </c>
      <c r="G40" s="46">
        <f ca="1">-('Outras Informações'!C89*33.5%*(G17+G21+G22+G23))</f>
        <v>-9343.4412749096391</v>
      </c>
      <c r="H40" s="46">
        <f ca="1">-('Outras Informações'!D89*33.5%*(H17+H21+H22+H23))</f>
        <v>-9875.4655204042774</v>
      </c>
      <c r="I40" s="46">
        <f ca="1">-('Outras Informações'!E89*33.5%*(I17+I21+I22+I23))</f>
        <v>-9954.2425683805668</v>
      </c>
      <c r="J40" s="46">
        <f ca="1">-('Outras Informações'!F89*33.5%*(J17+J21+J22+J23))</f>
        <v>-24027.905440107992</v>
      </c>
      <c r="K40" s="46">
        <f ca="1">-('Outras Informações'!G89*33.5%*(K17+K21+K22+K23))</f>
        <v>-10935.269188341272</v>
      </c>
      <c r="L40" s="46">
        <f ca="1">-('Outras Informações'!H89*33.5%*(L17+L21+L22+L23))</f>
        <v>-12802.182602025679</v>
      </c>
      <c r="M40" s="46">
        <f ca="1">-('Outras Informações'!I89*33.5%*(M17+M21+M22+M23))</f>
        <v>-10247.273167109031</v>
      </c>
      <c r="N40" s="46">
        <f ca="1">-('Outras Informações'!J89*33.5%*(N17+N21+N22+N23))</f>
        <v>0</v>
      </c>
      <c r="O40" s="46">
        <f ca="1">-('Outras Informações'!K89*33.5%*(O17+O21+O22+O23))</f>
        <v>0</v>
      </c>
      <c r="P40" s="46">
        <f ca="1">-('Outras Informações'!L89*33.5%*(P17+P21+P22+P23))</f>
        <v>0</v>
      </c>
      <c r="Q40" s="46">
        <f ca="1">-('Outras Informações'!M89*33.5%*(Q17+Q21+Q22+Q23))</f>
        <v>0</v>
      </c>
      <c r="R40" s="143">
        <f t="shared" ca="1" si="23"/>
        <v>-100519.60269089641</v>
      </c>
      <c r="S40" s="45"/>
      <c r="T40" s="46">
        <f t="shared" ca="1" si="1"/>
        <v>-77470.146921761698</v>
      </c>
      <c r="U40" s="46">
        <f t="shared" ca="1" si="2"/>
        <v>-23049.455769134711</v>
      </c>
      <c r="V40" s="46">
        <f t="shared" ca="1" si="3"/>
        <v>-100519.60269089641</v>
      </c>
      <c r="W40" s="42"/>
      <c r="X40" s="42"/>
      <c r="Y40" s="42"/>
      <c r="Z40" s="42"/>
      <c r="AA40" s="42"/>
    </row>
    <row r="41" spans="1:27">
      <c r="A41" s="11"/>
      <c r="B41" s="48" t="s">
        <v>51</v>
      </c>
      <c r="C41" s="49"/>
      <c r="D41" s="50"/>
      <c r="E41" s="49"/>
      <c r="F41" s="51">
        <f t="shared" ref="F41:R41" ca="1" si="24">F4+F27</f>
        <v>1582207.8078035447</v>
      </c>
      <c r="G41" s="51">
        <f t="shared" ca="1" si="24"/>
        <v>1204257.7005457247</v>
      </c>
      <c r="H41" s="51">
        <f t="shared" ca="1" si="24"/>
        <v>1371332.6028682468</v>
      </c>
      <c r="I41" s="51">
        <f t="shared" ca="1" si="24"/>
        <v>1343845.4622219054</v>
      </c>
      <c r="J41" s="51">
        <f t="shared" ca="1" si="24"/>
        <v>1521704.5067373458</v>
      </c>
      <c r="K41" s="51">
        <f t="shared" ca="1" si="24"/>
        <v>1378073.3218928955</v>
      </c>
      <c r="L41" s="51">
        <f t="shared" ca="1" si="24"/>
        <v>1572185.86631478</v>
      </c>
      <c r="M41" s="51">
        <f t="shared" ca="1" si="24"/>
        <v>1327607.8691209722</v>
      </c>
      <c r="N41" s="51">
        <f t="shared" ca="1" si="24"/>
        <v>0</v>
      </c>
      <c r="O41" s="51">
        <f t="shared" ca="1" si="24"/>
        <v>0</v>
      </c>
      <c r="P41" s="51">
        <f t="shared" ca="1" si="24"/>
        <v>0</v>
      </c>
      <c r="Q41" s="51">
        <f t="shared" ca="1" si="24"/>
        <v>0</v>
      </c>
      <c r="R41" s="144">
        <f t="shared" ca="1" si="24"/>
        <v>11301215.137505416</v>
      </c>
      <c r="S41" s="25"/>
      <c r="T41" s="51">
        <f t="shared" ca="1" si="1"/>
        <v>8401421.4020696636</v>
      </c>
      <c r="U41" s="51">
        <f t="shared" ca="1" si="2"/>
        <v>2899793.7354357522</v>
      </c>
      <c r="V41" s="51">
        <f t="shared" ca="1" si="3"/>
        <v>11301215.137505416</v>
      </c>
      <c r="W41" s="11"/>
      <c r="X41" s="11"/>
      <c r="Y41" s="11"/>
      <c r="Z41" s="11"/>
      <c r="AA41" s="11"/>
    </row>
    <row r="42" spans="1:27">
      <c r="A42" s="11"/>
      <c r="B42" s="19" t="s">
        <v>52</v>
      </c>
      <c r="C42" s="20"/>
      <c r="D42" s="21"/>
      <c r="E42" s="20"/>
      <c r="F42" s="22">
        <f t="shared" ref="F42:R42" ca="1" si="25">SUM(F43:F47)</f>
        <v>-75616.963999999993</v>
      </c>
      <c r="G42" s="22">
        <f t="shared" ca="1" si="25"/>
        <v>-46012.149879999997</v>
      </c>
      <c r="H42" s="22">
        <f t="shared" ca="1" si="25"/>
        <v>-61394.776449999983</v>
      </c>
      <c r="I42" s="22">
        <f t="shared" ca="1" si="25"/>
        <v>-52504.5020699999</v>
      </c>
      <c r="J42" s="22">
        <f t="shared" ca="1" si="25"/>
        <v>-235852.36188000001</v>
      </c>
      <c r="K42" s="22">
        <f t="shared" ca="1" si="25"/>
        <v>-30271.710849999999</v>
      </c>
      <c r="L42" s="22">
        <f t="shared" ca="1" si="25"/>
        <v>-54339.314639999982</v>
      </c>
      <c r="M42" s="22">
        <f t="shared" ca="1" si="25"/>
        <v>-14711.09333</v>
      </c>
      <c r="N42" s="22">
        <f t="shared" ca="1" si="25"/>
        <v>0</v>
      </c>
      <c r="O42" s="22">
        <f t="shared" ca="1" si="25"/>
        <v>0</v>
      </c>
      <c r="P42" s="22">
        <f t="shared" ca="1" si="25"/>
        <v>0</v>
      </c>
      <c r="Q42" s="22">
        <f t="shared" ca="1" si="25"/>
        <v>0</v>
      </c>
      <c r="R42" s="139">
        <f t="shared" ca="1" si="25"/>
        <v>-570702.87309999985</v>
      </c>
      <c r="S42" s="54"/>
      <c r="T42" s="22">
        <f t="shared" ca="1" si="1"/>
        <v>-501652.46512999985</v>
      </c>
      <c r="U42" s="22">
        <f t="shared" ca="1" si="2"/>
        <v>-69050.407969999986</v>
      </c>
      <c r="V42" s="22">
        <f t="shared" ca="1" si="3"/>
        <v>-570702.87309999985</v>
      </c>
      <c r="W42" s="1"/>
      <c r="X42" s="1"/>
      <c r="Y42" s="1"/>
      <c r="Z42" s="1"/>
      <c r="AA42" s="1"/>
    </row>
    <row r="43" spans="1:27" outlineLevel="1">
      <c r="A43" s="26"/>
      <c r="B43" s="27"/>
      <c r="C43" s="27" t="s">
        <v>53</v>
      </c>
      <c r="D43" s="28"/>
      <c r="E43" s="27"/>
      <c r="F43" s="29">
        <f>SUMIFS('Lançamentos Omie'!$G:$G,'Lançamentos Omie'!$I:$I,$C43,'Lançamentos Omie'!$F:$F,F$2)-'Outras Informações'!B97</f>
        <v>-12966.67</v>
      </c>
      <c r="G43" s="29">
        <f>SUMIFS('Lançamentos Omie'!$G:$G,'Lançamentos Omie'!$I:$I,$C43,'Lançamentos Omie'!$F:$F,G$2)-'Outras Informações'!C97</f>
        <v>-12966.67</v>
      </c>
      <c r="H43" s="29">
        <f>SUMIFS('Lançamentos Omie'!$G:$G,'Lançamentos Omie'!$I:$I,$C43,'Lançamentos Omie'!$F:$F,H$2)-'Outras Informações'!D97</f>
        <v>-12966.67</v>
      </c>
      <c r="I43" s="29">
        <f>SUMIFS('Lançamentos Omie'!$G:$G,'Lançamentos Omie'!$I:$I,$C43,'Lançamentos Omie'!$F:$F,I$2)-'Outras Informações'!E97</f>
        <v>-12966.67</v>
      </c>
      <c r="J43" s="29">
        <f>SUMIFS('Lançamentos Omie'!$G:$G,'Lançamentos Omie'!$I:$I,$C43,'Lançamentos Omie'!$F:$F,J$2)-'Outras Informações'!F97</f>
        <v>-23166.67</v>
      </c>
      <c r="K43" s="29">
        <f>SUMIFS('Lançamentos Omie'!$G:$G,'Lançamentos Omie'!$I:$I,$C43,'Lançamentos Omie'!$F:$F,K$2)-'Outras Informações'!G97</f>
        <v>-12966.67</v>
      </c>
      <c r="L43" s="29">
        <f>SUMIFS('Lançamentos Omie'!$G:$G,'Lançamentos Omie'!$I:$I,$C43,'Lançamentos Omie'!$F:$F,L$2)-'Outras Informações'!H97</f>
        <v>-12966.67</v>
      </c>
      <c r="M43" s="29">
        <f>SUMIFS('Lançamentos Omie'!$G:$G,'Lançamentos Omie'!$I:$I,$C43,'Lançamentos Omie'!$F:$F,M$2)-'Outras Informações'!I97</f>
        <v>-12966.67</v>
      </c>
      <c r="N43" s="29">
        <f>SUMIFS('Lançamentos Omie'!$G:$G,'Lançamentos Omie'!$I:$I,$C43,'Lançamentos Omie'!$F:$F,N$2)-'Outras Informações'!J97</f>
        <v>0</v>
      </c>
      <c r="O43" s="29">
        <f>SUMIFS('Lançamentos Omie'!$G:$G,'Lançamentos Omie'!$I:$I,$C43,'Lançamentos Omie'!$F:$F,O$2)-'Outras Informações'!K97</f>
        <v>0</v>
      </c>
      <c r="P43" s="29">
        <f>SUMIFS('Lançamentos Omie'!$G:$G,'Lançamentos Omie'!$I:$I,$C43,'Lançamentos Omie'!$F:$F,P$2)-'Outras Informações'!L97</f>
        <v>0</v>
      </c>
      <c r="Q43" s="29">
        <f>SUMIFS('Lançamentos Omie'!$G:$G,'Lançamentos Omie'!$I:$I,$C43,'Lançamentos Omie'!$F:$F,Q$2)-'Outras Informações'!M97</f>
        <v>0</v>
      </c>
      <c r="R43" s="140">
        <f t="shared" ref="R43:R47" si="26">SUM(F43:Q43)</f>
        <v>-113933.36</v>
      </c>
      <c r="S43" s="31"/>
      <c r="T43" s="29">
        <f t="shared" si="1"/>
        <v>-88000.02</v>
      </c>
      <c r="U43" s="29">
        <f t="shared" si="2"/>
        <v>-25933.34</v>
      </c>
      <c r="V43" s="29">
        <f t="shared" si="3"/>
        <v>-113933.36</v>
      </c>
      <c r="W43" s="55"/>
      <c r="X43" s="55"/>
      <c r="Y43" s="55"/>
      <c r="Z43" s="55"/>
      <c r="AA43" s="55"/>
    </row>
    <row r="44" spans="1:27" outlineLevel="1">
      <c r="A44" s="26"/>
      <c r="B44" s="27"/>
      <c r="C44" s="27" t="s">
        <v>54</v>
      </c>
      <c r="D44" s="28"/>
      <c r="E44" s="27"/>
      <c r="F44" s="29">
        <f ca="1">-'P&amp;D'!C6-'P&amp;D'!B25</f>
        <v>-1535.4939999999999</v>
      </c>
      <c r="G44" s="29">
        <f ca="1">-'P&amp;D'!D6-'P&amp;D'!C25</f>
        <v>-2166.0598799999998</v>
      </c>
      <c r="H44" s="29">
        <f ca="1">-'P&amp;D'!E6-'P&amp;D'!D25</f>
        <v>-2401.7164499999999</v>
      </c>
      <c r="I44" s="29">
        <f ca="1">-'P&amp;D'!F6-'P&amp;D'!E25</f>
        <v>-3363.4120699999999</v>
      </c>
      <c r="J44" s="29">
        <f ca="1">-'P&amp;D'!G6-'P&amp;D'!F25</f>
        <v>-188587.80188000004</v>
      </c>
      <c r="K44" s="29">
        <f ca="1">-'P&amp;D'!H6-'P&amp;D'!G25</f>
        <v>-4360.0908499999996</v>
      </c>
      <c r="L44" s="29">
        <f ca="1">-'P&amp;D'!I6-'P&amp;D'!H25</f>
        <v>-5077.9446399999997</v>
      </c>
      <c r="M44" s="29">
        <f ca="1">-'P&amp;D'!J6-'P&amp;D'!I25</f>
        <v>-1744.4233300000001</v>
      </c>
      <c r="N44" s="29">
        <f ca="1">-'P&amp;D'!K6-'P&amp;D'!J25</f>
        <v>0</v>
      </c>
      <c r="O44" s="29">
        <f ca="1">-'P&amp;D'!L6-'P&amp;D'!K25</f>
        <v>0</v>
      </c>
      <c r="P44" s="29">
        <f ca="1">-'P&amp;D'!M6-'P&amp;D'!L25</f>
        <v>0</v>
      </c>
      <c r="Q44" s="29">
        <f ca="1">-'P&amp;D'!N6-'P&amp;D'!M25</f>
        <v>0</v>
      </c>
      <c r="R44" s="140">
        <f t="shared" ca="1" si="26"/>
        <v>-209236.94310000003</v>
      </c>
      <c r="S44" s="31"/>
      <c r="T44" s="29">
        <f t="shared" ca="1" si="1"/>
        <v>-202414.57513000004</v>
      </c>
      <c r="U44" s="29">
        <f t="shared" ca="1" si="2"/>
        <v>-6822.3679699999993</v>
      </c>
      <c r="V44" s="29">
        <f t="shared" ca="1" si="3"/>
        <v>-209236.94310000003</v>
      </c>
      <c r="W44" s="55"/>
      <c r="X44" s="55"/>
      <c r="Y44" s="55"/>
      <c r="Z44" s="55"/>
      <c r="AA44" s="55"/>
    </row>
    <row r="45" spans="1:27" outlineLevel="1">
      <c r="A45" s="26"/>
      <c r="B45" s="27"/>
      <c r="C45" s="27" t="s">
        <v>55</v>
      </c>
      <c r="D45" s="28"/>
      <c r="E45" s="27"/>
      <c r="F45" s="29">
        <f>-'Outras Informações'!B104+SUMIFS('Lançamentos Omie'!$G:$G,'Lançamentos Omie'!$I:$I,$C45,'Lançamentos Omie'!$F:$F,F$2)</f>
        <v>-45074.340000000004</v>
      </c>
      <c r="G45" s="29">
        <f>-'Outras Informações'!C104+SUMIFS('Lançamentos Omie'!$G:$G,'Lançamentos Omie'!$I:$I,$C45,'Lançamentos Omie'!$F:$F,G$2)</f>
        <v>-9114.1200000000008</v>
      </c>
      <c r="H45" s="29">
        <f>-'Outras Informações'!D104+SUMIFS('Lançamentos Omie'!$G:$G,'Lançamentos Omie'!$I:$I,$C45,'Lançamentos Omie'!$F:$F,H$2)</f>
        <v>-2700</v>
      </c>
      <c r="I45" s="29">
        <f>-'Outras Informações'!E104+SUMIFS('Lançamentos Omie'!$G:$G,'Lançamentos Omie'!$I:$I,$C45,'Lançamentos Omie'!$F:$F,I$2)</f>
        <v>-3658</v>
      </c>
      <c r="J45" s="29">
        <f>-'Outras Informações'!F104+SUMIFS('Lançamentos Omie'!$G:$G,'Lançamentos Omie'!$I:$I,$C45,'Lançamentos Omie'!$F:$F,J$2)</f>
        <v>-4595.6499999999996</v>
      </c>
      <c r="K45" s="29">
        <f>-'Outras Informações'!G104+SUMIFS('Lançamentos Omie'!$G:$G,'Lançamentos Omie'!$I:$I,$C45,'Lançamentos Omie'!$F:$F,K$2)</f>
        <v>-5880.9</v>
      </c>
      <c r="L45" s="29">
        <f>-'Outras Informações'!H104+SUMIFS('Lançamentos Omie'!$G:$G,'Lançamentos Omie'!$I:$I,$C45,'Lançamentos Omie'!$F:$F,L$2)</f>
        <v>-20072.440000000002</v>
      </c>
      <c r="M45" s="29">
        <f>-'Outras Informações'!I104+SUMIFS('Lançamentos Omie'!$G:$G,'Lançamentos Omie'!$I:$I,$C45,'Lançamentos Omie'!$F:$F,M$2)</f>
        <v>0</v>
      </c>
      <c r="N45" s="29">
        <f>-'Outras Informações'!J104+SUMIFS('Lançamentos Omie'!$G:$G,'Lançamentos Omie'!$I:$I,$C45,'Lançamentos Omie'!$F:$F,N$2)</f>
        <v>0</v>
      </c>
      <c r="O45" s="29">
        <f>-'Outras Informações'!K104+SUMIFS('Lançamentos Omie'!$G:$G,'Lançamentos Omie'!$I:$I,$C45,'Lançamentos Omie'!$F:$F,O$2)</f>
        <v>0</v>
      </c>
      <c r="P45" s="29">
        <f>-'Outras Informações'!L104+SUMIFS('Lançamentos Omie'!$G:$G,'Lançamentos Omie'!$I:$I,$C45,'Lançamentos Omie'!$F:$F,P$2)</f>
        <v>0</v>
      </c>
      <c r="Q45" s="29">
        <f>-'Outras Informações'!M104+SUMIFS('Lançamentos Omie'!$G:$G,'Lançamentos Omie'!$I:$I,$C45,'Lançamentos Omie'!$F:$F,Q$2)</f>
        <v>0</v>
      </c>
      <c r="R45" s="140">
        <f t="shared" si="26"/>
        <v>-91095.450000000012</v>
      </c>
      <c r="S45" s="31"/>
      <c r="T45" s="29">
        <f t="shared" si="1"/>
        <v>-71023.010000000009</v>
      </c>
      <c r="U45" s="29">
        <f t="shared" si="2"/>
        <v>-20072.440000000002</v>
      </c>
      <c r="V45" s="29">
        <f t="shared" si="3"/>
        <v>-91095.450000000012</v>
      </c>
      <c r="W45" s="55"/>
      <c r="X45" s="55"/>
      <c r="Y45" s="55"/>
      <c r="Z45" s="55"/>
      <c r="AA45" s="55"/>
    </row>
    <row r="46" spans="1:27" outlineLevel="1">
      <c r="A46" s="145"/>
      <c r="B46" s="27"/>
      <c r="C46" s="27" t="s">
        <v>56</v>
      </c>
      <c r="D46" s="28"/>
      <c r="E46" s="27"/>
      <c r="F46" s="29">
        <f ca="1">SUMIFS('Lançamentos Omie'!$G:$G,'Lançamentos Omie'!$I:$I,$C46,'Lançamentos Omie'!$F:$F,F$2)-'Viagens Consultoria'!C13</f>
        <v>-9757.3699999999899</v>
      </c>
      <c r="G46" s="29">
        <f ca="1">SUMIFS('Lançamentos Omie'!$G:$G,'Lançamentos Omie'!$I:$I,$C46,'Lançamentos Omie'!$F:$F,G$2)-'Viagens Consultoria'!D13</f>
        <v>-21765.299999999992</v>
      </c>
      <c r="H46" s="29">
        <f ca="1">SUMIFS('Lançamentos Omie'!$G:$G,'Lançamentos Omie'!$I:$I,$C46,'Lançamentos Omie'!$F:$F,H$2)-'Viagens Consultoria'!E13</f>
        <v>-43326.389999999985</v>
      </c>
      <c r="I46" s="29">
        <f ca="1">SUMIFS('Lançamentos Omie'!$G:$G,'Lançamentos Omie'!$I:$I,$C46,'Lançamentos Omie'!$F:$F,I$2)-'Viagens Consultoria'!F13</f>
        <v>-32516.4199999999</v>
      </c>
      <c r="J46" s="29">
        <f ca="1">SUMIFS('Lançamentos Omie'!$G:$G,'Lançamentos Omie'!$I:$I,$C46,'Lançamentos Omie'!$F:$F,J$2)-'Viagens Consultoria'!G13+'Viagens Consultoria'!J43+'Viagens Consultoria'!J44+'Viagens Consultoria'!J46+'Viagens Consultoria'!J48</f>
        <v>-19502.239999999998</v>
      </c>
      <c r="K46" s="29">
        <f ca="1">SUMIFS('Lançamentos Omie'!$G:$G,'Lançamentos Omie'!$I:$I,$C46,'Lançamentos Omie'!$F:$F,K$2)-'Viagens Consultoria'!H13+'Viagens Consultoria'!H11</f>
        <v>-7064.0499999999993</v>
      </c>
      <c r="L46" s="29">
        <f ca="1">SUMIFS('Lançamentos Omie'!$G:$G,'Lançamentos Omie'!$I:$I,$C46,'Lançamentos Omie'!$F:$F,L$2)-'Viagens Consultoria'!I13+'Viagens Consultoria'!I11</f>
        <v>-16222.25999999998</v>
      </c>
      <c r="M46" s="29"/>
      <c r="N46" s="29"/>
      <c r="O46" s="29"/>
      <c r="P46" s="29"/>
      <c r="Q46" s="29"/>
      <c r="R46" s="140">
        <f t="shared" ca="1" si="26"/>
        <v>-150154.02999999982</v>
      </c>
      <c r="S46" s="31"/>
      <c r="T46" s="29">
        <f t="shared" ca="1" si="1"/>
        <v>-133931.76999999984</v>
      </c>
      <c r="U46" s="29">
        <f t="shared" ca="1" si="2"/>
        <v>-16222.25999999998</v>
      </c>
      <c r="V46" s="29">
        <f t="shared" ca="1" si="3"/>
        <v>-150154.02999999982</v>
      </c>
      <c r="W46" s="55"/>
      <c r="X46" s="55"/>
      <c r="Y46" s="55"/>
      <c r="Z46" s="55"/>
      <c r="AA46" s="55"/>
    </row>
    <row r="47" spans="1:27" outlineLevel="1">
      <c r="A47" s="26"/>
      <c r="B47" s="27"/>
      <c r="C47" s="56" t="s">
        <v>57</v>
      </c>
      <c r="D47" s="28"/>
      <c r="E47" s="27"/>
      <c r="F47" s="29">
        <f>SUMIFS('Lançamentos Omie'!$G:$G,'Lançamentos Omie'!$I:$I,$C47,'Lançamentos Omie'!$F:$F,F$2)-'Outras Informações'!B101</f>
        <v>-6283.09</v>
      </c>
      <c r="G47" s="29">
        <f>SUMIFS('Lançamentos Omie'!$G:$G,'Lançamentos Omie'!$I:$I,$C47,'Lançamentos Omie'!$F:$F,G$2)-'Outras Informações'!C101</f>
        <v>0</v>
      </c>
      <c r="H47" s="29">
        <f>SUMIFS('Lançamentos Omie'!$G:$G,'Lançamentos Omie'!$I:$I,$C47,'Lançamentos Omie'!$F:$F,H$2)-'Outras Informações'!D101</f>
        <v>0</v>
      </c>
      <c r="I47" s="29">
        <f>SUMIFS('Lançamentos Omie'!$G:$G,'Lançamentos Omie'!$I:$I,$C47,'Lançamentos Omie'!$F:$F,I$2)-'Outras Informações'!E101</f>
        <v>0</v>
      </c>
      <c r="J47" s="29">
        <f>SUMIFS('Lançamentos Omie'!$G:$G,'Lançamentos Omie'!$I:$I,$C47,'Lançamentos Omie'!$F:$F,J$2)-'Outras Informações'!F101</f>
        <v>0</v>
      </c>
      <c r="K47" s="29">
        <f>SUMIFS('Lançamentos Omie'!$G:$G,'Lançamentos Omie'!$I:$I,$C47,'Lançamentos Omie'!$F:$F,K$2)-'Outras Informações'!G101</f>
        <v>0</v>
      </c>
      <c r="L47" s="29">
        <f>SUMIFS('Lançamentos Omie'!$G:$G,'Lançamentos Omie'!$I:$I,$C47,'Lançamentos Omie'!$F:$F,L$2)-'Outras Informações'!H101</f>
        <v>0</v>
      </c>
      <c r="M47" s="29">
        <f>SUMIFS('Lançamentos Omie'!$G:$G,'Lançamentos Omie'!$I:$I,$C47,'Lançamentos Omie'!$F:$F,M$2)-'Outras Informações'!I101</f>
        <v>0</v>
      </c>
      <c r="N47" s="29">
        <f>SUMIFS('Lançamentos Omie'!$G:$G,'Lançamentos Omie'!$I:$I,$C47,'Lançamentos Omie'!$F:$F,N$2)-'Outras Informações'!J101</f>
        <v>0</v>
      </c>
      <c r="O47" s="29">
        <f>SUMIFS('Lançamentos Omie'!$G:$G,'Lançamentos Omie'!$I:$I,$C47,'Lançamentos Omie'!$F:$F,O$2)-'Outras Informações'!K101</f>
        <v>0</v>
      </c>
      <c r="P47" s="29">
        <f>SUMIFS('Lançamentos Omie'!$G:$G,'Lançamentos Omie'!$I:$I,$C47,'Lançamentos Omie'!$F:$F,P$2)-'Outras Informações'!L101</f>
        <v>0</v>
      </c>
      <c r="Q47" s="29">
        <f>SUMIFS('Lançamentos Omie'!$G:$G,'Lançamentos Omie'!$I:$I,$C47,'Lançamentos Omie'!$F:$F,Q$2)-'Outras Informações'!M101</f>
        <v>0</v>
      </c>
      <c r="R47" s="140">
        <f t="shared" si="26"/>
        <v>-6283.09</v>
      </c>
      <c r="S47" s="31"/>
      <c r="T47" s="29">
        <f t="shared" si="1"/>
        <v>-6283.09</v>
      </c>
      <c r="U47" s="29">
        <f t="shared" si="2"/>
        <v>0</v>
      </c>
      <c r="V47" s="29">
        <f t="shared" si="3"/>
        <v>-6283.09</v>
      </c>
      <c r="W47" s="55"/>
      <c r="X47" s="55"/>
      <c r="Y47" s="55"/>
      <c r="Z47" s="55"/>
      <c r="AA47" s="55"/>
    </row>
    <row r="48" spans="1:27" ht="15.75">
      <c r="A48" s="57"/>
      <c r="B48" s="58" t="s">
        <v>58</v>
      </c>
      <c r="C48" s="59"/>
      <c r="D48" s="60"/>
      <c r="E48" s="59"/>
      <c r="F48" s="61">
        <f t="shared" ref="F48:R48" ca="1" si="27">F41+F42</f>
        <v>1506590.8438035448</v>
      </c>
      <c r="G48" s="61">
        <f t="shared" ca="1" si="27"/>
        <v>1158245.5506657248</v>
      </c>
      <c r="H48" s="61">
        <f t="shared" ca="1" si="27"/>
        <v>1309937.8264182468</v>
      </c>
      <c r="I48" s="61">
        <f t="shared" ca="1" si="27"/>
        <v>1291340.9601519054</v>
      </c>
      <c r="J48" s="61">
        <f t="shared" ca="1" si="27"/>
        <v>1285852.1448573458</v>
      </c>
      <c r="K48" s="61">
        <f t="shared" ca="1" si="27"/>
        <v>1347801.6110428956</v>
      </c>
      <c r="L48" s="61">
        <f t="shared" ca="1" si="27"/>
        <v>1517846.55167478</v>
      </c>
      <c r="M48" s="61">
        <f t="shared" ca="1" si="27"/>
        <v>1312896.7757909722</v>
      </c>
      <c r="N48" s="61">
        <f t="shared" ca="1" si="27"/>
        <v>0</v>
      </c>
      <c r="O48" s="61">
        <f t="shared" ca="1" si="27"/>
        <v>0</v>
      </c>
      <c r="P48" s="61">
        <f t="shared" ca="1" si="27"/>
        <v>0</v>
      </c>
      <c r="Q48" s="61">
        <f t="shared" ca="1" si="27"/>
        <v>0</v>
      </c>
      <c r="R48" s="146">
        <f t="shared" ca="1" si="27"/>
        <v>10730512.264405416</v>
      </c>
      <c r="S48" s="64"/>
      <c r="T48" s="61">
        <f t="shared" ca="1" si="1"/>
        <v>7899768.9369396633</v>
      </c>
      <c r="U48" s="61">
        <f t="shared" ca="1" si="2"/>
        <v>2830743.3274657521</v>
      </c>
      <c r="V48" s="61">
        <f t="shared" ca="1" si="3"/>
        <v>10730512.264405414</v>
      </c>
      <c r="W48" s="57"/>
      <c r="X48" s="57"/>
      <c r="Y48" s="57"/>
      <c r="Z48" s="57"/>
      <c r="AA48" s="57"/>
    </row>
    <row r="49" spans="1:27">
      <c r="A49" s="11"/>
      <c r="B49" s="19" t="s">
        <v>59</v>
      </c>
      <c r="C49" s="20"/>
      <c r="D49" s="21"/>
      <c r="E49" s="20"/>
      <c r="F49" s="22">
        <f t="shared" ref="F49:R49" ca="1" si="28">F50+F52+F77+F93+F98</f>
        <v>-798679.76909031067</v>
      </c>
      <c r="G49" s="22">
        <f t="shared" ca="1" si="28"/>
        <v>-797902.93300109974</v>
      </c>
      <c r="H49" s="22">
        <f t="shared" ca="1" si="28"/>
        <v>-811408.82370326878</v>
      </c>
      <c r="I49" s="22">
        <f t="shared" ca="1" si="28"/>
        <v>-819658.86379765405</v>
      </c>
      <c r="J49" s="22">
        <f t="shared" ca="1" si="28"/>
        <v>-812642.88925947482</v>
      </c>
      <c r="K49" s="22">
        <f t="shared" ca="1" si="28"/>
        <v>-790160.48161661124</v>
      </c>
      <c r="L49" s="22">
        <f t="shared" ca="1" si="28"/>
        <v>-784338.0527151241</v>
      </c>
      <c r="M49" s="22">
        <f t="shared" ca="1" si="28"/>
        <v>-771611.06490561808</v>
      </c>
      <c r="N49" s="22">
        <f t="shared" ca="1" si="28"/>
        <v>0</v>
      </c>
      <c r="O49" s="22">
        <f t="shared" ca="1" si="28"/>
        <v>0</v>
      </c>
      <c r="P49" s="22">
        <f t="shared" ca="1" si="28"/>
        <v>0</v>
      </c>
      <c r="Q49" s="22">
        <f t="shared" ca="1" si="28"/>
        <v>0</v>
      </c>
      <c r="R49" s="139">
        <f t="shared" ca="1" si="28"/>
        <v>-6386402.8780891616</v>
      </c>
      <c r="S49" s="54"/>
      <c r="T49" s="22">
        <f t="shared" ca="1" si="1"/>
        <v>-4830453.7604684196</v>
      </c>
      <c r="U49" s="22">
        <f t="shared" ca="1" si="2"/>
        <v>-1555949.1176207422</v>
      </c>
      <c r="V49" s="22">
        <f t="shared" ca="1" si="3"/>
        <v>-6386402.8780891616</v>
      </c>
      <c r="W49" s="1"/>
      <c r="X49" s="1"/>
      <c r="Y49" s="1"/>
      <c r="Z49" s="1"/>
      <c r="AA49" s="1"/>
    </row>
    <row r="50" spans="1:27" outlineLevel="1">
      <c r="A50" s="26"/>
      <c r="B50" s="28"/>
      <c r="C50" s="65" t="s">
        <v>60</v>
      </c>
      <c r="D50" s="28"/>
      <c r="E50" s="27"/>
      <c r="F50" s="66">
        <f t="shared" ref="F50:R50" si="29">F51</f>
        <v>-5904.0899999999992</v>
      </c>
      <c r="G50" s="66">
        <f t="shared" si="29"/>
        <v>-1572.4399999999998</v>
      </c>
      <c r="H50" s="66">
        <f t="shared" si="29"/>
        <v>-1868.52</v>
      </c>
      <c r="I50" s="66">
        <f t="shared" si="29"/>
        <v>-18760.590000000004</v>
      </c>
      <c r="J50" s="66">
        <f t="shared" si="29"/>
        <v>-6865.39</v>
      </c>
      <c r="K50" s="66">
        <f t="shared" si="29"/>
        <v>-10164.83</v>
      </c>
      <c r="L50" s="66">
        <f t="shared" si="29"/>
        <v>-3093.07</v>
      </c>
      <c r="M50" s="66">
        <f t="shared" si="29"/>
        <v>-6624.7099999999982</v>
      </c>
      <c r="N50" s="66">
        <f t="shared" si="29"/>
        <v>0</v>
      </c>
      <c r="O50" s="66">
        <f t="shared" si="29"/>
        <v>0</v>
      </c>
      <c r="P50" s="66">
        <f t="shared" si="29"/>
        <v>0</v>
      </c>
      <c r="Q50" s="66">
        <f t="shared" si="29"/>
        <v>0</v>
      </c>
      <c r="R50" s="147">
        <f t="shared" si="29"/>
        <v>-54853.640000000007</v>
      </c>
      <c r="S50" s="41"/>
      <c r="T50" s="66">
        <f t="shared" si="1"/>
        <v>-45135.860000000008</v>
      </c>
      <c r="U50" s="66">
        <f t="shared" si="2"/>
        <v>-9717.7799999999988</v>
      </c>
      <c r="V50" s="66">
        <f t="shared" si="3"/>
        <v>-54853.640000000007</v>
      </c>
      <c r="W50" s="26"/>
      <c r="X50" s="26"/>
      <c r="Y50" s="26"/>
      <c r="Z50" s="26"/>
      <c r="AA50" s="26"/>
    </row>
    <row r="51" spans="1:27" ht="15.75" outlineLevel="2">
      <c r="A51" s="57"/>
      <c r="B51" s="12"/>
      <c r="C51" s="12"/>
      <c r="D51" s="43" t="s">
        <v>61</v>
      </c>
      <c r="E51" s="12"/>
      <c r="F51" s="46">
        <f>SUMIFS('Lançamentos Omie'!$G:$G,'Lançamentos Omie'!$I:$I,$D51,'Lançamentos Omie'!$F:$F,F$2)</f>
        <v>-5904.0899999999992</v>
      </c>
      <c r="G51" s="46">
        <f>SUMIFS('Lançamentos Omie'!$G:$G,'Lançamentos Omie'!$I:$I,$D51,'Lançamentos Omie'!$F:$F,G$2)</f>
        <v>-1572.4399999999998</v>
      </c>
      <c r="H51" s="46">
        <f>SUMIFS('Lançamentos Omie'!$G:$G,'Lançamentos Omie'!$I:$I,$D51,'Lançamentos Omie'!$F:$F,H$2)</f>
        <v>-1868.52</v>
      </c>
      <c r="I51" s="46">
        <f>SUMIFS('Lançamentos Omie'!$G:$G,'Lançamentos Omie'!$I:$I,$D51,'Lançamentos Omie'!$F:$F,I$2)</f>
        <v>-18760.590000000004</v>
      </c>
      <c r="J51" s="46">
        <f>SUMIFS('Lançamentos Omie'!$G:$G,'Lançamentos Omie'!$I:$I,$D51,'Lançamentos Omie'!$F:$F,J$2)</f>
        <v>-6865.39</v>
      </c>
      <c r="K51" s="46">
        <f>SUMIFS('Lançamentos Omie'!$G:$G,'Lançamentos Omie'!$I:$I,$D51,'Lançamentos Omie'!$F:$F,K$2)</f>
        <v>-10164.83</v>
      </c>
      <c r="L51" s="46">
        <f>SUMIFS('Lançamentos Omie'!$G:$G,'Lançamentos Omie'!$I:$I,$D51,'Lançamentos Omie'!$F:$F,L$2)</f>
        <v>-3093.07</v>
      </c>
      <c r="M51" s="46">
        <f>SUMIFS('Lançamentos Omie'!$G:$G,'Lançamentos Omie'!$I:$I,$D51,'Lançamentos Omie'!$F:$F,M$2)</f>
        <v>-6624.7099999999982</v>
      </c>
      <c r="N51" s="46">
        <f>SUMIFS('Lançamentos Omie'!$G:$G,'Lançamentos Omie'!$I:$I,$D51,'Lançamentos Omie'!$F:$F,N$2)</f>
        <v>0</v>
      </c>
      <c r="O51" s="46">
        <f>SUMIFS('Lançamentos Omie'!$G:$G,'Lançamentos Omie'!$I:$I,$D51,'Lançamentos Omie'!$F:$F,O$2)</f>
        <v>0</v>
      </c>
      <c r="P51" s="46">
        <f>SUMIFS('Lançamentos Omie'!$G:$G,'Lançamentos Omie'!$I:$I,$D51,'Lançamentos Omie'!$F:$F,P$2)</f>
        <v>0</v>
      </c>
      <c r="Q51" s="46">
        <f>SUMIFS('Lançamentos Omie'!$G:$G,'Lançamentos Omie'!$I:$I,$D51,'Lançamentos Omie'!$F:$F,Q$2)</f>
        <v>0</v>
      </c>
      <c r="R51" s="143">
        <f>SUM(F51:Q51)</f>
        <v>-54853.640000000007</v>
      </c>
      <c r="S51" s="69"/>
      <c r="T51" s="46">
        <f t="shared" si="1"/>
        <v>-45135.860000000008</v>
      </c>
      <c r="U51" s="46">
        <f t="shared" si="2"/>
        <v>-9717.7799999999988</v>
      </c>
      <c r="V51" s="46">
        <f t="shared" si="3"/>
        <v>-54853.640000000007</v>
      </c>
      <c r="W51" s="70"/>
      <c r="X51" s="70"/>
      <c r="Y51" s="70"/>
      <c r="Z51" s="70"/>
      <c r="AA51" s="70"/>
    </row>
    <row r="52" spans="1:27" outlineLevel="1">
      <c r="A52" s="26"/>
      <c r="B52" s="27"/>
      <c r="C52" s="65" t="s">
        <v>62</v>
      </c>
      <c r="D52" s="28"/>
      <c r="E52" s="27"/>
      <c r="F52" s="66">
        <f t="shared" ref="F52:R52" ca="1" si="30">SUM(F53:F57,F61:F76)</f>
        <v>-672343.46909031074</v>
      </c>
      <c r="G52" s="66">
        <f t="shared" ca="1" si="30"/>
        <v>-695742.35300109978</v>
      </c>
      <c r="H52" s="66">
        <f t="shared" ca="1" si="30"/>
        <v>-710300.60370326869</v>
      </c>
      <c r="I52" s="66">
        <f t="shared" ca="1" si="30"/>
        <v>-680701.65379765397</v>
      </c>
      <c r="J52" s="66">
        <f t="shared" ca="1" si="30"/>
        <v>-694374.98925947479</v>
      </c>
      <c r="K52" s="66">
        <f t="shared" ca="1" si="30"/>
        <v>-677412.03161661129</v>
      </c>
      <c r="L52" s="66">
        <f t="shared" ca="1" si="30"/>
        <v>-701124.28271512419</v>
      </c>
      <c r="M52" s="66">
        <f t="shared" ca="1" si="30"/>
        <v>-683122.67490561819</v>
      </c>
      <c r="N52" s="66">
        <f t="shared" ca="1" si="30"/>
        <v>0</v>
      </c>
      <c r="O52" s="66">
        <f t="shared" ca="1" si="30"/>
        <v>0</v>
      </c>
      <c r="P52" s="66">
        <f t="shared" ca="1" si="30"/>
        <v>0</v>
      </c>
      <c r="Q52" s="66">
        <f t="shared" ca="1" si="30"/>
        <v>0</v>
      </c>
      <c r="R52" s="147">
        <f t="shared" ca="1" si="30"/>
        <v>-5515122.0580891613</v>
      </c>
      <c r="S52" s="41"/>
      <c r="T52" s="66">
        <f t="shared" ca="1" si="1"/>
        <v>-4130875.1004684195</v>
      </c>
      <c r="U52" s="66">
        <f t="shared" ca="1" si="2"/>
        <v>-1384246.9576207423</v>
      </c>
      <c r="V52" s="66">
        <f t="shared" ca="1" si="3"/>
        <v>-5515122.0580891613</v>
      </c>
      <c r="W52" s="55"/>
      <c r="X52" s="55"/>
      <c r="Y52" s="55"/>
      <c r="Z52" s="55"/>
      <c r="AA52" s="55"/>
    </row>
    <row r="53" spans="1:27" outlineLevel="2">
      <c r="A53" s="148"/>
      <c r="B53" s="43"/>
      <c r="C53" s="43"/>
      <c r="D53" s="43" t="s">
        <v>63</v>
      </c>
      <c r="E53" s="43"/>
      <c r="F53" s="149">
        <f>-Pessoal!D4-6766.5</f>
        <v>-240113.48000000004</v>
      </c>
      <c r="G53" s="46">
        <f>-Pessoal!E4</f>
        <v>-242102.74000000002</v>
      </c>
      <c r="H53" s="46">
        <f>-Pessoal!F4</f>
        <v>-236025.11000000004</v>
      </c>
      <c r="I53" s="46">
        <f>-Pessoal!G4</f>
        <v>-225382.29</v>
      </c>
      <c r="J53" s="46">
        <f>-Pessoal!H4</f>
        <v>-225809.01000000004</v>
      </c>
      <c r="K53" s="46">
        <f>-Pessoal!I4</f>
        <v>-232624.79000000004</v>
      </c>
      <c r="L53" s="46">
        <f>-Pessoal!J4</f>
        <v>-236097.42000000007</v>
      </c>
      <c r="M53" s="46">
        <f>-Pessoal!K4</f>
        <v>-237979.84000000005</v>
      </c>
      <c r="N53" s="46"/>
      <c r="O53" s="46"/>
      <c r="P53" s="46"/>
      <c r="Q53" s="46"/>
      <c r="R53" s="143">
        <f t="shared" ref="R53:R56" si="31">SUM(F53:Q53)</f>
        <v>-1876134.6800000004</v>
      </c>
      <c r="S53" s="71"/>
      <c r="T53" s="46">
        <f t="shared" si="1"/>
        <v>-1402057.4200000002</v>
      </c>
      <c r="U53" s="46">
        <f t="shared" si="2"/>
        <v>-474077.26000000013</v>
      </c>
      <c r="V53" s="46">
        <f t="shared" si="3"/>
        <v>-1876134.6800000002</v>
      </c>
      <c r="W53" s="72"/>
      <c r="X53" s="72"/>
      <c r="Y53" s="72"/>
      <c r="Z53" s="72"/>
      <c r="AA53" s="72"/>
    </row>
    <row r="54" spans="1:27" outlineLevel="2">
      <c r="A54" s="148"/>
      <c r="B54" s="43"/>
      <c r="C54" s="43"/>
      <c r="D54" s="43" t="s">
        <v>64</v>
      </c>
      <c r="E54" s="43"/>
      <c r="F54" s="149">
        <f>-Pessoal!D90-203</f>
        <v>-8011.5885316666654</v>
      </c>
      <c r="G54" s="46">
        <f>-Pessoal!E90</f>
        <v>-8109.3938808333305</v>
      </c>
      <c r="H54" s="46">
        <f>-Pessoal!F90</f>
        <v>-8022.6528058333306</v>
      </c>
      <c r="I54" s="46">
        <f>-Pessoal!G90</f>
        <v>-7659.9706156249986</v>
      </c>
      <c r="J54" s="46">
        <f>-Pessoal!H90</f>
        <v>-7627.1600328333307</v>
      </c>
      <c r="K54" s="46">
        <f>-Pessoal!I90</f>
        <v>-7863.8276609722216</v>
      </c>
      <c r="L54" s="46">
        <f>-Pessoal!J90</f>
        <v>-7856.1560849999978</v>
      </c>
      <c r="M54" s="46">
        <f>-Pessoal!K90</f>
        <v>-7883.5261209374967</v>
      </c>
      <c r="N54" s="46"/>
      <c r="O54" s="46"/>
      <c r="P54" s="46"/>
      <c r="Q54" s="46"/>
      <c r="R54" s="143">
        <f t="shared" si="31"/>
        <v>-63034.275733701368</v>
      </c>
      <c r="S54" s="71"/>
      <c r="T54" s="46">
        <f t="shared" si="1"/>
        <v>-47294.593527763878</v>
      </c>
      <c r="U54" s="46">
        <f t="shared" si="2"/>
        <v>-15739.682205937494</v>
      </c>
      <c r="V54" s="46">
        <f t="shared" si="3"/>
        <v>-63034.275733701375</v>
      </c>
      <c r="W54" s="72"/>
      <c r="X54" s="72"/>
      <c r="Y54" s="72"/>
      <c r="Z54" s="72"/>
      <c r="AA54" s="72"/>
    </row>
    <row r="55" spans="1:27" outlineLevel="2">
      <c r="A55" s="148"/>
      <c r="B55" s="43"/>
      <c r="C55" s="43"/>
      <c r="D55" s="43" t="s">
        <v>65</v>
      </c>
      <c r="E55" s="43"/>
      <c r="F55" s="46">
        <f>-Pessoal!D614</f>
        <v>-1800.23</v>
      </c>
      <c r="G55" s="46">
        <f>-Pessoal!E614</f>
        <v>0</v>
      </c>
      <c r="H55" s="46">
        <f>-Pessoal!F614</f>
        <v>-25560.770000000004</v>
      </c>
      <c r="I55" s="46">
        <f>-Pessoal!G614</f>
        <v>-11451.61</v>
      </c>
      <c r="J55" s="46">
        <f>-Pessoal!H614</f>
        <v>-4477.71</v>
      </c>
      <c r="K55" s="46">
        <f>-Pessoal!I614</f>
        <v>-3847.35</v>
      </c>
      <c r="L55" s="46">
        <f>-Pessoal!J614</f>
        <v>-14621.74</v>
      </c>
      <c r="M55" s="46">
        <f>-Pessoal!K614</f>
        <v>0</v>
      </c>
      <c r="N55" s="46">
        <f>-Pessoal!L614</f>
        <v>0</v>
      </c>
      <c r="O55" s="46">
        <f>-Pessoal!M614</f>
        <v>0</v>
      </c>
      <c r="P55" s="46">
        <f>-Pessoal!N614</f>
        <v>0</v>
      </c>
      <c r="Q55" s="46">
        <f>-Pessoal!O614</f>
        <v>0</v>
      </c>
      <c r="R55" s="143">
        <f t="shared" si="31"/>
        <v>-61759.409999999996</v>
      </c>
      <c r="S55" s="71"/>
      <c r="T55" s="46">
        <f t="shared" si="1"/>
        <v>-47137.67</v>
      </c>
      <c r="U55" s="46">
        <f t="shared" si="2"/>
        <v>-14621.74</v>
      </c>
      <c r="V55" s="46">
        <f t="shared" si="3"/>
        <v>-61759.409999999996</v>
      </c>
      <c r="W55" s="72"/>
      <c r="X55" s="72"/>
      <c r="Y55" s="72"/>
      <c r="Z55" s="72"/>
      <c r="AA55" s="72"/>
    </row>
    <row r="56" spans="1:27" outlineLevel="2">
      <c r="A56" s="148"/>
      <c r="B56" s="43"/>
      <c r="C56" s="43"/>
      <c r="D56" s="43" t="s">
        <v>66</v>
      </c>
      <c r="E56" s="43"/>
      <c r="F56" s="149">
        <f>-Pessoal!D176-608.99</f>
        <v>-24034.755595000006</v>
      </c>
      <c r="G56" s="46">
        <f>-Pessoal!E176</f>
        <v>-24328.181642500011</v>
      </c>
      <c r="H56" s="46">
        <f>-Pessoal!F176</f>
        <v>-24067.958417500005</v>
      </c>
      <c r="I56" s="46">
        <f>-Pessoal!G176</f>
        <v>-22979.911846875002</v>
      </c>
      <c r="J56" s="46">
        <f>-Pessoal!H176</f>
        <v>-22881.480098500004</v>
      </c>
      <c r="K56" s="46">
        <f>-Pessoal!I176</f>
        <v>-23594.402832083339</v>
      </c>
      <c r="L56" s="46">
        <f>-Pessoal!J176</f>
        <v>-23504.747753571428</v>
      </c>
      <c r="M56" s="46">
        <f>-Pessoal!K176</f>
        <v>-23536.877598437502</v>
      </c>
      <c r="N56" s="46"/>
      <c r="O56" s="46"/>
      <c r="P56" s="46"/>
      <c r="Q56" s="46"/>
      <c r="R56" s="143">
        <f t="shared" si="31"/>
        <v>-188928.31578446733</v>
      </c>
      <c r="S56" s="71"/>
      <c r="T56" s="46">
        <f t="shared" si="1"/>
        <v>-141886.69043245839</v>
      </c>
      <c r="U56" s="46">
        <f t="shared" si="2"/>
        <v>-47041.62535200893</v>
      </c>
      <c r="V56" s="46">
        <f t="shared" si="3"/>
        <v>-188928.31578446733</v>
      </c>
      <c r="W56" s="72"/>
      <c r="X56" s="72"/>
      <c r="Y56" s="72"/>
      <c r="Z56" s="72"/>
      <c r="AA56" s="72"/>
    </row>
    <row r="57" spans="1:27" outlineLevel="2">
      <c r="A57" s="148"/>
      <c r="B57" s="74"/>
      <c r="C57" s="74"/>
      <c r="D57" s="74" t="s">
        <v>67</v>
      </c>
      <c r="E57" s="43"/>
      <c r="F57" s="46">
        <f t="shared" ref="F57:Q57" ca="1" si="32">SUM(F58:F60)</f>
        <v>-58074.726563643839</v>
      </c>
      <c r="G57" s="46">
        <f t="shared" ca="1" si="32"/>
        <v>-54927.448277766518</v>
      </c>
      <c r="H57" s="46">
        <f t="shared" ca="1" si="32"/>
        <v>-54131.203679935388</v>
      </c>
      <c r="I57" s="46">
        <f t="shared" ca="1" si="32"/>
        <v>-50530.478135153928</v>
      </c>
      <c r="J57" s="46">
        <f t="shared" ca="1" si="32"/>
        <v>-69114.838328141384</v>
      </c>
      <c r="K57" s="46">
        <f t="shared" ca="1" si="32"/>
        <v>-53713.327923555553</v>
      </c>
      <c r="L57" s="46">
        <f t="shared" ca="1" si="32"/>
        <v>-56424.70127655266</v>
      </c>
      <c r="M57" s="46">
        <f t="shared" ca="1" si="32"/>
        <v>-53351.469986243188</v>
      </c>
      <c r="N57" s="46">
        <f t="shared" ca="1" si="32"/>
        <v>0</v>
      </c>
      <c r="O57" s="46">
        <f t="shared" ca="1" si="32"/>
        <v>0</v>
      </c>
      <c r="P57" s="46">
        <f t="shared" ca="1" si="32"/>
        <v>0</v>
      </c>
      <c r="Q57" s="46">
        <f t="shared" ca="1" si="32"/>
        <v>0</v>
      </c>
      <c r="R57" s="143">
        <f ca="1">R58+R59+R60</f>
        <v>-450268.19417099247</v>
      </c>
      <c r="S57" s="71"/>
      <c r="T57" s="46">
        <f t="shared" ca="1" si="1"/>
        <v>-340492.02290819661</v>
      </c>
      <c r="U57" s="46">
        <f t="shared" ca="1" si="2"/>
        <v>-109776.17126279585</v>
      </c>
      <c r="V57" s="46">
        <f t="shared" ca="1" si="3"/>
        <v>-450268.19417099247</v>
      </c>
      <c r="W57" s="72"/>
      <c r="X57" s="72"/>
      <c r="Y57" s="72"/>
      <c r="Z57" s="72"/>
      <c r="AA57" s="72"/>
    </row>
    <row r="58" spans="1:27" outlineLevel="3">
      <c r="A58" s="148"/>
      <c r="B58" s="76"/>
      <c r="C58" s="76"/>
      <c r="D58" s="77"/>
      <c r="E58" s="76" t="s">
        <v>68</v>
      </c>
      <c r="F58" s="78">
        <f>-Pessoal!D262</f>
        <v>-36654.44874</v>
      </c>
      <c r="G58" s="78">
        <f>-Pessoal!E262</f>
        <v>-38839.456109999999</v>
      </c>
      <c r="H58" s="78">
        <f>-Pessoal!F262</f>
        <v>-37445.108609999996</v>
      </c>
      <c r="I58" s="78">
        <f>-Pessoal!G262</f>
        <v>-33785.222152499999</v>
      </c>
      <c r="J58" s="78">
        <f>-Pessoal!H262</f>
        <v>-33934.987631999989</v>
      </c>
      <c r="K58" s="78">
        <f>-Pessoal!I262</f>
        <v>-35492.678584999994</v>
      </c>
      <c r="L58" s="78">
        <f>-Pessoal!J262</f>
        <v>-35670.111749999996</v>
      </c>
      <c r="M58" s="78">
        <f>-Pessoal!K262</f>
        <v>-35798.843193749999</v>
      </c>
      <c r="N58" s="78"/>
      <c r="O58" s="78"/>
      <c r="P58" s="78"/>
      <c r="Q58" s="78"/>
      <c r="R58" s="150">
        <f t="shared" ref="R58:R76" si="33">SUM(F58:Q58)</f>
        <v>-287620.85677324998</v>
      </c>
      <c r="S58" s="80"/>
      <c r="T58" s="78">
        <f t="shared" si="1"/>
        <v>-216151.90182949998</v>
      </c>
      <c r="U58" s="78">
        <f t="shared" si="2"/>
        <v>-71468.954943749995</v>
      </c>
      <c r="V58" s="78"/>
      <c r="W58" s="81"/>
      <c r="X58" s="81"/>
      <c r="Y58" s="81"/>
      <c r="Z58" s="81"/>
      <c r="AA58" s="81"/>
    </row>
    <row r="59" spans="1:27" outlineLevel="3">
      <c r="A59" s="75"/>
      <c r="B59" s="76"/>
      <c r="C59" s="76"/>
      <c r="D59" s="77"/>
      <c r="E59" s="76" t="s">
        <v>69</v>
      </c>
      <c r="F59" s="78">
        <f>-('Outras Informações'!B90*43.4%*(F16))</f>
        <v>-4146.0116999000002</v>
      </c>
      <c r="G59" s="78">
        <f>-('Outras Informações'!C90*43.4%*(G16))</f>
        <v>-3983.3548145999998</v>
      </c>
      <c r="H59" s="78">
        <f>-('Outras Informações'!D90*43.4%*(H16))</f>
        <v>-3892.20839574</v>
      </c>
      <c r="I59" s="78">
        <f>-('Outras Informações'!E90*43.4%*(I16))</f>
        <v>-3849.3118791400002</v>
      </c>
      <c r="J59" s="78">
        <f>-('Outras Informações'!F90*43.4%*(J16))</f>
        <v>-4051.1612602999999</v>
      </c>
      <c r="K59" s="78">
        <f>-('Outras Informações'!G90*43.4%*(K16))</f>
        <v>-4053.7632855999996</v>
      </c>
      <c r="L59" s="78">
        <f>-('Outras Informações'!H90*43.4%*(L16))</f>
        <v>-4169.0753495999998</v>
      </c>
      <c r="M59" s="78">
        <f>-('Outras Informações'!I90*43.4%*(M16))</f>
        <v>-4277.0549879399996</v>
      </c>
      <c r="N59" s="78">
        <f>-('Outras Informações'!J90*43.4%*(N16))</f>
        <v>0</v>
      </c>
      <c r="O59" s="78">
        <f>-('Outras Informações'!K90*43.4%*(O16))</f>
        <v>0</v>
      </c>
      <c r="P59" s="78">
        <f>-('Outras Informações'!L90*43.4%*(P16))</f>
        <v>0</v>
      </c>
      <c r="Q59" s="78">
        <f>-('Outras Informações'!M90*43.4%*(Q16))</f>
        <v>0</v>
      </c>
      <c r="R59" s="150">
        <f t="shared" si="33"/>
        <v>-32421.941672819998</v>
      </c>
      <c r="S59" s="80"/>
      <c r="T59" s="78">
        <f t="shared" si="1"/>
        <v>-23975.811335279999</v>
      </c>
      <c r="U59" s="78">
        <f t="shared" si="2"/>
        <v>-8446.1303375399984</v>
      </c>
      <c r="V59" s="78"/>
      <c r="W59" s="81"/>
      <c r="X59" s="81"/>
      <c r="Y59" s="81"/>
      <c r="Z59" s="81"/>
      <c r="AA59" s="81"/>
    </row>
    <row r="60" spans="1:27" outlineLevel="3">
      <c r="A60" s="75"/>
      <c r="B60" s="76"/>
      <c r="C60" s="76"/>
      <c r="D60" s="77"/>
      <c r="E60" s="76" t="s">
        <v>70</v>
      </c>
      <c r="F60" s="78">
        <f ca="1">-('Outras Informações'!B89*43.4%*(F17+F21+F22+F23))</f>
        <v>-17274.266123743837</v>
      </c>
      <c r="G60" s="78">
        <f ca="1">-('Outras Informações'!C89*43.4%*(G17+G21+G22+G23))</f>
        <v>-12104.637353166514</v>
      </c>
      <c r="H60" s="78">
        <f ca="1">-('Outras Informações'!D89*43.4%*(H17+H21+H22+H23))</f>
        <v>-12793.886674195392</v>
      </c>
      <c r="I60" s="78">
        <f ca="1">-('Outras Informações'!E89*43.4%*(I17+I21+I22+I23))</f>
        <v>-12895.944103513928</v>
      </c>
      <c r="J60" s="78">
        <f ca="1">-('Outras Informações'!F89*43.4%*(J17+J21+J22+J23))</f>
        <v>-31128.689435841396</v>
      </c>
      <c r="K60" s="78">
        <f ca="1">-('Outras Informações'!G89*43.4%*(K17+K21+K22+K23))</f>
        <v>-14166.88605295556</v>
      </c>
      <c r="L60" s="78">
        <f ca="1">-('Outras Informações'!H89*43.4%*(L17+L21+L22+L23))</f>
        <v>-16585.514176952671</v>
      </c>
      <c r="M60" s="78">
        <f ca="1">-('Outras Informações'!I89*43.4%*(M17+M21+M22+M23))</f>
        <v>-13275.571804553194</v>
      </c>
      <c r="N60" s="78">
        <f ca="1">-('Outras Informações'!J89*43.4%*(N17+N21+N22+N23))</f>
        <v>0</v>
      </c>
      <c r="O60" s="78">
        <f ca="1">-('Outras Informações'!K89*43.4%*(O17+O21+O22+O23))</f>
        <v>0</v>
      </c>
      <c r="P60" s="78">
        <f ca="1">-('Outras Informações'!L89*43.4%*(P17+P21+P22+P23))</f>
        <v>0</v>
      </c>
      <c r="Q60" s="78">
        <f ca="1">-('Outras Informações'!M89*43.4%*(Q17+Q21+Q22+Q23))</f>
        <v>0</v>
      </c>
      <c r="R60" s="150">
        <f t="shared" ca="1" si="33"/>
        <v>-130225.39572492251</v>
      </c>
      <c r="S60" s="80"/>
      <c r="T60" s="78">
        <f t="shared" ca="1" si="1"/>
        <v>-100364.30974341664</v>
      </c>
      <c r="U60" s="78">
        <f t="shared" ca="1" si="2"/>
        <v>-29861.085981505865</v>
      </c>
      <c r="V60" s="78"/>
      <c r="W60" s="81"/>
      <c r="X60" s="81"/>
      <c r="Y60" s="81"/>
      <c r="Z60" s="81"/>
      <c r="AA60" s="81"/>
    </row>
    <row r="61" spans="1:27" outlineLevel="2">
      <c r="A61" s="148"/>
      <c r="B61" s="43"/>
      <c r="C61" s="43"/>
      <c r="D61" s="43" t="s">
        <v>71</v>
      </c>
      <c r="E61" s="43"/>
      <c r="F61" s="149">
        <f>-Pessoal!D348-  541.32</f>
        <v>-18649.078400000006</v>
      </c>
      <c r="G61" s="46">
        <f>-Pessoal!E348</f>
        <v>-18808.219200000003</v>
      </c>
      <c r="H61" s="46">
        <f>-Pessoal!F348</f>
        <v>-18402.008800000003</v>
      </c>
      <c r="I61" s="46">
        <f>-Pessoal!G348</f>
        <v>-17550.583200000005</v>
      </c>
      <c r="J61" s="46">
        <f>-Pessoal!H348</f>
        <v>-17664.720799999999</v>
      </c>
      <c r="K61" s="46">
        <f>-Pessoal!I348</f>
        <v>-18209.983200000002</v>
      </c>
      <c r="L61" s="46">
        <f>-Pessoal!J348</f>
        <v>-17683.277600000001</v>
      </c>
      <c r="M61" s="46">
        <f>-Pessoal!K348</f>
        <v>-17833.871200000001</v>
      </c>
      <c r="N61" s="46">
        <f>-Pessoal!L348</f>
        <v>0</v>
      </c>
      <c r="O61" s="46">
        <f>-Pessoal!M348</f>
        <v>0</v>
      </c>
      <c r="P61" s="46">
        <f>-Pessoal!N348</f>
        <v>0</v>
      </c>
      <c r="Q61" s="46">
        <f>-Pessoal!O348</f>
        <v>0</v>
      </c>
      <c r="R61" s="143">
        <f t="shared" si="33"/>
        <v>-144801.74240000002</v>
      </c>
      <c r="S61" s="71"/>
      <c r="T61" s="46">
        <f t="shared" si="1"/>
        <v>-109284.59360000001</v>
      </c>
      <c r="U61" s="46">
        <f t="shared" si="2"/>
        <v>-35517.148800000003</v>
      </c>
      <c r="V61" s="46">
        <f t="shared" ref="V61:V104" si="34">T61+U61</f>
        <v>-144801.74240000002</v>
      </c>
      <c r="W61" s="72"/>
      <c r="X61" s="72"/>
      <c r="Y61" s="72"/>
      <c r="Z61" s="72"/>
      <c r="AA61" s="72"/>
    </row>
    <row r="62" spans="1:27" outlineLevel="2">
      <c r="A62" s="73"/>
      <c r="B62" s="74"/>
      <c r="C62" s="74"/>
      <c r="D62" s="74" t="s">
        <v>72</v>
      </c>
      <c r="E62" s="43"/>
      <c r="F62" s="151">
        <v>0</v>
      </c>
      <c r="G62" s="151">
        <v>0</v>
      </c>
      <c r="H62" s="151">
        <v>0</v>
      </c>
      <c r="I62" s="151">
        <v>0</v>
      </c>
      <c r="J62" s="151">
        <v>0</v>
      </c>
      <c r="K62" s="151">
        <v>0</v>
      </c>
      <c r="L62" s="151">
        <v>0</v>
      </c>
      <c r="M62" s="151">
        <v>0</v>
      </c>
      <c r="N62" s="151">
        <v>0</v>
      </c>
      <c r="O62" s="151">
        <v>0</v>
      </c>
      <c r="P62" s="151">
        <v>0</v>
      </c>
      <c r="Q62" s="151">
        <v>0</v>
      </c>
      <c r="R62" s="143">
        <f t="shared" si="33"/>
        <v>0</v>
      </c>
      <c r="S62" s="71"/>
      <c r="T62" s="46">
        <f t="shared" si="1"/>
        <v>0</v>
      </c>
      <c r="U62" s="46">
        <f t="shared" si="2"/>
        <v>0</v>
      </c>
      <c r="V62" s="46">
        <f t="shared" si="34"/>
        <v>0</v>
      </c>
      <c r="W62" s="72"/>
      <c r="X62" s="72"/>
      <c r="Y62" s="72"/>
      <c r="Z62" s="72"/>
      <c r="AA62" s="72"/>
    </row>
    <row r="63" spans="1:27" outlineLevel="2">
      <c r="A63" s="73"/>
      <c r="B63" s="74"/>
      <c r="C63" s="74"/>
      <c r="D63" s="74" t="s">
        <v>73</v>
      </c>
      <c r="E63" s="43"/>
      <c r="F63" s="46">
        <f>SUMIFS('Lançamentos Omie'!$G:$G,'Lançamentos Omie'!$I:$I,$D63,'Lançamentos Omie'!$F:$F,F$2)</f>
        <v>0</v>
      </c>
      <c r="G63" s="46">
        <f>SUMIFS('Lançamentos Omie'!$G:$G,'Lançamentos Omie'!$I:$I,$D63,'Lançamentos Omie'!$F:$F,G$2)</f>
        <v>0</v>
      </c>
      <c r="H63" s="46">
        <f>SUMIFS('Lançamentos Omie'!$G:$G,'Lançamentos Omie'!$I:$I,$D63,'Lançamentos Omie'!$F:$F,H$2)</f>
        <v>0</v>
      </c>
      <c r="I63" s="46">
        <f>SUMIFS('Lançamentos Omie'!$G:$G,'Lançamentos Omie'!$I:$I,$D63,'Lançamentos Omie'!$F:$F,I$2)</f>
        <v>0</v>
      </c>
      <c r="J63" s="46">
        <f>SUMIFS('Lançamentos Omie'!$G:$G,'Lançamentos Omie'!$I:$I,$D63,'Lançamentos Omie'!$F:$F,J$2)</f>
        <v>0</v>
      </c>
      <c r="K63" s="46">
        <f>SUMIFS('Lançamentos Omie'!$G:$G,'Lançamentos Omie'!$I:$I,$D63,'Lançamentos Omie'!$F:$F,K$2)</f>
        <v>0</v>
      </c>
      <c r="L63" s="46">
        <f>SUMIFS('Lançamentos Omie'!$G:$G,'Lançamentos Omie'!$I:$I,$D63,'Lançamentos Omie'!$F:$F,L$2)</f>
        <v>0</v>
      </c>
      <c r="M63" s="46">
        <f>SUMIFS('Lançamentos Omie'!$G:$G,'Lançamentos Omie'!$I:$I,$D63,'Lançamentos Omie'!$F:$F,M$2)</f>
        <v>0</v>
      </c>
      <c r="N63" s="46">
        <f>SUMIFS('Lançamentos Omie'!$G:$G,'Lançamentos Omie'!$I:$I,$D63,'Lançamentos Omie'!$F:$F,N$2)</f>
        <v>0</v>
      </c>
      <c r="O63" s="46">
        <f>SUMIFS('Lançamentos Omie'!$G:$G,'Lançamentos Omie'!$I:$I,$D63,'Lançamentos Omie'!$F:$F,O$2)</f>
        <v>0</v>
      </c>
      <c r="P63" s="46">
        <f>SUMIFS('Lançamentos Omie'!$G:$G,'Lançamentos Omie'!$I:$I,$D63,'Lançamentos Omie'!$F:$F,P$2)</f>
        <v>0</v>
      </c>
      <c r="Q63" s="46">
        <f>SUMIFS('Lançamentos Omie'!$G:$G,'Lançamentos Omie'!$I:$I,$D63,'Lançamentos Omie'!$F:$F,Q$2)</f>
        <v>0</v>
      </c>
      <c r="R63" s="143">
        <f t="shared" si="33"/>
        <v>0</v>
      </c>
      <c r="S63" s="71"/>
      <c r="T63" s="46">
        <f t="shared" si="1"/>
        <v>0</v>
      </c>
      <c r="U63" s="46">
        <f t="shared" si="2"/>
        <v>0</v>
      </c>
      <c r="V63" s="46">
        <f t="shared" si="34"/>
        <v>0</v>
      </c>
      <c r="W63" s="72"/>
      <c r="X63" s="72"/>
      <c r="Y63" s="72"/>
      <c r="Z63" s="72"/>
      <c r="AA63" s="72"/>
    </row>
    <row r="64" spans="1:27" outlineLevel="2">
      <c r="A64" s="42"/>
      <c r="B64" s="43"/>
      <c r="C64" s="43"/>
      <c r="D64" s="43" t="s">
        <v>74</v>
      </c>
      <c r="E64" s="43"/>
      <c r="F64" s="46">
        <f>SUMIFS('Lançamentos Omie'!$G:$G,'Lançamentos Omie'!$I:$I,$D64,'Lançamentos Omie'!$F:$F,F$2)</f>
        <v>-8370.35</v>
      </c>
      <c r="G64" s="46">
        <f>SUMIFS('Lançamentos Omie'!$G:$G,'Lançamentos Omie'!$I:$I,$D64,'Lançamentos Omie'!$F:$F,G$2)</f>
        <v>-6571.82</v>
      </c>
      <c r="H64" s="46">
        <f>SUMIFS('Lançamentos Omie'!$G:$G,'Lançamentos Omie'!$I:$I,$D64,'Lançamentos Omie'!$F:$F,H$2)</f>
        <v>-3866.92</v>
      </c>
      <c r="I64" s="46">
        <f>SUMIFS('Lançamentos Omie'!$G:$G,'Lançamentos Omie'!$I:$I,$D64,'Lançamentos Omie'!$F:$F,I$2)</f>
        <v>-2196.5</v>
      </c>
      <c r="J64" s="46">
        <f>SUMIFS('Lançamentos Omie'!$G:$G,'Lançamentos Omie'!$I:$I,$D64,'Lançamentos Omie'!$F:$F,J$2)</f>
        <v>-3276.4</v>
      </c>
      <c r="K64" s="46">
        <f>SUMIFS('Lançamentos Omie'!$G:$G,'Lançamentos Omie'!$I:$I,$D64,'Lançamentos Omie'!$F:$F,K$2)</f>
        <v>-2115.08</v>
      </c>
      <c r="L64" s="46">
        <f>SUMIFS('Lançamentos Omie'!$G:$G,'Lançamentos Omie'!$I:$I,$D64,'Lançamentos Omie'!$F:$F,L$2)</f>
        <v>-3812.3900000000003</v>
      </c>
      <c r="M64" s="46">
        <f>SUMIFS('Lançamentos Omie'!$G:$G,'Lançamentos Omie'!$I:$I,$D64,'Lançamentos Omie'!$F:$F,M$2)</f>
        <v>-3677.8700000000003</v>
      </c>
      <c r="N64" s="46">
        <f>SUMIFS('Lançamentos Omie'!$G:$G,'Lançamentos Omie'!$I:$I,$D64,'Lançamentos Omie'!$F:$F,N$2)</f>
        <v>0</v>
      </c>
      <c r="O64" s="46">
        <f>SUMIFS('Lançamentos Omie'!$G:$G,'Lançamentos Omie'!$I:$I,$D64,'Lançamentos Omie'!$F:$F,O$2)</f>
        <v>0</v>
      </c>
      <c r="P64" s="46">
        <f>SUMIFS('Lançamentos Omie'!$G:$G,'Lançamentos Omie'!$I:$I,$D64,'Lançamentos Omie'!$F:$F,P$2)</f>
        <v>0</v>
      </c>
      <c r="Q64" s="46">
        <f>SUMIFS('Lançamentos Omie'!$G:$G,'Lançamentos Omie'!$I:$I,$D64,'Lançamentos Omie'!$F:$F,Q$2)</f>
        <v>0</v>
      </c>
      <c r="R64" s="143">
        <f t="shared" si="33"/>
        <v>-33887.33</v>
      </c>
      <c r="S64" s="71"/>
      <c r="T64" s="46">
        <f t="shared" si="1"/>
        <v>-26397.07</v>
      </c>
      <c r="U64" s="46">
        <f t="shared" si="2"/>
        <v>-7490.26</v>
      </c>
      <c r="V64" s="46">
        <f t="shared" si="34"/>
        <v>-33887.33</v>
      </c>
      <c r="W64" s="72"/>
      <c r="X64" s="72"/>
      <c r="Y64" s="72"/>
      <c r="Z64" s="72"/>
      <c r="AA64" s="72"/>
    </row>
    <row r="65" spans="1:27" outlineLevel="2">
      <c r="A65" s="148"/>
      <c r="B65" s="43"/>
      <c r="C65" s="43"/>
      <c r="D65" s="43" t="s">
        <v>75</v>
      </c>
      <c r="E65" s="43"/>
      <c r="F65" s="149">
        <f>-Pessoal!D434-695-600</f>
        <v>-37118.14</v>
      </c>
      <c r="G65" s="46">
        <f>-Pessoal!E434</f>
        <v>-39531.39</v>
      </c>
      <c r="H65" s="46">
        <f>-Pessoal!F434</f>
        <v>-40001.379999999997</v>
      </c>
      <c r="I65" s="46">
        <f>-Pessoal!G434</f>
        <v>-39103.17</v>
      </c>
      <c r="J65" s="46">
        <f>-Pessoal!H434</f>
        <v>-38078.130000000005</v>
      </c>
      <c r="K65" s="46">
        <f>-Pessoal!I434</f>
        <v>-38841.599999999999</v>
      </c>
      <c r="L65" s="46">
        <f>-Pessoal!J434</f>
        <v>-37844.81</v>
      </c>
      <c r="M65" s="46">
        <f>-Pessoal!K434</f>
        <v>-37735.17</v>
      </c>
      <c r="N65" s="46">
        <f>-Pessoal!L434</f>
        <v>0</v>
      </c>
      <c r="O65" s="46">
        <f>-Pessoal!M434</f>
        <v>0</v>
      </c>
      <c r="P65" s="46">
        <f>-Pessoal!N434</f>
        <v>0</v>
      </c>
      <c r="Q65" s="46">
        <f>-Pessoal!O434</f>
        <v>0</v>
      </c>
      <c r="R65" s="143">
        <f t="shared" si="33"/>
        <v>-308253.78999999998</v>
      </c>
      <c r="S65" s="71"/>
      <c r="T65" s="46">
        <f t="shared" si="1"/>
        <v>-232673.81000000003</v>
      </c>
      <c r="U65" s="46">
        <f t="shared" si="2"/>
        <v>-75579.98</v>
      </c>
      <c r="V65" s="46">
        <f t="shared" si="34"/>
        <v>-308253.79000000004</v>
      </c>
      <c r="W65" s="72"/>
      <c r="X65" s="72"/>
      <c r="Y65" s="72"/>
      <c r="Z65" s="72"/>
      <c r="AA65" s="72"/>
    </row>
    <row r="66" spans="1:27" outlineLevel="2">
      <c r="A66" s="148"/>
      <c r="B66" s="43"/>
      <c r="C66" s="43"/>
      <c r="D66" s="43" t="s">
        <v>76</v>
      </c>
      <c r="E66" s="43"/>
      <c r="F66" s="46">
        <f>-Pessoal!D605</f>
        <v>-464.81</v>
      </c>
      <c r="G66" s="46">
        <f>-Pessoal!E605</f>
        <v>-404.1</v>
      </c>
      <c r="H66" s="46">
        <f>-Pessoal!F605</f>
        <v>-506.76</v>
      </c>
      <c r="I66" s="46">
        <f>-Pessoal!G605</f>
        <v>-227.53</v>
      </c>
      <c r="J66" s="46">
        <f>-Pessoal!H605</f>
        <v>-150</v>
      </c>
      <c r="K66" s="46">
        <f>-Pessoal!I605</f>
        <v>-157.5</v>
      </c>
      <c r="L66" s="46">
        <f>-Pessoal!J605</f>
        <v>-90</v>
      </c>
      <c r="M66" s="46">
        <f>-Pessoal!K605</f>
        <v>-157.5</v>
      </c>
      <c r="N66" s="46">
        <f>-Pessoal!L605</f>
        <v>0</v>
      </c>
      <c r="O66" s="46">
        <f>-Pessoal!M605</f>
        <v>0</v>
      </c>
      <c r="P66" s="46">
        <f>-Pessoal!N605</f>
        <v>0</v>
      </c>
      <c r="Q66" s="46">
        <f>-Pessoal!O605</f>
        <v>0</v>
      </c>
      <c r="R66" s="143">
        <f t="shared" si="33"/>
        <v>-2158.1999999999998</v>
      </c>
      <c r="S66" s="71"/>
      <c r="T66" s="46">
        <f t="shared" si="1"/>
        <v>-1910.7</v>
      </c>
      <c r="U66" s="46">
        <f t="shared" si="2"/>
        <v>-247.5</v>
      </c>
      <c r="V66" s="46">
        <f t="shared" si="34"/>
        <v>-2158.1999999999998</v>
      </c>
      <c r="W66" s="72"/>
      <c r="X66" s="72"/>
      <c r="Y66" s="72"/>
      <c r="Z66" s="72"/>
      <c r="AA66" s="72"/>
    </row>
    <row r="67" spans="1:27" outlineLevel="2">
      <c r="A67" s="42"/>
      <c r="B67" s="43"/>
      <c r="C67" s="43"/>
      <c r="D67" s="43" t="s">
        <v>77</v>
      </c>
      <c r="E67" s="43"/>
      <c r="F67" s="46">
        <f>SUMIFS('Lançamentos Omie'!$G:$G,'Lançamentos Omie'!$I:$I,$D67,'Lançamentos Omie'!$F:$F,F$2)</f>
        <v>0</v>
      </c>
      <c r="G67" s="46">
        <f>SUMIFS('Lançamentos Omie'!$G:$G,'Lançamentos Omie'!$I:$I,$D67,'Lançamentos Omie'!$F:$F,G$2)</f>
        <v>0</v>
      </c>
      <c r="H67" s="46">
        <f>SUMIFS('Lançamentos Omie'!$G:$G,'Lançamentos Omie'!$I:$I,$D67,'Lançamentos Omie'!$F:$F,H$2)</f>
        <v>0</v>
      </c>
      <c r="I67" s="46">
        <f>SUMIFS('Lançamentos Omie'!$G:$G,'Lançamentos Omie'!$I:$I,$D67,'Lançamentos Omie'!$F:$F,I$2)</f>
        <v>0</v>
      </c>
      <c r="J67" s="46">
        <f>SUMIFS('Lançamentos Omie'!$G:$G,'Lançamentos Omie'!$I:$I,$D67,'Lançamentos Omie'!$F:$F,J$2)</f>
        <v>0</v>
      </c>
      <c r="K67" s="46">
        <f>SUMIFS('Lançamentos Omie'!$G:$G,'Lançamentos Omie'!$I:$I,$D67,'Lançamentos Omie'!$F:$F,K$2)</f>
        <v>-26.25</v>
      </c>
      <c r="L67" s="46">
        <f>SUMIFS('Lançamentos Omie'!$G:$G,'Lançamentos Omie'!$I:$I,$D67,'Lançamentos Omie'!$F:$F,L$2)</f>
        <v>0</v>
      </c>
      <c r="M67" s="46">
        <f>SUMIFS('Lançamentos Omie'!$G:$G,'Lançamentos Omie'!$I:$I,$D67,'Lançamentos Omie'!$F:$F,M$2)</f>
        <v>0</v>
      </c>
      <c r="N67" s="46">
        <f>SUMIFS('Lançamentos Omie'!$G:$G,'Lançamentos Omie'!$I:$I,$D67,'Lançamentos Omie'!$F:$F,N$2)</f>
        <v>0</v>
      </c>
      <c r="O67" s="46">
        <f>SUMIFS('Lançamentos Omie'!$G:$G,'Lançamentos Omie'!$I:$I,$D67,'Lançamentos Omie'!$F:$F,O$2)</f>
        <v>0</v>
      </c>
      <c r="P67" s="46">
        <f>SUMIFS('Lançamentos Omie'!$G:$G,'Lançamentos Omie'!$I:$I,$D67,'Lançamentos Omie'!$F:$F,P$2)</f>
        <v>0</v>
      </c>
      <c r="Q67" s="46">
        <f>SUMIFS('Lançamentos Omie'!$G:$G,'Lançamentos Omie'!$I:$I,$D67,'Lançamentos Omie'!$F:$F,Q$2)</f>
        <v>0</v>
      </c>
      <c r="R67" s="143">
        <f t="shared" si="33"/>
        <v>-26.25</v>
      </c>
      <c r="S67" s="71"/>
      <c r="T67" s="46">
        <f t="shared" si="1"/>
        <v>-26.25</v>
      </c>
      <c r="U67" s="46">
        <f t="shared" si="2"/>
        <v>0</v>
      </c>
      <c r="V67" s="46">
        <f t="shared" si="34"/>
        <v>-26.25</v>
      </c>
      <c r="W67" s="72"/>
      <c r="X67" s="72"/>
      <c r="Y67" s="72"/>
      <c r="Z67" s="72"/>
      <c r="AA67" s="72"/>
    </row>
    <row r="68" spans="1:27" outlineLevel="2">
      <c r="A68" s="42"/>
      <c r="B68" s="43"/>
      <c r="C68" s="43"/>
      <c r="D68" s="43" t="s">
        <v>78</v>
      </c>
      <c r="E68" s="43"/>
      <c r="F68" s="46">
        <f>SUMIFS('Lançamentos Omie'!$G:$G,'Lançamentos Omie'!$I:$I,$D68,'Lançamentos Omie'!$F:$F,F$2)</f>
        <v>-15429.9</v>
      </c>
      <c r="G68" s="46">
        <f>SUMIFS('Lançamentos Omie'!$G:$G,'Lançamentos Omie'!$I:$I,$D68,'Lançamentos Omie'!$F:$F,G$2)</f>
        <v>-17038.600000000002</v>
      </c>
      <c r="H68" s="46">
        <f>SUMIFS('Lançamentos Omie'!$G:$G,'Lançamentos Omie'!$I:$I,$D68,'Lançamentos Omie'!$F:$F,H$2)</f>
        <v>-18171.300000000003</v>
      </c>
      <c r="I68" s="46">
        <f>SUMIFS('Lançamentos Omie'!$G:$G,'Lançamentos Omie'!$I:$I,$D68,'Lançamentos Omie'!$F:$F,I$2)</f>
        <v>-16265</v>
      </c>
      <c r="J68" s="46">
        <f>SUMIFS('Lançamentos Omie'!$G:$G,'Lançamentos Omie'!$I:$I,$D68,'Lançamentos Omie'!$F:$F,J$2)</f>
        <v>-16897.599999999999</v>
      </c>
      <c r="K68" s="46">
        <f>SUMIFS('Lançamentos Omie'!$G:$G,'Lançamentos Omie'!$I:$I,$D68,'Lançamentos Omie'!$F:$F,K$2)</f>
        <v>-16980.900000000001</v>
      </c>
      <c r="L68" s="46">
        <f>SUMIFS('Lançamentos Omie'!$G:$G,'Lançamentos Omie'!$I:$I,$D68,'Lançamentos Omie'!$F:$F,L$2)</f>
        <v>-21649.599999999999</v>
      </c>
      <c r="M68" s="46">
        <f>SUMIFS('Lançamentos Omie'!$G:$G,'Lançamentos Omie'!$I:$I,$D68,'Lançamentos Omie'!$F:$F,M$2)</f>
        <v>-20481.099999999999</v>
      </c>
      <c r="N68" s="46">
        <f>SUMIFS('Lançamentos Omie'!$G:$G,'Lançamentos Omie'!$I:$I,$D68,'Lançamentos Omie'!$F:$F,N$2)</f>
        <v>0</v>
      </c>
      <c r="O68" s="46">
        <f>SUMIFS('Lançamentos Omie'!$G:$G,'Lançamentos Omie'!$I:$I,$D68,'Lançamentos Omie'!$F:$F,O$2)</f>
        <v>0</v>
      </c>
      <c r="P68" s="46">
        <f>SUMIFS('Lançamentos Omie'!$G:$G,'Lançamentos Omie'!$I:$I,$D68,'Lançamentos Omie'!$F:$F,P$2)</f>
        <v>0</v>
      </c>
      <c r="Q68" s="46">
        <f>SUMIFS('Lançamentos Omie'!$G:$G,'Lançamentos Omie'!$I:$I,$D68,'Lançamentos Omie'!$F:$F,Q$2)</f>
        <v>0</v>
      </c>
      <c r="R68" s="143">
        <f t="shared" si="33"/>
        <v>-142914</v>
      </c>
      <c r="S68" s="71"/>
      <c r="T68" s="46">
        <f t="shared" si="1"/>
        <v>-100783.29999999999</v>
      </c>
      <c r="U68" s="46">
        <f t="shared" si="2"/>
        <v>-42130.7</v>
      </c>
      <c r="V68" s="46">
        <f t="shared" si="34"/>
        <v>-142914</v>
      </c>
      <c r="W68" s="72"/>
      <c r="X68" s="72"/>
      <c r="Y68" s="72"/>
      <c r="Z68" s="72"/>
      <c r="AA68" s="72"/>
    </row>
    <row r="69" spans="1:27" outlineLevel="2">
      <c r="A69" s="42"/>
      <c r="B69" s="43"/>
      <c r="C69" s="43"/>
      <c r="D69" s="43" t="s">
        <v>79</v>
      </c>
      <c r="E69" s="43"/>
      <c r="F69" s="46">
        <f>-Pessoal!D519</f>
        <v>-3690</v>
      </c>
      <c r="G69" s="46">
        <f>-Pessoal!E519</f>
        <v>-3540</v>
      </c>
      <c r="H69" s="46">
        <f>-Pessoal!F519</f>
        <v>-3540</v>
      </c>
      <c r="I69" s="46">
        <f>-Pessoal!G519</f>
        <v>-3540</v>
      </c>
      <c r="J69" s="46">
        <f>-Pessoal!H519</f>
        <v>-3240</v>
      </c>
      <c r="K69" s="46">
        <f>-Pessoal!I519</f>
        <v>-3390</v>
      </c>
      <c r="L69" s="46">
        <f>-Pessoal!J519</f>
        <v>-3390</v>
      </c>
      <c r="M69" s="46">
        <f>-Pessoal!K519</f>
        <v>-3390</v>
      </c>
      <c r="N69" s="46">
        <f>-Pessoal!L519</f>
        <v>0</v>
      </c>
      <c r="O69" s="46">
        <f>-Pessoal!M519</f>
        <v>0</v>
      </c>
      <c r="P69" s="46">
        <f>-Pessoal!N519</f>
        <v>0</v>
      </c>
      <c r="Q69" s="46">
        <f>-Pessoal!O519</f>
        <v>0</v>
      </c>
      <c r="R69" s="143">
        <f t="shared" si="33"/>
        <v>-27720</v>
      </c>
      <c r="S69" s="71"/>
      <c r="T69" s="46">
        <f t="shared" si="1"/>
        <v>-20940</v>
      </c>
      <c r="U69" s="46">
        <f t="shared" si="2"/>
        <v>-6780</v>
      </c>
      <c r="V69" s="46">
        <f t="shared" si="34"/>
        <v>-27720</v>
      </c>
      <c r="W69" s="72"/>
      <c r="X69" s="72"/>
      <c r="Y69" s="72"/>
      <c r="Z69" s="72"/>
      <c r="AA69" s="72"/>
    </row>
    <row r="70" spans="1:27" outlineLevel="2">
      <c r="A70" s="73"/>
      <c r="B70" s="74"/>
      <c r="C70" s="74"/>
      <c r="D70" s="43" t="s">
        <v>80</v>
      </c>
      <c r="E70" s="43"/>
      <c r="F70" s="46">
        <f>-'Outras Informações'!B94</f>
        <v>-205685</v>
      </c>
      <c r="G70" s="46">
        <f>-'Outras Informações'!C94</f>
        <v>-226448.95</v>
      </c>
      <c r="H70" s="46">
        <f>-'Outras Informações'!D94</f>
        <v>-226448.95</v>
      </c>
      <c r="I70" s="46">
        <f>-'Outras Informações'!E94</f>
        <v>-226448.95</v>
      </c>
      <c r="J70" s="46">
        <f>-'Outras Informações'!F94</f>
        <v>-226448.95</v>
      </c>
      <c r="K70" s="46">
        <f>-'Outras Informações'!G94</f>
        <v>-226448.95</v>
      </c>
      <c r="L70" s="46">
        <f>-'Outras Informações'!H94</f>
        <v>-226448.95</v>
      </c>
      <c r="M70" s="46">
        <f>-'Outras Informações'!I94</f>
        <v>-226448.95</v>
      </c>
      <c r="N70" s="46">
        <f>-'Outras Informações'!J94</f>
        <v>0</v>
      </c>
      <c r="O70" s="46">
        <f>-'Outras Informações'!K94</f>
        <v>0</v>
      </c>
      <c r="P70" s="46">
        <f>-'Outras Informações'!L94</f>
        <v>0</v>
      </c>
      <c r="Q70" s="46">
        <f>-'Outras Informações'!M94</f>
        <v>0</v>
      </c>
      <c r="R70" s="143">
        <f t="shared" si="33"/>
        <v>-1790827.65</v>
      </c>
      <c r="S70" s="71"/>
      <c r="T70" s="46">
        <f t="shared" si="1"/>
        <v>-1337929.75</v>
      </c>
      <c r="U70" s="46">
        <f t="shared" si="2"/>
        <v>-452897.9</v>
      </c>
      <c r="V70" s="46">
        <f t="shared" si="34"/>
        <v>-1790827.65</v>
      </c>
      <c r="W70" s="72"/>
      <c r="X70" s="72"/>
      <c r="Y70" s="72"/>
      <c r="Z70" s="72"/>
      <c r="AA70" s="72"/>
    </row>
    <row r="71" spans="1:27" outlineLevel="2">
      <c r="A71" s="73"/>
      <c r="B71" s="74"/>
      <c r="C71" s="74"/>
      <c r="D71" s="43" t="s">
        <v>81</v>
      </c>
      <c r="E71" s="43"/>
      <c r="F71" s="46">
        <f>-'Outras Informações'!B100</f>
        <v>-36375</v>
      </c>
      <c r="G71" s="46">
        <f>-'Outras Informações'!C100</f>
        <v>-36375</v>
      </c>
      <c r="H71" s="46">
        <f>-'Outras Informações'!D100</f>
        <v>-36375</v>
      </c>
      <c r="I71" s="46">
        <f>-'Outras Informações'!E100</f>
        <v>-36375</v>
      </c>
      <c r="J71" s="46">
        <f>-'Outras Informações'!F100</f>
        <v>-36375</v>
      </c>
      <c r="K71" s="46">
        <f>-'Outras Informações'!G100</f>
        <v>-36375</v>
      </c>
      <c r="L71" s="46">
        <f>-'Outras Informações'!H100</f>
        <v>-36375</v>
      </c>
      <c r="M71" s="46">
        <f>-'Outras Informações'!I100</f>
        <v>-36375</v>
      </c>
      <c r="N71" s="46">
        <f>-'Outras Informações'!J100</f>
        <v>0</v>
      </c>
      <c r="O71" s="46">
        <f>-'Outras Informações'!K100</f>
        <v>0</v>
      </c>
      <c r="P71" s="46">
        <f>-'Outras Informações'!L100</f>
        <v>0</v>
      </c>
      <c r="Q71" s="46">
        <f>-'Outras Informações'!M100</f>
        <v>0</v>
      </c>
      <c r="R71" s="143">
        <f t="shared" si="33"/>
        <v>-291000</v>
      </c>
      <c r="S71" s="71"/>
      <c r="T71" s="46">
        <f t="shared" si="1"/>
        <v>-218250</v>
      </c>
      <c r="U71" s="46">
        <f t="shared" si="2"/>
        <v>-72750</v>
      </c>
      <c r="V71" s="46">
        <f t="shared" si="34"/>
        <v>-291000</v>
      </c>
      <c r="W71" s="72"/>
      <c r="X71" s="72"/>
      <c r="Y71" s="72"/>
      <c r="Z71" s="72"/>
      <c r="AA71" s="72"/>
    </row>
    <row r="72" spans="1:27" outlineLevel="2">
      <c r="A72" s="42"/>
      <c r="B72" s="43"/>
      <c r="C72" s="43"/>
      <c r="D72" s="43" t="s">
        <v>82</v>
      </c>
      <c r="E72" s="43"/>
      <c r="F72" s="46">
        <f>SUMIFS('Lançamentos Omie'!$G:$G,'Lançamentos Omie'!$I:$I,$D72,'Lançamentos Omie'!$F:$F,F$2)</f>
        <v>-460.56</v>
      </c>
      <c r="G72" s="46">
        <f>SUMIFS('Lançamentos Omie'!$G:$G,'Lançamentos Omie'!$I:$I,$D72,'Lançamentos Omie'!$F:$F,G$2)</f>
        <v>-540.87</v>
      </c>
      <c r="H72" s="46">
        <f>SUMIFS('Lançamentos Omie'!$G:$G,'Lançamentos Omie'!$I:$I,$D72,'Lançamentos Omie'!$F:$F,H$2)</f>
        <v>-603.97</v>
      </c>
      <c r="I72" s="46">
        <f>SUMIFS('Lançamentos Omie'!$G:$G,'Lançamentos Omie'!$I:$I,$D72,'Lançamentos Omie'!$F:$F,I$2)</f>
        <v>-440.23</v>
      </c>
      <c r="J72" s="46">
        <f>SUMIFS('Lançamentos Omie'!$G:$G,'Lançamentos Omie'!$I:$I,$D72,'Lançamentos Omie'!$F:$F,J$2)</f>
        <v>-714.85</v>
      </c>
      <c r="K72" s="46">
        <f>SUMIFS('Lançamentos Omie'!$G:$G,'Lançamentos Omie'!$I:$I,$D72,'Lançamentos Omie'!$F:$F,K$2)</f>
        <v>-1250.76</v>
      </c>
      <c r="L72" s="46">
        <f>SUMIFS('Lançamentos Omie'!$G:$G,'Lançamentos Omie'!$I:$I,$D72,'Lançamentos Omie'!$F:$F,L$2)</f>
        <v>-501.73</v>
      </c>
      <c r="M72" s="46">
        <f>SUMIFS('Lançamentos Omie'!$G:$G,'Lançamentos Omie'!$I:$I,$D72,'Lançamentos Omie'!$F:$F,M$2)</f>
        <v>-505</v>
      </c>
      <c r="N72" s="46">
        <f>SUMIFS('Lançamentos Omie'!$G:$G,'Lançamentos Omie'!$I:$I,$D72,'Lançamentos Omie'!$F:$F,N$2)</f>
        <v>0</v>
      </c>
      <c r="O72" s="46">
        <f>SUMIFS('Lançamentos Omie'!$G:$G,'Lançamentos Omie'!$I:$I,$D72,'Lançamentos Omie'!$F:$F,O$2)</f>
        <v>0</v>
      </c>
      <c r="P72" s="46">
        <f>SUMIFS('Lançamentos Omie'!$G:$G,'Lançamentos Omie'!$I:$I,$D72,'Lançamentos Omie'!$F:$F,P$2)</f>
        <v>0</v>
      </c>
      <c r="Q72" s="46">
        <f>SUMIFS('Lançamentos Omie'!$G:$G,'Lançamentos Omie'!$I:$I,$D72,'Lançamentos Omie'!$F:$F,Q$2)</f>
        <v>0</v>
      </c>
      <c r="R72" s="143">
        <f t="shared" si="33"/>
        <v>-5017.9699999999993</v>
      </c>
      <c r="S72" s="71"/>
      <c r="T72" s="46">
        <f t="shared" si="1"/>
        <v>-4011.24</v>
      </c>
      <c r="U72" s="46">
        <f t="shared" si="2"/>
        <v>-1006.73</v>
      </c>
      <c r="V72" s="46">
        <f t="shared" si="34"/>
        <v>-5017.9699999999993</v>
      </c>
      <c r="W72" s="72"/>
      <c r="X72" s="72"/>
      <c r="Y72" s="72"/>
      <c r="Z72" s="72"/>
      <c r="AA72" s="72"/>
    </row>
    <row r="73" spans="1:27" outlineLevel="2">
      <c r="A73" s="42"/>
      <c r="B73" s="43"/>
      <c r="C73" s="43"/>
      <c r="D73" s="43" t="s">
        <v>83</v>
      </c>
      <c r="E73" s="43"/>
      <c r="F73" s="149">
        <f>SUMIFS('Lançamentos Omie'!$G:$G,'Lançamentos Omie'!$I:$I,$D73,'Lançamentos Omie'!$F:$F,F$2)-6402.31</f>
        <v>-6852.31</v>
      </c>
      <c r="G73" s="46">
        <f>SUMIFS('Lançamentos Omie'!$G:$G,'Lançamentos Omie'!$I:$I,$D73,'Lançamentos Omie'!$F:$F,G$2)</f>
        <v>-10800</v>
      </c>
      <c r="H73" s="46">
        <f>SUMIFS('Lançamentos Omie'!$G:$G,'Lançamentos Omie'!$I:$I,$D73,'Lançamentos Omie'!$F:$F,H$2)</f>
        <v>-10450</v>
      </c>
      <c r="I73" s="46">
        <f>SUMIFS('Lançamentos Omie'!$G:$G,'Lançamentos Omie'!$I:$I,$D73,'Lançamentos Omie'!$F:$F,I$2)</f>
        <v>-14050</v>
      </c>
      <c r="J73" s="46">
        <f>SUMIFS('Lançamentos Omie'!$G:$G,'Lançamentos Omie'!$I:$I,$D73,'Lançamentos Omie'!$F:$F,J$2)</f>
        <v>-11850</v>
      </c>
      <c r="K73" s="46">
        <f>SUMIFS('Lançamentos Omie'!$G:$G,'Lançamentos Omie'!$I:$I,$D73,'Lançamentos Omie'!$F:$F,K$2)</f>
        <v>-8200</v>
      </c>
      <c r="L73" s="46">
        <f>SUMIFS('Lançamentos Omie'!$G:$G,'Lançamentos Omie'!$I:$I,$D73,'Lançamentos Omie'!$F:$F,L$2)</f>
        <v>-9000</v>
      </c>
      <c r="M73" s="46">
        <f>SUMIFS('Lançamentos Omie'!$G:$G,'Lançamentos Omie'!$I:$I,$D73,'Lançamentos Omie'!$F:$F,M$2)</f>
        <v>-11450</v>
      </c>
      <c r="N73" s="46">
        <f>SUMIFS('Lançamentos Omie'!$G:$G,'Lançamentos Omie'!$I:$I,$D73,'Lançamentos Omie'!$F:$F,N$2)</f>
        <v>0</v>
      </c>
      <c r="O73" s="46">
        <f>SUMIFS('Lançamentos Omie'!$G:$G,'Lançamentos Omie'!$I:$I,$D73,'Lançamentos Omie'!$F:$F,O$2)</f>
        <v>0</v>
      </c>
      <c r="P73" s="46">
        <f>SUMIFS('Lançamentos Omie'!$G:$G,'Lançamentos Omie'!$I:$I,$D73,'Lançamentos Omie'!$F:$F,P$2)</f>
        <v>0</v>
      </c>
      <c r="Q73" s="46">
        <f>SUMIFS('Lançamentos Omie'!$G:$G,'Lançamentos Omie'!$I:$I,$D73,'Lançamentos Omie'!$F:$F,Q$2)</f>
        <v>0</v>
      </c>
      <c r="R73" s="143">
        <f t="shared" si="33"/>
        <v>-82652.31</v>
      </c>
      <c r="S73" s="71"/>
      <c r="T73" s="46">
        <f t="shared" si="1"/>
        <v>-62202.31</v>
      </c>
      <c r="U73" s="46">
        <f t="shared" si="2"/>
        <v>-20450</v>
      </c>
      <c r="V73" s="46">
        <f t="shared" si="34"/>
        <v>-82652.31</v>
      </c>
      <c r="W73" s="72"/>
      <c r="X73" s="72"/>
      <c r="Y73" s="72"/>
      <c r="Z73" s="72"/>
      <c r="AA73" s="72"/>
    </row>
    <row r="74" spans="1:27" outlineLevel="2">
      <c r="A74" s="42"/>
      <c r="B74" s="43"/>
      <c r="C74" s="43"/>
      <c r="D74" s="43" t="s">
        <v>84</v>
      </c>
      <c r="E74" s="43"/>
      <c r="F74" s="46">
        <f>SUMIFS('Lançamentos Omie'!$G:$G,'Lançamentos Omie'!$I:$I,$D74,'Lançamentos Omie'!$F:$F,F$2)</f>
        <v>-7213.54</v>
      </c>
      <c r="G74" s="46">
        <f>SUMIFS('Lançamentos Omie'!$G:$G,'Lançamentos Omie'!$I:$I,$D74,'Lançamentos Omie'!$F:$F,G$2)</f>
        <v>-6215.6399999999994</v>
      </c>
      <c r="H74" s="46">
        <f>SUMIFS('Lançamentos Omie'!$G:$G,'Lançamentos Omie'!$I:$I,$D74,'Lançamentos Omie'!$F:$F,H$2)</f>
        <v>-4126.62</v>
      </c>
      <c r="I74" s="46">
        <f>SUMIFS('Lançamentos Omie'!$G:$G,'Lançamentos Omie'!$I:$I,$D74,'Lançamentos Omie'!$F:$F,I$2)</f>
        <v>-6500.4299999999985</v>
      </c>
      <c r="J74" s="46">
        <f>SUMIFS('Lançamentos Omie'!$G:$G,'Lançamentos Omie'!$I:$I,$D74,'Lançamentos Omie'!$F:$F,J$2)</f>
        <v>-9769.1400000000012</v>
      </c>
      <c r="K74" s="46">
        <f>SUMIFS('Lançamentos Omie'!$G:$G,'Lançamentos Omie'!$I:$I,$D74,'Lançamentos Omie'!$F:$F,K$2)</f>
        <v>-3772.3099999999995</v>
      </c>
      <c r="L74" s="46">
        <f>SUMIFS('Lançamentos Omie'!$G:$G,'Lançamentos Omie'!$I:$I,$D74,'Lançamentos Omie'!$F:$F,L$2)</f>
        <v>-5823.76</v>
      </c>
      <c r="M74" s="46">
        <f>SUMIFS('Lançamentos Omie'!$G:$G,'Lançamentos Omie'!$I:$I,$D74,'Lançamentos Omie'!$F:$F,M$2)</f>
        <v>-2316.5000000000005</v>
      </c>
      <c r="N74" s="46">
        <f>SUMIFS('Lançamentos Omie'!$G:$G,'Lançamentos Omie'!$I:$I,$D74,'Lançamentos Omie'!$F:$F,N$2)</f>
        <v>0</v>
      </c>
      <c r="O74" s="46">
        <f>SUMIFS('Lançamentos Omie'!$G:$G,'Lançamentos Omie'!$I:$I,$D74,'Lançamentos Omie'!$F:$F,O$2)</f>
        <v>0</v>
      </c>
      <c r="P74" s="46">
        <f>SUMIFS('Lançamentos Omie'!$G:$G,'Lançamentos Omie'!$I:$I,$D74,'Lançamentos Omie'!$F:$F,P$2)</f>
        <v>0</v>
      </c>
      <c r="Q74" s="46">
        <f>SUMIFS('Lançamentos Omie'!$G:$G,'Lançamentos Omie'!$I:$I,$D74,'Lançamentos Omie'!$F:$F,Q$2)</f>
        <v>0</v>
      </c>
      <c r="R74" s="143">
        <f t="shared" si="33"/>
        <v>-45737.939999999995</v>
      </c>
      <c r="S74" s="71"/>
      <c r="T74" s="46">
        <f t="shared" si="1"/>
        <v>-37597.679999999993</v>
      </c>
      <c r="U74" s="46">
        <f t="shared" si="2"/>
        <v>-8140.26</v>
      </c>
      <c r="V74" s="46">
        <f t="shared" si="34"/>
        <v>-45737.939999999995</v>
      </c>
      <c r="W74" s="72"/>
      <c r="X74" s="72"/>
      <c r="Y74" s="72"/>
      <c r="Z74" s="72"/>
      <c r="AA74" s="72"/>
    </row>
    <row r="75" spans="1:27" outlineLevel="2">
      <c r="A75" s="42"/>
      <c r="B75" s="43"/>
      <c r="C75" s="43"/>
      <c r="D75" s="43" t="s">
        <v>85</v>
      </c>
      <c r="E75" s="43"/>
      <c r="F75" s="46">
        <f>SUMIFS('Lançamentos Omie'!$G:$G,'Lançamentos Omie'!$I:$I,$D75,'Lançamentos Omie'!$F:$F,F$2)</f>
        <v>0</v>
      </c>
      <c r="G75" s="46">
        <f>SUMIFS('Lançamentos Omie'!$G:$G,'Lançamentos Omie'!$I:$I,$D75,'Lançamentos Omie'!$F:$F,G$2)</f>
        <v>0</v>
      </c>
      <c r="H75" s="46">
        <f>SUMIFS('Lançamentos Omie'!$G:$G,'Lançamentos Omie'!$I:$I,$D75,'Lançamentos Omie'!$F:$F,H$2)</f>
        <v>0</v>
      </c>
      <c r="I75" s="46">
        <f>SUMIFS('Lançamentos Omie'!$G:$G,'Lançamentos Omie'!$I:$I,$D75,'Lançamentos Omie'!$F:$F,I$2)</f>
        <v>0</v>
      </c>
      <c r="J75" s="46">
        <f>SUMIFS('Lançamentos Omie'!$G:$G,'Lançamentos Omie'!$I:$I,$D75,'Lançamentos Omie'!$F:$F,J$2)</f>
        <v>0</v>
      </c>
      <c r="K75" s="46">
        <f>SUMIFS('Lançamentos Omie'!$G:$G,'Lançamentos Omie'!$I:$I,$D75,'Lançamentos Omie'!$F:$F,K$2)</f>
        <v>0</v>
      </c>
      <c r="L75" s="46">
        <f>SUMIFS('Lançamentos Omie'!$G:$G,'Lançamentos Omie'!$I:$I,$D75,'Lançamentos Omie'!$F:$F,L$2)</f>
        <v>0</v>
      </c>
      <c r="M75" s="46">
        <f>SUMIFS('Lançamentos Omie'!$G:$G,'Lançamentos Omie'!$I:$I,$D75,'Lançamentos Omie'!$F:$F,M$2)</f>
        <v>0</v>
      </c>
      <c r="N75" s="46">
        <f>SUMIFS('Lançamentos Omie'!$G:$G,'Lançamentos Omie'!$I:$I,$D75,'Lançamentos Omie'!$F:$F,N$2)</f>
        <v>0</v>
      </c>
      <c r="O75" s="46">
        <f>SUMIFS('Lançamentos Omie'!$G:$G,'Lançamentos Omie'!$I:$I,$D75,'Lançamentos Omie'!$F:$F,O$2)</f>
        <v>0</v>
      </c>
      <c r="P75" s="46">
        <f>SUMIFS('Lançamentos Omie'!$G:$G,'Lançamentos Omie'!$I:$I,$D75,'Lançamentos Omie'!$F:$F,P$2)</f>
        <v>0</v>
      </c>
      <c r="Q75" s="46">
        <f>SUMIFS('Lançamentos Omie'!$G:$G,'Lançamentos Omie'!$I:$I,$D75,'Lançamentos Omie'!$F:$F,Q$2)</f>
        <v>0</v>
      </c>
      <c r="R75" s="143">
        <f t="shared" si="33"/>
        <v>0</v>
      </c>
      <c r="S75" s="71"/>
      <c r="T75" s="46">
        <f t="shared" si="1"/>
        <v>0</v>
      </c>
      <c r="U75" s="46">
        <f t="shared" si="2"/>
        <v>0</v>
      </c>
      <c r="V75" s="46">
        <f t="shared" si="34"/>
        <v>0</v>
      </c>
      <c r="W75" s="72"/>
      <c r="X75" s="72"/>
      <c r="Y75" s="72"/>
      <c r="Z75" s="72"/>
      <c r="AA75" s="72"/>
    </row>
    <row r="76" spans="1:27" outlineLevel="2">
      <c r="A76" s="152">
        <v>7.5499999999999998E-2</v>
      </c>
      <c r="B76" s="74"/>
      <c r="C76" s="74"/>
      <c r="D76" s="74" t="s">
        <v>86</v>
      </c>
      <c r="E76" s="43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143">
        <f t="shared" si="33"/>
        <v>0</v>
      </c>
      <c r="S76" s="83"/>
      <c r="T76" s="46">
        <f t="shared" si="1"/>
        <v>0</v>
      </c>
      <c r="U76" s="46">
        <f t="shared" si="2"/>
        <v>0</v>
      </c>
      <c r="V76" s="46">
        <f t="shared" si="34"/>
        <v>0</v>
      </c>
      <c r="W76" s="84"/>
      <c r="X76" s="84"/>
      <c r="Y76" s="84"/>
      <c r="Z76" s="84"/>
      <c r="AA76" s="84"/>
    </row>
    <row r="77" spans="1:27" outlineLevel="1">
      <c r="A77" s="26"/>
      <c r="B77" s="27"/>
      <c r="C77" s="65" t="s">
        <v>87</v>
      </c>
      <c r="D77" s="28"/>
      <c r="E77" s="27"/>
      <c r="F77" s="66">
        <f t="shared" ref="F77:R77" si="35">SUM(F78:F92)</f>
        <v>-118408.18999999997</v>
      </c>
      <c r="G77" s="66">
        <f t="shared" si="35"/>
        <v>-98402.510000000009</v>
      </c>
      <c r="H77" s="66">
        <f t="shared" si="35"/>
        <v>-96863.74</v>
      </c>
      <c r="I77" s="66">
        <f t="shared" si="35"/>
        <v>-116123.88999999998</v>
      </c>
      <c r="J77" s="66">
        <f t="shared" ca="1" si="35"/>
        <v>-110268.50000000003</v>
      </c>
      <c r="K77" s="66">
        <f t="shared" ca="1" si="35"/>
        <v>-100921.62000000001</v>
      </c>
      <c r="L77" s="66">
        <f t="shared" si="35"/>
        <v>-77424.039999999994</v>
      </c>
      <c r="M77" s="66">
        <f t="shared" si="35"/>
        <v>-80931.22</v>
      </c>
      <c r="N77" s="66">
        <f t="shared" si="35"/>
        <v>0</v>
      </c>
      <c r="O77" s="66">
        <f t="shared" si="35"/>
        <v>0</v>
      </c>
      <c r="P77" s="66">
        <f t="shared" si="35"/>
        <v>0</v>
      </c>
      <c r="Q77" s="66">
        <f t="shared" si="35"/>
        <v>0</v>
      </c>
      <c r="R77" s="147">
        <f t="shared" ca="1" si="35"/>
        <v>-799343.71</v>
      </c>
      <c r="S77" s="41"/>
      <c r="T77" s="66">
        <f t="shared" ca="1" si="1"/>
        <v>-640988.44999999995</v>
      </c>
      <c r="U77" s="66">
        <f t="shared" si="2"/>
        <v>-158355.26</v>
      </c>
      <c r="V77" s="66">
        <f t="shared" ca="1" si="34"/>
        <v>-799343.71</v>
      </c>
      <c r="W77" s="55"/>
      <c r="X77" s="55"/>
      <c r="Y77" s="55"/>
      <c r="Z77" s="55"/>
      <c r="AA77" s="55"/>
    </row>
    <row r="78" spans="1:27" outlineLevel="2">
      <c r="A78" s="73"/>
      <c r="B78" s="74"/>
      <c r="C78" s="74"/>
      <c r="D78" s="74" t="s">
        <v>88</v>
      </c>
      <c r="E78" s="43"/>
      <c r="F78" s="46">
        <f>SUMIFS('Lançamentos Omie'!$G:$G,'Lançamentos Omie'!$I:$I,$D78,'Lançamentos Omie'!$F:$F,F$2)</f>
        <v>-16414</v>
      </c>
      <c r="G78" s="46">
        <f>SUMIFS('Lançamentos Omie'!$G:$G,'Lançamentos Omie'!$I:$I,$D78,'Lançamentos Omie'!$F:$F,G$2)</f>
        <v>-17589.54</v>
      </c>
      <c r="H78" s="46">
        <f>SUMIFS('Lançamentos Omie'!$G:$G,'Lançamentos Omie'!$I:$I,$D78,'Lançamentos Omie'!$F:$F,H$2)</f>
        <v>-17001.77</v>
      </c>
      <c r="I78" s="46">
        <f>SUMIFS('Lançamentos Omie'!$G:$G,'Lançamentos Omie'!$I:$I,$D78,'Lançamentos Omie'!$F:$F,I$2)</f>
        <v>-17014.45</v>
      </c>
      <c r="J78" s="46">
        <f>SUMIFS('Lançamentos Omie'!$G:$G,'Lançamentos Omie'!$I:$I,$D78,'Lançamentos Omie'!$F:$F,J$2)</f>
        <v>-17014.45</v>
      </c>
      <c r="K78" s="46">
        <f>SUMIFS('Lançamentos Omie'!$G:$G,'Lançamentos Omie'!$I:$I,$D78,'Lançamentos Omie'!$F:$F,K$2)</f>
        <v>-17014.45</v>
      </c>
      <c r="L78" s="46">
        <f>SUMIFS('Lançamentos Omie'!$G:$G,'Lançamentos Omie'!$I:$I,$D78,'Lançamentos Omie'!$F:$F,L$2)</f>
        <v>-17014.45</v>
      </c>
      <c r="M78" s="46">
        <f>SUMIFS('Lançamentos Omie'!$G:$G,'Lançamentos Omie'!$I:$I,$D78,'Lançamentos Omie'!$F:$F,M$2)</f>
        <v>-17014.45</v>
      </c>
      <c r="N78" s="46">
        <f>SUMIFS('Lançamentos Omie'!$G:$G,'Lançamentos Omie'!$I:$I,$D78,'Lançamentos Omie'!$F:$F,N$2)</f>
        <v>0</v>
      </c>
      <c r="O78" s="46">
        <f>SUMIFS('Lançamentos Omie'!$G:$G,'Lançamentos Omie'!$I:$I,$D78,'Lançamentos Omie'!$F:$F,O$2)</f>
        <v>0</v>
      </c>
      <c r="P78" s="46">
        <f>SUMIFS('Lançamentos Omie'!$G:$G,'Lançamentos Omie'!$I:$I,$D78,'Lançamentos Omie'!$F:$F,P$2)</f>
        <v>0</v>
      </c>
      <c r="Q78" s="46">
        <f>SUMIFS('Lançamentos Omie'!$G:$G,'Lançamentos Omie'!$I:$I,$D78,'Lançamentos Omie'!$F:$F,Q$2)</f>
        <v>0</v>
      </c>
      <c r="R78" s="143">
        <f t="shared" ref="R78:R92" si="36">SUM(F78:Q78)</f>
        <v>-136077.56</v>
      </c>
      <c r="S78" s="71"/>
      <c r="T78" s="46">
        <f t="shared" si="1"/>
        <v>-102048.65999999999</v>
      </c>
      <c r="U78" s="46">
        <f t="shared" si="2"/>
        <v>-34028.9</v>
      </c>
      <c r="V78" s="46">
        <f t="shared" si="34"/>
        <v>-136077.56</v>
      </c>
      <c r="W78" s="72"/>
      <c r="X78" s="72"/>
      <c r="Y78" s="72"/>
      <c r="Z78" s="72"/>
      <c r="AA78" s="72"/>
    </row>
    <row r="79" spans="1:27" outlineLevel="2">
      <c r="A79" s="73"/>
      <c r="B79" s="74"/>
      <c r="C79" s="74"/>
      <c r="D79" s="74" t="s">
        <v>89</v>
      </c>
      <c r="E79" s="43"/>
      <c r="F79" s="46">
        <f>SUMIFS('Lançamentos Omie'!$G:$G,'Lançamentos Omie'!$I:$I,$D79,'Lançamentos Omie'!$F:$F,F$2)</f>
        <v>-2591.85</v>
      </c>
      <c r="G79" s="46">
        <f>SUMIFS('Lançamentos Omie'!$G:$G,'Lançamentos Omie'!$I:$I,$D79,'Lançamentos Omie'!$F:$F,G$2)</f>
        <v>-3025.01</v>
      </c>
      <c r="H79" s="46">
        <f>SUMIFS('Lançamentos Omie'!$G:$G,'Lançamentos Omie'!$I:$I,$D79,'Lançamentos Omie'!$F:$F,H$2)</f>
        <v>-2739.52</v>
      </c>
      <c r="I79" s="46">
        <f>SUMIFS('Lançamentos Omie'!$G:$G,'Lançamentos Omie'!$I:$I,$D79,'Lançamentos Omie'!$F:$F,I$2)</f>
        <v>-2655.52</v>
      </c>
      <c r="J79" s="46">
        <f>SUMIFS('Lançamentos Omie'!$G:$G,'Lançamentos Omie'!$I:$I,$D79,'Lançamentos Omie'!$F:$F,J$2)</f>
        <v>-2448.71</v>
      </c>
      <c r="K79" s="46">
        <f>SUMIFS('Lançamentos Omie'!$G:$G,'Lançamentos Omie'!$I:$I,$D79,'Lançamentos Omie'!$F:$F,K$2)</f>
        <v>-2257.34</v>
      </c>
      <c r="L79" s="46">
        <f>SUMIFS('Lançamentos Omie'!$G:$G,'Lançamentos Omie'!$I:$I,$D79,'Lançamentos Omie'!$F:$F,L$2)</f>
        <v>-2517.6</v>
      </c>
      <c r="M79" s="46">
        <f>SUMIFS('Lançamentos Omie'!$G:$G,'Lançamentos Omie'!$I:$I,$D79,'Lançamentos Omie'!$F:$F,M$2)</f>
        <v>-2177.1</v>
      </c>
      <c r="N79" s="46">
        <f>SUMIFS('Lançamentos Omie'!$G:$G,'Lançamentos Omie'!$I:$I,$D79,'Lançamentos Omie'!$F:$F,N$2)</f>
        <v>0</v>
      </c>
      <c r="O79" s="46">
        <f>SUMIFS('Lançamentos Omie'!$G:$G,'Lançamentos Omie'!$I:$I,$D79,'Lançamentos Omie'!$F:$F,O$2)</f>
        <v>0</v>
      </c>
      <c r="P79" s="46">
        <f>SUMIFS('Lançamentos Omie'!$G:$G,'Lançamentos Omie'!$I:$I,$D79,'Lançamentos Omie'!$F:$F,P$2)</f>
        <v>0</v>
      </c>
      <c r="Q79" s="46">
        <f>SUMIFS('Lançamentos Omie'!$G:$G,'Lançamentos Omie'!$I:$I,$D79,'Lançamentos Omie'!$F:$F,Q$2)</f>
        <v>0</v>
      </c>
      <c r="R79" s="143">
        <f t="shared" si="36"/>
        <v>-20412.649999999998</v>
      </c>
      <c r="S79" s="71"/>
      <c r="T79" s="46">
        <f t="shared" si="1"/>
        <v>-15717.95</v>
      </c>
      <c r="U79" s="46">
        <f t="shared" si="2"/>
        <v>-4694.7</v>
      </c>
      <c r="V79" s="46">
        <f t="shared" si="34"/>
        <v>-20412.650000000001</v>
      </c>
      <c r="W79" s="72"/>
      <c r="X79" s="72"/>
      <c r="Y79" s="72"/>
      <c r="Z79" s="72"/>
      <c r="AA79" s="72"/>
    </row>
    <row r="80" spans="1:27" outlineLevel="2">
      <c r="A80" s="73"/>
      <c r="B80" s="74"/>
      <c r="C80" s="74"/>
      <c r="D80" s="74" t="s">
        <v>90</v>
      </c>
      <c r="E80" s="85"/>
      <c r="F80" s="46">
        <f>SUMIFS('Lançamentos Omie'!$G:$G,'Lançamentos Omie'!$I:$I,$D80,'Lançamentos Omie'!$F:$F,F$2)</f>
        <v>-1115.3400000000001</v>
      </c>
      <c r="G80" s="46">
        <f>SUMIFS('Lançamentos Omie'!$G:$G,'Lançamentos Omie'!$I:$I,$D80,'Lançamentos Omie'!$F:$F,G$2)</f>
        <v>-1752.44</v>
      </c>
      <c r="H80" s="46">
        <f>SUMIFS('Lançamentos Omie'!$G:$G,'Lançamentos Omie'!$I:$I,$D80,'Lançamentos Omie'!$F:$F,H$2)</f>
        <v>-1258.79</v>
      </c>
      <c r="I80" s="46">
        <f>SUMIFS('Lançamentos Omie'!$G:$G,'Lançamentos Omie'!$I:$I,$D80,'Lançamentos Omie'!$F:$F,I$2)</f>
        <v>-1985.67</v>
      </c>
      <c r="J80" s="46">
        <f>SUMIFS('Lançamentos Omie'!$G:$G,'Lançamentos Omie'!$I:$I,$D80,'Lançamentos Omie'!$F:$F,J$2)</f>
        <v>-1202.1100000000001</v>
      </c>
      <c r="K80" s="46">
        <f>SUMIFS('Lançamentos Omie'!$G:$G,'Lançamentos Omie'!$I:$I,$D80,'Lançamentos Omie'!$F:$F,K$2)</f>
        <v>-1897.54</v>
      </c>
      <c r="L80" s="46">
        <f>SUMIFS('Lançamentos Omie'!$G:$G,'Lançamentos Omie'!$I:$I,$D80,'Lançamentos Omie'!$F:$F,L$2)</f>
        <v>-1171.51</v>
      </c>
      <c r="M80" s="46">
        <f>SUMIFS('Lançamentos Omie'!$G:$G,'Lançamentos Omie'!$I:$I,$D80,'Lançamentos Omie'!$F:$F,M$2)</f>
        <v>-1277.68</v>
      </c>
      <c r="N80" s="46">
        <f>SUMIFS('Lançamentos Omie'!$G:$G,'Lançamentos Omie'!$I:$I,$D80,'Lançamentos Omie'!$F:$F,N$2)</f>
        <v>0</v>
      </c>
      <c r="O80" s="46">
        <f>SUMIFS('Lançamentos Omie'!$G:$G,'Lançamentos Omie'!$I:$I,$D80,'Lançamentos Omie'!$F:$F,O$2)</f>
        <v>0</v>
      </c>
      <c r="P80" s="46">
        <f>SUMIFS('Lançamentos Omie'!$G:$G,'Lançamentos Omie'!$I:$I,$D80,'Lançamentos Omie'!$F:$F,P$2)</f>
        <v>0</v>
      </c>
      <c r="Q80" s="46">
        <f>SUMIFS('Lançamentos Omie'!$G:$G,'Lançamentos Omie'!$I:$I,$D80,'Lançamentos Omie'!$F:$F,Q$2)</f>
        <v>0</v>
      </c>
      <c r="R80" s="143">
        <f t="shared" si="36"/>
        <v>-11661.08</v>
      </c>
      <c r="S80" s="71"/>
      <c r="T80" s="46">
        <f t="shared" si="1"/>
        <v>-9211.89</v>
      </c>
      <c r="U80" s="46">
        <f t="shared" si="2"/>
        <v>-2449.19</v>
      </c>
      <c r="V80" s="46">
        <f t="shared" si="34"/>
        <v>-11661.08</v>
      </c>
      <c r="W80" s="72"/>
      <c r="X80" s="72"/>
      <c r="Y80" s="72"/>
      <c r="Z80" s="72"/>
      <c r="AA80" s="72"/>
    </row>
    <row r="81" spans="1:27" outlineLevel="2">
      <c r="A81" s="73"/>
      <c r="B81" s="74"/>
      <c r="C81" s="74"/>
      <c r="D81" s="74" t="s">
        <v>91</v>
      </c>
      <c r="E81" s="43"/>
      <c r="F81" s="46">
        <f>SUMIFS('Lançamentos Omie'!$G:$G,'Lançamentos Omie'!$I:$I,$D81,'Lançamentos Omie'!$F:$F,F$2)</f>
        <v>-1937.6</v>
      </c>
      <c r="G81" s="46">
        <f>SUMIFS('Lançamentos Omie'!$G:$G,'Lançamentos Omie'!$I:$I,$D81,'Lançamentos Omie'!$F:$F,G$2)</f>
        <v>-1585</v>
      </c>
      <c r="H81" s="46">
        <f>SUMIFS('Lançamentos Omie'!$G:$G,'Lançamentos Omie'!$I:$I,$D81,'Lançamentos Omie'!$F:$F,H$2)</f>
        <v>-1900</v>
      </c>
      <c r="I81" s="46">
        <f>SUMIFS('Lançamentos Omie'!$G:$G,'Lançamentos Omie'!$I:$I,$D81,'Lançamentos Omie'!$F:$F,I$2)</f>
        <v>-942.29</v>
      </c>
      <c r="J81" s="46">
        <f>SUMIFS('Lançamentos Omie'!$G:$G,'Lançamentos Omie'!$I:$I,$D81,'Lançamentos Omie'!$F:$F,J$2)</f>
        <v>-1298.0999999999999</v>
      </c>
      <c r="K81" s="46">
        <f>SUMIFS('Lançamentos Omie'!$G:$G,'Lançamentos Omie'!$I:$I,$D81,'Lançamentos Omie'!$F:$F,K$2)</f>
        <v>-3244.9</v>
      </c>
      <c r="L81" s="46">
        <f>SUMIFS('Lançamentos Omie'!$G:$G,'Lançamentos Omie'!$I:$I,$D81,'Lançamentos Omie'!$F:$F,L$2)</f>
        <v>-2092.5600000000004</v>
      </c>
      <c r="M81" s="46">
        <f>SUMIFS('Lançamentos Omie'!$G:$G,'Lançamentos Omie'!$I:$I,$D81,'Lançamentos Omie'!$F:$F,M$2)</f>
        <v>-1219.2</v>
      </c>
      <c r="N81" s="46">
        <f>SUMIFS('Lançamentos Omie'!$G:$G,'Lançamentos Omie'!$I:$I,$D81,'Lançamentos Omie'!$F:$F,N$2)</f>
        <v>0</v>
      </c>
      <c r="O81" s="46">
        <f>SUMIFS('Lançamentos Omie'!$G:$G,'Lançamentos Omie'!$I:$I,$D81,'Lançamentos Omie'!$F:$F,O$2)</f>
        <v>0</v>
      </c>
      <c r="P81" s="46">
        <f>SUMIFS('Lançamentos Omie'!$G:$G,'Lançamentos Omie'!$I:$I,$D81,'Lançamentos Omie'!$F:$F,P$2)</f>
        <v>0</v>
      </c>
      <c r="Q81" s="46">
        <f>SUMIFS('Lançamentos Omie'!$G:$G,'Lançamentos Omie'!$I:$I,$D81,'Lançamentos Omie'!$F:$F,Q$2)</f>
        <v>0</v>
      </c>
      <c r="R81" s="143">
        <f t="shared" si="36"/>
        <v>-14219.650000000001</v>
      </c>
      <c r="S81" s="71"/>
      <c r="T81" s="46">
        <f t="shared" si="1"/>
        <v>-10907.89</v>
      </c>
      <c r="U81" s="46">
        <f t="shared" si="2"/>
        <v>-3311.76</v>
      </c>
      <c r="V81" s="46">
        <f t="shared" si="34"/>
        <v>-14219.65</v>
      </c>
      <c r="W81" s="72"/>
      <c r="X81" s="72"/>
      <c r="Y81" s="72"/>
      <c r="Z81" s="72"/>
      <c r="AA81" s="72"/>
    </row>
    <row r="82" spans="1:27" outlineLevel="2">
      <c r="A82" s="73"/>
      <c r="B82" s="74"/>
      <c r="C82" s="74"/>
      <c r="D82" s="74" t="s">
        <v>92</v>
      </c>
      <c r="E82" s="43"/>
      <c r="F82" s="46">
        <f>SUMIFS('Lançamentos Omie'!$G:$G,'Lançamentos Omie'!$I:$I,$D82,'Lançamentos Omie'!$F:$F,F$2)</f>
        <v>0</v>
      </c>
      <c r="G82" s="46">
        <f>SUMIFS('Lançamentos Omie'!$G:$G,'Lançamentos Omie'!$I:$I,$D82,'Lançamentos Omie'!$F:$F,G$2)</f>
        <v>0</v>
      </c>
      <c r="H82" s="46">
        <f>SUMIFS('Lançamentos Omie'!$G:$G,'Lançamentos Omie'!$I:$I,$D82,'Lançamentos Omie'!$F:$F,H$2)</f>
        <v>0</v>
      </c>
      <c r="I82" s="46">
        <f>SUMIFS('Lançamentos Omie'!$G:$G,'Lançamentos Omie'!$I:$I,$D82,'Lançamentos Omie'!$F:$F,I$2)</f>
        <v>0</v>
      </c>
      <c r="J82" s="46">
        <f>SUMIFS('Lançamentos Omie'!$G:$G,'Lançamentos Omie'!$I:$I,$D82,'Lançamentos Omie'!$F:$F,J$2)</f>
        <v>0</v>
      </c>
      <c r="K82" s="46">
        <f>SUMIFS('Lançamentos Omie'!$G:$G,'Lançamentos Omie'!$I:$I,$D82,'Lançamentos Omie'!$F:$F,K$2)</f>
        <v>0</v>
      </c>
      <c r="L82" s="46">
        <f>SUMIFS('Lançamentos Omie'!$G:$G,'Lançamentos Omie'!$I:$I,$D82,'Lançamentos Omie'!$F:$F,L$2)</f>
        <v>0</v>
      </c>
      <c r="M82" s="46">
        <f>SUMIFS('Lançamentos Omie'!$G:$G,'Lançamentos Omie'!$I:$I,$D82,'Lançamentos Omie'!$F:$F,M$2)</f>
        <v>0</v>
      </c>
      <c r="N82" s="46">
        <f>SUMIFS('Lançamentos Omie'!$G:$G,'Lançamentos Omie'!$I:$I,$D82,'Lançamentos Omie'!$F:$F,N$2)</f>
        <v>0</v>
      </c>
      <c r="O82" s="46">
        <f>SUMIFS('Lançamentos Omie'!$G:$G,'Lançamentos Omie'!$I:$I,$D82,'Lançamentos Omie'!$F:$F,O$2)</f>
        <v>0</v>
      </c>
      <c r="P82" s="46">
        <f>SUMIFS('Lançamentos Omie'!$G:$G,'Lançamentos Omie'!$I:$I,$D82,'Lançamentos Omie'!$F:$F,P$2)</f>
        <v>0</v>
      </c>
      <c r="Q82" s="46">
        <f>SUMIFS('Lançamentos Omie'!$G:$G,'Lançamentos Omie'!$I:$I,$D82,'Lançamentos Omie'!$F:$F,Q$2)</f>
        <v>0</v>
      </c>
      <c r="R82" s="143">
        <f t="shared" si="36"/>
        <v>0</v>
      </c>
      <c r="S82" s="71"/>
      <c r="T82" s="46">
        <f t="shared" si="1"/>
        <v>0</v>
      </c>
      <c r="U82" s="46">
        <f t="shared" si="2"/>
        <v>0</v>
      </c>
      <c r="V82" s="46">
        <f t="shared" si="34"/>
        <v>0</v>
      </c>
      <c r="W82" s="72"/>
      <c r="X82" s="72"/>
      <c r="Y82" s="72"/>
      <c r="Z82" s="72"/>
      <c r="AA82" s="72"/>
    </row>
    <row r="83" spans="1:27" outlineLevel="2">
      <c r="A83" s="42"/>
      <c r="B83" s="43"/>
      <c r="C83" s="43"/>
      <c r="D83" s="43" t="s">
        <v>93</v>
      </c>
      <c r="E83" s="43"/>
      <c r="F83" s="46">
        <f>SUMIFS('Lançamentos Omie'!$G:$G,'Lançamentos Omie'!$I:$I,$D83,'Lançamentos Omie'!$F:$F,F$2)</f>
        <v>-10450.890000000001</v>
      </c>
      <c r="G83" s="46">
        <f>SUMIFS('Lançamentos Omie'!$G:$G,'Lançamentos Omie'!$I:$I,$D83,'Lançamentos Omie'!$F:$F,G$2)</f>
        <v>-7580.89</v>
      </c>
      <c r="H83" s="46">
        <f>SUMIFS('Lançamentos Omie'!$G:$G,'Lançamentos Omie'!$I:$I,$D83,'Lançamentos Omie'!$F:$F,H$2)</f>
        <v>-7611.05</v>
      </c>
      <c r="I83" s="46">
        <f>SUMIFS('Lançamentos Omie'!$G:$G,'Lançamentos Omie'!$I:$I,$D83,'Lançamentos Omie'!$F:$F,I$2)</f>
        <v>-9799.6899999999987</v>
      </c>
      <c r="J83" s="46">
        <f>SUMIFS('Lançamentos Omie'!$G:$G,'Lançamentos Omie'!$I:$I,$D83,'Lançamentos Omie'!$F:$F,J$2)</f>
        <v>-8326.25</v>
      </c>
      <c r="K83" s="46">
        <f>SUMIFS('Lançamentos Omie'!$G:$G,'Lançamentos Omie'!$I:$I,$D83,'Lançamentos Omie'!$F:$F,K$2)</f>
        <v>-8382.65</v>
      </c>
      <c r="L83" s="46">
        <f>SUMIFS('Lançamentos Omie'!$G:$G,'Lançamentos Omie'!$I:$I,$D83,'Lançamentos Omie'!$F:$F,L$2)</f>
        <v>-8382.65</v>
      </c>
      <c r="M83" s="46">
        <f>SUMIFS('Lançamentos Omie'!$G:$G,'Lançamentos Omie'!$I:$I,$D83,'Lançamentos Omie'!$F:$F,M$2)</f>
        <v>-10700.47</v>
      </c>
      <c r="N83" s="46">
        <f>SUMIFS('Lançamentos Omie'!$G:$G,'Lançamentos Omie'!$I:$I,$D83,'Lançamentos Omie'!$F:$F,N$2)</f>
        <v>0</v>
      </c>
      <c r="O83" s="46">
        <f>SUMIFS('Lançamentos Omie'!$G:$G,'Lançamentos Omie'!$I:$I,$D83,'Lançamentos Omie'!$F:$F,O$2)</f>
        <v>0</v>
      </c>
      <c r="P83" s="46">
        <f>SUMIFS('Lançamentos Omie'!$G:$G,'Lançamentos Omie'!$I:$I,$D83,'Lançamentos Omie'!$F:$F,P$2)</f>
        <v>0</v>
      </c>
      <c r="Q83" s="46">
        <f>SUMIFS('Lançamentos Omie'!$G:$G,'Lançamentos Omie'!$I:$I,$D83,'Lançamentos Omie'!$F:$F,Q$2)</f>
        <v>0</v>
      </c>
      <c r="R83" s="143">
        <f t="shared" si="36"/>
        <v>-71234.540000000008</v>
      </c>
      <c r="S83" s="71"/>
      <c r="T83" s="46">
        <f t="shared" si="1"/>
        <v>-52151.420000000006</v>
      </c>
      <c r="U83" s="46">
        <f t="shared" si="2"/>
        <v>-19083.12</v>
      </c>
      <c r="V83" s="46">
        <f t="shared" si="34"/>
        <v>-71234.540000000008</v>
      </c>
      <c r="W83" s="72"/>
      <c r="X83" s="72"/>
      <c r="Y83" s="72"/>
      <c r="Z83" s="72"/>
      <c r="AA83" s="72"/>
    </row>
    <row r="84" spans="1:27" outlineLevel="2">
      <c r="A84" s="86"/>
      <c r="B84" s="86"/>
      <c r="C84" s="86"/>
      <c r="D84" s="86" t="s">
        <v>94</v>
      </c>
      <c r="E84" s="43"/>
      <c r="F84" s="46">
        <f>SUMIFS('Lançamentos Omie'!$G:$G,'Lançamentos Omie'!$I:$I,$D84,'Lançamentos Omie'!$F:$F,F$2)</f>
        <v>-7285.66</v>
      </c>
      <c r="G84" s="46">
        <f>SUMIFS('Lançamentos Omie'!$G:$G,'Lançamentos Omie'!$I:$I,$D84,'Lançamentos Omie'!$F:$F,G$2)</f>
        <v>-7285.66</v>
      </c>
      <c r="H84" s="46">
        <f>SUMIFS('Lançamentos Omie'!$G:$G,'Lançamentos Omie'!$I:$I,$D84,'Lançamentos Omie'!$F:$F,H$2)</f>
        <v>-7285.66</v>
      </c>
      <c r="I84" s="46">
        <f>SUMIFS('Lançamentos Omie'!$G:$G,'Lançamentos Omie'!$I:$I,$D84,'Lançamentos Omie'!$F:$F,I$2)</f>
        <v>-7285.66</v>
      </c>
      <c r="J84" s="46">
        <f>SUMIFS('Lançamentos Omie'!$G:$G,'Lançamentos Omie'!$I:$I,$D84,'Lançamentos Omie'!$F:$F,J$2)</f>
        <v>-7646.3099999999995</v>
      </c>
      <c r="K84" s="46">
        <f>SUMIFS('Lançamentos Omie'!$G:$G,'Lançamentos Omie'!$I:$I,$D84,'Lançamentos Omie'!$F:$F,K$2)</f>
        <v>-7285.66</v>
      </c>
      <c r="L84" s="46">
        <f>SUMIFS('Lançamentos Omie'!$G:$G,'Lançamentos Omie'!$I:$I,$D84,'Lançamentos Omie'!$F:$F,L$2)</f>
        <v>-7285.66</v>
      </c>
      <c r="M84" s="46">
        <f>SUMIFS('Lançamentos Omie'!$G:$G,'Lançamentos Omie'!$I:$I,$D84,'Lançamentos Omie'!$F:$F,M$2)</f>
        <v>-7285.66</v>
      </c>
      <c r="N84" s="46">
        <f>SUMIFS('Lançamentos Omie'!$G:$G,'Lançamentos Omie'!$I:$I,$D84,'Lançamentos Omie'!$F:$F,N$2)</f>
        <v>0</v>
      </c>
      <c r="O84" s="46">
        <f>SUMIFS('Lançamentos Omie'!$G:$G,'Lançamentos Omie'!$I:$I,$D84,'Lançamentos Omie'!$F:$F,O$2)</f>
        <v>0</v>
      </c>
      <c r="P84" s="46">
        <f>SUMIFS('Lançamentos Omie'!$G:$G,'Lançamentos Omie'!$I:$I,$D84,'Lançamentos Omie'!$F:$F,P$2)</f>
        <v>0</v>
      </c>
      <c r="Q84" s="46">
        <f>SUMIFS('Lançamentos Omie'!$G:$G,'Lançamentos Omie'!$I:$I,$D84,'Lançamentos Omie'!$F:$F,Q$2)</f>
        <v>0</v>
      </c>
      <c r="R84" s="143">
        <f t="shared" si="36"/>
        <v>-58645.930000000008</v>
      </c>
      <c r="S84" s="71"/>
      <c r="T84" s="46">
        <f t="shared" si="1"/>
        <v>-44074.61</v>
      </c>
      <c r="U84" s="46">
        <f t="shared" si="2"/>
        <v>-14571.32</v>
      </c>
      <c r="V84" s="46">
        <f t="shared" si="34"/>
        <v>-58645.93</v>
      </c>
      <c r="W84" s="72"/>
      <c r="X84" s="72"/>
      <c r="Y84" s="72"/>
      <c r="Z84" s="72"/>
      <c r="AA84" s="72"/>
    </row>
    <row r="85" spans="1:27" outlineLevel="2">
      <c r="A85" s="73"/>
      <c r="B85" s="74"/>
      <c r="C85" s="74"/>
      <c r="D85" s="74" t="s">
        <v>95</v>
      </c>
      <c r="E85" s="43"/>
      <c r="F85" s="46">
        <f>SUMIFS('Lançamentos Omie'!$G:$G,'Lançamentos Omie'!$I:$I,$D85,'Lançamentos Omie'!$F:$F,F$2)</f>
        <v>0</v>
      </c>
      <c r="G85" s="46">
        <f>SUMIFS('Lançamentos Omie'!$G:$G,'Lançamentos Omie'!$I:$I,$D85,'Lançamentos Omie'!$F:$F,G$2)</f>
        <v>0</v>
      </c>
      <c r="H85" s="46">
        <f>SUMIFS('Lançamentos Omie'!$G:$G,'Lançamentos Omie'!$I:$I,$D85,'Lançamentos Omie'!$F:$F,H$2)</f>
        <v>0</v>
      </c>
      <c r="I85" s="46">
        <f>SUMIFS('Lançamentos Omie'!$G:$G,'Lançamentos Omie'!$I:$I,$D85,'Lançamentos Omie'!$F:$F,I$2)</f>
        <v>0</v>
      </c>
      <c r="J85" s="46">
        <f>SUMIFS('Lançamentos Omie'!$G:$G,'Lançamentos Omie'!$I:$I,$D85,'Lançamentos Omie'!$F:$F,J$2)</f>
        <v>0</v>
      </c>
      <c r="K85" s="46">
        <f>SUMIFS('Lançamentos Omie'!$G:$G,'Lançamentos Omie'!$I:$I,$D85,'Lançamentos Omie'!$F:$F,K$2)</f>
        <v>0</v>
      </c>
      <c r="L85" s="46">
        <f>SUMIFS('Lançamentos Omie'!$G:$G,'Lançamentos Omie'!$I:$I,$D85,'Lançamentos Omie'!$F:$F,L$2)</f>
        <v>0</v>
      </c>
      <c r="M85" s="46">
        <f>SUMIFS('Lançamentos Omie'!$G:$G,'Lançamentos Omie'!$I:$I,$D85,'Lançamentos Omie'!$F:$F,M$2)</f>
        <v>0</v>
      </c>
      <c r="N85" s="46">
        <f>SUMIFS('Lançamentos Omie'!$G:$G,'Lançamentos Omie'!$I:$I,$D85,'Lançamentos Omie'!$F:$F,N$2)</f>
        <v>0</v>
      </c>
      <c r="O85" s="46">
        <f>SUMIFS('Lançamentos Omie'!$G:$G,'Lançamentos Omie'!$I:$I,$D85,'Lançamentos Omie'!$F:$F,O$2)</f>
        <v>0</v>
      </c>
      <c r="P85" s="46">
        <f>SUMIFS('Lançamentos Omie'!$G:$G,'Lançamentos Omie'!$I:$I,$D85,'Lançamentos Omie'!$F:$F,P$2)</f>
        <v>0</v>
      </c>
      <c r="Q85" s="46">
        <f>SUMIFS('Lançamentos Omie'!$G:$G,'Lançamentos Omie'!$I:$I,$D85,'Lançamentos Omie'!$F:$F,Q$2)</f>
        <v>0</v>
      </c>
      <c r="R85" s="143">
        <f t="shared" si="36"/>
        <v>0</v>
      </c>
      <c r="S85" s="71"/>
      <c r="T85" s="46">
        <f t="shared" si="1"/>
        <v>0</v>
      </c>
      <c r="U85" s="46">
        <f t="shared" si="2"/>
        <v>0</v>
      </c>
      <c r="V85" s="46">
        <f t="shared" si="34"/>
        <v>0</v>
      </c>
      <c r="W85" s="72"/>
      <c r="X85" s="72"/>
      <c r="Y85" s="72"/>
      <c r="Z85" s="72"/>
      <c r="AA85" s="72"/>
    </row>
    <row r="86" spans="1:27" outlineLevel="2">
      <c r="A86" s="42"/>
      <c r="B86" s="43"/>
      <c r="C86" s="43"/>
      <c r="D86" s="43" t="s">
        <v>96</v>
      </c>
      <c r="E86" s="43"/>
      <c r="F86" s="46">
        <f>SUMIFS('Lançamentos Omie'!$G:$G,'Lançamentos Omie'!$I:$I,$D86,'Lançamentos Omie'!$F:$F,F$2)</f>
        <v>-51072.669999999976</v>
      </c>
      <c r="G86" s="46">
        <f>SUMIFS('Lançamentos Omie'!$G:$G,'Lançamentos Omie'!$I:$I,$D86,'Lançamentos Omie'!$F:$F,G$2)</f>
        <v>-35665.600000000013</v>
      </c>
      <c r="H86" s="46">
        <f>SUMIFS('Lançamentos Omie'!$G:$G,'Lançamentos Omie'!$I:$I,$D86,'Lançamentos Omie'!$F:$F,H$2)</f>
        <v>-27032.500000000004</v>
      </c>
      <c r="I86" s="46">
        <f>SUMIFS('Lançamentos Omie'!$G:$G,'Lançamentos Omie'!$I:$I,$D86,'Lançamentos Omie'!$F:$F,I$2)</f>
        <v>-34367.669999999991</v>
      </c>
      <c r="J86" s="46">
        <f>SUMIFS('Lançamentos Omie'!$G:$G,'Lançamentos Omie'!$I:$I,$D86,'Lançamentos Omie'!$F:$F,J$2)</f>
        <v>-24784.680000000011</v>
      </c>
      <c r="K86" s="46">
        <f>SUMIFS('Lançamentos Omie'!$G:$G,'Lançamentos Omie'!$I:$I,$D86,'Lançamentos Omie'!$F:$F,K$2)</f>
        <v>-29033.320000000007</v>
      </c>
      <c r="L86" s="46">
        <f>SUMIFS('Lançamentos Omie'!$G:$G,'Lançamentos Omie'!$I:$I,$D86,'Lançamentos Omie'!$F:$F,L$2)</f>
        <v>-23828.510000000006</v>
      </c>
      <c r="M86" s="46">
        <f>SUMIFS('Lançamentos Omie'!$G:$G,'Lançamentos Omie'!$I:$I,$D86,'Lançamentos Omie'!$F:$F,M$2)</f>
        <v>-29329.719999999998</v>
      </c>
      <c r="N86" s="46">
        <f>SUMIFS('Lançamentos Omie'!$G:$G,'Lançamentos Omie'!$I:$I,$D86,'Lançamentos Omie'!$F:$F,N$2)</f>
        <v>0</v>
      </c>
      <c r="O86" s="46">
        <f>SUMIFS('Lançamentos Omie'!$G:$G,'Lançamentos Omie'!$I:$I,$D86,'Lançamentos Omie'!$F:$F,O$2)</f>
        <v>0</v>
      </c>
      <c r="P86" s="46">
        <f>SUMIFS('Lançamentos Omie'!$G:$G,'Lançamentos Omie'!$I:$I,$D86,'Lançamentos Omie'!$F:$F,P$2)</f>
        <v>0</v>
      </c>
      <c r="Q86" s="46">
        <f>SUMIFS('Lançamentos Omie'!$G:$G,'Lançamentos Omie'!$I:$I,$D86,'Lançamentos Omie'!$F:$F,Q$2)</f>
        <v>0</v>
      </c>
      <c r="R86" s="143">
        <f t="shared" si="36"/>
        <v>-255114.67</v>
      </c>
      <c r="S86" s="71"/>
      <c r="T86" s="46">
        <f t="shared" si="1"/>
        <v>-201956.44</v>
      </c>
      <c r="U86" s="46">
        <f t="shared" si="2"/>
        <v>-53158.23</v>
      </c>
      <c r="V86" s="46">
        <f t="shared" si="34"/>
        <v>-255114.67</v>
      </c>
      <c r="W86" s="72"/>
      <c r="X86" s="72"/>
      <c r="Y86" s="72"/>
      <c r="Z86" s="72"/>
      <c r="AA86" s="72"/>
    </row>
    <row r="87" spans="1:27" outlineLevel="2">
      <c r="A87" s="42"/>
      <c r="B87" s="43"/>
      <c r="C87" s="43"/>
      <c r="D87" s="43" t="s">
        <v>97</v>
      </c>
      <c r="E87" s="43"/>
      <c r="F87" s="46">
        <f>SUMIFS('Lançamentos Omie'!$G:$G,'Lançamentos Omie'!$I:$I,$D87,'Lançamentos Omie'!$F:$F,F$2)</f>
        <v>-700</v>
      </c>
      <c r="G87" s="46">
        <f>SUMIFS('Lançamentos Omie'!$G:$G,'Lançamentos Omie'!$I:$I,$D87,'Lançamentos Omie'!$F:$F,G$2)</f>
        <v>-499.37</v>
      </c>
      <c r="H87" s="46">
        <f>SUMIFS('Lançamentos Omie'!$G:$G,'Lançamentos Omie'!$I:$I,$D87,'Lançamentos Omie'!$F:$F,H$2)</f>
        <v>-3796.2599999999998</v>
      </c>
      <c r="I87" s="46">
        <f>SUMIFS('Lançamentos Omie'!$G:$G,'Lançamentos Omie'!$I:$I,$D87,'Lançamentos Omie'!$F:$F,I$2)</f>
        <v>-3444.99</v>
      </c>
      <c r="J87" s="46">
        <f ca="1">SUMIFS('Lançamentos Omie'!$G:$G,'Lançamentos Omie'!$I:$I,$D87,'Lançamentos Omie'!$F:$F,J$2)-'Viagens Consultoria'!J43-'Viagens Consultoria'!J44-'Viagens Consultoria'!J46-'Viagens Consultoria'!J48</f>
        <v>-13735.640000000001</v>
      </c>
      <c r="K87" s="46">
        <f>SUMIFS('Lançamentos Omie'!$G:$G,'Lançamentos Omie'!$I:$I,$D87,'Lançamentos Omie'!$F:$F,K$2)</f>
        <v>-5976.48</v>
      </c>
      <c r="L87" s="46">
        <f>SUMIFS('Lançamentos Omie'!$G:$G,'Lançamentos Omie'!$I:$I,$D87,'Lançamentos Omie'!$F:$F,L$2)</f>
        <v>-1735.47</v>
      </c>
      <c r="M87" s="46">
        <f>SUMIFS('Lançamentos Omie'!$G:$G,'Lançamentos Omie'!$I:$I,$D87,'Lançamentos Omie'!$F:$F,M$2)</f>
        <v>-2904.59</v>
      </c>
      <c r="N87" s="46">
        <f>SUMIFS('Lançamentos Omie'!$G:$G,'Lançamentos Omie'!$I:$I,$D87,'Lançamentos Omie'!$F:$F,N$2)</f>
        <v>0</v>
      </c>
      <c r="O87" s="46">
        <f>SUMIFS('Lançamentos Omie'!$G:$G,'Lançamentos Omie'!$I:$I,$D87,'Lançamentos Omie'!$F:$F,O$2)</f>
        <v>0</v>
      </c>
      <c r="P87" s="46">
        <f>SUMIFS('Lançamentos Omie'!$G:$G,'Lançamentos Omie'!$I:$I,$D87,'Lançamentos Omie'!$F:$F,P$2)</f>
        <v>0</v>
      </c>
      <c r="Q87" s="46">
        <f>SUMIFS('Lançamentos Omie'!$G:$G,'Lançamentos Omie'!$I:$I,$D87,'Lançamentos Omie'!$F:$F,Q$2)</f>
        <v>0</v>
      </c>
      <c r="R87" s="143">
        <f t="shared" ca="1" si="36"/>
        <v>-32792.800000000003</v>
      </c>
      <c r="S87" s="71"/>
      <c r="T87" s="46">
        <f t="shared" ca="1" si="1"/>
        <v>-28152.74</v>
      </c>
      <c r="U87" s="46">
        <f t="shared" si="2"/>
        <v>-4640.0600000000004</v>
      </c>
      <c r="V87" s="46">
        <f t="shared" ca="1" si="34"/>
        <v>-32792.800000000003</v>
      </c>
      <c r="W87" s="72"/>
      <c r="X87" s="72"/>
      <c r="Y87" s="72"/>
      <c r="Z87" s="72"/>
      <c r="AA87" s="72"/>
    </row>
    <row r="88" spans="1:27" outlineLevel="2">
      <c r="A88" s="73"/>
      <c r="B88" s="74"/>
      <c r="C88" s="74"/>
      <c r="D88" s="74" t="s">
        <v>98</v>
      </c>
      <c r="E88" s="43"/>
      <c r="F88" s="46">
        <f>SUMIFS('Lançamentos Omie'!$G:$G,'Lançamentos Omie'!$I:$I,$D88,'Lançamentos Omie'!$F:$F,F$2)</f>
        <v>-2240.5600000000004</v>
      </c>
      <c r="G88" s="46">
        <f>SUMIFS('Lançamentos Omie'!$G:$G,'Lançamentos Omie'!$I:$I,$D88,'Lançamentos Omie'!$F:$F,G$2)</f>
        <v>-2146.37</v>
      </c>
      <c r="H88" s="46">
        <f>SUMIFS('Lançamentos Omie'!$G:$G,'Lançamentos Omie'!$I:$I,$D88,'Lançamentos Omie'!$F:$F,H$2)</f>
        <v>-4186.5</v>
      </c>
      <c r="I88" s="46">
        <f>SUMIFS('Lançamentos Omie'!$G:$G,'Lançamentos Omie'!$I:$I,$D88,'Lançamentos Omie'!$F:$F,I$2)</f>
        <v>-2283.37</v>
      </c>
      <c r="J88" s="46">
        <f>SUMIFS('Lançamentos Omie'!$G:$G,'Lançamentos Omie'!$I:$I,$D88,'Lançamentos Omie'!$F:$F,J$2)</f>
        <v>-4127.13</v>
      </c>
      <c r="K88" s="46">
        <f>SUMIFS('Lançamentos Omie'!$G:$G,'Lançamentos Omie'!$I:$I,$D88,'Lançamentos Omie'!$F:$F,K$2)</f>
        <v>-2695.6400000000003</v>
      </c>
      <c r="L88" s="46">
        <f>SUMIFS('Lançamentos Omie'!$G:$G,'Lançamentos Omie'!$I:$I,$D88,'Lançamentos Omie'!$F:$F,L$2)</f>
        <v>-2947.17</v>
      </c>
      <c r="M88" s="46">
        <f>SUMIFS('Lançamentos Omie'!$G:$G,'Lançamentos Omie'!$I:$I,$D88,'Lançamentos Omie'!$F:$F,M$2)</f>
        <v>-4247.0499999999993</v>
      </c>
      <c r="N88" s="46">
        <f>SUMIFS('Lançamentos Omie'!$G:$G,'Lançamentos Omie'!$I:$I,$D88,'Lançamentos Omie'!$F:$F,N$2)</f>
        <v>0</v>
      </c>
      <c r="O88" s="46">
        <f>SUMIFS('Lançamentos Omie'!$G:$G,'Lançamentos Omie'!$I:$I,$D88,'Lançamentos Omie'!$F:$F,O$2)</f>
        <v>0</v>
      </c>
      <c r="P88" s="46">
        <f>SUMIFS('Lançamentos Omie'!$G:$G,'Lançamentos Omie'!$I:$I,$D88,'Lançamentos Omie'!$F:$F,P$2)</f>
        <v>0</v>
      </c>
      <c r="Q88" s="46">
        <f>SUMIFS('Lançamentos Omie'!$G:$G,'Lançamentos Omie'!$I:$I,$D88,'Lançamentos Omie'!$F:$F,Q$2)</f>
        <v>0</v>
      </c>
      <c r="R88" s="143">
        <f t="shared" si="36"/>
        <v>-24873.789999999997</v>
      </c>
      <c r="S88" s="71"/>
      <c r="T88" s="46">
        <f t="shared" si="1"/>
        <v>-17679.57</v>
      </c>
      <c r="U88" s="46">
        <f t="shared" si="2"/>
        <v>-7194.2199999999993</v>
      </c>
      <c r="V88" s="46">
        <f t="shared" si="34"/>
        <v>-24873.79</v>
      </c>
      <c r="W88" s="72"/>
      <c r="X88" s="72"/>
      <c r="Y88" s="72"/>
      <c r="Z88" s="72"/>
      <c r="AA88" s="72"/>
    </row>
    <row r="89" spans="1:27" outlineLevel="2">
      <c r="A89" s="42"/>
      <c r="B89" s="43"/>
      <c r="C89" s="43"/>
      <c r="D89" s="43" t="s">
        <v>99</v>
      </c>
      <c r="E89" s="43"/>
      <c r="F89" s="46">
        <f>SUMIFS('Lançamentos Omie'!$G:$G,'Lançamentos Omie'!$I:$I,$D89,'Lançamentos Omie'!$F:$F,F$2)</f>
        <v>-1286.69</v>
      </c>
      <c r="G89" s="46">
        <f>SUMIFS('Lançamentos Omie'!$G:$G,'Lançamentos Omie'!$I:$I,$D89,'Lançamentos Omie'!$F:$F,G$2)</f>
        <v>-1215.98</v>
      </c>
      <c r="H89" s="46">
        <f>SUMIFS('Lançamentos Omie'!$G:$G,'Lançamentos Omie'!$I:$I,$D89,'Lançamentos Omie'!$F:$F,H$2)</f>
        <v>-1194.08</v>
      </c>
      <c r="I89" s="46">
        <f>SUMIFS('Lançamentos Omie'!$G:$G,'Lançamentos Omie'!$I:$I,$D89,'Lançamentos Omie'!$F:$F,I$2)</f>
        <v>-1260.93</v>
      </c>
      <c r="J89" s="46">
        <f>SUMIFS('Lançamentos Omie'!$G:$G,'Lançamentos Omie'!$I:$I,$D89,'Lançamentos Omie'!$F:$F,J$2)</f>
        <v>-642.46999999999991</v>
      </c>
      <c r="K89" s="46">
        <f>SUMIFS('Lançamentos Omie'!$G:$G,'Lançamentos Omie'!$I:$I,$D89,'Lançamentos Omie'!$F:$F,K$2)</f>
        <v>-466.6</v>
      </c>
      <c r="L89" s="46">
        <f>SUMIFS('Lançamentos Omie'!$G:$G,'Lançamentos Omie'!$I:$I,$D89,'Lançamentos Omie'!$F:$F,L$2)</f>
        <v>-1148.81</v>
      </c>
      <c r="M89" s="46">
        <f>SUMIFS('Lançamentos Omie'!$G:$G,'Lançamentos Omie'!$I:$I,$D89,'Lançamentos Omie'!$F:$F,M$2)</f>
        <v>-1076.8</v>
      </c>
      <c r="N89" s="46">
        <f>SUMIFS('Lançamentos Omie'!$G:$G,'Lançamentos Omie'!$I:$I,$D89,'Lançamentos Omie'!$F:$F,N$2)</f>
        <v>0</v>
      </c>
      <c r="O89" s="46">
        <f>SUMIFS('Lançamentos Omie'!$G:$G,'Lançamentos Omie'!$I:$I,$D89,'Lançamentos Omie'!$F:$F,O$2)</f>
        <v>0</v>
      </c>
      <c r="P89" s="46">
        <f>SUMIFS('Lançamentos Omie'!$G:$G,'Lançamentos Omie'!$I:$I,$D89,'Lançamentos Omie'!$F:$F,P$2)</f>
        <v>0</v>
      </c>
      <c r="Q89" s="46">
        <f>SUMIFS('Lançamentos Omie'!$G:$G,'Lançamentos Omie'!$I:$I,$D89,'Lançamentos Omie'!$F:$F,Q$2)</f>
        <v>0</v>
      </c>
      <c r="R89" s="143">
        <f t="shared" si="36"/>
        <v>-8292.36</v>
      </c>
      <c r="S89" s="71"/>
      <c r="T89" s="46">
        <f t="shared" si="1"/>
        <v>-6066.7500000000009</v>
      </c>
      <c r="U89" s="46">
        <f t="shared" si="2"/>
        <v>-2225.6099999999997</v>
      </c>
      <c r="V89" s="46">
        <f t="shared" si="34"/>
        <v>-8292.36</v>
      </c>
      <c r="W89" s="72"/>
      <c r="X89" s="72"/>
      <c r="Y89" s="72"/>
      <c r="Z89" s="72"/>
      <c r="AA89" s="72"/>
    </row>
    <row r="90" spans="1:27" outlineLevel="2">
      <c r="A90" s="42"/>
      <c r="B90" s="43"/>
      <c r="C90" s="43"/>
      <c r="D90" s="43" t="s">
        <v>100</v>
      </c>
      <c r="E90" s="43"/>
      <c r="F90" s="46">
        <f>SUMIFS('Lançamentos Omie'!$G:$G,'Lançamentos Omie'!$I:$I,$D90,'Lançamentos Omie'!$F:$F,F$2)</f>
        <v>-18961.650000000001</v>
      </c>
      <c r="G90" s="46">
        <f>SUMIFS('Lançamentos Omie'!$G:$G,'Lançamentos Omie'!$I:$I,$D90,'Lançamentos Omie'!$F:$F,G$2)</f>
        <v>-18962.650000000001</v>
      </c>
      <c r="H90" s="46">
        <f>SUMIFS('Lançamentos Omie'!$G:$G,'Lançamentos Omie'!$I:$I,$D90,'Lançamentos Omie'!$F:$F,H$2)</f>
        <v>-21763.61</v>
      </c>
      <c r="I90" s="46">
        <f>SUMIFS('Lançamentos Omie'!$G:$G,'Lançamentos Omie'!$I:$I,$D90,'Lançamentos Omie'!$F:$F,I$2)</f>
        <v>-33989.65</v>
      </c>
      <c r="J90" s="46">
        <f>SUMIFS('Lançamentos Omie'!$G:$G,'Lançamentos Omie'!$I:$I,$D90,'Lançamentos Omie'!$F:$F,J$2)</f>
        <v>-27948.65</v>
      </c>
      <c r="K90" s="46">
        <f ca="1">SUMIFS('Lançamentos Omie'!$G:$G,'Lançamentos Omie'!$I:$I,$D90,'Lançamentos Omie'!$F:$F,K$2)-'Viagens Consultoria'!H11</f>
        <v>-20936.709999999988</v>
      </c>
      <c r="L90" s="46">
        <f>SUMIFS('Lançamentos Omie'!$G:$G,'Lançamentos Omie'!$I:$I,$D90,'Lançamentos Omie'!$F:$F,L$2)</f>
        <v>-6205.65</v>
      </c>
      <c r="M90" s="46">
        <f>SUMIFS('Lançamentos Omie'!$G:$G,'Lançamentos Omie'!$I:$I,$D90,'Lançamentos Omie'!$F:$F,M$2)</f>
        <v>-604.5</v>
      </c>
      <c r="N90" s="46">
        <f>SUMIFS('Lançamentos Omie'!$G:$G,'Lançamentos Omie'!$I:$I,$D90,'Lançamentos Omie'!$F:$F,N$2)</f>
        <v>0</v>
      </c>
      <c r="O90" s="46">
        <f>SUMIFS('Lançamentos Omie'!$G:$G,'Lançamentos Omie'!$I:$I,$D90,'Lançamentos Omie'!$F:$F,O$2)</f>
        <v>0</v>
      </c>
      <c r="P90" s="46">
        <f>SUMIFS('Lançamentos Omie'!$G:$G,'Lançamentos Omie'!$I:$I,$D90,'Lançamentos Omie'!$F:$F,P$2)</f>
        <v>0</v>
      </c>
      <c r="Q90" s="46">
        <f>SUMIFS('Lançamentos Omie'!$G:$G,'Lançamentos Omie'!$I:$I,$D90,'Lançamentos Omie'!$F:$F,Q$2)</f>
        <v>0</v>
      </c>
      <c r="R90" s="143">
        <f t="shared" ca="1" si="36"/>
        <v>-149373.06999999998</v>
      </c>
      <c r="S90" s="71"/>
      <c r="T90" s="46">
        <f t="shared" ca="1" si="1"/>
        <v>-142562.91999999998</v>
      </c>
      <c r="U90" s="46">
        <f t="shared" si="2"/>
        <v>-6810.15</v>
      </c>
      <c r="V90" s="46">
        <f t="shared" ca="1" si="34"/>
        <v>-149373.06999999998</v>
      </c>
      <c r="W90" s="72"/>
      <c r="X90" s="72"/>
      <c r="Y90" s="72"/>
      <c r="Z90" s="72"/>
      <c r="AA90" s="72"/>
    </row>
    <row r="91" spans="1:27" outlineLevel="2">
      <c r="A91" s="42"/>
      <c r="B91" s="43"/>
      <c r="C91" s="43"/>
      <c r="D91" s="43" t="s">
        <v>101</v>
      </c>
      <c r="E91" s="43"/>
      <c r="F91" s="46">
        <f>SUMIFS('Lançamentos Omie'!$G:$G,'Lançamentos Omie'!$I:$I,$D91,'Lançamentos Omie'!$F:$F,F$2)</f>
        <v>-4194</v>
      </c>
      <c r="G91" s="46">
        <f>SUMIFS('Lançamentos Omie'!$G:$G,'Lançamentos Omie'!$I:$I,$D91,'Lançamentos Omie'!$F:$F,G$2)</f>
        <v>-1094</v>
      </c>
      <c r="H91" s="46">
        <f>SUMIFS('Lançamentos Omie'!$G:$G,'Lançamentos Omie'!$I:$I,$D91,'Lançamentos Omie'!$F:$F,H$2)</f>
        <v>-1094</v>
      </c>
      <c r="I91" s="46">
        <f>SUMIFS('Lançamentos Omie'!$G:$G,'Lançamentos Omie'!$I:$I,$D91,'Lançamentos Omie'!$F:$F,I$2)</f>
        <v>-1094</v>
      </c>
      <c r="J91" s="46">
        <f>SUMIFS('Lançamentos Omie'!$G:$G,'Lançamentos Omie'!$I:$I,$D91,'Lançamentos Omie'!$F:$F,J$2)</f>
        <v>-1094</v>
      </c>
      <c r="K91" s="46">
        <f>SUMIFS('Lançamentos Omie'!$G:$G,'Lançamentos Omie'!$I:$I,$D91,'Lançamentos Omie'!$F:$F,K$2)</f>
        <v>-1094</v>
      </c>
      <c r="L91" s="46">
        <f>SUMIFS('Lançamentos Omie'!$G:$G,'Lançamentos Omie'!$I:$I,$D91,'Lançamentos Omie'!$F:$F,L$2)</f>
        <v>-3094</v>
      </c>
      <c r="M91" s="46">
        <f>SUMIFS('Lançamentos Omie'!$G:$G,'Lançamentos Omie'!$I:$I,$D91,'Lançamentos Omie'!$F:$F,M$2)</f>
        <v>-3094</v>
      </c>
      <c r="N91" s="46">
        <f>SUMIFS('Lançamentos Omie'!$G:$G,'Lançamentos Omie'!$I:$I,$D91,'Lançamentos Omie'!$F:$F,N$2)</f>
        <v>0</v>
      </c>
      <c r="O91" s="46">
        <f>SUMIFS('Lançamentos Omie'!$G:$G,'Lançamentos Omie'!$I:$I,$D91,'Lançamentos Omie'!$F:$F,O$2)</f>
        <v>0</v>
      </c>
      <c r="P91" s="46">
        <f>SUMIFS('Lançamentos Omie'!$G:$G,'Lançamentos Omie'!$I:$I,$D91,'Lançamentos Omie'!$F:$F,P$2)</f>
        <v>0</v>
      </c>
      <c r="Q91" s="46">
        <f>SUMIFS('Lançamentos Omie'!$G:$G,'Lançamentos Omie'!$I:$I,$D91,'Lançamentos Omie'!$F:$F,Q$2)</f>
        <v>0</v>
      </c>
      <c r="R91" s="143">
        <f t="shared" si="36"/>
        <v>-15852</v>
      </c>
      <c r="S91" s="71"/>
      <c r="T91" s="46">
        <f t="shared" si="1"/>
        <v>-9664</v>
      </c>
      <c r="U91" s="46">
        <f t="shared" si="2"/>
        <v>-6188</v>
      </c>
      <c r="V91" s="46">
        <f t="shared" si="34"/>
        <v>-15852</v>
      </c>
      <c r="W91" s="72"/>
      <c r="X91" s="72"/>
      <c r="Y91" s="72"/>
      <c r="Z91" s="72"/>
      <c r="AA91" s="72"/>
    </row>
    <row r="92" spans="1:27" outlineLevel="2">
      <c r="A92" s="42"/>
      <c r="B92" s="43"/>
      <c r="C92" s="43"/>
      <c r="D92" s="43" t="s">
        <v>102</v>
      </c>
      <c r="E92" s="43"/>
      <c r="F92" s="46">
        <f>SUMIFS('Lançamentos Omie'!$G:$G,'Lançamentos Omie'!$I:$I,$D92,'Lançamentos Omie'!$F:$F,F$2)</f>
        <v>-157.28</v>
      </c>
      <c r="G92" s="46">
        <f>SUMIFS('Lançamentos Omie'!$G:$G,'Lançamentos Omie'!$I:$I,$D92,'Lançamentos Omie'!$F:$F,G$2)</f>
        <v>0</v>
      </c>
      <c r="H92" s="46">
        <f>SUMIFS('Lançamentos Omie'!$G:$G,'Lançamentos Omie'!$I:$I,$D92,'Lançamentos Omie'!$F:$F,H$2)</f>
        <v>0</v>
      </c>
      <c r="I92" s="46">
        <f>SUMIFS('Lançamentos Omie'!$G:$G,'Lançamentos Omie'!$I:$I,$D92,'Lançamentos Omie'!$F:$F,I$2)</f>
        <v>0</v>
      </c>
      <c r="J92" s="46">
        <f>SUMIFS('Lançamentos Omie'!$G:$G,'Lançamentos Omie'!$I:$I,$D92,'Lançamentos Omie'!$F:$F,J$2)</f>
        <v>0</v>
      </c>
      <c r="K92" s="46">
        <f>SUMIFS('Lançamentos Omie'!$G:$G,'Lançamentos Omie'!$I:$I,$D92,'Lançamentos Omie'!$F:$F,K$2)</f>
        <v>-636.33000000000004</v>
      </c>
      <c r="L92" s="46">
        <f>SUMIFS('Lançamentos Omie'!$G:$G,'Lançamentos Omie'!$I:$I,$D92,'Lançamentos Omie'!$F:$F,L$2)</f>
        <v>0</v>
      </c>
      <c r="M92" s="46">
        <f>SUMIFS('Lançamentos Omie'!$G:$G,'Lançamentos Omie'!$I:$I,$D92,'Lançamentos Omie'!$F:$F,M$2)</f>
        <v>0</v>
      </c>
      <c r="N92" s="46">
        <f>SUMIFS('Lançamentos Omie'!$G:$G,'Lançamentos Omie'!$I:$I,$D92,'Lançamentos Omie'!$F:$F,N$2)</f>
        <v>0</v>
      </c>
      <c r="O92" s="46">
        <f>SUMIFS('Lançamentos Omie'!$G:$G,'Lançamentos Omie'!$I:$I,$D92,'Lançamentos Omie'!$F:$F,O$2)</f>
        <v>0</v>
      </c>
      <c r="P92" s="46">
        <f>SUMIFS('Lançamentos Omie'!$G:$G,'Lançamentos Omie'!$I:$I,$D92,'Lançamentos Omie'!$F:$F,P$2)</f>
        <v>0</v>
      </c>
      <c r="Q92" s="46">
        <f>SUMIFS('Lançamentos Omie'!$G:$G,'Lançamentos Omie'!$I:$I,$D92,'Lançamentos Omie'!$F:$F,Q$2)</f>
        <v>0</v>
      </c>
      <c r="R92" s="143">
        <f t="shared" si="36"/>
        <v>-793.61</v>
      </c>
      <c r="S92" s="71"/>
      <c r="T92" s="46">
        <f t="shared" si="1"/>
        <v>-793.61</v>
      </c>
      <c r="U92" s="46">
        <f t="shared" si="2"/>
        <v>0</v>
      </c>
      <c r="V92" s="46">
        <f t="shared" si="34"/>
        <v>-793.61</v>
      </c>
      <c r="W92" s="72"/>
      <c r="X92" s="72"/>
      <c r="Y92" s="72"/>
      <c r="Z92" s="72"/>
      <c r="AA92" s="72"/>
    </row>
    <row r="93" spans="1:27" outlineLevel="1">
      <c r="A93" s="26"/>
      <c r="B93" s="27"/>
      <c r="C93" s="65" t="s">
        <v>103</v>
      </c>
      <c r="D93" s="28"/>
      <c r="E93" s="27"/>
      <c r="F93" s="66">
        <f t="shared" ref="F93:R93" si="37">SUM(F94:F97)</f>
        <v>-1905.0200000000002</v>
      </c>
      <c r="G93" s="66">
        <f t="shared" si="37"/>
        <v>-2066.63</v>
      </c>
      <c r="H93" s="66">
        <f t="shared" si="37"/>
        <v>-2208.3000000000002</v>
      </c>
      <c r="I93" s="66">
        <f t="shared" si="37"/>
        <v>-1825.06</v>
      </c>
      <c r="J93" s="66">
        <f t="shared" si="37"/>
        <v>-870.58000000000015</v>
      </c>
      <c r="K93" s="66">
        <f t="shared" si="37"/>
        <v>-1353.5499999999997</v>
      </c>
      <c r="L93" s="66">
        <f t="shared" si="37"/>
        <v>-1123.21</v>
      </c>
      <c r="M93" s="66">
        <f t="shared" si="37"/>
        <v>-807.7600000000001</v>
      </c>
      <c r="N93" s="66">
        <f t="shared" si="37"/>
        <v>0</v>
      </c>
      <c r="O93" s="66">
        <f t="shared" si="37"/>
        <v>0</v>
      </c>
      <c r="P93" s="66">
        <f t="shared" si="37"/>
        <v>0</v>
      </c>
      <c r="Q93" s="66">
        <f t="shared" si="37"/>
        <v>0</v>
      </c>
      <c r="R93" s="147">
        <f t="shared" si="37"/>
        <v>-12160.11</v>
      </c>
      <c r="S93" s="31"/>
      <c r="T93" s="66">
        <f t="shared" si="1"/>
        <v>-10229.14</v>
      </c>
      <c r="U93" s="66">
        <f t="shared" si="2"/>
        <v>-1930.9700000000003</v>
      </c>
      <c r="V93" s="66">
        <f t="shared" si="34"/>
        <v>-12160.11</v>
      </c>
      <c r="W93" s="55"/>
      <c r="X93" s="55"/>
      <c r="Y93" s="55"/>
      <c r="Z93" s="55"/>
      <c r="AA93" s="55"/>
    </row>
    <row r="94" spans="1:27" outlineLevel="2">
      <c r="A94" s="42"/>
      <c r="B94" s="43"/>
      <c r="C94" s="43"/>
      <c r="D94" s="43" t="s">
        <v>104</v>
      </c>
      <c r="E94" s="43"/>
      <c r="F94" s="46">
        <f>SUMIFS('Lançamentos Omie'!$G:$G,'Lançamentos Omie'!$I:$I,$D94,'Lançamentos Omie'!$F:$F,F$2)</f>
        <v>0</v>
      </c>
      <c r="G94" s="46">
        <f>SUMIFS('Lançamentos Omie'!$G:$G,'Lançamentos Omie'!$I:$I,$D94,'Lançamentos Omie'!$F:$F,G$2)</f>
        <v>0</v>
      </c>
      <c r="H94" s="46">
        <f>SUMIFS('Lançamentos Omie'!$G:$G,'Lançamentos Omie'!$I:$I,$D94,'Lançamentos Omie'!$F:$F,H$2)</f>
        <v>0</v>
      </c>
      <c r="I94" s="46">
        <f>SUMIFS('Lançamentos Omie'!$G:$G,'Lançamentos Omie'!$I:$I,$D94,'Lançamentos Omie'!$F:$F,I$2)</f>
        <v>0</v>
      </c>
      <c r="J94" s="46">
        <f>SUMIFS('Lançamentos Omie'!$G:$G,'Lançamentos Omie'!$I:$I,$D94,'Lançamentos Omie'!$F:$F,J$2)</f>
        <v>0</v>
      </c>
      <c r="K94" s="46">
        <f>SUMIFS('Lançamentos Omie'!$G:$G,'Lançamentos Omie'!$I:$I,$D94,'Lançamentos Omie'!$F:$F,K$2)</f>
        <v>0</v>
      </c>
      <c r="L94" s="46">
        <f>SUMIFS('Lançamentos Omie'!$G:$G,'Lançamentos Omie'!$I:$I,$D94,'Lançamentos Omie'!$F:$F,L$2)</f>
        <v>0</v>
      </c>
      <c r="M94" s="46">
        <f>SUMIFS('Lançamentos Omie'!$G:$G,'Lançamentos Omie'!$I:$I,$D94,'Lançamentos Omie'!$F:$F,M$2)</f>
        <v>0</v>
      </c>
      <c r="N94" s="46">
        <f>SUMIFS('Lançamentos Omie'!$G:$G,'Lançamentos Omie'!$I:$I,$D94,'Lançamentos Omie'!$F:$F,N$2)</f>
        <v>0</v>
      </c>
      <c r="O94" s="46">
        <f>SUMIFS('Lançamentos Omie'!$G:$G,'Lançamentos Omie'!$I:$I,$D94,'Lançamentos Omie'!$F:$F,O$2)</f>
        <v>0</v>
      </c>
      <c r="P94" s="46">
        <f>SUMIFS('Lançamentos Omie'!$G:$G,'Lançamentos Omie'!$I:$I,$D94,'Lançamentos Omie'!$F:$F,P$2)</f>
        <v>0</v>
      </c>
      <c r="Q94" s="46">
        <f>SUMIFS('Lançamentos Omie'!$G:$G,'Lançamentos Omie'!$I:$I,$D94,'Lançamentos Omie'!$F:$F,Q$2)</f>
        <v>0</v>
      </c>
      <c r="R94" s="143">
        <f t="shared" ref="R94:R97" si="38">SUM(F94:Q94)</f>
        <v>0</v>
      </c>
      <c r="S94" s="71"/>
      <c r="T94" s="46">
        <f t="shared" si="1"/>
        <v>0</v>
      </c>
      <c r="U94" s="46">
        <f t="shared" si="2"/>
        <v>0</v>
      </c>
      <c r="V94" s="46">
        <f t="shared" si="34"/>
        <v>0</v>
      </c>
      <c r="W94" s="72"/>
      <c r="X94" s="72"/>
      <c r="Y94" s="72"/>
      <c r="Z94" s="72"/>
      <c r="AA94" s="72"/>
    </row>
    <row r="95" spans="1:27" outlineLevel="2">
      <c r="A95" s="42"/>
      <c r="B95" s="43"/>
      <c r="C95" s="43"/>
      <c r="D95" s="43" t="s">
        <v>105</v>
      </c>
      <c r="E95" s="43"/>
      <c r="F95" s="46">
        <f>SUMIFS('Lançamentos Omie'!$G:$G,'Lançamentos Omie'!$I:$I,$D95,'Lançamentos Omie'!$F:$F,F$2)</f>
        <v>0</v>
      </c>
      <c r="G95" s="46">
        <f>SUMIFS('Lançamentos Omie'!$G:$G,'Lançamentos Omie'!$I:$I,$D95,'Lançamentos Omie'!$F:$F,G$2)</f>
        <v>0</v>
      </c>
      <c r="H95" s="46">
        <f>SUMIFS('Lançamentos Omie'!$G:$G,'Lançamentos Omie'!$I:$I,$D95,'Lançamentos Omie'!$F:$F,H$2)</f>
        <v>0</v>
      </c>
      <c r="I95" s="46">
        <f>SUMIFS('Lançamentos Omie'!$G:$G,'Lançamentos Omie'!$I:$I,$D95,'Lançamentos Omie'!$F:$F,I$2)</f>
        <v>0</v>
      </c>
      <c r="J95" s="46">
        <f>SUMIFS('Lançamentos Omie'!$G:$G,'Lançamentos Omie'!$I:$I,$D95,'Lançamentos Omie'!$F:$F,J$2)</f>
        <v>0</v>
      </c>
      <c r="K95" s="46">
        <f>SUMIFS('Lançamentos Omie'!$G:$G,'Lançamentos Omie'!$I:$I,$D95,'Lançamentos Omie'!$F:$F,K$2)</f>
        <v>0</v>
      </c>
      <c r="L95" s="46">
        <f>SUMIFS('Lançamentos Omie'!$G:$G,'Lançamentos Omie'!$I:$I,$D95,'Lançamentos Omie'!$F:$F,L$2)</f>
        <v>0</v>
      </c>
      <c r="M95" s="46">
        <f>SUMIFS('Lançamentos Omie'!$G:$G,'Lançamentos Omie'!$I:$I,$D95,'Lançamentos Omie'!$F:$F,M$2)</f>
        <v>0</v>
      </c>
      <c r="N95" s="46">
        <f>SUMIFS('Lançamentos Omie'!$G:$G,'Lançamentos Omie'!$I:$I,$D95,'Lançamentos Omie'!$F:$F,N$2)</f>
        <v>0</v>
      </c>
      <c r="O95" s="46">
        <f>SUMIFS('Lançamentos Omie'!$G:$G,'Lançamentos Omie'!$I:$I,$D95,'Lançamentos Omie'!$F:$F,O$2)</f>
        <v>0</v>
      </c>
      <c r="P95" s="46">
        <f>SUMIFS('Lançamentos Omie'!$G:$G,'Lançamentos Omie'!$I:$I,$D95,'Lançamentos Omie'!$F:$F,P$2)</f>
        <v>0</v>
      </c>
      <c r="Q95" s="46">
        <f>SUMIFS('Lançamentos Omie'!$G:$G,'Lançamentos Omie'!$I:$I,$D95,'Lançamentos Omie'!$F:$F,Q$2)</f>
        <v>0</v>
      </c>
      <c r="R95" s="143">
        <f t="shared" si="38"/>
        <v>0</v>
      </c>
      <c r="S95" s="71"/>
      <c r="T95" s="46">
        <f t="shared" si="1"/>
        <v>0</v>
      </c>
      <c r="U95" s="46">
        <f t="shared" si="2"/>
        <v>0</v>
      </c>
      <c r="V95" s="46">
        <f t="shared" si="34"/>
        <v>0</v>
      </c>
      <c r="W95" s="72"/>
      <c r="X95" s="72"/>
      <c r="Y95" s="72"/>
      <c r="Z95" s="72"/>
      <c r="AA95" s="72"/>
    </row>
    <row r="96" spans="1:27" outlineLevel="2">
      <c r="A96" s="42"/>
      <c r="B96" s="43"/>
      <c r="C96" s="43"/>
      <c r="D96" s="43" t="s">
        <v>106</v>
      </c>
      <c r="E96" s="43"/>
      <c r="F96" s="46">
        <f>SUMIFS('Lançamentos Omie'!$G:$G,'Lançamentos Omie'!$I:$I,$D96,'Lançamentos Omie'!$F:$F,F$2)</f>
        <v>-1035.3300000000002</v>
      </c>
      <c r="G96" s="46">
        <f>SUMIFS('Lançamentos Omie'!$G:$G,'Lançamentos Omie'!$I:$I,$D96,'Lançamentos Omie'!$F:$F,G$2)</f>
        <v>-1383.57</v>
      </c>
      <c r="H96" s="46">
        <f>SUMIFS('Lançamentos Omie'!$G:$G,'Lançamentos Omie'!$I:$I,$D96,'Lançamentos Omie'!$F:$F,H$2)</f>
        <v>-1878.8900000000003</v>
      </c>
      <c r="I96" s="46">
        <f>SUMIFS('Lançamentos Omie'!$G:$G,'Lançamentos Omie'!$I:$I,$D96,'Lançamentos Omie'!$F:$F,I$2)</f>
        <v>-983.22</v>
      </c>
      <c r="J96" s="46">
        <f>SUMIFS('Lançamentos Omie'!$G:$G,'Lançamentos Omie'!$I:$I,$D96,'Lançamentos Omie'!$F:$F,J$2)</f>
        <v>-838.97000000000014</v>
      </c>
      <c r="K96" s="46">
        <f>SUMIFS('Lançamentos Omie'!$G:$G,'Lançamentos Omie'!$I:$I,$D96,'Lançamentos Omie'!$F:$F,K$2)</f>
        <v>-1254.8299999999997</v>
      </c>
      <c r="L96" s="46">
        <f>SUMIFS('Lançamentos Omie'!$G:$G,'Lançamentos Omie'!$I:$I,$D96,'Lançamentos Omie'!$F:$F,L$2)</f>
        <v>-1093</v>
      </c>
      <c r="M96" s="46">
        <f>SUMIFS('Lançamentos Omie'!$G:$G,'Lançamentos Omie'!$I:$I,$D96,'Lançamentos Omie'!$F:$F,M$2)</f>
        <v>-807.7600000000001</v>
      </c>
      <c r="N96" s="46">
        <f>SUMIFS('Lançamentos Omie'!$G:$G,'Lançamentos Omie'!$I:$I,$D96,'Lançamentos Omie'!$F:$F,N$2)</f>
        <v>0</v>
      </c>
      <c r="O96" s="46">
        <f>SUMIFS('Lançamentos Omie'!$G:$G,'Lançamentos Omie'!$I:$I,$D96,'Lançamentos Omie'!$F:$F,O$2)</f>
        <v>0</v>
      </c>
      <c r="P96" s="46">
        <f>SUMIFS('Lançamentos Omie'!$G:$G,'Lançamentos Omie'!$I:$I,$D96,'Lançamentos Omie'!$F:$F,P$2)</f>
        <v>0</v>
      </c>
      <c r="Q96" s="46">
        <f>SUMIFS('Lançamentos Omie'!$G:$G,'Lançamentos Omie'!$I:$I,$D96,'Lançamentos Omie'!$F:$F,Q$2)</f>
        <v>0</v>
      </c>
      <c r="R96" s="143">
        <f t="shared" si="38"/>
        <v>-9275.5700000000015</v>
      </c>
      <c r="S96" s="45"/>
      <c r="T96" s="46">
        <f t="shared" si="1"/>
        <v>-7374.8100000000013</v>
      </c>
      <c r="U96" s="46">
        <f t="shared" si="2"/>
        <v>-1900.7600000000002</v>
      </c>
      <c r="V96" s="46">
        <f t="shared" si="34"/>
        <v>-9275.5700000000015</v>
      </c>
      <c r="W96" s="72"/>
      <c r="X96" s="72"/>
      <c r="Y96" s="72"/>
      <c r="Z96" s="72"/>
      <c r="AA96" s="72"/>
    </row>
    <row r="97" spans="1:27" outlineLevel="2">
      <c r="A97" s="42"/>
      <c r="B97" s="43"/>
      <c r="C97" s="43"/>
      <c r="D97" s="43" t="s">
        <v>107</v>
      </c>
      <c r="E97" s="43"/>
      <c r="F97" s="46">
        <f>SUMIFS('Lançamentos Omie'!$G:$G,'Lançamentos Omie'!$I:$I,$D97,'Lançamentos Omie'!$F:$F,F$2)</f>
        <v>-869.69</v>
      </c>
      <c r="G97" s="46">
        <f>SUMIFS('Lançamentos Omie'!$G:$G,'Lançamentos Omie'!$I:$I,$D97,'Lançamentos Omie'!$F:$F,G$2)</f>
        <v>-683.06</v>
      </c>
      <c r="H97" s="46">
        <f>SUMIFS('Lançamentos Omie'!$G:$G,'Lançamentos Omie'!$I:$I,$D97,'Lançamentos Omie'!$F:$F,H$2)</f>
        <v>-329.41</v>
      </c>
      <c r="I97" s="46">
        <f>SUMIFS('Lançamentos Omie'!$G:$G,'Lançamentos Omie'!$I:$I,$D97,'Lançamentos Omie'!$F:$F,I$2)</f>
        <v>-841.84</v>
      </c>
      <c r="J97" s="46">
        <f>SUMIFS('Lançamentos Omie'!$G:$G,'Lançamentos Omie'!$I:$I,$D97,'Lançamentos Omie'!$F:$F,J$2)</f>
        <v>-31.61</v>
      </c>
      <c r="K97" s="46">
        <f>SUMIFS('Lançamentos Omie'!$G:$G,'Lançamentos Omie'!$I:$I,$D97,'Lançamentos Omie'!$F:$F,K$2)</f>
        <v>-98.72</v>
      </c>
      <c r="L97" s="46">
        <f>SUMIFS('Lançamentos Omie'!$G:$G,'Lançamentos Omie'!$I:$I,$D97,'Lançamentos Omie'!$F:$F,L$2)</f>
        <v>-30.21</v>
      </c>
      <c r="M97" s="46">
        <f>SUMIFS('Lançamentos Omie'!$G:$G,'Lançamentos Omie'!$I:$I,$D97,'Lançamentos Omie'!$F:$F,M$2)</f>
        <v>0</v>
      </c>
      <c r="N97" s="46">
        <f>SUMIFS('Lançamentos Omie'!$G:$G,'Lançamentos Omie'!$I:$I,$D97,'Lançamentos Omie'!$F:$F,N$2)</f>
        <v>0</v>
      </c>
      <c r="O97" s="46">
        <f>SUMIFS('Lançamentos Omie'!$G:$G,'Lançamentos Omie'!$I:$I,$D97,'Lançamentos Omie'!$F:$F,O$2)</f>
        <v>0</v>
      </c>
      <c r="P97" s="46">
        <f>SUMIFS('Lançamentos Omie'!$G:$G,'Lançamentos Omie'!$I:$I,$D97,'Lançamentos Omie'!$F:$F,P$2)</f>
        <v>0</v>
      </c>
      <c r="Q97" s="46">
        <f>SUMIFS('Lançamentos Omie'!$G:$G,'Lançamentos Omie'!$I:$I,$D97,'Lançamentos Omie'!$F:$F,Q$2)</f>
        <v>0</v>
      </c>
      <c r="R97" s="143">
        <f t="shared" si="38"/>
        <v>-2884.54</v>
      </c>
      <c r="S97" s="71"/>
      <c r="T97" s="46">
        <f t="shared" si="1"/>
        <v>-2854.33</v>
      </c>
      <c r="U97" s="46">
        <f t="shared" si="2"/>
        <v>-30.21</v>
      </c>
      <c r="V97" s="46">
        <f t="shared" si="34"/>
        <v>-2884.54</v>
      </c>
      <c r="W97" s="72"/>
      <c r="X97" s="72"/>
      <c r="Y97" s="72"/>
      <c r="Z97" s="72"/>
      <c r="AA97" s="72"/>
    </row>
    <row r="98" spans="1:27" outlineLevel="1">
      <c r="A98" s="26"/>
      <c r="B98" s="27"/>
      <c r="C98" s="65" t="s">
        <v>108</v>
      </c>
      <c r="D98" s="28"/>
      <c r="E98" s="27"/>
      <c r="F98" s="66">
        <f t="shared" ref="F98:R98" si="39">SUM(F99:F100)</f>
        <v>-119</v>
      </c>
      <c r="G98" s="66">
        <f t="shared" si="39"/>
        <v>-119</v>
      </c>
      <c r="H98" s="66">
        <f t="shared" si="39"/>
        <v>-167.66</v>
      </c>
      <c r="I98" s="66">
        <f t="shared" si="39"/>
        <v>-2247.67</v>
      </c>
      <c r="J98" s="66">
        <f t="shared" si="39"/>
        <v>-263.43</v>
      </c>
      <c r="K98" s="66">
        <f t="shared" si="39"/>
        <v>-308.45</v>
      </c>
      <c r="L98" s="66">
        <f t="shared" si="39"/>
        <v>-1573.45</v>
      </c>
      <c r="M98" s="66">
        <f t="shared" si="39"/>
        <v>-124.7</v>
      </c>
      <c r="N98" s="66">
        <f t="shared" si="39"/>
        <v>0</v>
      </c>
      <c r="O98" s="66">
        <f t="shared" si="39"/>
        <v>0</v>
      </c>
      <c r="P98" s="66">
        <f t="shared" si="39"/>
        <v>0</v>
      </c>
      <c r="Q98" s="66">
        <f t="shared" si="39"/>
        <v>0</v>
      </c>
      <c r="R98" s="147">
        <f t="shared" si="39"/>
        <v>-4923.3599999999997</v>
      </c>
      <c r="S98" s="31"/>
      <c r="T98" s="66">
        <f t="shared" si="1"/>
        <v>-3225.2099999999996</v>
      </c>
      <c r="U98" s="66">
        <f t="shared" si="2"/>
        <v>-1698.15</v>
      </c>
      <c r="V98" s="66">
        <f t="shared" si="34"/>
        <v>-4923.3599999999997</v>
      </c>
      <c r="W98" s="55"/>
      <c r="X98" s="55"/>
      <c r="Y98" s="55"/>
      <c r="Z98" s="55"/>
      <c r="AA98" s="55"/>
    </row>
    <row r="99" spans="1:27" outlineLevel="2">
      <c r="A99" s="42"/>
      <c r="B99" s="43"/>
      <c r="C99" s="43"/>
      <c r="D99" s="43" t="s">
        <v>109</v>
      </c>
      <c r="E99" s="43"/>
      <c r="F99" s="46">
        <f>SUMIFS('Lançamentos Omie'!$G:$G,'Lançamentos Omie'!$I:$I,$D99,'Lançamentos Omie'!$F:$F,F$2)</f>
        <v>-119</v>
      </c>
      <c r="G99" s="46">
        <f>SUMIFS('Lançamentos Omie'!$G:$G,'Lançamentos Omie'!$I:$I,$D99,'Lançamentos Omie'!$F:$F,G$2)</f>
        <v>-119</v>
      </c>
      <c r="H99" s="46">
        <f>SUMIFS('Lançamentos Omie'!$G:$G,'Lançamentos Omie'!$I:$I,$D99,'Lançamentos Omie'!$F:$F,H$2)</f>
        <v>-124.7</v>
      </c>
      <c r="I99" s="46">
        <f>SUMIFS('Lançamentos Omie'!$G:$G,'Lançamentos Omie'!$I:$I,$D99,'Lançamentos Omie'!$F:$F,I$2)</f>
        <v>-482.94</v>
      </c>
      <c r="J99" s="46">
        <f>SUMIFS('Lançamentos Omie'!$G:$G,'Lançamentos Omie'!$I:$I,$D99,'Lançamentos Omie'!$F:$F,J$2)</f>
        <v>-124.7</v>
      </c>
      <c r="K99" s="46">
        <f>SUMIFS('Lançamentos Omie'!$G:$G,'Lançamentos Omie'!$I:$I,$D99,'Lançamentos Omie'!$F:$F,K$2)</f>
        <v>-124.7</v>
      </c>
      <c r="L99" s="46">
        <f>SUMIFS('Lançamentos Omie'!$G:$G,'Lançamentos Omie'!$I:$I,$D99,'Lançamentos Omie'!$F:$F,L$2)</f>
        <v>-1389.7</v>
      </c>
      <c r="M99" s="46">
        <f>SUMIFS('Lançamentos Omie'!$G:$G,'Lançamentos Omie'!$I:$I,$D99,'Lançamentos Omie'!$F:$F,M$2)</f>
        <v>-124.7</v>
      </c>
      <c r="N99" s="46">
        <f>SUMIFS('Lançamentos Omie'!$G:$G,'Lançamentos Omie'!$I:$I,$D99,'Lançamentos Omie'!$F:$F,N$2)</f>
        <v>0</v>
      </c>
      <c r="O99" s="46">
        <f>SUMIFS('Lançamentos Omie'!$G:$G,'Lançamentos Omie'!$I:$I,$D99,'Lançamentos Omie'!$F:$F,O$2)</f>
        <v>0</v>
      </c>
      <c r="P99" s="46">
        <f>SUMIFS('Lançamentos Omie'!$G:$G,'Lançamentos Omie'!$I:$I,$D99,'Lançamentos Omie'!$F:$F,P$2)</f>
        <v>0</v>
      </c>
      <c r="Q99" s="46">
        <f>SUMIFS('Lançamentos Omie'!$G:$G,'Lançamentos Omie'!$I:$I,$D99,'Lançamentos Omie'!$F:$F,Q$2)</f>
        <v>0</v>
      </c>
      <c r="R99" s="143">
        <f t="shared" ref="R99:R100" si="40">SUM(F99:Q99)</f>
        <v>-2609.4399999999996</v>
      </c>
      <c r="S99" s="71"/>
      <c r="T99" s="46">
        <f t="shared" si="1"/>
        <v>-1095.04</v>
      </c>
      <c r="U99" s="46">
        <f t="shared" si="2"/>
        <v>-1514.4</v>
      </c>
      <c r="V99" s="46">
        <f t="shared" si="34"/>
        <v>-2609.44</v>
      </c>
      <c r="W99" s="72"/>
      <c r="X99" s="72"/>
      <c r="Y99" s="72"/>
      <c r="Z99" s="72"/>
      <c r="AA99" s="72"/>
    </row>
    <row r="100" spans="1:27" outlineLevel="2">
      <c r="A100" s="42"/>
      <c r="B100" s="43"/>
      <c r="C100" s="43"/>
      <c r="D100" s="43" t="s">
        <v>110</v>
      </c>
      <c r="E100" s="43"/>
      <c r="F100" s="46">
        <f>SUMIFS('Lançamentos Omie'!$G:$G,'Lançamentos Omie'!$I:$I,$D100,'Lançamentos Omie'!$F:$F,F$2)</f>
        <v>0</v>
      </c>
      <c r="G100" s="46">
        <f>SUMIFS('Lançamentos Omie'!$G:$G,'Lançamentos Omie'!$I:$I,$D100,'Lançamentos Omie'!$F:$F,G$2)</f>
        <v>0</v>
      </c>
      <c r="H100" s="46">
        <f>SUMIFS('Lançamentos Omie'!$G:$G,'Lançamentos Omie'!$I:$I,$D100,'Lançamentos Omie'!$F:$F,H$2)</f>
        <v>-42.96</v>
      </c>
      <c r="I100" s="46">
        <f>SUMIFS('Lançamentos Omie'!$G:$G,'Lançamentos Omie'!$I:$I,$D100,'Lançamentos Omie'!$F:$F,I$2)</f>
        <v>-1764.73</v>
      </c>
      <c r="J100" s="46">
        <f>SUMIFS('Lançamentos Omie'!$G:$G,'Lançamentos Omie'!$I:$I,$D100,'Lançamentos Omie'!$F:$F,J$2)</f>
        <v>-138.72999999999999</v>
      </c>
      <c r="K100" s="46">
        <f>SUMIFS('Lançamentos Omie'!$G:$G,'Lançamentos Omie'!$I:$I,$D100,'Lançamentos Omie'!$F:$F,K$2)</f>
        <v>-183.75</v>
      </c>
      <c r="L100" s="46">
        <f>SUMIFS('Lançamentos Omie'!$G:$G,'Lançamentos Omie'!$I:$I,$D100,'Lançamentos Omie'!$F:$F,L$2)</f>
        <v>-183.75</v>
      </c>
      <c r="M100" s="46">
        <f>SUMIFS('Lançamentos Omie'!$G:$G,'Lançamentos Omie'!$I:$I,$D100,'Lançamentos Omie'!$F:$F,M$2)</f>
        <v>0</v>
      </c>
      <c r="N100" s="46">
        <f>SUMIFS('Lançamentos Omie'!$G:$G,'Lançamentos Omie'!$I:$I,$D100,'Lançamentos Omie'!$F:$F,N$2)</f>
        <v>0</v>
      </c>
      <c r="O100" s="46">
        <f>SUMIFS('Lançamentos Omie'!$G:$G,'Lançamentos Omie'!$I:$I,$D100,'Lançamentos Omie'!$F:$F,O$2)</f>
        <v>0</v>
      </c>
      <c r="P100" s="46">
        <f>SUMIFS('Lançamentos Omie'!$G:$G,'Lançamentos Omie'!$I:$I,$D100,'Lançamentos Omie'!$F:$F,P$2)</f>
        <v>0</v>
      </c>
      <c r="Q100" s="46">
        <f>SUMIFS('Lançamentos Omie'!$G:$G,'Lançamentos Omie'!$I:$I,$D100,'Lançamentos Omie'!$F:$F,Q$2)</f>
        <v>0</v>
      </c>
      <c r="R100" s="143">
        <f t="shared" si="40"/>
        <v>-2313.92</v>
      </c>
      <c r="S100" s="71"/>
      <c r="T100" s="46">
        <f t="shared" si="1"/>
        <v>-2130.17</v>
      </c>
      <c r="U100" s="46">
        <f t="shared" si="2"/>
        <v>-183.75</v>
      </c>
      <c r="V100" s="46">
        <f t="shared" si="34"/>
        <v>-2313.92</v>
      </c>
      <c r="W100" s="72"/>
      <c r="X100" s="72"/>
      <c r="Y100" s="72"/>
      <c r="Z100" s="72"/>
      <c r="AA100" s="72"/>
    </row>
    <row r="101" spans="1:27" ht="15.75">
      <c r="A101" s="57"/>
      <c r="B101" s="58" t="s">
        <v>111</v>
      </c>
      <c r="C101" s="60"/>
      <c r="D101" s="60"/>
      <c r="E101" s="59"/>
      <c r="F101" s="61">
        <f t="shared" ref="F101:R101" ca="1" si="41">F48+F49</f>
        <v>707911.07471323409</v>
      </c>
      <c r="G101" s="61">
        <f t="shared" ca="1" si="41"/>
        <v>360342.61766462505</v>
      </c>
      <c r="H101" s="61">
        <f t="shared" ca="1" si="41"/>
        <v>498529.00271497807</v>
      </c>
      <c r="I101" s="61">
        <f t="shared" ca="1" si="41"/>
        <v>471682.09635425138</v>
      </c>
      <c r="J101" s="61">
        <f t="shared" ca="1" si="41"/>
        <v>473209.25559787103</v>
      </c>
      <c r="K101" s="61">
        <f t="shared" ca="1" si="41"/>
        <v>557641.12942628434</v>
      </c>
      <c r="L101" s="61">
        <f t="shared" ca="1" si="41"/>
        <v>733508.49895965587</v>
      </c>
      <c r="M101" s="61">
        <f t="shared" ca="1" si="41"/>
        <v>541285.71088535408</v>
      </c>
      <c r="N101" s="61">
        <f t="shared" ca="1" si="41"/>
        <v>0</v>
      </c>
      <c r="O101" s="61">
        <f t="shared" ca="1" si="41"/>
        <v>0</v>
      </c>
      <c r="P101" s="61">
        <f t="shared" ca="1" si="41"/>
        <v>0</v>
      </c>
      <c r="Q101" s="61">
        <f t="shared" ca="1" si="41"/>
        <v>0</v>
      </c>
      <c r="R101" s="146">
        <f t="shared" ca="1" si="41"/>
        <v>4344109.3863162547</v>
      </c>
      <c r="S101" s="64"/>
      <c r="T101" s="61">
        <f t="shared" ca="1" si="1"/>
        <v>3069315.1764712441</v>
      </c>
      <c r="U101" s="61">
        <f t="shared" ca="1" si="2"/>
        <v>1274794.20984501</v>
      </c>
      <c r="V101" s="61">
        <f t="shared" ca="1" si="34"/>
        <v>4344109.3863162538</v>
      </c>
      <c r="W101" s="87"/>
      <c r="X101" s="87"/>
      <c r="Y101" s="87"/>
      <c r="Z101" s="87"/>
      <c r="AA101" s="87"/>
    </row>
    <row r="102" spans="1:27">
      <c r="A102" s="88"/>
      <c r="B102" s="89"/>
      <c r="C102" s="89" t="s">
        <v>112</v>
      </c>
      <c r="D102" s="90"/>
      <c r="E102" s="27"/>
      <c r="F102" s="29">
        <f>SUMIFS('Lançamentos Omie'!$G:$G,'Lançamentos Omie'!$I:$I,$C102,'Lançamentos Omie'!$F:$F,F$2)</f>
        <v>15584.31</v>
      </c>
      <c r="G102" s="29">
        <f>SUMIFS('Lançamentos Omie'!$G:$G,'Lançamentos Omie'!$I:$I,$C102,'Lançamentos Omie'!$F:$F,G$2)</f>
        <v>14237.36</v>
      </c>
      <c r="H102" s="29">
        <f>SUMIFS('Lançamentos Omie'!$G:$G,'Lançamentos Omie'!$I:$I,$C102,'Lançamentos Omie'!$F:$F,H$2)</f>
        <v>14183.15</v>
      </c>
      <c r="I102" s="29">
        <f>SUMIFS('Lançamentos Omie'!$G:$G,'Lançamentos Omie'!$I:$I,$C102,'Lançamentos Omie'!$F:$F,I$2)</f>
        <v>15216.83</v>
      </c>
      <c r="J102" s="29">
        <f>SUMIFS('Lançamentos Omie'!$G:$G,'Lançamentos Omie'!$I:$I,$C102,'Lançamentos Omie'!$F:$F,J$2)</f>
        <v>13209.710000000001</v>
      </c>
      <c r="K102" s="29">
        <f>SUMIFS('Lançamentos Omie'!$G:$G,'Lançamentos Omie'!$I:$I,$C102,'Lançamentos Omie'!$F:$F,K$2)</f>
        <v>8721.029999999997</v>
      </c>
      <c r="L102" s="29">
        <f>SUMIFS('Lançamentos Omie'!$G:$G,'Lançamentos Omie'!$I:$I,$C102,'Lançamentos Omie'!$F:$F,L$2)</f>
        <v>17437.349999999999</v>
      </c>
      <c r="M102" s="29">
        <f>SUMIFS('Lançamentos Omie'!$G:$G,'Lançamentos Omie'!$I:$I,$C102,'Lançamentos Omie'!$F:$F,M$2)</f>
        <v>11672.58</v>
      </c>
      <c r="N102" s="29">
        <f>SUMIFS('Lançamentos Omie'!$G:$G,'Lançamentos Omie'!$I:$I,$C102,'Lançamentos Omie'!$F:$F,N$2)</f>
        <v>0</v>
      </c>
      <c r="O102" s="29">
        <f>SUMIFS('Lançamentos Omie'!$G:$G,'Lançamentos Omie'!$I:$I,$C102,'Lançamentos Omie'!$F:$F,O$2)</f>
        <v>0</v>
      </c>
      <c r="P102" s="29">
        <f>SUMIFS('Lançamentos Omie'!$G:$G,'Lançamentos Omie'!$I:$I,$C102,'Lançamentos Omie'!$F:$F,P$2)</f>
        <v>0</v>
      </c>
      <c r="Q102" s="29">
        <f>SUMIFS('Lançamentos Omie'!$G:$G,'Lançamentos Omie'!$I:$I,$C102,'Lançamentos Omie'!$F:$F,Q$2)</f>
        <v>0</v>
      </c>
      <c r="R102" s="140">
        <f t="shared" ref="R102:R103" si="42">SUM(F102:Q102)</f>
        <v>110262.31999999999</v>
      </c>
      <c r="S102" s="31"/>
      <c r="T102" s="29">
        <f t="shared" si="1"/>
        <v>81152.39</v>
      </c>
      <c r="U102" s="29">
        <f t="shared" si="2"/>
        <v>29109.93</v>
      </c>
      <c r="V102" s="29">
        <f t="shared" si="34"/>
        <v>110262.32</v>
      </c>
      <c r="W102" s="55"/>
      <c r="X102" s="55"/>
      <c r="Y102" s="55"/>
      <c r="Z102" s="55"/>
      <c r="AA102" s="55"/>
    </row>
    <row r="103" spans="1:27">
      <c r="A103" s="91"/>
      <c r="B103" s="92"/>
      <c r="C103" s="92" t="s">
        <v>113</v>
      </c>
      <c r="D103" s="92"/>
      <c r="E103" s="93"/>
      <c r="F103" s="29">
        <f>SUMIFS('Lançamentos Omie'!$G:$G,'Lançamentos Omie'!$I:$I,$C103,'Lançamentos Omie'!$F:$F,F$2)</f>
        <v>0</v>
      </c>
      <c r="G103" s="29">
        <f>SUMIFS('Lançamentos Omie'!$G:$G,'Lançamentos Omie'!$I:$I,$C103,'Lançamentos Omie'!$F:$F,G$2)</f>
        <v>0</v>
      </c>
      <c r="H103" s="29">
        <f>SUMIFS('Lançamentos Omie'!$G:$G,'Lançamentos Omie'!$I:$I,$C103,'Lançamentos Omie'!$F:$F,H$2)</f>
        <v>0</v>
      </c>
      <c r="I103" s="29">
        <f>SUMIFS('Lançamentos Omie'!$G:$G,'Lançamentos Omie'!$I:$I,$C103,'Lançamentos Omie'!$F:$F,I$2)</f>
        <v>0</v>
      </c>
      <c r="J103" s="29">
        <f>SUMIFS('Lançamentos Omie'!$G:$G,'Lançamentos Omie'!$I:$I,$C103,'Lançamentos Omie'!$F:$F,J$2)</f>
        <v>0</v>
      </c>
      <c r="K103" s="29">
        <f>SUMIFS('Lançamentos Omie'!$G:$G,'Lançamentos Omie'!$I:$I,$C103,'Lançamentos Omie'!$F:$F,K$2)</f>
        <v>0</v>
      </c>
      <c r="L103" s="29">
        <f>SUMIFS('Lançamentos Omie'!$G:$G,'Lançamentos Omie'!$I:$I,$C103,'Lançamentos Omie'!$F:$F,L$2)</f>
        <v>0</v>
      </c>
      <c r="M103" s="29">
        <f>SUMIFS('Lançamentos Omie'!$G:$G,'Lançamentos Omie'!$I:$I,$C103,'Lançamentos Omie'!$F:$F,M$2)</f>
        <v>0</v>
      </c>
      <c r="N103" s="29">
        <f>SUMIFS('Lançamentos Omie'!$G:$G,'Lançamentos Omie'!$I:$I,$C103,'Lançamentos Omie'!$F:$F,N$2)</f>
        <v>0</v>
      </c>
      <c r="O103" s="29">
        <f>SUMIFS('Lançamentos Omie'!$G:$G,'Lançamentos Omie'!$I:$I,$C103,'Lançamentos Omie'!$F:$F,O$2)</f>
        <v>0</v>
      </c>
      <c r="P103" s="29">
        <f>SUMIFS('Lançamentos Omie'!$G:$G,'Lançamentos Omie'!$I:$I,$C103,'Lançamentos Omie'!$F:$F,P$2)</f>
        <v>0</v>
      </c>
      <c r="Q103" s="29">
        <f>SUMIFS('Lançamentos Omie'!$G:$G,'Lançamentos Omie'!$I:$I,$C103,'Lançamentos Omie'!$F:$F,Q$2)</f>
        <v>0</v>
      </c>
      <c r="R103" s="153">
        <f t="shared" si="42"/>
        <v>0</v>
      </c>
      <c r="S103" s="95"/>
      <c r="T103" s="29">
        <f t="shared" si="1"/>
        <v>0</v>
      </c>
      <c r="U103" s="29">
        <f t="shared" si="2"/>
        <v>0</v>
      </c>
      <c r="V103" s="29">
        <f t="shared" si="34"/>
        <v>0</v>
      </c>
      <c r="W103" s="96"/>
      <c r="X103" s="96"/>
      <c r="Y103" s="96"/>
      <c r="Z103" s="96"/>
      <c r="AA103" s="96"/>
    </row>
    <row r="104" spans="1:27" ht="15.75">
      <c r="A104" s="57"/>
      <c r="B104" s="97" t="s">
        <v>114</v>
      </c>
      <c r="C104" s="98"/>
      <c r="D104" s="99"/>
      <c r="E104" s="98"/>
      <c r="F104" s="100">
        <f t="shared" ref="F104:R104" ca="1" si="43">F101+F102+F103</f>
        <v>723495.38471323415</v>
      </c>
      <c r="G104" s="100">
        <f t="shared" ca="1" si="43"/>
        <v>374579.97766462504</v>
      </c>
      <c r="H104" s="100">
        <f t="shared" ca="1" si="43"/>
        <v>512712.15271497809</v>
      </c>
      <c r="I104" s="100">
        <f t="shared" ca="1" si="43"/>
        <v>486898.92635425139</v>
      </c>
      <c r="J104" s="100">
        <f t="shared" ca="1" si="43"/>
        <v>486418.96559787105</v>
      </c>
      <c r="K104" s="100">
        <f t="shared" ca="1" si="43"/>
        <v>566362.15942628437</v>
      </c>
      <c r="L104" s="100">
        <f t="shared" ca="1" si="43"/>
        <v>750945.84895965585</v>
      </c>
      <c r="M104" s="100">
        <f t="shared" ca="1" si="43"/>
        <v>552958.29088535404</v>
      </c>
      <c r="N104" s="100">
        <f t="shared" ca="1" si="43"/>
        <v>0</v>
      </c>
      <c r="O104" s="100">
        <f t="shared" ca="1" si="43"/>
        <v>0</v>
      </c>
      <c r="P104" s="100">
        <f t="shared" ca="1" si="43"/>
        <v>0</v>
      </c>
      <c r="Q104" s="100">
        <f t="shared" ca="1" si="43"/>
        <v>0</v>
      </c>
      <c r="R104" s="154">
        <f t="shared" ca="1" si="43"/>
        <v>4454371.706316255</v>
      </c>
      <c r="S104" s="64"/>
      <c r="T104" s="100">
        <f t="shared" ca="1" si="1"/>
        <v>3150467.5664712442</v>
      </c>
      <c r="U104" s="100">
        <f t="shared" ca="1" si="2"/>
        <v>1303904.1398450099</v>
      </c>
      <c r="V104" s="100">
        <f t="shared" ca="1" si="34"/>
        <v>4454371.7063162541</v>
      </c>
      <c r="W104" s="57"/>
      <c r="X104" s="57"/>
      <c r="Y104" s="57"/>
      <c r="Z104" s="57"/>
      <c r="AA104" s="57"/>
    </row>
    <row r="105" spans="1:27">
      <c r="A105" s="26"/>
      <c r="B105" s="27"/>
      <c r="C105" s="27" t="s">
        <v>115</v>
      </c>
      <c r="D105" s="28"/>
      <c r="E105" s="27"/>
      <c r="F105" s="103">
        <f t="shared" ref="F105:R105" ca="1" si="44">SUM(F106:F109)</f>
        <v>-143908.20947145275</v>
      </c>
      <c r="G105" s="103">
        <f t="shared" ca="1" si="44"/>
        <v>-116879.28006559369</v>
      </c>
      <c r="H105" s="103">
        <f t="shared" ca="1" si="44"/>
        <v>-142948.10452653767</v>
      </c>
      <c r="I105" s="103">
        <f t="shared" ca="1" si="44"/>
        <v>-136789.47856702155</v>
      </c>
      <c r="J105" s="103">
        <f t="shared" ca="1" si="44"/>
        <v>-128916.59105472961</v>
      </c>
      <c r="K105" s="103">
        <f t="shared" ca="1" si="44"/>
        <v>-145561.70847668237</v>
      </c>
      <c r="L105" s="103">
        <f t="shared" ca="1" si="44"/>
        <v>-145719.74716769735</v>
      </c>
      <c r="M105" s="103">
        <f t="shared" ca="1" si="44"/>
        <v>-131901.66197142797</v>
      </c>
      <c r="N105" s="103">
        <f t="shared" ca="1" si="44"/>
        <v>0</v>
      </c>
      <c r="O105" s="103">
        <f t="shared" ca="1" si="44"/>
        <v>0</v>
      </c>
      <c r="P105" s="103">
        <f t="shared" ca="1" si="44"/>
        <v>0</v>
      </c>
      <c r="Q105" s="103">
        <f t="shared" ca="1" si="44"/>
        <v>0</v>
      </c>
      <c r="R105" s="155">
        <f t="shared" ca="1" si="44"/>
        <v>-1092624.7813011429</v>
      </c>
      <c r="S105" s="31"/>
      <c r="T105" s="103">
        <f t="shared" ca="1" si="1"/>
        <v>-815003.37216201774</v>
      </c>
      <c r="U105" s="103">
        <f t="shared" ca="1" si="2"/>
        <v>-277621.40913912532</v>
      </c>
      <c r="V105" s="103"/>
      <c r="W105" s="55"/>
      <c r="X105" s="55"/>
      <c r="Y105" s="55"/>
      <c r="Z105" s="55"/>
      <c r="AA105" s="55"/>
    </row>
    <row r="106" spans="1:27" outlineLevel="1">
      <c r="A106" s="42"/>
      <c r="B106" s="43"/>
      <c r="C106" s="43"/>
      <c r="D106" s="43" t="s">
        <v>116</v>
      </c>
      <c r="E106" s="43"/>
      <c r="F106" s="46">
        <f>-((IF((F5+F8+F11+F14-'Aproveitamento Perse'!B9)&lt;=416666.67, (F5+F8+F11+F14-'Aproveitamento Perse'!B9)*32%, (416666.67*32%) + (((F5+F8+F11+F14-'Aproveitamento Perse'!B9)-416666.67)*35.2%)) * 15%) + IF(IF((F5+F8+F11+F14-'Aproveitamento Perse'!B9)&lt;=416666.67, (F5+F8+F11+F14-'Aproveitamento Perse'!B9)*32%, (416666.67*32%) + (((F5+F8+F11+F14-'Aproveitamento Perse'!B9)-416666.67)*35.2%))&gt;20000, (IF((F5+F8+F11+F14-'Aproveitamento Perse'!B9)&lt;=416666.67, (F5+F8+F11+F14-'Aproveitamento Perse'!B9)*32%, (416666.67*32%) + (((F5+F8+F11+F14-'Aproveitamento Perse'!B9)-416666.67)*35.2%))-20000)*10%, 0))-15%*F102</f>
        <v>-70312.858340000006</v>
      </c>
      <c r="G106" s="46">
        <f>-((IF((G5+G8+G11+G14-'Aproveitamento Perse'!C9)&lt;=416666.67, (G5+G8+G11+G14-'Aproveitamento Perse'!C9)*32%, (416666.67*32%) + (((G5+G8+G11+G14-'Aproveitamento Perse'!C9)-416666.67)*35.2%)) * 15%) + IF(IF((G5+G8+G11+G14-'Aproveitamento Perse'!C9)&lt;=416666.67, (G5+G8+G11+G14-'Aproveitamento Perse'!C9)*32%, (416666.67*32%) + (((G5+G8+G11+G14-'Aproveitamento Perse'!C9)-416666.67)*35.2%))&gt;20000, (IF((G5+G8+G11+G14-'Aproveitamento Perse'!C9)&lt;=416666.67, (G5+G8+G11+G14-'Aproveitamento Perse'!C9)*32%, (416666.67*32%) + (((G5+G8+G11+G14-'Aproveitamento Perse'!C9)-416666.67)*35.2%))-20000)*10%, 0))-15%*G102</f>
        <v>-52651.580639999993</v>
      </c>
      <c r="H106" s="46">
        <f>-((IF((H5+H8+H11+H14-'Aproveitamento Perse'!D9)&lt;=416666.67, (H5+H8+H11+H14-'Aproveitamento Perse'!D9)*32%, (416666.67*32%) + (((H5+H8+H11+H14-'Aproveitamento Perse'!D9)-416666.67)*35.2%)) * 15%) + IF(IF((H5+H8+H11+H14-'Aproveitamento Perse'!D9)&lt;=416666.67, (H5+H8+H11+H14-'Aproveitamento Perse'!D9)*32%, (416666.67*32%) + (((H5+H8+H11+H14-'Aproveitamento Perse'!D9)-416666.67)*35.2%))&gt;20000, (IF((H5+H8+H11+H14-'Aproveitamento Perse'!D9)&lt;=416666.67, (H5+H8+H11+H14-'Aproveitamento Perse'!D9)*32%, (416666.67*32%) + (((H5+H8+H11+H14-'Aproveitamento Perse'!D9)-416666.67)*35.2%))-20000)*10%, 0))-15%*H102</f>
        <v>-53739.949380000005</v>
      </c>
      <c r="I106" s="46">
        <f>-((IF((I5+I8+I11+I14-'Aproveitamento Perse'!E9)&lt;=416666.67, (I5+I8+I11+I14-'Aproveitamento Perse'!E9)*32%, (416666.67*32%) + (((I5+I8+I11+I14-'Aproveitamento Perse'!E9)-416666.67)*35.2%)) * 15%) + IF(IF((I5+I8+I11+I14-'Aproveitamento Perse'!E9)&lt;=416666.67, (I5+I8+I11+I14-'Aproveitamento Perse'!E9)*32%, (416666.67*32%) + (((I5+I8+I11+I14-'Aproveitamento Perse'!E9)-416666.67)*35.2%))&gt;20000, (IF((I5+I8+I11+I14-'Aproveitamento Perse'!E9)&lt;=416666.67, (I5+I8+I11+I14-'Aproveitamento Perse'!E9)*32%, (416666.67*32%) + (((I5+I8+I11+I14-'Aproveitamento Perse'!E9)-416666.67)*35.2%))-20000)*10%, 0))-15%*I102</f>
        <v>-55882.0625</v>
      </c>
      <c r="J106" s="46">
        <f>-((IF((J5+J8+J11+J14-'Aproveitamento Perse'!F9)&lt;=416666.67, (J5+J8+J11+J14-'Aproveitamento Perse'!F9)*32%, (416666.67*32%) + (((J5+J8+J11+J14-'Aproveitamento Perse'!F9)-416666.67)*35.2%)) * 15%) + IF(IF((J5+J8+J11+J14-'Aproveitamento Perse'!F9)&lt;=416666.67, (J5+J8+J11+J14-'Aproveitamento Perse'!F9)*32%, (416666.67*32%) + (((J5+J8+J11+J14-'Aproveitamento Perse'!F9)-416666.67)*35.2%))&gt;20000, (IF((J5+J8+J11+J14-'Aproveitamento Perse'!F9)&lt;=416666.67, (J5+J8+J11+J14-'Aproveitamento Perse'!F9)*32%, (416666.67*32%) + (((J5+J8+J11+J14-'Aproveitamento Perse'!F9)-416666.67)*35.2%))-20000)*10%, 0))-15%*J102</f>
        <v>-46605.764499999997</v>
      </c>
      <c r="K106" s="46">
        <f>-((IF((K5+K8+K11+K14-'Aproveitamento Perse'!G9)&lt;=416666.67, (K5+K8+K11+K14-'Aproveitamento Perse'!G9)*32%, (416666.67*32%) + (((K5+K8+K11+K14-'Aproveitamento Perse'!G9)-416666.67)*35.2%)) * 15%) + IF(IF((K5+K8+K11+K14-'Aproveitamento Perse'!G9)&lt;=416666.67, (K5+K8+K11+K14-'Aproveitamento Perse'!G9)*32%, (416666.67*32%) + (((K5+K8+K11+K14-'Aproveitamento Perse'!G9)-416666.67)*35.2%))&gt;20000, (IF((K5+K8+K11+K14-'Aproveitamento Perse'!G9)&lt;=416666.67, (K5+K8+K11+K14-'Aproveitamento Perse'!G9)*32%, (416666.67*32%) + (((K5+K8+K11+K14-'Aproveitamento Perse'!G9)-416666.67)*35.2%))-20000)*10%, 0))-15%*K102</f>
        <v>-66041.262419999999</v>
      </c>
      <c r="L106" s="46">
        <f>-((IF((L5+L8+L11+L14-'Aproveitamento Perse'!H9)&lt;=416666.67, (L5+L8+L11+L14-'Aproveitamento Perse'!H9)*32%, (416666.67*32%) + (((L5+L8+L11+L14-'Aproveitamento Perse'!H9)-416666.67)*35.2%)) * 15%) + IF(IF((L5+L8+L11+L14-'Aproveitamento Perse'!H9)&lt;=416666.67, (L5+L8+L11+L14-'Aproveitamento Perse'!H9)*32%, (416666.67*32%) + (((L5+L8+L11+L14-'Aproveitamento Perse'!H9)-416666.67)*35.2%))&gt;20000, (IF((L5+L8+L11+L14-'Aproveitamento Perse'!H9)&lt;=416666.67, (L5+L8+L11+L14-'Aproveitamento Perse'!H9)*32%, (416666.67*32%) + (((L5+L8+L11+L14-'Aproveitamento Perse'!H9)-416666.67)*35.2%))-20000)*10%, 0))-15%*L102</f>
        <v>-61048.544020000008</v>
      </c>
      <c r="M106" s="46">
        <f>-((IF((M5+M8+M11+M14-'Aproveitamento Perse'!I9)&lt;=416666.67, (M5+M8+M11+M14-'Aproveitamento Perse'!I9)*32%, (416666.67*32%) + (((M5+M8+M11+M14-'Aproveitamento Perse'!I9)-416666.67)*35.2%)) * 15%) + IF(IF((M5+M8+M11+M14-'Aproveitamento Perse'!I9)&lt;=416666.67, (M5+M8+M11+M14-'Aproveitamento Perse'!I9)*32%, (416666.67*32%) + (((M5+M8+M11+M14-'Aproveitamento Perse'!I9)-416666.67)*35.2%))&gt;20000, (IF((M5+M8+M11+M14-'Aproveitamento Perse'!I9)&lt;=416666.67, (M5+M8+M11+M14-'Aproveitamento Perse'!I9)*32%, (416666.67*32%) + (((M5+M8+M11+M14-'Aproveitamento Perse'!I9)-416666.67)*35.2%))-20000)*10%, 0))-15%*M102</f>
        <v>-53181.858600000021</v>
      </c>
      <c r="N106" s="46">
        <f>-((IF((N5+N8+N11+N14-'Aproveitamento Perse'!J9)&lt;=416666.67, (N5+N8+N11+N14-'Aproveitamento Perse'!J9)*32%, (416666.67*32%) + (((N5+N8+N11+N14-'Aproveitamento Perse'!J9)-416666.67)*35.2%)) * 15%) + IF(IF((N5+N8+N11+N14-'Aproveitamento Perse'!J9)&lt;=416666.67, (N5+N8+N11+N14-'Aproveitamento Perse'!J9)*32%, (416666.67*32%) + (((N5+N8+N11+N14-'Aproveitamento Perse'!J9)-416666.67)*35.2%))&gt;20000, (IF((N5+N8+N11+N14-'Aproveitamento Perse'!J9)&lt;=416666.67, (N5+N8+N11+N14-'Aproveitamento Perse'!J9)*32%, (416666.67*32%) + (((N5+N8+N11+N14-'Aproveitamento Perse'!J9)-416666.67)*35.2%))-20000)*10%, 0))-15%*N102</f>
        <v>0</v>
      </c>
      <c r="O106" s="46">
        <f>-((IF((O5+O8+O11+O14-'Aproveitamento Perse'!K9)&lt;=416666.67, (O5+O8+O11+O14-'Aproveitamento Perse'!K9)*32%, (416666.67*32%) + (((O5+O8+O11+O14-'Aproveitamento Perse'!K9)-416666.67)*35.2%)) * 15%) + IF(IF((O5+O8+O11+O14-'Aproveitamento Perse'!K9)&lt;=416666.67, (O5+O8+O11+O14-'Aproveitamento Perse'!K9)*32%, (416666.67*32%) + (((O5+O8+O11+O14-'Aproveitamento Perse'!K9)-416666.67)*35.2%))&gt;20000, (IF((O5+O8+O11+O14-'Aproveitamento Perse'!K9)&lt;=416666.67, (O5+O8+O11+O14-'Aproveitamento Perse'!K9)*32%, (416666.67*32%) + (((O5+O8+O11+O14-'Aproveitamento Perse'!K9)-416666.67)*35.2%))-20000)*10%, 0))-15%*O102</f>
        <v>0</v>
      </c>
      <c r="P106" s="46">
        <f>-((IF((P5+P8+P11+P14-'Aproveitamento Perse'!L9)&lt;=416666.67, (P5+P8+P11+P14-'Aproveitamento Perse'!L9)*32%, (416666.67*32%) + (((P5+P8+P11+P14-'Aproveitamento Perse'!L9)-416666.67)*35.2%)) * 15%) + IF(IF((P5+P8+P11+P14-'Aproveitamento Perse'!L9)&lt;=416666.67, (P5+P8+P11+P14-'Aproveitamento Perse'!L9)*32%, (416666.67*32%) + (((P5+P8+P11+P14-'Aproveitamento Perse'!L9)-416666.67)*35.2%))&gt;20000, (IF((P5+P8+P11+P14-'Aproveitamento Perse'!L9)&lt;=416666.67, (P5+P8+P11+P14-'Aproveitamento Perse'!L9)*32%, (416666.67*32%) + (((P5+P8+P11+P14-'Aproveitamento Perse'!L9)-416666.67)*35.2%))-20000)*10%, 0))-15%*P102</f>
        <v>0</v>
      </c>
      <c r="Q106" s="46">
        <f>-((IF((Q5+Q8+Q11+Q14-'Aproveitamento Perse'!M9)&lt;=416666.67, (Q5+Q8+Q11+Q14-'Aproveitamento Perse'!M9)*32%, (416666.67*32%) + (((Q5+Q8+Q11+Q14-'Aproveitamento Perse'!M9)-416666.67)*35.2%)) * 15%) + IF(IF((Q5+Q8+Q11+Q14-'Aproveitamento Perse'!M9)&lt;=416666.67, (Q5+Q8+Q11+Q14-'Aproveitamento Perse'!M9)*32%, (416666.67*32%) + (((Q5+Q8+Q11+Q14-'Aproveitamento Perse'!M9)-416666.67)*35.2%))&gt;20000, (IF((Q5+Q8+Q11+Q14-'Aproveitamento Perse'!M9)&lt;=416666.67, (Q5+Q8+Q11+Q14-'Aproveitamento Perse'!M9)*32%, (416666.67*32%) + (((Q5+Q8+Q11+Q14-'Aproveitamento Perse'!M9)-416666.67)*35.2%))-20000)*10%, 0))-15%*Q102</f>
        <v>0</v>
      </c>
      <c r="R106" s="143">
        <f t="shared" ref="R106:R109" si="45">SUM(F106:Q106)</f>
        <v>-459463.88040000008</v>
      </c>
      <c r="S106" s="45"/>
      <c r="T106" s="46">
        <f t="shared" si="1"/>
        <v>-345233.47778000002</v>
      </c>
      <c r="U106" s="46">
        <f t="shared" si="2"/>
        <v>-114230.40262000004</v>
      </c>
      <c r="V106" s="46">
        <f t="shared" ref="V106:V115" si="46">T106+U106</f>
        <v>-459463.88040000002</v>
      </c>
      <c r="W106" s="42"/>
      <c r="X106" s="42"/>
      <c r="Y106" s="42"/>
      <c r="Z106" s="42"/>
      <c r="AA106" s="42"/>
    </row>
    <row r="107" spans="1:27" outlineLevel="1">
      <c r="A107" s="42"/>
      <c r="B107" s="43"/>
      <c r="C107" s="43"/>
      <c r="D107" s="43" t="s">
        <v>117</v>
      </c>
      <c r="E107" s="43"/>
      <c r="F107" s="46">
        <f>-('Outras Informações'!B90*4%*(F16))</f>
        <v>-382.12089400000002</v>
      </c>
      <c r="G107" s="46">
        <f>-('Outras Informações'!C90*4%*(G16))</f>
        <v>-367.12947600000001</v>
      </c>
      <c r="H107" s="46">
        <f>-('Outras Informações'!D90*4%*(H16))</f>
        <v>-358.72888440000003</v>
      </c>
      <c r="I107" s="46">
        <f>-('Outras Informações'!E90*4%*(I16))</f>
        <v>-354.77528840000002</v>
      </c>
      <c r="J107" s="46">
        <f>-('Outras Informações'!F90*4%*(J16))</f>
        <v>-373.37891800000006</v>
      </c>
      <c r="K107" s="46">
        <f>-('Outras Informações'!G90*4%*(K16))</f>
        <v>-373.61873600000001</v>
      </c>
      <c r="L107" s="46">
        <f>-('Outras Informações'!H90*4%*(L16))</f>
        <v>-384.246576</v>
      </c>
      <c r="M107" s="46">
        <f>-('Outras Informações'!I90*4%*(M16))</f>
        <v>-394.19861640000005</v>
      </c>
      <c r="N107" s="46">
        <f>-('Outras Informações'!J90*4%*(N16))</f>
        <v>0</v>
      </c>
      <c r="O107" s="46">
        <f>-('Outras Informações'!K90*4%*(O16))</f>
        <v>0</v>
      </c>
      <c r="P107" s="46">
        <f>-('Outras Informações'!L90*4%*(P16))</f>
        <v>0</v>
      </c>
      <c r="Q107" s="46">
        <f>-('Outras Informações'!M90*4%*(Q16))</f>
        <v>0</v>
      </c>
      <c r="R107" s="143">
        <f t="shared" si="45"/>
        <v>-2988.1973892000001</v>
      </c>
      <c r="S107" s="71"/>
      <c r="T107" s="46">
        <f t="shared" si="1"/>
        <v>-2209.7521968000001</v>
      </c>
      <c r="U107" s="46">
        <f t="shared" si="2"/>
        <v>-778.4451924</v>
      </c>
      <c r="V107" s="46">
        <f t="shared" si="46"/>
        <v>-2988.1973892000001</v>
      </c>
      <c r="W107" s="72"/>
      <c r="X107" s="72"/>
      <c r="Y107" s="72"/>
      <c r="Z107" s="72"/>
      <c r="AA107" s="72"/>
    </row>
    <row r="108" spans="1:27" outlineLevel="1">
      <c r="A108" s="42"/>
      <c r="B108" s="43"/>
      <c r="C108" s="43"/>
      <c r="D108" s="43" t="s">
        <v>118</v>
      </c>
      <c r="E108" s="43"/>
      <c r="F108" s="46">
        <f ca="1">-('Outras Informações'!B89*4%*(F17+F21+F22+F23))</f>
        <v>-1592.0982602528884</v>
      </c>
      <c r="G108" s="46">
        <f ca="1">-('Outras Informações'!C89*4%*(G17+G21+G22+G23))</f>
        <v>-1115.6347790936882</v>
      </c>
      <c r="H108" s="46">
        <f ca="1">-('Outras Informações'!D89*4%*(H17+H21+H22+H23))</f>
        <v>-1179.1600621378241</v>
      </c>
      <c r="I108" s="46">
        <f ca="1">-('Outras Informações'!E89*4%*(I17+I21+I22+I23))</f>
        <v>-1188.5662768215602</v>
      </c>
      <c r="J108" s="46">
        <f ca="1">-('Outras Informações'!F89*4%*(J17+J21+J22+J23))</f>
        <v>-2869.0036346397601</v>
      </c>
      <c r="K108" s="46">
        <f ca="1">-('Outras Informações'!G89*4%*(K17+K21+K22+K23))</f>
        <v>-1305.70378368254</v>
      </c>
      <c r="L108" s="46">
        <f ca="1">-('Outras Informações'!H89*4%*(L17+L21+L22+L23))</f>
        <v>-1528.6188181523198</v>
      </c>
      <c r="M108" s="46">
        <f ca="1">-('Outras Informações'!I89*4%*(M17+M21+M22+M23))</f>
        <v>-1223.5550050279442</v>
      </c>
      <c r="N108" s="46">
        <f ca="1">-('Outras Informações'!J89*4%*(N17+N21+N22+N23))</f>
        <v>0</v>
      </c>
      <c r="O108" s="46">
        <f ca="1">-('Outras Informações'!K89*4%*(O17+O21+O22+O23))</f>
        <v>0</v>
      </c>
      <c r="P108" s="46">
        <f ca="1">-('Outras Informações'!L89*4%*(P17+P21+P22+P23))</f>
        <v>0</v>
      </c>
      <c r="Q108" s="46">
        <f ca="1">-('Outras Informações'!M89*4%*(Q17+Q21+Q22+Q23))</f>
        <v>0</v>
      </c>
      <c r="R108" s="143">
        <f t="shared" ca="1" si="45"/>
        <v>-12002.340619808523</v>
      </c>
      <c r="S108" s="45"/>
      <c r="T108" s="46">
        <f t="shared" ca="1" si="1"/>
        <v>-9250.1667966282603</v>
      </c>
      <c r="U108" s="46">
        <f t="shared" ca="1" si="2"/>
        <v>-2752.1738231802638</v>
      </c>
      <c r="V108" s="46">
        <f t="shared" ca="1" si="46"/>
        <v>-12002.340619808525</v>
      </c>
      <c r="W108" s="42"/>
      <c r="X108" s="42"/>
      <c r="Y108" s="42"/>
      <c r="Z108" s="42"/>
      <c r="AA108" s="42"/>
    </row>
    <row r="109" spans="1:27" outlineLevel="1">
      <c r="A109" s="42"/>
      <c r="B109" s="43"/>
      <c r="C109" s="43"/>
      <c r="D109" s="43" t="s">
        <v>119</v>
      </c>
      <c r="E109" s="43"/>
      <c r="F109" s="46">
        <f ca="1">'Outras Informações'!B23+'Outras Informações'!B25</f>
        <v>-71621.131977199839</v>
      </c>
      <c r="G109" s="46">
        <f ca="1">-'Outras Informações'!C23-'Outras Informações'!C25</f>
        <v>-62744.935170500001</v>
      </c>
      <c r="H109" s="46">
        <f ca="1">-'Outras Informações'!D23-'Outras Informações'!D25</f>
        <v>-87670.266199999838</v>
      </c>
      <c r="I109" s="46">
        <f ca="1">-'Outras Informações'!E23-'Outras Informações'!E25</f>
        <v>-79364.074501800002</v>
      </c>
      <c r="J109" s="46">
        <f ca="1">-'Outras Informações'!F23-'Outras Informações'!F25</f>
        <v>-79068.444002089847</v>
      </c>
      <c r="K109" s="46">
        <f ca="1">-'Outras Informações'!G23-'Outras Informações'!G25</f>
        <v>-77841.123536999832</v>
      </c>
      <c r="L109" s="46">
        <f ca="1">-'Outras Informações'!H23-'Outras Informações'!H25</f>
        <v>-82758.337753545013</v>
      </c>
      <c r="M109" s="46">
        <f ca="1">-'Outras Informações'!I23-'Outras Informações'!I25</f>
        <v>-77102.049750000006</v>
      </c>
      <c r="N109" s="46">
        <f>-'Outras Informações'!J23-'Outras Informações'!J25</f>
        <v>0</v>
      </c>
      <c r="O109" s="46">
        <f>-'Outras Informações'!K23-'Outras Informações'!K25</f>
        <v>0</v>
      </c>
      <c r="P109" s="46">
        <f>-'Outras Informações'!L23-'Outras Informações'!L25</f>
        <v>0</v>
      </c>
      <c r="Q109" s="46">
        <f>-'Outras Informações'!M23-'Outras Informações'!M25</f>
        <v>0</v>
      </c>
      <c r="R109" s="143">
        <f t="shared" ca="1" si="45"/>
        <v>-618170.36289213435</v>
      </c>
      <c r="S109" s="45"/>
      <c r="T109" s="46">
        <f t="shared" ca="1" si="1"/>
        <v>-458309.97538858932</v>
      </c>
      <c r="U109" s="46">
        <f t="shared" ca="1" si="2"/>
        <v>-159860.38750354503</v>
      </c>
      <c r="V109" s="46">
        <f t="shared" ca="1" si="46"/>
        <v>-618170.36289213435</v>
      </c>
      <c r="W109" s="42"/>
      <c r="X109" s="42"/>
      <c r="Y109" s="42"/>
      <c r="Z109" s="42"/>
      <c r="AA109" s="42"/>
    </row>
    <row r="110" spans="1:27">
      <c r="A110" s="26"/>
      <c r="B110" s="27"/>
      <c r="C110" s="27" t="s">
        <v>120</v>
      </c>
      <c r="D110" s="28"/>
      <c r="E110" s="27"/>
      <c r="F110" s="103">
        <f t="shared" ref="F110:R110" ca="1" si="47">SUM(F111:F114)</f>
        <v>-29397.493883971278</v>
      </c>
      <c r="G110" s="103">
        <f t="shared" ca="1" si="47"/>
        <v>-20856.737123206975</v>
      </c>
      <c r="H110" s="103">
        <f t="shared" ca="1" si="47"/>
        <v>-21258.946952220598</v>
      </c>
      <c r="I110" s="103">
        <f t="shared" ca="1" si="47"/>
        <v>-22735.772249568865</v>
      </c>
      <c r="J110" s="103">
        <f t="shared" ca="1" si="47"/>
        <v>-20810.709513559785</v>
      </c>
      <c r="K110" s="103">
        <f t="shared" ca="1" si="47"/>
        <v>-26278.218755922218</v>
      </c>
      <c r="L110" s="103">
        <f t="shared" ca="1" si="47"/>
        <v>-27740.151126283279</v>
      </c>
      <c r="M110" s="103">
        <f t="shared" ca="1" si="47"/>
        <v>-21701.216394749459</v>
      </c>
      <c r="N110" s="103">
        <f t="shared" ca="1" si="47"/>
        <v>0</v>
      </c>
      <c r="O110" s="103">
        <f t="shared" ca="1" si="47"/>
        <v>0</v>
      </c>
      <c r="P110" s="103">
        <f t="shared" ca="1" si="47"/>
        <v>0</v>
      </c>
      <c r="Q110" s="103">
        <f t="shared" ca="1" si="47"/>
        <v>0</v>
      </c>
      <c r="R110" s="155">
        <f t="shared" ca="1" si="47"/>
        <v>-190779.24599948246</v>
      </c>
      <c r="S110" s="41"/>
      <c r="T110" s="103">
        <f t="shared" ca="1" si="1"/>
        <v>-141337.87847844974</v>
      </c>
      <c r="U110" s="103">
        <f t="shared" ca="1" si="2"/>
        <v>-49441.367521032735</v>
      </c>
      <c r="V110" s="103">
        <f t="shared" ca="1" si="46"/>
        <v>-190779.24599948246</v>
      </c>
      <c r="W110" s="26"/>
      <c r="X110" s="26"/>
      <c r="Y110" s="26"/>
      <c r="Z110" s="26"/>
      <c r="AA110" s="26"/>
    </row>
    <row r="111" spans="1:27" outlineLevel="1">
      <c r="A111" s="42"/>
      <c r="B111" s="43"/>
      <c r="C111" s="43"/>
      <c r="D111" s="72" t="s">
        <v>121</v>
      </c>
      <c r="E111" s="72"/>
      <c r="F111" s="46">
        <f t="shared" ref="F111:H111" si="48">-((F5+F8+F11+F14)*32%*9%+(9%*F102))</f>
        <v>-27670.052123999998</v>
      </c>
      <c r="G111" s="46">
        <f t="shared" si="48"/>
        <v>-19559.318399999996</v>
      </c>
      <c r="H111" s="46">
        <f t="shared" si="48"/>
        <v>-19913.294124</v>
      </c>
      <c r="I111" s="156">
        <f t="shared" ref="I111:Q111" si="49">-(IF((I5+I8+I11+I14)&lt;=416666.67, (I5+I8+I11+I14)*32%, (416666.67*32%) + (((I5+I8+I11+I14)-416666.67)*35.2%))*9%)-9%*I102</f>
        <v>-21385.348379999999</v>
      </c>
      <c r="J111" s="46">
        <f t="shared" si="49"/>
        <v>-17973.624779999998</v>
      </c>
      <c r="K111" s="46">
        <f t="shared" si="49"/>
        <v>-24808.811551199997</v>
      </c>
      <c r="L111" s="46">
        <f t="shared" si="49"/>
        <v>-26066.393906399997</v>
      </c>
      <c r="M111" s="46">
        <f t="shared" si="49"/>
        <v>-20285.681976000007</v>
      </c>
      <c r="N111" s="46">
        <f t="shared" si="49"/>
        <v>0</v>
      </c>
      <c r="O111" s="46">
        <f t="shared" si="49"/>
        <v>0</v>
      </c>
      <c r="P111" s="46">
        <f t="shared" si="49"/>
        <v>0</v>
      </c>
      <c r="Q111" s="46">
        <f t="shared" si="49"/>
        <v>0</v>
      </c>
      <c r="R111" s="143">
        <f t="shared" ref="R111:R114" si="50">SUM(F111:Q111)</f>
        <v>-177662.5252416</v>
      </c>
      <c r="S111" s="45"/>
      <c r="T111" s="46">
        <f t="shared" si="1"/>
        <v>-131310.44935919999</v>
      </c>
      <c r="U111" s="46">
        <f t="shared" si="2"/>
        <v>-46352.075882400008</v>
      </c>
      <c r="V111" s="46">
        <f t="shared" si="46"/>
        <v>-177662.5252416</v>
      </c>
      <c r="W111" s="42"/>
      <c r="X111" s="42"/>
      <c r="Y111" s="42"/>
      <c r="Z111" s="42"/>
      <c r="AA111" s="42"/>
    </row>
    <row r="112" spans="1:27" outlineLevel="1">
      <c r="A112" s="42"/>
      <c r="B112" s="43"/>
      <c r="C112" s="43"/>
      <c r="D112" s="72" t="s">
        <v>122</v>
      </c>
      <c r="E112" s="72"/>
      <c r="F112" s="46">
        <f>-('Outras Informações'!B90*3.5%*(F16))</f>
        <v>-334.35578225</v>
      </c>
      <c r="G112" s="46">
        <f>-('Outras Informações'!C90*3.5%*(G16))</f>
        <v>-321.23829150000006</v>
      </c>
      <c r="H112" s="46">
        <f>-('Outras Informações'!D90*3.5%*(H16))</f>
        <v>-313.88777385000003</v>
      </c>
      <c r="I112" s="46">
        <f>-('Outras Informações'!E90*3.5%*(I16))</f>
        <v>-310.42837735000001</v>
      </c>
      <c r="J112" s="46">
        <f>-('Outras Informações'!F90*3.5%*(J16))</f>
        <v>-326.70655325000007</v>
      </c>
      <c r="K112" s="46">
        <f>-('Outras Informações'!G90*3.5%*(K16))</f>
        <v>-326.91639400000003</v>
      </c>
      <c r="L112" s="46">
        <f>-('Outras Informações'!H90*3.5%*(L16))</f>
        <v>-336.215754</v>
      </c>
      <c r="M112" s="46">
        <f>-('Outras Informações'!I90*3.5%*(M16))</f>
        <v>-344.92378935000005</v>
      </c>
      <c r="N112" s="46">
        <f>-('Outras Informações'!J90*3.5%*(N16))</f>
        <v>0</v>
      </c>
      <c r="O112" s="46">
        <f>-('Outras Informações'!K90*3.5%*(O16))</f>
        <v>0</v>
      </c>
      <c r="P112" s="46">
        <f>-('Outras Informações'!L90*3.5%*(P16))</f>
        <v>0</v>
      </c>
      <c r="Q112" s="46">
        <f>-('Outras Informações'!M90*3.5%*(Q16))</f>
        <v>0</v>
      </c>
      <c r="R112" s="143">
        <f t="shared" si="50"/>
        <v>-2614.6727155500002</v>
      </c>
      <c r="S112" s="45"/>
      <c r="T112" s="46">
        <f t="shared" si="1"/>
        <v>-1933.5331722000003</v>
      </c>
      <c r="U112" s="46">
        <f t="shared" si="2"/>
        <v>-681.13954335000005</v>
      </c>
      <c r="V112" s="46">
        <f t="shared" si="46"/>
        <v>-2614.6727155500002</v>
      </c>
      <c r="W112" s="42"/>
      <c r="X112" s="42"/>
      <c r="Y112" s="42"/>
      <c r="Z112" s="42"/>
      <c r="AA112" s="42"/>
    </row>
    <row r="113" spans="1:27" outlineLevel="1">
      <c r="A113" s="42"/>
      <c r="B113" s="72"/>
      <c r="C113" s="72"/>
      <c r="D113" s="72" t="s">
        <v>123</v>
      </c>
      <c r="E113" s="72"/>
      <c r="F113" s="46">
        <f ca="1">-('Outras Informações'!B89*3.5%*(F17+F21+F22+F23))</f>
        <v>-1393.0859777212772</v>
      </c>
      <c r="G113" s="46">
        <f ca="1">-('Outras Informações'!C89*3.5%*(G17+G21+G22+G23))</f>
        <v>-976.18043170697717</v>
      </c>
      <c r="H113" s="46">
        <f ca="1">-('Outras Informações'!D89*3.5%*(H17+H21+H22+H23))</f>
        <v>-1031.7650543705961</v>
      </c>
      <c r="I113" s="46">
        <f ca="1">-('Outras Informações'!E89*3.5%*(I17+I21+I22+I23))</f>
        <v>-1039.9954922188651</v>
      </c>
      <c r="J113" s="46">
        <f ca="1">-('Outras Informações'!F89*3.5%*(J17+J21+J22+J23))</f>
        <v>-2510.37818030979</v>
      </c>
      <c r="K113" s="46">
        <f ca="1">-('Outras Informações'!G89*3.5%*(K17+K21+K22+K23))</f>
        <v>-1142.4908107222225</v>
      </c>
      <c r="L113" s="46">
        <f ca="1">-('Outras Informações'!H89*3.5%*(L17+L21+L22+L23))</f>
        <v>-1337.5414658832799</v>
      </c>
      <c r="M113" s="46">
        <f ca="1">-('Outras Informações'!I89*3.5%*(M17+M21+M22+M23))</f>
        <v>-1070.6106293994512</v>
      </c>
      <c r="N113" s="46">
        <f ca="1">-('Outras Informações'!J89*3.5%*(N17+N21+N22+N23))</f>
        <v>0</v>
      </c>
      <c r="O113" s="46">
        <f ca="1">-('Outras Informações'!K89*3.5%*(O17+O21+O22+O23))</f>
        <v>0</v>
      </c>
      <c r="P113" s="46">
        <f ca="1">-('Outras Informações'!L89*3.5%*(P17+P21+P22+P23))</f>
        <v>0</v>
      </c>
      <c r="Q113" s="46">
        <f ca="1">-('Outras Informações'!M89*3.5%*(Q17+Q21+Q22+Q23))</f>
        <v>0</v>
      </c>
      <c r="R113" s="157">
        <f t="shared" ca="1" si="50"/>
        <v>-10502.048042332459</v>
      </c>
      <c r="S113" s="45"/>
      <c r="T113" s="46">
        <f t="shared" ca="1" si="1"/>
        <v>-8093.8959470497284</v>
      </c>
      <c r="U113" s="46">
        <f t="shared" ca="1" si="2"/>
        <v>-2408.1520952827314</v>
      </c>
      <c r="V113" s="46">
        <f t="shared" ca="1" si="46"/>
        <v>-10502.048042332459</v>
      </c>
      <c r="W113" s="42"/>
      <c r="X113" s="42"/>
      <c r="Y113" s="42"/>
      <c r="Z113" s="42"/>
      <c r="AA113" s="42"/>
    </row>
    <row r="114" spans="1:27" outlineLevel="1">
      <c r="A114" s="107"/>
      <c r="B114" s="108"/>
      <c r="C114" s="108"/>
      <c r="D114" s="72" t="s">
        <v>124</v>
      </c>
      <c r="E114" s="72"/>
      <c r="F114" s="151">
        <v>0</v>
      </c>
      <c r="G114" s="151">
        <v>0</v>
      </c>
      <c r="H114" s="151">
        <v>0</v>
      </c>
      <c r="I114" s="151">
        <v>0</v>
      </c>
      <c r="J114" s="151">
        <v>0</v>
      </c>
      <c r="K114" s="151">
        <v>0</v>
      </c>
      <c r="L114" s="151">
        <v>0</v>
      </c>
      <c r="M114" s="151">
        <v>0</v>
      </c>
      <c r="N114" s="151">
        <v>0</v>
      </c>
      <c r="O114" s="151">
        <v>0</v>
      </c>
      <c r="P114" s="151">
        <v>0</v>
      </c>
      <c r="Q114" s="151">
        <v>0</v>
      </c>
      <c r="R114" s="158">
        <f t="shared" si="50"/>
        <v>0</v>
      </c>
      <c r="S114" s="110"/>
      <c r="T114" s="46">
        <f t="shared" si="1"/>
        <v>0</v>
      </c>
      <c r="U114" s="46">
        <f t="shared" si="2"/>
        <v>0</v>
      </c>
      <c r="V114" s="46">
        <f t="shared" si="46"/>
        <v>0</v>
      </c>
      <c r="W114" s="107"/>
      <c r="X114" s="107"/>
      <c r="Y114" s="107"/>
      <c r="Z114" s="107"/>
      <c r="AA114" s="107"/>
    </row>
    <row r="115" spans="1:27" ht="15.75">
      <c r="A115" s="57"/>
      <c r="B115" s="111" t="s">
        <v>125</v>
      </c>
      <c r="C115" s="112"/>
      <c r="D115" s="113"/>
      <c r="E115" s="112"/>
      <c r="F115" s="114">
        <f t="shared" ref="F115:R115" ca="1" si="51">F104+F105+F110</f>
        <v>550189.68135781016</v>
      </c>
      <c r="G115" s="114">
        <f t="shared" ca="1" si="51"/>
        <v>236843.96047582437</v>
      </c>
      <c r="H115" s="114">
        <f t="shared" ca="1" si="51"/>
        <v>348505.10123621981</v>
      </c>
      <c r="I115" s="114">
        <f t="shared" ca="1" si="51"/>
        <v>327373.67553766095</v>
      </c>
      <c r="J115" s="114">
        <f t="shared" ca="1" si="51"/>
        <v>336691.66502958169</v>
      </c>
      <c r="K115" s="114">
        <f t="shared" ca="1" si="51"/>
        <v>394522.23219367978</v>
      </c>
      <c r="L115" s="114">
        <f t="shared" ca="1" si="51"/>
        <v>577485.95066567534</v>
      </c>
      <c r="M115" s="114">
        <f t="shared" ca="1" si="51"/>
        <v>399355.41251917661</v>
      </c>
      <c r="N115" s="114">
        <f t="shared" ca="1" si="51"/>
        <v>0</v>
      </c>
      <c r="O115" s="114">
        <f t="shared" ca="1" si="51"/>
        <v>0</v>
      </c>
      <c r="P115" s="114">
        <f t="shared" ca="1" si="51"/>
        <v>0</v>
      </c>
      <c r="Q115" s="116">
        <f t="shared" ca="1" si="51"/>
        <v>0</v>
      </c>
      <c r="R115" s="159">
        <f t="shared" ca="1" si="51"/>
        <v>3170967.6790156299</v>
      </c>
      <c r="S115" s="64"/>
      <c r="T115" s="114">
        <f t="shared" ca="1" si="1"/>
        <v>2194126.3158307765</v>
      </c>
      <c r="U115" s="114">
        <f t="shared" ca="1" si="2"/>
        <v>976841.36318485194</v>
      </c>
      <c r="V115" s="114">
        <f t="shared" ca="1" si="46"/>
        <v>3170967.6790156285</v>
      </c>
      <c r="W115" s="57"/>
      <c r="X115" s="57"/>
      <c r="Y115" s="57"/>
      <c r="Z115" s="57"/>
      <c r="AA115" s="57"/>
    </row>
    <row r="116" spans="1:27" ht="13.5" customHeight="1">
      <c r="A116" s="42"/>
      <c r="B116" s="42"/>
      <c r="C116" s="42"/>
      <c r="D116" s="42"/>
      <c r="E116" s="42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60"/>
      <c r="S116" s="45"/>
      <c r="T116" s="120"/>
      <c r="U116" s="121"/>
      <c r="V116" s="120"/>
      <c r="W116" s="42"/>
      <c r="X116" s="42"/>
      <c r="Y116" s="42"/>
      <c r="Z116" s="42"/>
      <c r="AA116" s="42"/>
    </row>
    <row r="117" spans="1:27" ht="13.5" customHeight="1">
      <c r="A117" s="1"/>
      <c r="B117" s="1"/>
      <c r="C117" s="1"/>
      <c r="D117" s="1"/>
      <c r="E117" s="1"/>
      <c r="F117" s="161"/>
      <c r="G117" s="129"/>
      <c r="H117" s="129"/>
      <c r="I117" s="129"/>
      <c r="J117" s="130"/>
      <c r="K117" s="130"/>
      <c r="L117" s="130"/>
      <c r="M117" s="119"/>
      <c r="N117" s="119"/>
      <c r="O117" s="4"/>
      <c r="P117" s="125"/>
      <c r="Q117" s="4"/>
      <c r="R117" s="134"/>
      <c r="S117" s="1"/>
      <c r="T117" s="4"/>
      <c r="U117" s="121"/>
      <c r="V117" s="4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26"/>
      <c r="F118" s="162"/>
      <c r="G118" s="163"/>
      <c r="H118" s="129"/>
      <c r="I118" s="129"/>
      <c r="J118" s="121">
        <v>-29085.508999999998</v>
      </c>
      <c r="K118" s="121">
        <v>-40286.529000000002</v>
      </c>
      <c r="L118" s="130"/>
      <c r="M118" s="4"/>
      <c r="N118" s="4"/>
      <c r="O118" s="4"/>
      <c r="P118" s="125"/>
      <c r="Q118" s="4"/>
      <c r="R118" s="134"/>
      <c r="S118" s="1"/>
      <c r="T118" s="4"/>
      <c r="U118" s="121"/>
      <c r="V118" s="4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164"/>
      <c r="F119" s="127"/>
      <c r="G119" s="165"/>
      <c r="H119" s="127"/>
      <c r="I119" s="127"/>
      <c r="J119" s="127">
        <f t="shared" ref="J119:K119" si="52">J38-J118</f>
        <v>15512.915500000003</v>
      </c>
      <c r="K119" s="127">
        <f t="shared" si="52"/>
        <v>22577.221100000002</v>
      </c>
      <c r="L119" s="127"/>
      <c r="M119" s="127"/>
      <c r="N119" s="127"/>
      <c r="O119" s="127"/>
      <c r="P119" s="127"/>
      <c r="Q119" s="127"/>
      <c r="R119" s="134"/>
      <c r="S119" s="1"/>
      <c r="T119" s="4"/>
      <c r="U119" s="121"/>
      <c r="V119" s="4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164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34"/>
      <c r="S120" s="1"/>
      <c r="T120" s="4"/>
      <c r="U120" s="121"/>
      <c r="V120" s="4"/>
      <c r="W120" s="1"/>
      <c r="X120" s="1"/>
      <c r="Y120" s="1"/>
      <c r="Z120" s="1"/>
      <c r="AA120" s="1"/>
    </row>
    <row r="121" spans="1:27">
      <c r="A121" s="166"/>
      <c r="B121" s="166"/>
      <c r="C121" s="166"/>
      <c r="D121" s="166"/>
      <c r="E121" s="166"/>
      <c r="F121" s="167"/>
      <c r="G121" s="168"/>
      <c r="H121" s="168"/>
      <c r="I121" s="169"/>
      <c r="J121" s="169"/>
      <c r="K121" s="169"/>
      <c r="L121" s="169"/>
      <c r="M121" s="169"/>
      <c r="N121" s="169"/>
      <c r="O121" s="169"/>
      <c r="P121" s="169"/>
      <c r="Q121" s="169"/>
      <c r="R121" s="170"/>
      <c r="S121" s="166"/>
      <c r="T121" s="171"/>
      <c r="U121" s="172"/>
      <c r="V121" s="171"/>
      <c r="W121" s="166"/>
      <c r="X121" s="166"/>
      <c r="Y121" s="166"/>
      <c r="Z121" s="166"/>
      <c r="AA121" s="166"/>
    </row>
    <row r="122" spans="1:27" ht="13.5" customHeight="1">
      <c r="A122" s="1"/>
      <c r="B122" s="130"/>
      <c r="C122" s="130"/>
      <c r="D122" s="1"/>
      <c r="E122" s="1"/>
      <c r="F122" s="1"/>
      <c r="G122" s="130"/>
      <c r="H122" s="173"/>
      <c r="I122" s="129"/>
      <c r="J122" s="129"/>
      <c r="K122" s="129"/>
      <c r="L122" s="129"/>
      <c r="M122" s="129"/>
      <c r="N122" s="129"/>
      <c r="O122" s="129"/>
      <c r="P122" s="129"/>
      <c r="Q122" s="129"/>
      <c r="R122" s="174"/>
      <c r="S122" s="1"/>
      <c r="T122" s="175"/>
      <c r="U122" s="121"/>
      <c r="V122" s="175"/>
      <c r="W122" s="1"/>
      <c r="X122" s="1"/>
      <c r="Y122" s="1"/>
      <c r="Z122" s="1"/>
      <c r="AA122" s="1"/>
    </row>
    <row r="123" spans="1:27" ht="13.5" customHeight="1">
      <c r="A123" s="1"/>
      <c r="B123" s="130"/>
      <c r="C123" s="130"/>
      <c r="D123" s="1"/>
      <c r="E123" s="1"/>
      <c r="F123" s="161"/>
      <c r="G123" s="130"/>
      <c r="H123" s="173"/>
      <c r="I123" s="129"/>
      <c r="J123" s="129"/>
      <c r="K123" s="129"/>
      <c r="L123" s="129"/>
      <c r="M123" s="129"/>
      <c r="N123" s="129"/>
      <c r="O123" s="129"/>
      <c r="P123" s="129"/>
      <c r="Q123" s="129"/>
      <c r="R123" s="134"/>
      <c r="S123" s="1"/>
      <c r="T123" s="4"/>
      <c r="U123" s="121"/>
      <c r="V123" s="4"/>
      <c r="W123" s="1"/>
      <c r="X123" s="1"/>
      <c r="Y123" s="1"/>
      <c r="Z123" s="1"/>
      <c r="AA123" s="1"/>
    </row>
    <row r="124" spans="1:27" ht="13.5" customHeight="1">
      <c r="A124" s="1"/>
      <c r="B124" s="130"/>
      <c r="C124" s="130"/>
      <c r="D124" s="1"/>
      <c r="E124" s="1"/>
      <c r="F124" s="176"/>
      <c r="G124" s="130"/>
      <c r="H124" s="173"/>
      <c r="I124" s="129"/>
      <c r="J124" s="129"/>
      <c r="K124" s="129"/>
      <c r="L124" s="129"/>
      <c r="M124" s="129"/>
      <c r="N124" s="129"/>
      <c r="O124" s="129"/>
      <c r="P124" s="129"/>
      <c r="Q124" s="129"/>
      <c r="R124" s="177"/>
      <c r="S124" s="1"/>
      <c r="T124" s="178"/>
      <c r="U124" s="121"/>
      <c r="V124" s="178"/>
      <c r="W124" s="1"/>
      <c r="X124" s="1"/>
      <c r="Y124" s="1"/>
      <c r="Z124" s="1"/>
      <c r="AA124" s="1"/>
    </row>
    <row r="125" spans="1:27" ht="13.5" customHeight="1">
      <c r="A125" s="1"/>
      <c r="B125" s="130"/>
      <c r="C125" s="130"/>
      <c r="D125" s="1"/>
      <c r="E125" s="1"/>
      <c r="F125" s="161"/>
      <c r="G125" s="130"/>
      <c r="H125" s="173"/>
      <c r="I125" s="129"/>
      <c r="J125" s="129"/>
      <c r="K125" s="129"/>
      <c r="L125" s="129"/>
      <c r="M125" s="129"/>
      <c r="N125" s="129"/>
      <c r="O125" s="129"/>
      <c r="P125" s="129"/>
      <c r="Q125" s="129"/>
      <c r="R125" s="177"/>
      <c r="S125" s="1"/>
      <c r="T125" s="178"/>
      <c r="U125" s="121"/>
      <c r="V125" s="178"/>
      <c r="W125" s="1"/>
      <c r="X125" s="1"/>
      <c r="Y125" s="1"/>
      <c r="Z125" s="1"/>
      <c r="AA125" s="1"/>
    </row>
    <row r="126" spans="1:27" ht="13.5" customHeight="1">
      <c r="A126" s="1"/>
      <c r="B126" s="130"/>
      <c r="C126" s="130"/>
      <c r="D126" s="1"/>
      <c r="E126" s="1"/>
      <c r="F126" s="161"/>
      <c r="G126" s="130"/>
      <c r="H126" s="11"/>
      <c r="I126" s="179"/>
      <c r="J126" s="179"/>
      <c r="K126" s="179"/>
      <c r="L126" s="179"/>
      <c r="M126" s="179"/>
      <c r="N126" s="179"/>
      <c r="O126" s="179"/>
      <c r="P126" s="179"/>
      <c r="Q126" s="179"/>
      <c r="R126" s="134"/>
      <c r="S126" s="1"/>
      <c r="T126" s="4"/>
      <c r="U126" s="121"/>
      <c r="V126" s="4"/>
      <c r="W126" s="1"/>
      <c r="X126" s="1"/>
      <c r="Y126" s="1"/>
      <c r="Z126" s="1"/>
      <c r="AA126" s="1"/>
    </row>
    <row r="127" spans="1:27" ht="13.5" customHeight="1">
      <c r="A127" s="1"/>
      <c r="B127" s="130"/>
      <c r="C127" s="130"/>
      <c r="D127" s="1"/>
      <c r="E127" s="1"/>
      <c r="F127" s="161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4"/>
      <c r="S127" s="1"/>
      <c r="T127" s="4"/>
      <c r="U127" s="121"/>
      <c r="V127" s="4"/>
      <c r="W127" s="1"/>
      <c r="X127" s="1"/>
      <c r="Y127" s="1"/>
      <c r="Z127" s="1"/>
      <c r="AA127" s="1"/>
    </row>
    <row r="128" spans="1:27">
      <c r="A128" s="1"/>
      <c r="B128" s="130"/>
      <c r="C128" s="130"/>
      <c r="D128" s="1"/>
      <c r="E128" s="1"/>
      <c r="F128" s="1"/>
      <c r="G128" s="130"/>
      <c r="H128" s="11"/>
      <c r="I128" s="169"/>
      <c r="J128" s="169"/>
      <c r="K128" s="169"/>
      <c r="L128" s="169"/>
      <c r="M128" s="169"/>
      <c r="N128" s="169"/>
      <c r="O128" s="169"/>
      <c r="P128" s="169"/>
      <c r="Q128" s="169"/>
      <c r="R128" s="134"/>
      <c r="S128" s="1"/>
      <c r="T128" s="4"/>
      <c r="U128" s="121"/>
      <c r="V128" s="4"/>
      <c r="W128" s="1"/>
      <c r="X128" s="1"/>
      <c r="Y128" s="1"/>
      <c r="Z128" s="1"/>
      <c r="AA128" s="1"/>
    </row>
    <row r="129" spans="1:27" ht="13.5" customHeight="1">
      <c r="A129" s="1"/>
      <c r="B129" s="130"/>
      <c r="C129" s="130"/>
      <c r="D129" s="1"/>
      <c r="E129" s="1"/>
      <c r="F129" s="161"/>
      <c r="G129" s="130"/>
      <c r="H129" s="173"/>
      <c r="I129" s="129"/>
      <c r="J129" s="129"/>
      <c r="K129" s="129"/>
      <c r="L129" s="129"/>
      <c r="M129" s="129"/>
      <c r="N129" s="129"/>
      <c r="O129" s="129"/>
      <c r="P129" s="129"/>
      <c r="Q129" s="129"/>
      <c r="R129" s="134"/>
      <c r="S129" s="1"/>
      <c r="T129" s="4"/>
      <c r="U129" s="121"/>
      <c r="V129" s="4"/>
      <c r="W129" s="1"/>
      <c r="X129" s="1"/>
      <c r="Y129" s="1"/>
      <c r="Z129" s="1"/>
      <c r="AA129" s="1"/>
    </row>
    <row r="130" spans="1:27" ht="13.5" customHeight="1">
      <c r="A130" s="1"/>
      <c r="B130" s="130"/>
      <c r="C130" s="130"/>
      <c r="D130" s="1"/>
      <c r="E130" s="1"/>
      <c r="F130" s="176"/>
      <c r="G130" s="130"/>
      <c r="H130" s="173"/>
      <c r="I130" s="129"/>
      <c r="J130" s="129"/>
      <c r="K130" s="129"/>
      <c r="L130" s="129"/>
      <c r="M130" s="129"/>
      <c r="N130" s="129"/>
      <c r="O130" s="129"/>
      <c r="P130" s="129"/>
      <c r="Q130" s="129"/>
      <c r="R130" s="134"/>
      <c r="S130" s="1"/>
      <c r="T130" s="4"/>
      <c r="U130" s="121"/>
      <c r="V130" s="4"/>
      <c r="W130" s="1"/>
      <c r="X130" s="1"/>
      <c r="Y130" s="1"/>
      <c r="Z130" s="1"/>
      <c r="AA130" s="1"/>
    </row>
    <row r="131" spans="1:27" ht="13.5" customHeight="1">
      <c r="A131" s="1"/>
      <c r="B131" s="130"/>
      <c r="C131" s="130"/>
      <c r="D131" s="1"/>
      <c r="E131" s="1"/>
      <c r="F131" s="161"/>
      <c r="G131" s="130"/>
      <c r="H131" s="173"/>
      <c r="I131" s="129"/>
      <c r="J131" s="129"/>
      <c r="K131" s="129"/>
      <c r="L131" s="129"/>
      <c r="M131" s="129"/>
      <c r="N131" s="129"/>
      <c r="O131" s="129"/>
      <c r="P131" s="129"/>
      <c r="Q131" s="129"/>
      <c r="R131" s="134"/>
      <c r="S131" s="1"/>
      <c r="T131" s="4"/>
      <c r="U131" s="121"/>
      <c r="V131" s="4"/>
      <c r="W131" s="1"/>
      <c r="X131" s="1"/>
      <c r="Y131" s="1"/>
      <c r="Z131" s="1"/>
      <c r="AA131" s="1"/>
    </row>
    <row r="132" spans="1:27" ht="13.5" customHeight="1">
      <c r="A132" s="1"/>
      <c r="B132" s="130"/>
      <c r="C132" s="130"/>
      <c r="D132" s="1"/>
      <c r="E132" s="1"/>
      <c r="F132" s="161"/>
      <c r="G132" s="130"/>
      <c r="H132" s="173"/>
      <c r="I132" s="129"/>
      <c r="J132" s="129"/>
      <c r="K132" s="129"/>
      <c r="L132" s="129"/>
      <c r="M132" s="129"/>
      <c r="N132" s="129"/>
      <c r="O132" s="129"/>
      <c r="P132" s="129"/>
      <c r="Q132" s="129"/>
      <c r="R132" s="134"/>
      <c r="S132" s="1"/>
      <c r="T132" s="4"/>
      <c r="U132" s="121"/>
      <c r="V132" s="4"/>
      <c r="W132" s="1"/>
      <c r="X132" s="1"/>
      <c r="Y132" s="1"/>
      <c r="Z132" s="1"/>
      <c r="AA132" s="1"/>
    </row>
    <row r="133" spans="1:27" ht="13.5" customHeight="1">
      <c r="A133" s="1"/>
      <c r="B133" s="130"/>
      <c r="C133" s="130"/>
      <c r="D133" s="1"/>
      <c r="E133" s="1"/>
      <c r="F133" s="161"/>
      <c r="G133" s="130"/>
      <c r="H133" s="11"/>
      <c r="I133" s="179"/>
      <c r="J133" s="179"/>
      <c r="K133" s="179"/>
      <c r="L133" s="179"/>
      <c r="M133" s="179"/>
      <c r="N133" s="179"/>
      <c r="O133" s="179"/>
      <c r="P133" s="179"/>
      <c r="Q133" s="179"/>
      <c r="R133" s="134"/>
      <c r="S133" s="1"/>
      <c r="T133" s="4"/>
      <c r="U133" s="121"/>
      <c r="V133" s="4"/>
      <c r="W133" s="1"/>
      <c r="X133" s="1"/>
      <c r="Y133" s="1"/>
      <c r="Z133" s="1"/>
      <c r="AA133" s="1"/>
    </row>
    <row r="134" spans="1:27" ht="13.5" customHeight="1">
      <c r="A134" s="1"/>
      <c r="B134" s="130"/>
      <c r="C134" s="130"/>
      <c r="D134" s="1"/>
      <c r="E134" s="1"/>
      <c r="F134" s="161"/>
      <c r="G134" s="130"/>
      <c r="H134" s="11"/>
      <c r="I134" s="179"/>
      <c r="J134" s="179"/>
      <c r="K134" s="179"/>
      <c r="L134" s="179"/>
      <c r="M134" s="179"/>
      <c r="N134" s="179"/>
      <c r="O134" s="179"/>
      <c r="P134" s="179"/>
      <c r="Q134" s="179"/>
      <c r="R134" s="134"/>
      <c r="S134" s="1"/>
      <c r="T134" s="4"/>
      <c r="U134" s="121"/>
      <c r="V134" s="4"/>
      <c r="W134" s="1"/>
      <c r="X134" s="1"/>
      <c r="Y134" s="1"/>
      <c r="Z134" s="1"/>
      <c r="AA134" s="1"/>
    </row>
    <row r="135" spans="1:27" ht="13.5" customHeight="1">
      <c r="A135" s="1"/>
      <c r="B135" s="130"/>
      <c r="C135" s="130"/>
      <c r="D135" s="1"/>
      <c r="E135" s="1"/>
      <c r="F135" s="161"/>
      <c r="G135" s="130"/>
      <c r="H135" s="11"/>
      <c r="I135" s="179"/>
      <c r="J135" s="179"/>
      <c r="K135" s="179"/>
      <c r="L135" s="179"/>
      <c r="M135" s="179"/>
      <c r="N135" s="179"/>
      <c r="O135" s="179"/>
      <c r="P135" s="179"/>
      <c r="Q135" s="179"/>
      <c r="R135" s="134"/>
      <c r="S135" s="1"/>
      <c r="T135" s="4"/>
      <c r="U135" s="121"/>
      <c r="V135" s="4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1"/>
      <c r="F136" s="161"/>
      <c r="G136" s="130"/>
      <c r="H136" s="173"/>
      <c r="I136" s="129"/>
      <c r="J136" s="129"/>
      <c r="K136" s="129"/>
      <c r="L136" s="129"/>
      <c r="M136" s="129"/>
      <c r="N136" s="129"/>
      <c r="O136" s="129"/>
      <c r="P136" s="129"/>
      <c r="Q136" s="129"/>
      <c r="R136" s="134"/>
      <c r="S136" s="1"/>
      <c r="T136" s="4"/>
      <c r="U136" s="121"/>
      <c r="V136" s="4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1"/>
      <c r="F137" s="161"/>
      <c r="G137" s="130"/>
      <c r="H137" s="173"/>
      <c r="I137" s="129"/>
      <c r="J137" s="129"/>
      <c r="K137" s="129"/>
      <c r="L137" s="129"/>
      <c r="M137" s="129"/>
      <c r="N137" s="129"/>
      <c r="O137" s="129"/>
      <c r="P137" s="129"/>
      <c r="Q137" s="129"/>
      <c r="R137" s="134"/>
      <c r="S137" s="1"/>
      <c r="T137" s="4"/>
      <c r="U137" s="121"/>
      <c r="V137" s="4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1"/>
      <c r="F138" s="161"/>
      <c r="G138" s="130"/>
      <c r="H138" s="173"/>
      <c r="I138" s="129"/>
      <c r="J138" s="129"/>
      <c r="K138" s="129"/>
      <c r="L138" s="129"/>
      <c r="M138" s="129"/>
      <c r="N138" s="129"/>
      <c r="O138" s="129"/>
      <c r="P138" s="129"/>
      <c r="Q138" s="129"/>
      <c r="R138" s="134"/>
      <c r="S138" s="1"/>
      <c r="T138" s="4"/>
      <c r="U138" s="121"/>
      <c r="V138" s="4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1"/>
      <c r="F139" s="161"/>
      <c r="G139" s="130"/>
      <c r="H139" s="173"/>
      <c r="I139" s="129"/>
      <c r="J139" s="129"/>
      <c r="K139" s="129"/>
      <c r="L139" s="129"/>
      <c r="M139" s="129"/>
      <c r="N139" s="129"/>
      <c r="O139" s="129"/>
      <c r="P139" s="129"/>
      <c r="Q139" s="129"/>
      <c r="R139" s="134"/>
      <c r="S139" s="1"/>
      <c r="T139" s="4"/>
      <c r="U139" s="121"/>
      <c r="V139" s="4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1"/>
      <c r="F140" s="161"/>
      <c r="G140" s="130"/>
      <c r="H140" s="11"/>
      <c r="I140" s="130"/>
      <c r="J140" s="130"/>
      <c r="K140" s="130"/>
      <c r="L140" s="130"/>
      <c r="M140" s="130"/>
      <c r="N140" s="130"/>
      <c r="O140" s="130"/>
      <c r="P140" s="130"/>
      <c r="Q140" s="130"/>
      <c r="R140" s="134"/>
      <c r="S140" s="1"/>
      <c r="T140" s="4"/>
      <c r="U140" s="121"/>
      <c r="V140" s="4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1"/>
      <c r="F141" s="161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4"/>
      <c r="S141" s="1"/>
      <c r="T141" s="4"/>
      <c r="U141" s="121"/>
      <c r="V141" s="4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1"/>
      <c r="F142" s="161"/>
      <c r="G142" s="130"/>
      <c r="H142" s="173"/>
      <c r="I142" s="130"/>
      <c r="J142" s="130"/>
      <c r="K142" s="130"/>
      <c r="L142" s="130"/>
      <c r="M142" s="130"/>
      <c r="N142" s="130"/>
      <c r="O142" s="130"/>
      <c r="P142" s="130"/>
      <c r="Q142" s="130"/>
      <c r="R142" s="134"/>
      <c r="S142" s="1"/>
      <c r="T142" s="4"/>
      <c r="U142" s="121"/>
      <c r="V142" s="4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1"/>
      <c r="F143" s="161"/>
      <c r="G143" s="130"/>
      <c r="H143" s="130"/>
      <c r="I143" s="129"/>
      <c r="J143" s="129"/>
      <c r="K143" s="129"/>
      <c r="L143" s="130"/>
      <c r="M143" s="4"/>
      <c r="N143" s="4"/>
      <c r="O143" s="4"/>
      <c r="P143" s="4"/>
      <c r="Q143" s="4"/>
      <c r="R143" s="134"/>
      <c r="S143" s="1"/>
      <c r="T143" s="4"/>
      <c r="U143" s="121"/>
      <c r="V143" s="4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1"/>
      <c r="F144" s="161"/>
      <c r="G144" s="130"/>
      <c r="H144" s="130"/>
      <c r="I144" s="130"/>
      <c r="J144" s="130"/>
      <c r="K144" s="130"/>
      <c r="L144" s="130"/>
      <c r="M144" s="4"/>
      <c r="N144" s="4"/>
      <c r="O144" s="4"/>
      <c r="P144" s="4"/>
      <c r="Q144" s="4"/>
      <c r="R144" s="134"/>
      <c r="S144" s="1"/>
      <c r="T144" s="4"/>
      <c r="U144" s="121"/>
      <c r="V144" s="4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1"/>
      <c r="F145" s="161"/>
      <c r="G145" s="130"/>
      <c r="H145" s="130"/>
      <c r="I145" s="130"/>
      <c r="J145" s="130"/>
      <c r="K145" s="130"/>
      <c r="L145" s="130"/>
      <c r="M145" s="4"/>
      <c r="N145" s="4"/>
      <c r="O145" s="4"/>
      <c r="P145" s="4"/>
      <c r="Q145" s="4"/>
      <c r="R145" s="134"/>
      <c r="S145" s="1"/>
      <c r="T145" s="4"/>
      <c r="U145" s="121"/>
      <c r="V145" s="4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1"/>
      <c r="F146" s="161"/>
      <c r="G146" s="130"/>
      <c r="H146" s="179"/>
      <c r="I146" s="130"/>
      <c r="J146" s="179"/>
      <c r="K146" s="130"/>
      <c r="L146" s="130"/>
      <c r="M146" s="4"/>
      <c r="N146" s="4"/>
      <c r="O146" s="4"/>
      <c r="P146" s="4"/>
      <c r="Q146" s="4"/>
      <c r="R146" s="134"/>
      <c r="S146" s="1"/>
      <c r="T146" s="4"/>
      <c r="U146" s="121"/>
      <c r="V146" s="4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1"/>
      <c r="F147" s="161"/>
      <c r="G147" s="130"/>
      <c r="H147" s="180"/>
      <c r="I147" s="130"/>
      <c r="J147" s="130"/>
      <c r="K147" s="181"/>
      <c r="L147" s="130"/>
      <c r="M147" s="4"/>
      <c r="N147" s="4"/>
      <c r="O147" s="4"/>
      <c r="P147" s="4"/>
      <c r="Q147" s="4"/>
      <c r="R147" s="134"/>
      <c r="S147" s="1"/>
      <c r="T147" s="4"/>
      <c r="U147" s="121"/>
      <c r="V147" s="4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1"/>
      <c r="F148" s="161"/>
      <c r="G148" s="130"/>
      <c r="H148" s="182"/>
      <c r="I148" s="130"/>
      <c r="J148" s="130"/>
      <c r="K148" s="130"/>
      <c r="L148" s="130"/>
      <c r="M148" s="4"/>
      <c r="N148" s="4"/>
      <c r="O148" s="4"/>
      <c r="P148" s="4"/>
      <c r="Q148" s="4"/>
      <c r="R148" s="134"/>
      <c r="S148" s="1"/>
      <c r="T148" s="4"/>
      <c r="U148" s="121"/>
      <c r="V148" s="4"/>
      <c r="W148" s="1"/>
      <c r="X148" s="1"/>
      <c r="Y148" s="1"/>
      <c r="Z148" s="1"/>
      <c r="AA148" s="1"/>
    </row>
  </sheetData>
  <pageMargins left="0.511811024" right="0.511811024" top="0.78740157499999996" bottom="0.78740157499999996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O411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1.42578125" customWidth="1"/>
    <col min="2" max="2" width="7.5703125" customWidth="1"/>
    <col min="3" max="3" width="23.7109375" customWidth="1"/>
    <col min="4" max="4" width="41.85546875" customWidth="1"/>
    <col min="5" max="5" width="70.42578125" customWidth="1"/>
    <col min="6" max="6" width="12.7109375" customWidth="1"/>
    <col min="7" max="7" width="13.140625" customWidth="1"/>
    <col min="8" max="8" width="13.28515625" customWidth="1"/>
    <col min="9" max="9" width="24" customWidth="1"/>
    <col min="10" max="10" width="27.42578125" customWidth="1"/>
    <col min="11" max="11" width="38.5703125" customWidth="1"/>
    <col min="12" max="14" width="43.85546875" customWidth="1"/>
    <col min="15" max="15" width="14.140625" customWidth="1"/>
  </cols>
  <sheetData>
    <row r="1" spans="1:15" ht="25.5">
      <c r="A1" s="183" t="s">
        <v>126</v>
      </c>
      <c r="B1" s="183" t="s">
        <v>127</v>
      </c>
      <c r="C1" s="183" t="s">
        <v>128</v>
      </c>
      <c r="D1" s="183" t="s">
        <v>129</v>
      </c>
      <c r="E1" s="184" t="s">
        <v>130</v>
      </c>
      <c r="F1" s="184" t="s">
        <v>131</v>
      </c>
      <c r="G1" s="185" t="s">
        <v>132</v>
      </c>
      <c r="H1" s="185" t="s">
        <v>133</v>
      </c>
      <c r="I1" s="186" t="s">
        <v>134</v>
      </c>
      <c r="J1" s="186" t="s">
        <v>135</v>
      </c>
      <c r="K1" s="183" t="s">
        <v>136</v>
      </c>
      <c r="L1" s="187"/>
      <c r="M1" s="187"/>
      <c r="N1" s="187"/>
      <c r="O1" s="187"/>
    </row>
    <row r="2" spans="1:15" hidden="1">
      <c r="A2" s="188" t="s">
        <v>137</v>
      </c>
      <c r="B2" s="189" t="s">
        <v>138</v>
      </c>
      <c r="C2" s="190" t="s">
        <v>139</v>
      </c>
      <c r="D2" s="191" t="s">
        <v>140</v>
      </c>
      <c r="E2" s="192" t="s">
        <v>141</v>
      </c>
      <c r="F2" s="191" t="s">
        <v>142</v>
      </c>
      <c r="G2" s="193">
        <v>-764</v>
      </c>
      <c r="H2" s="194">
        <v>-764</v>
      </c>
      <c r="I2" s="188" t="s">
        <v>84</v>
      </c>
      <c r="J2" s="195" t="s">
        <v>143</v>
      </c>
      <c r="K2" s="196"/>
      <c r="L2" s="197"/>
      <c r="M2" s="197"/>
      <c r="N2" s="197"/>
      <c r="O2" s="197"/>
    </row>
    <row r="3" spans="1:15" hidden="1">
      <c r="A3" s="195" t="s">
        <v>137</v>
      </c>
      <c r="B3" s="189" t="s">
        <v>138</v>
      </c>
      <c r="C3" s="190" t="s">
        <v>139</v>
      </c>
      <c r="D3" s="191" t="s">
        <v>144</v>
      </c>
      <c r="E3" s="192" t="s">
        <v>145</v>
      </c>
      <c r="F3" s="191" t="s">
        <v>146</v>
      </c>
      <c r="G3" s="193">
        <v>-1800</v>
      </c>
      <c r="H3" s="194">
        <v>-1800</v>
      </c>
      <c r="I3" s="198" t="s">
        <v>84</v>
      </c>
      <c r="J3" s="195" t="s">
        <v>143</v>
      </c>
      <c r="K3" s="188"/>
      <c r="L3" s="197"/>
      <c r="M3" s="197"/>
      <c r="N3" s="197"/>
      <c r="O3" s="197"/>
    </row>
    <row r="4" spans="1:15" ht="25.5" hidden="1">
      <c r="A4" s="188" t="s">
        <v>137</v>
      </c>
      <c r="B4" s="199" t="s">
        <v>138</v>
      </c>
      <c r="C4" s="200" t="s">
        <v>139</v>
      </c>
      <c r="D4" s="201" t="s">
        <v>147</v>
      </c>
      <c r="E4" s="202" t="s">
        <v>148</v>
      </c>
      <c r="F4" s="202" t="s">
        <v>149</v>
      </c>
      <c r="G4" s="203">
        <v>-75.8</v>
      </c>
      <c r="H4" s="204">
        <v>-75.8</v>
      </c>
      <c r="I4" s="198" t="s">
        <v>84</v>
      </c>
      <c r="J4" s="198" t="s">
        <v>143</v>
      </c>
      <c r="K4" s="188"/>
      <c r="L4" s="197"/>
      <c r="M4" s="197"/>
      <c r="N4" s="197"/>
      <c r="O4" s="197"/>
    </row>
    <row r="5" spans="1:15" ht="25.5" hidden="1">
      <c r="A5" s="188" t="s">
        <v>137</v>
      </c>
      <c r="B5" s="199" t="s">
        <v>138</v>
      </c>
      <c r="C5" s="200" t="s">
        <v>139</v>
      </c>
      <c r="D5" s="201" t="s">
        <v>147</v>
      </c>
      <c r="E5" s="205" t="s">
        <v>150</v>
      </c>
      <c r="F5" s="202" t="s">
        <v>149</v>
      </c>
      <c r="G5" s="203">
        <v>-379</v>
      </c>
      <c r="H5" s="204">
        <v>-379</v>
      </c>
      <c r="I5" s="198" t="s">
        <v>84</v>
      </c>
      <c r="J5" s="198" t="s">
        <v>143</v>
      </c>
      <c r="K5" s="188"/>
      <c r="L5" s="197"/>
      <c r="M5" s="197"/>
      <c r="N5" s="197"/>
      <c r="O5" s="197"/>
    </row>
    <row r="6" spans="1:15" hidden="1">
      <c r="A6" s="188" t="s">
        <v>137</v>
      </c>
      <c r="B6" s="199" t="s">
        <v>138</v>
      </c>
      <c r="C6" s="200" t="s">
        <v>139</v>
      </c>
      <c r="D6" s="201" t="s">
        <v>151</v>
      </c>
      <c r="E6" s="202" t="s">
        <v>152</v>
      </c>
      <c r="F6" s="201" t="s">
        <v>153</v>
      </c>
      <c r="G6" s="193">
        <v>-1051.8599999999999</v>
      </c>
      <c r="H6" s="206">
        <v>-1051.8599999999999</v>
      </c>
      <c r="I6" s="188" t="s">
        <v>84</v>
      </c>
      <c r="J6" s="199" t="s">
        <v>143</v>
      </c>
      <c r="K6" s="207"/>
      <c r="L6" s="197"/>
      <c r="M6" s="197"/>
      <c r="N6" s="197"/>
      <c r="O6" s="197"/>
    </row>
    <row r="7" spans="1:15" hidden="1">
      <c r="A7" s="195" t="s">
        <v>137</v>
      </c>
      <c r="B7" s="189" t="s">
        <v>138</v>
      </c>
      <c r="C7" s="190" t="s">
        <v>139</v>
      </c>
      <c r="D7" s="191" t="s">
        <v>154</v>
      </c>
      <c r="E7" s="192" t="s">
        <v>155</v>
      </c>
      <c r="F7" s="191" t="s">
        <v>153</v>
      </c>
      <c r="G7" s="193">
        <v>-468</v>
      </c>
      <c r="H7" s="194">
        <v>-468</v>
      </c>
      <c r="I7" s="195" t="s">
        <v>84</v>
      </c>
      <c r="J7" s="189" t="s">
        <v>143</v>
      </c>
      <c r="K7" s="188"/>
      <c r="L7" s="197"/>
      <c r="M7" s="197"/>
      <c r="N7" s="197"/>
      <c r="O7" s="197"/>
    </row>
    <row r="8" spans="1:15" hidden="1">
      <c r="A8" s="195" t="s">
        <v>137</v>
      </c>
      <c r="B8" s="189" t="s">
        <v>138</v>
      </c>
      <c r="C8" s="190" t="s">
        <v>139</v>
      </c>
      <c r="D8" s="191" t="s">
        <v>154</v>
      </c>
      <c r="E8" s="192" t="s">
        <v>156</v>
      </c>
      <c r="F8" s="191" t="s">
        <v>153</v>
      </c>
      <c r="G8" s="193">
        <v>-498</v>
      </c>
      <c r="H8" s="194">
        <v>-498</v>
      </c>
      <c r="I8" s="195" t="s">
        <v>84</v>
      </c>
      <c r="J8" s="195" t="s">
        <v>143</v>
      </c>
      <c r="K8" s="188"/>
      <c r="L8" s="197"/>
      <c r="M8" s="197"/>
      <c r="N8" s="197"/>
      <c r="O8" s="197"/>
    </row>
    <row r="9" spans="1:15" hidden="1">
      <c r="A9" s="195" t="s">
        <v>137</v>
      </c>
      <c r="B9" s="189" t="s">
        <v>138</v>
      </c>
      <c r="C9" s="190" t="s">
        <v>139</v>
      </c>
      <c r="D9" s="191" t="s">
        <v>157</v>
      </c>
      <c r="E9" s="192" t="s">
        <v>158</v>
      </c>
      <c r="F9" s="191" t="s">
        <v>153</v>
      </c>
      <c r="G9" s="193">
        <v>-110</v>
      </c>
      <c r="H9" s="194">
        <v>-110</v>
      </c>
      <c r="I9" s="195" t="s">
        <v>84</v>
      </c>
      <c r="J9" s="189" t="s">
        <v>159</v>
      </c>
      <c r="K9" s="188"/>
      <c r="L9" s="197"/>
      <c r="M9" s="197"/>
      <c r="N9" s="197"/>
      <c r="O9" s="197"/>
    </row>
    <row r="10" spans="1:15" hidden="1">
      <c r="A10" s="188" t="s">
        <v>137</v>
      </c>
      <c r="B10" s="199" t="s">
        <v>138</v>
      </c>
      <c r="C10" s="200" t="s">
        <v>139</v>
      </c>
      <c r="D10" s="201" t="s">
        <v>160</v>
      </c>
      <c r="E10" s="202" t="s">
        <v>161</v>
      </c>
      <c r="F10" s="202" t="s">
        <v>149</v>
      </c>
      <c r="G10" s="203">
        <v>-237.18</v>
      </c>
      <c r="H10" s="204">
        <v>-237.18</v>
      </c>
      <c r="I10" s="198" t="s">
        <v>84</v>
      </c>
      <c r="J10" s="198" t="s">
        <v>162</v>
      </c>
      <c r="K10" s="188"/>
      <c r="L10" s="197"/>
      <c r="M10" s="197"/>
      <c r="N10" s="197"/>
      <c r="O10" s="197"/>
    </row>
    <row r="11" spans="1:15" hidden="1">
      <c r="A11" s="188" t="s">
        <v>137</v>
      </c>
      <c r="B11" s="199" t="s">
        <v>138</v>
      </c>
      <c r="C11" s="200" t="s">
        <v>139</v>
      </c>
      <c r="D11" s="201" t="s">
        <v>160</v>
      </c>
      <c r="E11" s="202" t="s">
        <v>163</v>
      </c>
      <c r="F11" s="202" t="s">
        <v>149</v>
      </c>
      <c r="G11" s="203">
        <v>-23.36</v>
      </c>
      <c r="H11" s="204">
        <v>-23.36</v>
      </c>
      <c r="I11" s="198" t="s">
        <v>84</v>
      </c>
      <c r="J11" s="198" t="s">
        <v>164</v>
      </c>
      <c r="K11" s="188"/>
      <c r="L11" s="197"/>
      <c r="M11" s="197"/>
      <c r="N11" s="197"/>
      <c r="O11" s="197"/>
    </row>
    <row r="12" spans="1:15" hidden="1">
      <c r="A12" s="188" t="s">
        <v>137</v>
      </c>
      <c r="B12" s="189" t="s">
        <v>138</v>
      </c>
      <c r="C12" s="190" t="s">
        <v>139</v>
      </c>
      <c r="D12" s="191" t="s">
        <v>160</v>
      </c>
      <c r="E12" s="192" t="s">
        <v>165</v>
      </c>
      <c r="F12" s="191" t="s">
        <v>142</v>
      </c>
      <c r="G12" s="193">
        <v>-50</v>
      </c>
      <c r="H12" s="194">
        <v>-50</v>
      </c>
      <c r="I12" s="188" t="s">
        <v>84</v>
      </c>
      <c r="J12" s="195" t="s">
        <v>143</v>
      </c>
      <c r="K12" s="195"/>
      <c r="L12" s="197"/>
      <c r="M12" s="197"/>
      <c r="N12" s="197"/>
      <c r="O12" s="197"/>
    </row>
    <row r="13" spans="1:15" hidden="1">
      <c r="A13" s="195" t="s">
        <v>137</v>
      </c>
      <c r="B13" s="189" t="s">
        <v>138</v>
      </c>
      <c r="C13" s="190" t="s">
        <v>139</v>
      </c>
      <c r="D13" s="191" t="s">
        <v>166</v>
      </c>
      <c r="E13" s="192" t="s">
        <v>167</v>
      </c>
      <c r="F13" s="191" t="s">
        <v>146</v>
      </c>
      <c r="G13" s="193">
        <v>-68.400000000000006</v>
      </c>
      <c r="H13" s="194">
        <v>-68.400000000000006</v>
      </c>
      <c r="I13" s="198" t="s">
        <v>84</v>
      </c>
      <c r="J13" s="198" t="s">
        <v>164</v>
      </c>
      <c r="K13" s="188"/>
      <c r="L13" s="197"/>
      <c r="M13" s="197"/>
      <c r="N13" s="197"/>
      <c r="O13" s="197"/>
    </row>
    <row r="14" spans="1:15" hidden="1">
      <c r="A14" s="188" t="s">
        <v>137</v>
      </c>
      <c r="B14" s="199" t="s">
        <v>138</v>
      </c>
      <c r="C14" s="200" t="s">
        <v>139</v>
      </c>
      <c r="D14" s="201" t="s">
        <v>166</v>
      </c>
      <c r="E14" s="202" t="s">
        <v>163</v>
      </c>
      <c r="F14" s="202" t="s">
        <v>149</v>
      </c>
      <c r="G14" s="203">
        <v>-85.54</v>
      </c>
      <c r="H14" s="204">
        <v>-85.54</v>
      </c>
      <c r="I14" s="198" t="s">
        <v>84</v>
      </c>
      <c r="J14" s="198" t="s">
        <v>164</v>
      </c>
      <c r="K14" s="188"/>
      <c r="L14" s="197"/>
      <c r="M14" s="197"/>
      <c r="N14" s="197"/>
      <c r="O14" s="197"/>
    </row>
    <row r="15" spans="1:15" hidden="1">
      <c r="A15" s="188" t="s">
        <v>137</v>
      </c>
      <c r="B15" s="195" t="s">
        <v>138</v>
      </c>
      <c r="C15" s="195" t="s">
        <v>139</v>
      </c>
      <c r="D15" s="195" t="s">
        <v>166</v>
      </c>
      <c r="E15" s="208" t="s">
        <v>168</v>
      </c>
      <c r="F15" s="195" t="s">
        <v>142</v>
      </c>
      <c r="G15" s="193">
        <v>-75</v>
      </c>
      <c r="H15" s="194">
        <v>-75</v>
      </c>
      <c r="I15" s="188" t="s">
        <v>84</v>
      </c>
      <c r="J15" s="195" t="s">
        <v>169</v>
      </c>
      <c r="K15" s="195"/>
      <c r="L15" s="197"/>
      <c r="M15" s="197"/>
      <c r="N15" s="197"/>
      <c r="O15" s="197"/>
    </row>
    <row r="16" spans="1:15" hidden="1">
      <c r="A16" s="195" t="s">
        <v>137</v>
      </c>
      <c r="B16" s="189" t="s">
        <v>138</v>
      </c>
      <c r="C16" s="191" t="s">
        <v>139</v>
      </c>
      <c r="D16" s="191" t="s">
        <v>170</v>
      </c>
      <c r="E16" s="192" t="s">
        <v>171</v>
      </c>
      <c r="F16" s="191" t="s">
        <v>146</v>
      </c>
      <c r="G16" s="193">
        <v>-20</v>
      </c>
      <c r="H16" s="194">
        <v>-20</v>
      </c>
      <c r="I16" s="198" t="s">
        <v>84</v>
      </c>
      <c r="J16" s="195" t="s">
        <v>143</v>
      </c>
      <c r="K16" s="188"/>
      <c r="L16" s="197"/>
      <c r="M16" s="197"/>
      <c r="N16" s="197"/>
      <c r="O16" s="197"/>
    </row>
    <row r="17" spans="1:15" hidden="1">
      <c r="A17" s="188" t="s">
        <v>137</v>
      </c>
      <c r="B17" s="199" t="s">
        <v>138</v>
      </c>
      <c r="C17" s="200" t="s">
        <v>139</v>
      </c>
      <c r="D17" s="201" t="s">
        <v>172</v>
      </c>
      <c r="E17" s="202" t="s">
        <v>173</v>
      </c>
      <c r="F17" s="202" t="s">
        <v>149</v>
      </c>
      <c r="G17" s="203">
        <v>-17.170000000000002</v>
      </c>
      <c r="H17" s="204">
        <v>-17.170000000000002</v>
      </c>
      <c r="I17" s="198" t="s">
        <v>84</v>
      </c>
      <c r="J17" s="198" t="s">
        <v>143</v>
      </c>
      <c r="K17" s="188"/>
      <c r="L17" s="197"/>
      <c r="M17" s="197"/>
      <c r="N17" s="197"/>
      <c r="O17" s="197"/>
    </row>
    <row r="18" spans="1:15" hidden="1">
      <c r="A18" s="195" t="s">
        <v>137</v>
      </c>
      <c r="B18" s="189" t="s">
        <v>138</v>
      </c>
      <c r="C18" s="190" t="s">
        <v>139</v>
      </c>
      <c r="D18" s="191" t="s">
        <v>174</v>
      </c>
      <c r="E18" s="192" t="s">
        <v>175</v>
      </c>
      <c r="F18" s="191" t="s">
        <v>146</v>
      </c>
      <c r="G18" s="193">
        <v>-2000</v>
      </c>
      <c r="H18" s="194">
        <v>-2000</v>
      </c>
      <c r="I18" s="198" t="s">
        <v>84</v>
      </c>
      <c r="J18" s="195" t="s">
        <v>143</v>
      </c>
      <c r="K18" s="188"/>
      <c r="L18" s="197"/>
      <c r="M18" s="197"/>
      <c r="N18" s="197"/>
      <c r="O18" s="197"/>
    </row>
    <row r="19" spans="1:15" hidden="1">
      <c r="A19" s="188" t="s">
        <v>137</v>
      </c>
      <c r="B19" s="189" t="s">
        <v>138</v>
      </c>
      <c r="C19" s="190" t="s">
        <v>139</v>
      </c>
      <c r="D19" s="191" t="s">
        <v>174</v>
      </c>
      <c r="E19" s="192" t="s">
        <v>175</v>
      </c>
      <c r="F19" s="195" t="s">
        <v>142</v>
      </c>
      <c r="G19" s="193">
        <v>-2000</v>
      </c>
      <c r="H19" s="194">
        <v>-2000</v>
      </c>
      <c r="I19" s="188" t="s">
        <v>84</v>
      </c>
      <c r="J19" s="195" t="s">
        <v>143</v>
      </c>
      <c r="K19" s="195"/>
      <c r="L19" s="197"/>
      <c r="M19" s="197"/>
      <c r="N19" s="197"/>
      <c r="O19" s="197"/>
    </row>
    <row r="20" spans="1:15" hidden="1">
      <c r="A20" s="195" t="s">
        <v>137</v>
      </c>
      <c r="B20" s="189" t="s">
        <v>138</v>
      </c>
      <c r="C20" s="190" t="s">
        <v>139</v>
      </c>
      <c r="D20" s="209" t="s">
        <v>176</v>
      </c>
      <c r="E20" s="210" t="s">
        <v>177</v>
      </c>
      <c r="F20" s="209" t="s">
        <v>153</v>
      </c>
      <c r="G20" s="211">
        <v>-10.99</v>
      </c>
      <c r="H20" s="212">
        <v>-10.99</v>
      </c>
      <c r="I20" s="195" t="s">
        <v>84</v>
      </c>
      <c r="J20" s="198" t="s">
        <v>164</v>
      </c>
      <c r="K20" s="188"/>
      <c r="L20" s="197"/>
      <c r="M20" s="197"/>
      <c r="N20" s="197"/>
      <c r="O20" s="197"/>
    </row>
    <row r="21" spans="1:15" ht="25.5" hidden="1">
      <c r="A21" s="195" t="s">
        <v>137</v>
      </c>
      <c r="B21" s="190" t="s">
        <v>138</v>
      </c>
      <c r="C21" s="191" t="s">
        <v>139</v>
      </c>
      <c r="D21" s="191" t="s">
        <v>178</v>
      </c>
      <c r="E21" s="192" t="s">
        <v>179</v>
      </c>
      <c r="F21" s="191" t="s">
        <v>153</v>
      </c>
      <c r="G21" s="193">
        <v>-31.94</v>
      </c>
      <c r="H21" s="194">
        <v>-31.94</v>
      </c>
      <c r="I21" s="195" t="s">
        <v>84</v>
      </c>
      <c r="J21" s="198" t="s">
        <v>164</v>
      </c>
      <c r="K21" s="188"/>
      <c r="L21" s="197"/>
      <c r="M21" s="197"/>
      <c r="N21" s="197"/>
      <c r="O21" s="197"/>
    </row>
    <row r="22" spans="1:15" ht="25.5" hidden="1">
      <c r="A22" s="188" t="s">
        <v>137</v>
      </c>
      <c r="B22" s="190" t="s">
        <v>138</v>
      </c>
      <c r="C22" s="191" t="s">
        <v>139</v>
      </c>
      <c r="D22" s="191" t="s">
        <v>178</v>
      </c>
      <c r="E22" s="192" t="s">
        <v>180</v>
      </c>
      <c r="F22" s="191" t="s">
        <v>142</v>
      </c>
      <c r="G22" s="193">
        <v>-9.48</v>
      </c>
      <c r="H22" s="194">
        <v>-9.48</v>
      </c>
      <c r="I22" s="188" t="s">
        <v>84</v>
      </c>
      <c r="J22" s="198" t="s">
        <v>164</v>
      </c>
      <c r="K22" s="195"/>
      <c r="L22" s="197"/>
      <c r="M22" s="197"/>
      <c r="N22" s="197"/>
      <c r="O22" s="197"/>
    </row>
    <row r="23" spans="1:15" ht="25.5" hidden="1">
      <c r="A23" s="195" t="s">
        <v>137</v>
      </c>
      <c r="B23" s="190" t="s">
        <v>138</v>
      </c>
      <c r="C23" s="191" t="s">
        <v>139</v>
      </c>
      <c r="D23" s="191" t="s">
        <v>181</v>
      </c>
      <c r="E23" s="192" t="s">
        <v>182</v>
      </c>
      <c r="F23" s="191" t="s">
        <v>153</v>
      </c>
      <c r="G23" s="193">
        <v>-1622</v>
      </c>
      <c r="H23" s="194">
        <v>-1622</v>
      </c>
      <c r="I23" s="195" t="s">
        <v>84</v>
      </c>
      <c r="J23" s="195" t="s">
        <v>143</v>
      </c>
      <c r="K23" s="213"/>
      <c r="L23" s="197"/>
      <c r="M23" s="197"/>
      <c r="N23" s="197"/>
      <c r="O23" s="197"/>
    </row>
    <row r="24" spans="1:15" hidden="1">
      <c r="A24" s="195" t="s">
        <v>137</v>
      </c>
      <c r="B24" s="190" t="s">
        <v>138</v>
      </c>
      <c r="C24" s="191" t="s">
        <v>139</v>
      </c>
      <c r="D24" s="191" t="s">
        <v>181</v>
      </c>
      <c r="E24" s="192" t="s">
        <v>183</v>
      </c>
      <c r="F24" s="191" t="s">
        <v>153</v>
      </c>
      <c r="G24" s="193">
        <v>-48</v>
      </c>
      <c r="H24" s="194">
        <v>-48</v>
      </c>
      <c r="I24" s="195" t="s">
        <v>84</v>
      </c>
      <c r="J24" s="195" t="s">
        <v>143</v>
      </c>
      <c r="K24" s="213"/>
      <c r="L24" s="197"/>
      <c r="M24" s="197"/>
      <c r="N24" s="197"/>
      <c r="O24" s="197"/>
    </row>
    <row r="25" spans="1:15" hidden="1">
      <c r="A25" s="195" t="s">
        <v>137</v>
      </c>
      <c r="B25" s="190" t="s">
        <v>138</v>
      </c>
      <c r="C25" s="191" t="s">
        <v>139</v>
      </c>
      <c r="D25" s="191" t="s">
        <v>181</v>
      </c>
      <c r="E25" s="192" t="s">
        <v>184</v>
      </c>
      <c r="F25" s="191" t="s">
        <v>146</v>
      </c>
      <c r="G25" s="193">
        <v>-96</v>
      </c>
      <c r="H25" s="194">
        <v>-96</v>
      </c>
      <c r="I25" s="198" t="s">
        <v>84</v>
      </c>
      <c r="J25" s="195" t="s">
        <v>143</v>
      </c>
      <c r="K25" s="188"/>
      <c r="L25" s="197"/>
      <c r="M25" s="197"/>
      <c r="N25" s="197"/>
      <c r="O25" s="197"/>
    </row>
    <row r="26" spans="1:15" hidden="1">
      <c r="A26" s="188" t="s">
        <v>137</v>
      </c>
      <c r="B26" s="200" t="s">
        <v>138</v>
      </c>
      <c r="C26" s="201" t="s">
        <v>139</v>
      </c>
      <c r="D26" s="201" t="s">
        <v>181</v>
      </c>
      <c r="E26" s="202" t="s">
        <v>185</v>
      </c>
      <c r="F26" s="202" t="s">
        <v>149</v>
      </c>
      <c r="G26" s="203">
        <v>-48</v>
      </c>
      <c r="H26" s="204">
        <v>-48</v>
      </c>
      <c r="I26" s="214" t="s">
        <v>84</v>
      </c>
      <c r="J26" s="198" t="s">
        <v>143</v>
      </c>
      <c r="K26" s="188"/>
      <c r="L26" s="197"/>
      <c r="M26" s="197"/>
      <c r="N26" s="197"/>
      <c r="O26" s="197"/>
    </row>
    <row r="27" spans="1:15" hidden="1">
      <c r="A27" s="188" t="s">
        <v>137</v>
      </c>
      <c r="B27" s="190" t="s">
        <v>138</v>
      </c>
      <c r="C27" s="191" t="s">
        <v>139</v>
      </c>
      <c r="D27" s="191" t="s">
        <v>186</v>
      </c>
      <c r="E27" s="192" t="s">
        <v>168</v>
      </c>
      <c r="F27" s="191" t="s">
        <v>142</v>
      </c>
      <c r="G27" s="193">
        <v>-31.94</v>
      </c>
      <c r="H27" s="194">
        <v>-31.94</v>
      </c>
      <c r="I27" s="188" t="s">
        <v>84</v>
      </c>
      <c r="J27" s="195" t="s">
        <v>169</v>
      </c>
      <c r="K27" s="195"/>
      <c r="L27" s="197"/>
      <c r="M27" s="197"/>
      <c r="N27" s="197"/>
      <c r="O27" s="197"/>
    </row>
    <row r="28" spans="1:15" hidden="1">
      <c r="A28" s="195" t="s">
        <v>137</v>
      </c>
      <c r="B28" s="190" t="s">
        <v>138</v>
      </c>
      <c r="C28" s="191" t="s">
        <v>139</v>
      </c>
      <c r="D28" s="191" t="s">
        <v>187</v>
      </c>
      <c r="E28" s="192" t="s">
        <v>167</v>
      </c>
      <c r="F28" s="191" t="s">
        <v>146</v>
      </c>
      <c r="G28" s="193">
        <v>-116.03</v>
      </c>
      <c r="H28" s="194">
        <v>-116.03</v>
      </c>
      <c r="I28" s="198" t="s">
        <v>84</v>
      </c>
      <c r="J28" s="198" t="s">
        <v>164</v>
      </c>
      <c r="K28" s="188"/>
      <c r="L28" s="197"/>
      <c r="M28" s="197"/>
      <c r="N28" s="197"/>
      <c r="O28" s="197"/>
    </row>
    <row r="29" spans="1:15" hidden="1">
      <c r="A29" s="188" t="s">
        <v>137</v>
      </c>
      <c r="B29" s="200" t="s">
        <v>138</v>
      </c>
      <c r="C29" s="201" t="s">
        <v>139</v>
      </c>
      <c r="D29" s="201" t="s">
        <v>188</v>
      </c>
      <c r="E29" s="202" t="s">
        <v>189</v>
      </c>
      <c r="F29" s="202" t="s">
        <v>149</v>
      </c>
      <c r="G29" s="203">
        <v>-1140</v>
      </c>
      <c r="H29" s="204">
        <v>-1140</v>
      </c>
      <c r="I29" s="198" t="s">
        <v>84</v>
      </c>
      <c r="J29" s="198" t="s">
        <v>143</v>
      </c>
      <c r="K29" s="188"/>
      <c r="L29" s="197"/>
      <c r="M29" s="197"/>
      <c r="N29" s="197"/>
      <c r="O29" s="197"/>
    </row>
    <row r="30" spans="1:15" hidden="1">
      <c r="A30" s="195" t="s">
        <v>137</v>
      </c>
      <c r="B30" s="190" t="s">
        <v>138</v>
      </c>
      <c r="C30" s="191" t="s">
        <v>139</v>
      </c>
      <c r="D30" s="191" t="s">
        <v>190</v>
      </c>
      <c r="E30" s="192" t="s">
        <v>191</v>
      </c>
      <c r="F30" s="191" t="s">
        <v>153</v>
      </c>
      <c r="G30" s="193">
        <v>-600</v>
      </c>
      <c r="H30" s="194">
        <v>-600</v>
      </c>
      <c r="I30" s="195" t="s">
        <v>84</v>
      </c>
      <c r="J30" s="195" t="s">
        <v>192</v>
      </c>
      <c r="K30" s="188"/>
      <c r="L30" s="197"/>
      <c r="M30" s="197"/>
      <c r="N30" s="197"/>
      <c r="O30" s="197"/>
    </row>
    <row r="31" spans="1:15" hidden="1">
      <c r="A31" s="195" t="s">
        <v>137</v>
      </c>
      <c r="B31" s="190" t="s">
        <v>138</v>
      </c>
      <c r="C31" s="191" t="s">
        <v>139</v>
      </c>
      <c r="D31" s="191" t="s">
        <v>193</v>
      </c>
      <c r="E31" s="192" t="s">
        <v>194</v>
      </c>
      <c r="F31" s="191" t="s">
        <v>153</v>
      </c>
      <c r="G31" s="193">
        <v>-1000</v>
      </c>
      <c r="H31" s="194">
        <v>-1000</v>
      </c>
      <c r="I31" s="195" t="s">
        <v>84</v>
      </c>
      <c r="J31" s="195" t="s">
        <v>143</v>
      </c>
      <c r="K31" s="188" t="s">
        <v>195</v>
      </c>
      <c r="L31" s="197"/>
      <c r="M31" s="197"/>
      <c r="N31" s="197"/>
      <c r="O31" s="197"/>
    </row>
    <row r="32" spans="1:15" ht="25.5" hidden="1">
      <c r="A32" s="195" t="s">
        <v>137</v>
      </c>
      <c r="B32" s="190" t="s">
        <v>138</v>
      </c>
      <c r="C32" s="191" t="s">
        <v>139</v>
      </c>
      <c r="D32" s="191" t="s">
        <v>193</v>
      </c>
      <c r="E32" s="192" t="s">
        <v>196</v>
      </c>
      <c r="F32" s="191" t="s">
        <v>153</v>
      </c>
      <c r="G32" s="193">
        <v>-804.23</v>
      </c>
      <c r="H32" s="194">
        <v>-804.23</v>
      </c>
      <c r="I32" s="195" t="s">
        <v>84</v>
      </c>
      <c r="J32" s="195" t="s">
        <v>143</v>
      </c>
      <c r="K32" s="213"/>
      <c r="L32" s="197"/>
      <c r="M32" s="197"/>
      <c r="N32" s="197"/>
      <c r="O32" s="197"/>
    </row>
    <row r="33" spans="1:15" hidden="1">
      <c r="A33" s="188" t="s">
        <v>137</v>
      </c>
      <c r="B33" s="190" t="s">
        <v>138</v>
      </c>
      <c r="C33" s="191" t="s">
        <v>139</v>
      </c>
      <c r="D33" s="191" t="s">
        <v>193</v>
      </c>
      <c r="E33" s="192" t="s">
        <v>197</v>
      </c>
      <c r="F33" s="191" t="s">
        <v>142</v>
      </c>
      <c r="G33" s="193">
        <v>-200</v>
      </c>
      <c r="H33" s="194">
        <v>-200</v>
      </c>
      <c r="I33" s="215" t="s">
        <v>84</v>
      </c>
      <c r="J33" s="195" t="s">
        <v>198</v>
      </c>
      <c r="K33" s="195"/>
      <c r="L33" s="197"/>
      <c r="M33" s="197"/>
      <c r="N33" s="197"/>
      <c r="O33" s="197"/>
    </row>
    <row r="34" spans="1:15" ht="25.5" hidden="1">
      <c r="A34" s="216" t="s">
        <v>137</v>
      </c>
      <c r="B34" s="217" t="s">
        <v>138</v>
      </c>
      <c r="C34" s="218" t="s">
        <v>139</v>
      </c>
      <c r="D34" s="218" t="s">
        <v>199</v>
      </c>
      <c r="E34" s="219" t="s">
        <v>200</v>
      </c>
      <c r="F34" s="219" t="s">
        <v>149</v>
      </c>
      <c r="G34" s="220">
        <v>-1317.8</v>
      </c>
      <c r="H34" s="220">
        <v>-1317.8</v>
      </c>
      <c r="I34" s="221" t="s">
        <v>84</v>
      </c>
      <c r="J34" s="222" t="s">
        <v>143</v>
      </c>
      <c r="K34" s="216"/>
      <c r="L34" s="197"/>
      <c r="M34" s="197"/>
      <c r="N34" s="197"/>
      <c r="O34" s="197"/>
    </row>
    <row r="35" spans="1:15" hidden="1">
      <c r="A35" s="188" t="s">
        <v>137</v>
      </c>
      <c r="B35" s="200" t="s">
        <v>138</v>
      </c>
      <c r="C35" s="201" t="s">
        <v>139</v>
      </c>
      <c r="D35" s="201" t="s">
        <v>201</v>
      </c>
      <c r="E35" s="202" t="s">
        <v>202</v>
      </c>
      <c r="F35" s="202" t="s">
        <v>149</v>
      </c>
      <c r="G35" s="203">
        <v>-42.44</v>
      </c>
      <c r="H35" s="204">
        <v>-42.44</v>
      </c>
      <c r="I35" s="214" t="s">
        <v>84</v>
      </c>
      <c r="J35" s="198" t="s">
        <v>143</v>
      </c>
      <c r="K35" s="188"/>
      <c r="L35" s="197"/>
      <c r="M35" s="197"/>
      <c r="N35" s="197"/>
      <c r="O35" s="197"/>
    </row>
    <row r="36" spans="1:15" ht="25.5" hidden="1">
      <c r="A36" s="188" t="s">
        <v>137</v>
      </c>
      <c r="B36" s="200" t="s">
        <v>138</v>
      </c>
      <c r="C36" s="201" t="s">
        <v>139</v>
      </c>
      <c r="D36" s="201" t="s">
        <v>201</v>
      </c>
      <c r="E36" s="202" t="s">
        <v>203</v>
      </c>
      <c r="F36" s="202" t="s">
        <v>149</v>
      </c>
      <c r="G36" s="203">
        <v>-84.65</v>
      </c>
      <c r="H36" s="204">
        <v>-84.65</v>
      </c>
      <c r="I36" s="198" t="s">
        <v>84</v>
      </c>
      <c r="J36" s="198" t="s">
        <v>143</v>
      </c>
      <c r="K36" s="188"/>
      <c r="L36" s="197"/>
      <c r="M36" s="197"/>
      <c r="N36" s="197"/>
      <c r="O36" s="197"/>
    </row>
    <row r="37" spans="1:15" hidden="1">
      <c r="A37" s="188" t="s">
        <v>137</v>
      </c>
      <c r="B37" s="200" t="s">
        <v>138</v>
      </c>
      <c r="C37" s="201" t="s">
        <v>84</v>
      </c>
      <c r="D37" s="201" t="s">
        <v>204</v>
      </c>
      <c r="E37" s="202" t="s">
        <v>205</v>
      </c>
      <c r="F37" s="202" t="s">
        <v>149</v>
      </c>
      <c r="G37" s="203">
        <v>-3134.8</v>
      </c>
      <c r="H37" s="204">
        <v>-3134.8</v>
      </c>
      <c r="I37" s="214" t="s">
        <v>84</v>
      </c>
      <c r="J37" s="198" t="s">
        <v>206</v>
      </c>
      <c r="K37" s="188"/>
      <c r="L37" s="197"/>
      <c r="M37" s="197"/>
      <c r="N37" s="197"/>
      <c r="O37" s="197"/>
    </row>
    <row r="38" spans="1:15" ht="25.5" hidden="1">
      <c r="A38" s="188" t="s">
        <v>137</v>
      </c>
      <c r="B38" s="190" t="s">
        <v>138</v>
      </c>
      <c r="C38" s="191" t="s">
        <v>84</v>
      </c>
      <c r="D38" s="191" t="s">
        <v>207</v>
      </c>
      <c r="E38" s="223" t="s">
        <v>208</v>
      </c>
      <c r="F38" s="191" t="s">
        <v>142</v>
      </c>
      <c r="G38" s="193">
        <v>-977</v>
      </c>
      <c r="H38" s="194">
        <v>-977</v>
      </c>
      <c r="I38" s="188" t="s">
        <v>84</v>
      </c>
      <c r="J38" s="195" t="s">
        <v>143</v>
      </c>
      <c r="K38" s="195"/>
      <c r="L38" s="197"/>
      <c r="M38" s="197"/>
      <c r="N38" s="197"/>
      <c r="O38" s="197"/>
    </row>
    <row r="39" spans="1:15" ht="25.5" hidden="1">
      <c r="A39" s="195" t="s">
        <v>209</v>
      </c>
      <c r="B39" s="190" t="s">
        <v>138</v>
      </c>
      <c r="C39" s="191" t="s">
        <v>84</v>
      </c>
      <c r="D39" s="191" t="s">
        <v>210</v>
      </c>
      <c r="E39" s="192" t="s">
        <v>211</v>
      </c>
      <c r="F39" s="191" t="s">
        <v>146</v>
      </c>
      <c r="G39" s="193">
        <v>-450</v>
      </c>
      <c r="H39" s="194">
        <v>-450</v>
      </c>
      <c r="I39" s="198" t="s">
        <v>84</v>
      </c>
      <c r="J39" s="195" t="s">
        <v>143</v>
      </c>
      <c r="K39" s="188"/>
      <c r="L39" s="197"/>
      <c r="M39" s="197"/>
      <c r="N39" s="197"/>
      <c r="O39" s="197"/>
    </row>
    <row r="40" spans="1:15" hidden="1">
      <c r="A40" s="216" t="s">
        <v>209</v>
      </c>
      <c r="B40" s="217" t="s">
        <v>138</v>
      </c>
      <c r="C40" s="218" t="s">
        <v>84</v>
      </c>
      <c r="D40" s="218" t="s">
        <v>212</v>
      </c>
      <c r="E40" s="219" t="s">
        <v>213</v>
      </c>
      <c r="F40" s="218" t="s">
        <v>146</v>
      </c>
      <c r="G40" s="224">
        <v>-459.8</v>
      </c>
      <c r="H40" s="224">
        <v>-459.8</v>
      </c>
      <c r="I40" s="222" t="s">
        <v>84</v>
      </c>
      <c r="J40" s="216" t="s">
        <v>143</v>
      </c>
      <c r="K40" s="216"/>
      <c r="L40" s="197"/>
      <c r="M40" s="197"/>
      <c r="N40" s="197"/>
      <c r="O40" s="197"/>
    </row>
    <row r="41" spans="1:15" hidden="1">
      <c r="A41" s="195" t="s">
        <v>209</v>
      </c>
      <c r="B41" s="190" t="s">
        <v>138</v>
      </c>
      <c r="C41" s="191" t="s">
        <v>84</v>
      </c>
      <c r="D41" s="191" t="s">
        <v>214</v>
      </c>
      <c r="E41" s="192" t="s">
        <v>215</v>
      </c>
      <c r="F41" s="191" t="s">
        <v>146</v>
      </c>
      <c r="G41" s="193">
        <v>-50</v>
      </c>
      <c r="H41" s="194">
        <v>-50</v>
      </c>
      <c r="I41" s="198" t="s">
        <v>84</v>
      </c>
      <c r="J41" s="195" t="s">
        <v>143</v>
      </c>
      <c r="K41" s="188"/>
      <c r="L41" s="197"/>
      <c r="M41" s="197"/>
      <c r="N41" s="197"/>
      <c r="O41" s="197"/>
    </row>
    <row r="42" spans="1:15" ht="25.5" hidden="1">
      <c r="A42" s="195" t="s">
        <v>209</v>
      </c>
      <c r="B42" s="190" t="s">
        <v>138</v>
      </c>
      <c r="C42" s="191" t="s">
        <v>84</v>
      </c>
      <c r="D42" s="191" t="s">
        <v>214</v>
      </c>
      <c r="E42" s="192" t="s">
        <v>216</v>
      </c>
      <c r="F42" s="191" t="s">
        <v>146</v>
      </c>
      <c r="G42" s="193">
        <v>-6.98</v>
      </c>
      <c r="H42" s="194">
        <v>-6.98</v>
      </c>
      <c r="I42" s="198" t="s">
        <v>84</v>
      </c>
      <c r="J42" s="195" t="s">
        <v>143</v>
      </c>
      <c r="K42" s="188"/>
      <c r="L42" s="197"/>
      <c r="M42" s="197"/>
      <c r="N42" s="197"/>
      <c r="O42" s="197"/>
    </row>
    <row r="43" spans="1:15" hidden="1">
      <c r="A43" s="195" t="s">
        <v>209</v>
      </c>
      <c r="B43" s="190" t="s">
        <v>138</v>
      </c>
      <c r="C43" s="191" t="s">
        <v>84</v>
      </c>
      <c r="D43" s="191" t="s">
        <v>217</v>
      </c>
      <c r="E43" s="192" t="s">
        <v>218</v>
      </c>
      <c r="F43" s="191" t="s">
        <v>153</v>
      </c>
      <c r="G43" s="193">
        <v>-50</v>
      </c>
      <c r="H43" s="194">
        <v>-50</v>
      </c>
      <c r="I43" s="195" t="s">
        <v>84</v>
      </c>
      <c r="J43" s="195" t="s">
        <v>143</v>
      </c>
      <c r="K43" s="188"/>
      <c r="L43" s="197"/>
      <c r="M43" s="197"/>
      <c r="N43" s="197"/>
      <c r="O43" s="197"/>
    </row>
    <row r="44" spans="1:15" ht="25.5" hidden="1">
      <c r="A44" s="216" t="s">
        <v>209</v>
      </c>
      <c r="B44" s="217" t="s">
        <v>138</v>
      </c>
      <c r="C44" s="218" t="s">
        <v>84</v>
      </c>
      <c r="D44" s="218" t="s">
        <v>219</v>
      </c>
      <c r="E44" s="219" t="s">
        <v>220</v>
      </c>
      <c r="F44" s="219" t="s">
        <v>149</v>
      </c>
      <c r="G44" s="220">
        <v>-250</v>
      </c>
      <c r="H44" s="220">
        <v>-250</v>
      </c>
      <c r="I44" s="222" t="s">
        <v>84</v>
      </c>
      <c r="J44" s="222" t="s">
        <v>143</v>
      </c>
      <c r="K44" s="216"/>
      <c r="L44" s="197"/>
      <c r="M44" s="197"/>
      <c r="N44" s="197"/>
      <c r="O44" s="197"/>
    </row>
    <row r="45" spans="1:15" hidden="1">
      <c r="A45" s="188" t="s">
        <v>209</v>
      </c>
      <c r="B45" s="200" t="s">
        <v>138</v>
      </c>
      <c r="C45" s="201" t="s">
        <v>84</v>
      </c>
      <c r="D45" s="201" t="s">
        <v>219</v>
      </c>
      <c r="E45" s="202" t="s">
        <v>221</v>
      </c>
      <c r="F45" s="202" t="s">
        <v>149</v>
      </c>
      <c r="G45" s="203">
        <v>-89.8</v>
      </c>
      <c r="H45" s="204">
        <v>-89.8</v>
      </c>
      <c r="I45" s="198" t="s">
        <v>84</v>
      </c>
      <c r="J45" s="198" t="s">
        <v>206</v>
      </c>
      <c r="K45" s="188"/>
      <c r="L45" s="197"/>
      <c r="M45" s="197"/>
      <c r="N45" s="197"/>
      <c r="O45" s="197"/>
    </row>
    <row r="46" spans="1:15" ht="25.5" hidden="1">
      <c r="A46" s="195" t="s">
        <v>137</v>
      </c>
      <c r="B46" s="190" t="s">
        <v>138</v>
      </c>
      <c r="C46" s="191" t="s">
        <v>84</v>
      </c>
      <c r="D46" s="191" t="s">
        <v>222</v>
      </c>
      <c r="E46" s="192" t="s">
        <v>223</v>
      </c>
      <c r="F46" s="191" t="s">
        <v>146</v>
      </c>
      <c r="G46" s="193">
        <v>-1038.44</v>
      </c>
      <c r="H46" s="194">
        <v>-1038.44</v>
      </c>
      <c r="I46" s="198" t="s">
        <v>84</v>
      </c>
      <c r="J46" s="195" t="s">
        <v>143</v>
      </c>
      <c r="K46" s="188"/>
      <c r="L46" s="197"/>
      <c r="M46" s="197"/>
      <c r="N46" s="197"/>
      <c r="O46" s="197"/>
    </row>
    <row r="47" spans="1:15" hidden="1">
      <c r="A47" s="195" t="s">
        <v>209</v>
      </c>
      <c r="B47" s="190" t="s">
        <v>138</v>
      </c>
      <c r="C47" s="191" t="s">
        <v>84</v>
      </c>
      <c r="D47" s="191" t="s">
        <v>224</v>
      </c>
      <c r="E47" s="192" t="s">
        <v>225</v>
      </c>
      <c r="F47" s="191" t="s">
        <v>153</v>
      </c>
      <c r="G47" s="193">
        <v>-50</v>
      </c>
      <c r="H47" s="194">
        <v>-50</v>
      </c>
      <c r="I47" s="195" t="s">
        <v>84</v>
      </c>
      <c r="J47" s="195" t="s">
        <v>143</v>
      </c>
      <c r="K47" s="213"/>
      <c r="L47" s="197"/>
      <c r="M47" s="197"/>
      <c r="N47" s="197"/>
      <c r="O47" s="197"/>
    </row>
    <row r="48" spans="1:15" ht="25.5" hidden="1">
      <c r="A48" s="216" t="s">
        <v>209</v>
      </c>
      <c r="B48" s="217" t="s">
        <v>138</v>
      </c>
      <c r="C48" s="218" t="s">
        <v>84</v>
      </c>
      <c r="D48" s="218" t="s">
        <v>226</v>
      </c>
      <c r="E48" s="219" t="s">
        <v>227</v>
      </c>
      <c r="F48" s="219" t="s">
        <v>149</v>
      </c>
      <c r="G48" s="220">
        <v>-288</v>
      </c>
      <c r="H48" s="220">
        <v>-288</v>
      </c>
      <c r="I48" s="222" t="s">
        <v>84</v>
      </c>
      <c r="J48" s="222" t="s">
        <v>143</v>
      </c>
      <c r="K48" s="216"/>
      <c r="L48" s="197"/>
      <c r="M48" s="197"/>
      <c r="N48" s="197"/>
      <c r="O48" s="197"/>
    </row>
    <row r="49" spans="1:15" hidden="1">
      <c r="A49" s="195" t="s">
        <v>137</v>
      </c>
      <c r="B49" s="190" t="s">
        <v>138</v>
      </c>
      <c r="C49" s="191" t="s">
        <v>84</v>
      </c>
      <c r="D49" s="191" t="s">
        <v>228</v>
      </c>
      <c r="E49" s="192" t="s">
        <v>229</v>
      </c>
      <c r="F49" s="191" t="s">
        <v>146</v>
      </c>
      <c r="G49" s="193">
        <v>-109.99</v>
      </c>
      <c r="H49" s="194">
        <v>-109.99</v>
      </c>
      <c r="I49" s="198" t="s">
        <v>84</v>
      </c>
      <c r="J49" s="195" t="s">
        <v>143</v>
      </c>
      <c r="K49" s="188"/>
      <c r="L49" s="197"/>
      <c r="M49" s="197"/>
      <c r="N49" s="197"/>
      <c r="O49" s="197"/>
    </row>
    <row r="50" spans="1:15" hidden="1">
      <c r="A50" s="188" t="s">
        <v>137</v>
      </c>
      <c r="B50" s="190" t="s">
        <v>138</v>
      </c>
      <c r="C50" s="191" t="s">
        <v>84</v>
      </c>
      <c r="D50" s="191" t="s">
        <v>230</v>
      </c>
      <c r="E50" s="192" t="s">
        <v>231</v>
      </c>
      <c r="F50" s="191" t="s">
        <v>142</v>
      </c>
      <c r="G50" s="193">
        <v>-19.2</v>
      </c>
      <c r="H50" s="194">
        <v>-19.2</v>
      </c>
      <c r="I50" s="188" t="s">
        <v>84</v>
      </c>
      <c r="J50" s="195" t="s">
        <v>143</v>
      </c>
      <c r="K50" s="195"/>
      <c r="L50" s="197"/>
      <c r="M50" s="197"/>
      <c r="N50" s="197"/>
      <c r="O50" s="197"/>
    </row>
    <row r="51" spans="1:15" hidden="1">
      <c r="A51" s="195" t="s">
        <v>232</v>
      </c>
      <c r="B51" s="190" t="s">
        <v>138</v>
      </c>
      <c r="C51" s="191" t="s">
        <v>94</v>
      </c>
      <c r="D51" s="191" t="s">
        <v>233</v>
      </c>
      <c r="E51" s="192" t="s">
        <v>234</v>
      </c>
      <c r="F51" s="191" t="s">
        <v>153</v>
      </c>
      <c r="G51" s="193">
        <v>-1621</v>
      </c>
      <c r="H51" s="194">
        <v>-1621</v>
      </c>
      <c r="I51" s="195" t="s">
        <v>94</v>
      </c>
      <c r="J51" s="189" t="s">
        <v>206</v>
      </c>
      <c r="K51" s="188"/>
      <c r="L51" s="197"/>
      <c r="M51" s="197"/>
      <c r="N51" s="197"/>
      <c r="O51" s="197"/>
    </row>
    <row r="52" spans="1:15" hidden="1">
      <c r="A52" s="195" t="s">
        <v>232</v>
      </c>
      <c r="B52" s="190" t="s">
        <v>138</v>
      </c>
      <c r="C52" s="191" t="s">
        <v>94</v>
      </c>
      <c r="D52" s="191" t="s">
        <v>233</v>
      </c>
      <c r="E52" s="192" t="s">
        <v>235</v>
      </c>
      <c r="F52" s="191" t="s">
        <v>146</v>
      </c>
      <c r="G52" s="193">
        <v>-1621</v>
      </c>
      <c r="H52" s="194">
        <v>-1621</v>
      </c>
      <c r="I52" s="198" t="s">
        <v>94</v>
      </c>
      <c r="J52" s="189" t="s">
        <v>206</v>
      </c>
      <c r="K52" s="188"/>
      <c r="L52" s="197"/>
      <c r="M52" s="197"/>
      <c r="N52" s="197"/>
      <c r="O52" s="197"/>
    </row>
    <row r="53" spans="1:15" hidden="1">
      <c r="A53" s="188" t="s">
        <v>232</v>
      </c>
      <c r="B53" s="200" t="s">
        <v>138</v>
      </c>
      <c r="C53" s="201" t="s">
        <v>94</v>
      </c>
      <c r="D53" s="201" t="s">
        <v>233</v>
      </c>
      <c r="E53" s="202" t="s">
        <v>236</v>
      </c>
      <c r="F53" s="202" t="s">
        <v>149</v>
      </c>
      <c r="G53" s="203">
        <v>-1621</v>
      </c>
      <c r="H53" s="204">
        <v>-1621</v>
      </c>
      <c r="I53" s="198" t="s">
        <v>94</v>
      </c>
      <c r="J53" s="189" t="s">
        <v>206</v>
      </c>
      <c r="K53" s="188"/>
      <c r="L53" s="197"/>
      <c r="M53" s="197"/>
      <c r="N53" s="197"/>
      <c r="O53" s="197"/>
    </row>
    <row r="54" spans="1:15" hidden="1">
      <c r="A54" s="188" t="s">
        <v>232</v>
      </c>
      <c r="B54" s="190" t="s">
        <v>138</v>
      </c>
      <c r="C54" s="191" t="s">
        <v>94</v>
      </c>
      <c r="D54" s="191" t="s">
        <v>233</v>
      </c>
      <c r="E54" s="192" t="s">
        <v>237</v>
      </c>
      <c r="F54" s="191" t="s">
        <v>142</v>
      </c>
      <c r="G54" s="193">
        <v>-1621</v>
      </c>
      <c r="H54" s="194">
        <v>-1621</v>
      </c>
      <c r="I54" s="188" t="s">
        <v>94</v>
      </c>
      <c r="J54" s="189" t="s">
        <v>206</v>
      </c>
      <c r="K54" s="195"/>
      <c r="L54" s="197"/>
      <c r="M54" s="197"/>
      <c r="N54" s="197"/>
      <c r="O54" s="197"/>
    </row>
    <row r="55" spans="1:15" hidden="1">
      <c r="A55" s="195" t="s">
        <v>137</v>
      </c>
      <c r="B55" s="190" t="s">
        <v>138</v>
      </c>
      <c r="C55" s="191" t="s">
        <v>94</v>
      </c>
      <c r="D55" s="191" t="s">
        <v>238</v>
      </c>
      <c r="E55" s="192" t="s">
        <v>239</v>
      </c>
      <c r="F55" s="191" t="s">
        <v>153</v>
      </c>
      <c r="G55" s="193">
        <v>-5664.66</v>
      </c>
      <c r="H55" s="194">
        <v>-5664.66</v>
      </c>
      <c r="I55" s="195" t="s">
        <v>94</v>
      </c>
      <c r="J55" s="189" t="s">
        <v>206</v>
      </c>
      <c r="K55" s="188"/>
      <c r="L55" s="197"/>
      <c r="M55" s="197"/>
      <c r="N55" s="197"/>
      <c r="O55" s="197"/>
    </row>
    <row r="56" spans="1:15" hidden="1">
      <c r="A56" s="195" t="s">
        <v>137</v>
      </c>
      <c r="B56" s="190" t="s">
        <v>138</v>
      </c>
      <c r="C56" s="191" t="s">
        <v>94</v>
      </c>
      <c r="D56" s="191" t="s">
        <v>238</v>
      </c>
      <c r="E56" s="192" t="s">
        <v>240</v>
      </c>
      <c r="F56" s="191" t="s">
        <v>146</v>
      </c>
      <c r="G56" s="193">
        <v>-5664.66</v>
      </c>
      <c r="H56" s="194">
        <v>-5664.66</v>
      </c>
      <c r="I56" s="198" t="s">
        <v>94</v>
      </c>
      <c r="J56" s="189" t="s">
        <v>206</v>
      </c>
      <c r="K56" s="213"/>
      <c r="L56" s="197"/>
      <c r="M56" s="197"/>
      <c r="N56" s="197"/>
      <c r="O56" s="197"/>
    </row>
    <row r="57" spans="1:15" hidden="1">
      <c r="A57" s="188" t="s">
        <v>137</v>
      </c>
      <c r="B57" s="200" t="s">
        <v>138</v>
      </c>
      <c r="C57" s="188" t="s">
        <v>94</v>
      </c>
      <c r="D57" s="201" t="s">
        <v>238</v>
      </c>
      <c r="E57" s="202" t="s">
        <v>241</v>
      </c>
      <c r="F57" s="202" t="s">
        <v>149</v>
      </c>
      <c r="G57" s="203">
        <v>-5664.66</v>
      </c>
      <c r="H57" s="204">
        <v>-5664.66</v>
      </c>
      <c r="I57" s="198" t="s">
        <v>94</v>
      </c>
      <c r="J57" s="189" t="s">
        <v>206</v>
      </c>
      <c r="K57" s="188"/>
      <c r="L57" s="197"/>
      <c r="M57" s="197"/>
      <c r="N57" s="197"/>
      <c r="O57" s="197"/>
    </row>
    <row r="58" spans="1:15" hidden="1">
      <c r="A58" s="188" t="s">
        <v>137</v>
      </c>
      <c r="B58" s="190" t="s">
        <v>138</v>
      </c>
      <c r="C58" s="195" t="s">
        <v>94</v>
      </c>
      <c r="D58" s="191" t="s">
        <v>238</v>
      </c>
      <c r="E58" s="192" t="s">
        <v>242</v>
      </c>
      <c r="F58" s="191" t="s">
        <v>142</v>
      </c>
      <c r="G58" s="193">
        <v>-5664.66</v>
      </c>
      <c r="H58" s="194">
        <v>-5664.66</v>
      </c>
      <c r="I58" s="188" t="s">
        <v>94</v>
      </c>
      <c r="J58" s="189" t="s">
        <v>206</v>
      </c>
      <c r="K58" s="195"/>
      <c r="L58" s="197"/>
      <c r="M58" s="197"/>
      <c r="N58" s="197"/>
      <c r="O58" s="197"/>
    </row>
    <row r="59" spans="1:15" hidden="1">
      <c r="A59" s="188" t="s">
        <v>243</v>
      </c>
      <c r="B59" s="190" t="s">
        <v>138</v>
      </c>
      <c r="C59" s="191" t="s">
        <v>88</v>
      </c>
      <c r="D59" s="191" t="s">
        <v>244</v>
      </c>
      <c r="E59" s="192" t="s">
        <v>245</v>
      </c>
      <c r="F59" s="191" t="s">
        <v>153</v>
      </c>
      <c r="G59" s="193">
        <v>-150</v>
      </c>
      <c r="H59" s="194">
        <v>-150</v>
      </c>
      <c r="I59" s="198" t="s">
        <v>88</v>
      </c>
      <c r="J59" s="195" t="s">
        <v>206</v>
      </c>
      <c r="K59" s="188"/>
      <c r="L59" s="197"/>
      <c r="M59" s="197"/>
      <c r="N59" s="197"/>
      <c r="O59" s="197"/>
    </row>
    <row r="60" spans="1:15" hidden="1">
      <c r="A60" s="188" t="s">
        <v>243</v>
      </c>
      <c r="B60" s="200" t="s">
        <v>138</v>
      </c>
      <c r="C60" s="201" t="s">
        <v>88</v>
      </c>
      <c r="D60" s="201" t="s">
        <v>244</v>
      </c>
      <c r="E60" s="202" t="s">
        <v>245</v>
      </c>
      <c r="F60" s="202" t="s">
        <v>146</v>
      </c>
      <c r="G60" s="203">
        <v>-150</v>
      </c>
      <c r="H60" s="204">
        <v>-150</v>
      </c>
      <c r="I60" s="188" t="s">
        <v>88</v>
      </c>
      <c r="J60" s="198" t="s">
        <v>246</v>
      </c>
      <c r="K60" s="188"/>
      <c r="L60" s="197"/>
      <c r="M60" s="197"/>
      <c r="N60" s="197"/>
      <c r="O60" s="197"/>
    </row>
    <row r="61" spans="1:15" hidden="1">
      <c r="A61" s="188" t="s">
        <v>243</v>
      </c>
      <c r="B61" s="200" t="s">
        <v>138</v>
      </c>
      <c r="C61" s="201" t="s">
        <v>88</v>
      </c>
      <c r="D61" s="201" t="s">
        <v>244</v>
      </c>
      <c r="E61" s="202" t="s">
        <v>245</v>
      </c>
      <c r="F61" s="202" t="s">
        <v>149</v>
      </c>
      <c r="G61" s="225">
        <v>-150</v>
      </c>
      <c r="H61" s="226">
        <v>-150</v>
      </c>
      <c r="I61" s="198" t="s">
        <v>88</v>
      </c>
      <c r="J61" s="198" t="s">
        <v>246</v>
      </c>
      <c r="K61" s="213"/>
      <c r="L61" s="197"/>
      <c r="M61" s="197"/>
      <c r="N61" s="197"/>
      <c r="O61" s="197"/>
    </row>
    <row r="62" spans="1:15" hidden="1">
      <c r="A62" s="188" t="s">
        <v>243</v>
      </c>
      <c r="B62" s="200" t="s">
        <v>138</v>
      </c>
      <c r="C62" s="201" t="s">
        <v>88</v>
      </c>
      <c r="D62" s="201" t="s">
        <v>244</v>
      </c>
      <c r="E62" s="202" t="s">
        <v>245</v>
      </c>
      <c r="F62" s="202" t="s">
        <v>142</v>
      </c>
      <c r="G62" s="203">
        <v>-150</v>
      </c>
      <c r="H62" s="204">
        <v>-150</v>
      </c>
      <c r="I62" s="188" t="s">
        <v>88</v>
      </c>
      <c r="J62" s="198" t="s">
        <v>246</v>
      </c>
      <c r="K62" s="188"/>
      <c r="L62" s="197"/>
      <c r="M62" s="197"/>
      <c r="N62" s="197"/>
      <c r="O62" s="197"/>
    </row>
    <row r="63" spans="1:15" hidden="1">
      <c r="A63" s="195" t="s">
        <v>232</v>
      </c>
      <c r="B63" s="190" t="s">
        <v>138</v>
      </c>
      <c r="C63" s="191" t="s">
        <v>88</v>
      </c>
      <c r="D63" s="191" t="s">
        <v>247</v>
      </c>
      <c r="E63" s="192" t="s">
        <v>248</v>
      </c>
      <c r="F63" s="191" t="s">
        <v>153</v>
      </c>
      <c r="G63" s="193">
        <v>-276.68</v>
      </c>
      <c r="H63" s="194">
        <v>-276.68</v>
      </c>
      <c r="I63" s="195" t="s">
        <v>88</v>
      </c>
      <c r="J63" s="195" t="s">
        <v>206</v>
      </c>
      <c r="K63" s="188"/>
      <c r="L63" s="197"/>
      <c r="M63" s="197"/>
      <c r="N63" s="197"/>
      <c r="O63" s="197"/>
    </row>
    <row r="64" spans="1:15" hidden="1">
      <c r="A64" s="195" t="s">
        <v>232</v>
      </c>
      <c r="B64" s="190" t="s">
        <v>138</v>
      </c>
      <c r="C64" s="191" t="s">
        <v>88</v>
      </c>
      <c r="D64" s="191" t="s">
        <v>247</v>
      </c>
      <c r="E64" s="192" t="s">
        <v>249</v>
      </c>
      <c r="F64" s="191" t="s">
        <v>146</v>
      </c>
      <c r="G64" s="193">
        <v>-264</v>
      </c>
      <c r="H64" s="194">
        <v>-264</v>
      </c>
      <c r="I64" s="198" t="s">
        <v>88</v>
      </c>
      <c r="J64" s="198" t="s">
        <v>246</v>
      </c>
      <c r="K64" s="188"/>
      <c r="L64" s="197"/>
      <c r="M64" s="197"/>
      <c r="N64" s="197"/>
      <c r="O64" s="197"/>
    </row>
    <row r="65" spans="1:15" hidden="1">
      <c r="A65" s="188" t="s">
        <v>232</v>
      </c>
      <c r="B65" s="200" t="s">
        <v>138</v>
      </c>
      <c r="C65" s="201" t="s">
        <v>88</v>
      </c>
      <c r="D65" s="201" t="s">
        <v>247</v>
      </c>
      <c r="E65" s="202" t="s">
        <v>250</v>
      </c>
      <c r="F65" s="202" t="s">
        <v>149</v>
      </c>
      <c r="G65" s="203">
        <v>-264</v>
      </c>
      <c r="H65" s="204">
        <v>-264</v>
      </c>
      <c r="I65" s="198" t="s">
        <v>88</v>
      </c>
      <c r="J65" s="198" t="s">
        <v>246</v>
      </c>
      <c r="K65" s="188"/>
      <c r="L65" s="197"/>
      <c r="M65" s="197"/>
      <c r="N65" s="197"/>
      <c r="O65" s="197"/>
    </row>
    <row r="66" spans="1:15" hidden="1">
      <c r="A66" s="188" t="s">
        <v>232</v>
      </c>
      <c r="B66" s="190" t="s">
        <v>138</v>
      </c>
      <c r="C66" s="191" t="s">
        <v>88</v>
      </c>
      <c r="D66" s="191" t="s">
        <v>247</v>
      </c>
      <c r="E66" s="192" t="s">
        <v>251</v>
      </c>
      <c r="F66" s="191" t="s">
        <v>142</v>
      </c>
      <c r="G66" s="193">
        <v>-264</v>
      </c>
      <c r="H66" s="194">
        <v>-264</v>
      </c>
      <c r="I66" s="188" t="s">
        <v>88</v>
      </c>
      <c r="J66" s="198" t="s">
        <v>246</v>
      </c>
      <c r="K66" s="195"/>
      <c r="L66" s="197"/>
      <c r="M66" s="197"/>
      <c r="N66" s="197"/>
      <c r="O66" s="197"/>
    </row>
    <row r="67" spans="1:15" hidden="1">
      <c r="A67" s="195" t="s">
        <v>137</v>
      </c>
      <c r="B67" s="190" t="s">
        <v>138</v>
      </c>
      <c r="C67" s="191" t="s">
        <v>88</v>
      </c>
      <c r="D67" s="191" t="s">
        <v>252</v>
      </c>
      <c r="E67" s="192" t="s">
        <v>253</v>
      </c>
      <c r="F67" s="191" t="s">
        <v>153</v>
      </c>
      <c r="G67" s="193">
        <v>-16000</v>
      </c>
      <c r="H67" s="194">
        <v>-16000</v>
      </c>
      <c r="I67" s="195" t="s">
        <v>88</v>
      </c>
      <c r="J67" s="195" t="s">
        <v>206</v>
      </c>
      <c r="K67" s="188"/>
      <c r="L67" s="197"/>
      <c r="M67" s="197"/>
      <c r="N67" s="197"/>
      <c r="O67" s="197"/>
    </row>
    <row r="68" spans="1:15" hidden="1">
      <c r="A68" s="195" t="s">
        <v>137</v>
      </c>
      <c r="B68" s="190" t="s">
        <v>138</v>
      </c>
      <c r="C68" s="191" t="s">
        <v>88</v>
      </c>
      <c r="D68" s="191" t="s">
        <v>252</v>
      </c>
      <c r="E68" s="192" t="s">
        <v>254</v>
      </c>
      <c r="F68" s="191" t="s">
        <v>146</v>
      </c>
      <c r="G68" s="193">
        <v>-16000</v>
      </c>
      <c r="H68" s="194">
        <v>-16000</v>
      </c>
      <c r="I68" s="198" t="s">
        <v>88</v>
      </c>
      <c r="J68" s="198" t="s">
        <v>246</v>
      </c>
      <c r="K68" s="188"/>
      <c r="L68" s="197"/>
      <c r="M68" s="197"/>
      <c r="N68" s="197"/>
      <c r="O68" s="197"/>
    </row>
    <row r="69" spans="1:15" hidden="1">
      <c r="A69" s="188" t="s">
        <v>137</v>
      </c>
      <c r="B69" s="200" t="s">
        <v>138</v>
      </c>
      <c r="C69" s="201" t="s">
        <v>88</v>
      </c>
      <c r="D69" s="201" t="s">
        <v>252</v>
      </c>
      <c r="E69" s="202" t="s">
        <v>255</v>
      </c>
      <c r="F69" s="202" t="s">
        <v>149</v>
      </c>
      <c r="G69" s="203">
        <v>-16000</v>
      </c>
      <c r="H69" s="204">
        <v>-16000</v>
      </c>
      <c r="I69" s="198" t="s">
        <v>88</v>
      </c>
      <c r="J69" s="198" t="s">
        <v>246</v>
      </c>
      <c r="K69" s="188"/>
      <c r="L69" s="197"/>
      <c r="M69" s="197"/>
      <c r="N69" s="197"/>
      <c r="O69" s="197"/>
    </row>
    <row r="70" spans="1:15" hidden="1">
      <c r="A70" s="188" t="s">
        <v>137</v>
      </c>
      <c r="B70" s="190" t="s">
        <v>138</v>
      </c>
      <c r="C70" s="191" t="s">
        <v>88</v>
      </c>
      <c r="D70" s="191" t="s">
        <v>252</v>
      </c>
      <c r="E70" s="192" t="s">
        <v>256</v>
      </c>
      <c r="F70" s="191" t="s">
        <v>142</v>
      </c>
      <c r="G70" s="193">
        <v>-16000</v>
      </c>
      <c r="H70" s="194">
        <v>-16000</v>
      </c>
      <c r="I70" s="188" t="s">
        <v>88</v>
      </c>
      <c r="J70" s="198" t="s">
        <v>246</v>
      </c>
      <c r="K70" s="195"/>
      <c r="L70" s="197"/>
      <c r="M70" s="197"/>
      <c r="N70" s="197"/>
      <c r="O70" s="197"/>
    </row>
    <row r="71" spans="1:15" hidden="1">
      <c r="A71" s="195" t="s">
        <v>232</v>
      </c>
      <c r="B71" s="190" t="s">
        <v>138</v>
      </c>
      <c r="C71" s="191" t="s">
        <v>74</v>
      </c>
      <c r="D71" s="191" t="s">
        <v>257</v>
      </c>
      <c r="E71" s="192" t="s">
        <v>258</v>
      </c>
      <c r="F71" s="191" t="s">
        <v>153</v>
      </c>
      <c r="G71" s="193">
        <v>-114.23</v>
      </c>
      <c r="H71" s="194">
        <v>-114.23</v>
      </c>
      <c r="I71" s="195" t="s">
        <v>74</v>
      </c>
      <c r="J71" s="227" t="s">
        <v>143</v>
      </c>
      <c r="K71" s="188"/>
      <c r="L71" s="197"/>
      <c r="M71" s="197"/>
      <c r="N71" s="197"/>
      <c r="O71" s="197"/>
    </row>
    <row r="72" spans="1:15" hidden="1">
      <c r="A72" s="195" t="s">
        <v>137</v>
      </c>
      <c r="B72" s="190" t="s">
        <v>138</v>
      </c>
      <c r="C72" s="191" t="s">
        <v>74</v>
      </c>
      <c r="D72" s="191" t="s">
        <v>257</v>
      </c>
      <c r="E72" s="192" t="s">
        <v>259</v>
      </c>
      <c r="F72" s="191" t="s">
        <v>153</v>
      </c>
      <c r="G72" s="193">
        <v>-802.39</v>
      </c>
      <c r="H72" s="194">
        <v>-844.62</v>
      </c>
      <c r="I72" s="195" t="s">
        <v>74</v>
      </c>
      <c r="J72" s="189" t="s">
        <v>143</v>
      </c>
      <c r="K72" s="213"/>
      <c r="L72" s="197"/>
      <c r="M72" s="197"/>
      <c r="N72" s="197"/>
      <c r="O72" s="197"/>
    </row>
    <row r="73" spans="1:15" hidden="1">
      <c r="A73" s="195" t="s">
        <v>137</v>
      </c>
      <c r="B73" s="190" t="s">
        <v>138</v>
      </c>
      <c r="C73" s="191" t="s">
        <v>139</v>
      </c>
      <c r="D73" s="191" t="s">
        <v>140</v>
      </c>
      <c r="E73" s="191" t="s">
        <v>260</v>
      </c>
      <c r="F73" s="191" t="s">
        <v>261</v>
      </c>
      <c r="G73" s="193">
        <v>-500</v>
      </c>
      <c r="H73" s="194">
        <v>-500</v>
      </c>
      <c r="I73" s="198" t="s">
        <v>84</v>
      </c>
      <c r="J73" s="195" t="s">
        <v>143</v>
      </c>
      <c r="K73" s="188"/>
      <c r="L73" s="197"/>
      <c r="M73" s="197"/>
      <c r="N73" s="197"/>
      <c r="O73" s="197"/>
    </row>
    <row r="74" spans="1:15" hidden="1">
      <c r="A74" s="188" t="s">
        <v>243</v>
      </c>
      <c r="B74" s="190" t="s">
        <v>138</v>
      </c>
      <c r="C74" s="191" t="s">
        <v>88</v>
      </c>
      <c r="D74" s="191" t="s">
        <v>244</v>
      </c>
      <c r="E74" s="191" t="s">
        <v>245</v>
      </c>
      <c r="F74" s="191" t="s">
        <v>261</v>
      </c>
      <c r="G74" s="193">
        <v>-150</v>
      </c>
      <c r="H74" s="194">
        <v>-150</v>
      </c>
      <c r="I74" s="198" t="s">
        <v>88</v>
      </c>
      <c r="J74" s="195" t="s">
        <v>206</v>
      </c>
      <c r="K74" s="188"/>
      <c r="L74" s="197"/>
      <c r="M74" s="197"/>
      <c r="N74" s="197"/>
      <c r="O74" s="197"/>
    </row>
    <row r="75" spans="1:15" hidden="1">
      <c r="A75" s="188" t="s">
        <v>232</v>
      </c>
      <c r="B75" s="200" t="s">
        <v>138</v>
      </c>
      <c r="C75" s="201" t="s">
        <v>74</v>
      </c>
      <c r="D75" s="201" t="s">
        <v>257</v>
      </c>
      <c r="E75" s="202" t="s">
        <v>262</v>
      </c>
      <c r="F75" s="202" t="s">
        <v>146</v>
      </c>
      <c r="G75" s="203">
        <v>-318.08999999999997</v>
      </c>
      <c r="H75" s="204">
        <v>-318.08999999999997</v>
      </c>
      <c r="I75" s="198" t="s">
        <v>74</v>
      </c>
      <c r="J75" s="198" t="s">
        <v>143</v>
      </c>
      <c r="K75" s="188"/>
      <c r="L75" s="197"/>
      <c r="M75" s="197"/>
      <c r="N75" s="197"/>
      <c r="O75" s="197"/>
    </row>
    <row r="76" spans="1:15" hidden="1">
      <c r="A76" s="188" t="s">
        <v>137</v>
      </c>
      <c r="B76" s="200" t="s">
        <v>138</v>
      </c>
      <c r="C76" s="201" t="s">
        <v>74</v>
      </c>
      <c r="D76" s="201" t="s">
        <v>257</v>
      </c>
      <c r="E76" s="202" t="s">
        <v>263</v>
      </c>
      <c r="F76" s="202" t="s">
        <v>146</v>
      </c>
      <c r="G76" s="203">
        <v>-4018.07</v>
      </c>
      <c r="H76" s="204">
        <v>-5970.7</v>
      </c>
      <c r="I76" s="198" t="s">
        <v>74</v>
      </c>
      <c r="J76" s="189" t="s">
        <v>143</v>
      </c>
      <c r="K76" s="213"/>
      <c r="L76" s="197"/>
      <c r="M76" s="197"/>
      <c r="N76" s="197"/>
      <c r="O76" s="197"/>
    </row>
    <row r="77" spans="1:15" hidden="1">
      <c r="A77" s="188" t="s">
        <v>243</v>
      </c>
      <c r="B77" s="200" t="s">
        <v>138</v>
      </c>
      <c r="C77" s="201" t="s">
        <v>88</v>
      </c>
      <c r="D77" s="201" t="s">
        <v>244</v>
      </c>
      <c r="E77" s="201" t="s">
        <v>264</v>
      </c>
      <c r="F77" s="202" t="s">
        <v>265</v>
      </c>
      <c r="G77" s="204">
        <v>-150</v>
      </c>
      <c r="H77" s="204">
        <v>-150</v>
      </c>
      <c r="I77" s="198" t="s">
        <v>88</v>
      </c>
      <c r="J77" s="228" t="s">
        <v>206</v>
      </c>
      <c r="K77" s="188"/>
      <c r="L77" s="197"/>
      <c r="M77" s="197"/>
      <c r="N77" s="197"/>
      <c r="O77" s="197"/>
    </row>
    <row r="78" spans="1:15" hidden="1">
      <c r="A78" s="188" t="s">
        <v>232</v>
      </c>
      <c r="B78" s="200" t="s">
        <v>138</v>
      </c>
      <c r="C78" s="201" t="s">
        <v>74</v>
      </c>
      <c r="D78" s="188" t="s">
        <v>257</v>
      </c>
      <c r="E78" s="202" t="s">
        <v>266</v>
      </c>
      <c r="F78" s="202" t="s">
        <v>149</v>
      </c>
      <c r="G78" s="203">
        <v>-318.08999999999997</v>
      </c>
      <c r="H78" s="204">
        <v>-318.08999999999997</v>
      </c>
      <c r="I78" s="198" t="s">
        <v>74</v>
      </c>
      <c r="J78" s="198" t="s">
        <v>143</v>
      </c>
      <c r="K78" s="188"/>
      <c r="L78" s="197"/>
      <c r="M78" s="197"/>
      <c r="N78" s="197"/>
      <c r="O78" s="197"/>
    </row>
    <row r="79" spans="1:15" hidden="1">
      <c r="A79" s="188" t="s">
        <v>137</v>
      </c>
      <c r="B79" s="200" t="s">
        <v>138</v>
      </c>
      <c r="C79" s="201" t="s">
        <v>74</v>
      </c>
      <c r="D79" s="201" t="s">
        <v>257</v>
      </c>
      <c r="E79" s="202" t="s">
        <v>267</v>
      </c>
      <c r="F79" s="202" t="s">
        <v>149</v>
      </c>
      <c r="G79" s="203">
        <v>-5672.16</v>
      </c>
      <c r="H79" s="204">
        <v>-5970.7</v>
      </c>
      <c r="I79" s="198" t="s">
        <v>74</v>
      </c>
      <c r="J79" s="189" t="s">
        <v>143</v>
      </c>
      <c r="K79" s="188"/>
      <c r="L79" s="197"/>
      <c r="M79" s="197"/>
      <c r="N79" s="197"/>
      <c r="O79" s="197"/>
    </row>
    <row r="80" spans="1:15">
      <c r="A80" s="188" t="s">
        <v>243</v>
      </c>
      <c r="B80" s="229" t="s">
        <v>138</v>
      </c>
      <c r="C80" s="230" t="s">
        <v>88</v>
      </c>
      <c r="D80" s="230" t="s">
        <v>244</v>
      </c>
      <c r="E80" s="230" t="s">
        <v>245</v>
      </c>
      <c r="F80" s="231" t="s">
        <v>268</v>
      </c>
      <c r="G80" s="232">
        <v>-150</v>
      </c>
      <c r="H80" s="232">
        <v>-150</v>
      </c>
      <c r="I80" s="198" t="s">
        <v>88</v>
      </c>
      <c r="J80" s="228" t="s">
        <v>206</v>
      </c>
      <c r="K80" s="233"/>
      <c r="L80" s="197"/>
      <c r="M80" s="197"/>
      <c r="N80" s="197"/>
      <c r="O80" s="197"/>
    </row>
    <row r="81" spans="1:15" hidden="1">
      <c r="A81" s="188" t="s">
        <v>137</v>
      </c>
      <c r="B81" s="200" t="s">
        <v>138</v>
      </c>
      <c r="C81" s="201" t="s">
        <v>74</v>
      </c>
      <c r="D81" s="201" t="s">
        <v>257</v>
      </c>
      <c r="E81" s="202" t="s">
        <v>269</v>
      </c>
      <c r="F81" s="202" t="s">
        <v>142</v>
      </c>
      <c r="G81" s="203">
        <v>-2209.5300000000002</v>
      </c>
      <c r="H81" s="204">
        <v>-2325.8200000000002</v>
      </c>
      <c r="I81" s="188" t="s">
        <v>74</v>
      </c>
      <c r="J81" s="189" t="s">
        <v>143</v>
      </c>
      <c r="K81" s="188"/>
      <c r="L81" s="197"/>
      <c r="M81" s="197"/>
      <c r="N81" s="197"/>
      <c r="O81" s="197"/>
    </row>
    <row r="82" spans="1:15" hidden="1">
      <c r="A82" s="188" t="s">
        <v>232</v>
      </c>
      <c r="B82" s="200" t="s">
        <v>138</v>
      </c>
      <c r="C82" s="201" t="s">
        <v>74</v>
      </c>
      <c r="D82" s="201" t="s">
        <v>257</v>
      </c>
      <c r="E82" s="202" t="s">
        <v>270</v>
      </c>
      <c r="F82" s="202" t="s">
        <v>142</v>
      </c>
      <c r="G82" s="203">
        <v>-318.08999999999997</v>
      </c>
      <c r="H82" s="204">
        <v>-318.08999999999997</v>
      </c>
      <c r="I82" s="188" t="s">
        <v>74</v>
      </c>
      <c r="J82" s="198" t="s">
        <v>143</v>
      </c>
      <c r="K82" s="188"/>
      <c r="L82" s="197"/>
      <c r="M82" s="197"/>
      <c r="N82" s="197"/>
      <c r="O82" s="197"/>
    </row>
    <row r="83" spans="1:15" hidden="1">
      <c r="A83" s="195" t="s">
        <v>137</v>
      </c>
      <c r="B83" s="190" t="s">
        <v>138</v>
      </c>
      <c r="C83" s="191" t="s">
        <v>271</v>
      </c>
      <c r="D83" s="191" t="s">
        <v>272</v>
      </c>
      <c r="E83" s="192" t="s">
        <v>273</v>
      </c>
      <c r="F83" s="191" t="s">
        <v>153</v>
      </c>
      <c r="G83" s="193">
        <v>-400</v>
      </c>
      <c r="H83" s="194">
        <v>-400</v>
      </c>
      <c r="I83" s="195" t="s">
        <v>101</v>
      </c>
      <c r="J83" s="195" t="s">
        <v>206</v>
      </c>
      <c r="K83" s="213"/>
      <c r="L83" s="197"/>
      <c r="M83" s="197"/>
      <c r="N83" s="197"/>
      <c r="O83" s="197"/>
    </row>
    <row r="84" spans="1:15" hidden="1">
      <c r="A84" s="195" t="s">
        <v>137</v>
      </c>
      <c r="B84" s="190" t="s">
        <v>138</v>
      </c>
      <c r="C84" s="191" t="s">
        <v>271</v>
      </c>
      <c r="D84" s="191" t="s">
        <v>272</v>
      </c>
      <c r="E84" s="192" t="s">
        <v>274</v>
      </c>
      <c r="F84" s="191" t="s">
        <v>146</v>
      </c>
      <c r="G84" s="193">
        <v>-400</v>
      </c>
      <c r="H84" s="194">
        <v>-400</v>
      </c>
      <c r="I84" s="198" t="s">
        <v>101</v>
      </c>
      <c r="J84" s="195" t="s">
        <v>206</v>
      </c>
      <c r="K84" s="188"/>
      <c r="L84" s="197"/>
      <c r="M84" s="197"/>
      <c r="N84" s="197"/>
      <c r="O84" s="197"/>
    </row>
    <row r="85" spans="1:15" hidden="1">
      <c r="A85" s="188" t="s">
        <v>137</v>
      </c>
      <c r="B85" s="200" t="s">
        <v>138</v>
      </c>
      <c r="C85" s="201" t="s">
        <v>271</v>
      </c>
      <c r="D85" s="201" t="s">
        <v>272</v>
      </c>
      <c r="E85" s="202" t="s">
        <v>275</v>
      </c>
      <c r="F85" s="202" t="s">
        <v>149</v>
      </c>
      <c r="G85" s="203">
        <v>-400</v>
      </c>
      <c r="H85" s="204">
        <v>-400</v>
      </c>
      <c r="I85" s="198" t="s">
        <v>101</v>
      </c>
      <c r="J85" s="198" t="s">
        <v>206</v>
      </c>
      <c r="K85" s="188"/>
      <c r="L85" s="197"/>
      <c r="M85" s="197"/>
      <c r="N85" s="197"/>
      <c r="O85" s="197"/>
    </row>
    <row r="86" spans="1:15" hidden="1">
      <c r="A86" s="188" t="s">
        <v>137</v>
      </c>
      <c r="B86" s="190" t="s">
        <v>138</v>
      </c>
      <c r="C86" s="191" t="s">
        <v>271</v>
      </c>
      <c r="D86" s="191" t="s">
        <v>272</v>
      </c>
      <c r="E86" s="192" t="s">
        <v>276</v>
      </c>
      <c r="F86" s="191" t="s">
        <v>142</v>
      </c>
      <c r="G86" s="193">
        <v>-400</v>
      </c>
      <c r="H86" s="194">
        <v>-400</v>
      </c>
      <c r="I86" s="188" t="s">
        <v>101</v>
      </c>
      <c r="J86" s="195" t="s">
        <v>277</v>
      </c>
      <c r="K86" s="195"/>
      <c r="L86" s="197"/>
      <c r="M86" s="197"/>
      <c r="N86" s="197"/>
      <c r="O86" s="197"/>
    </row>
    <row r="87" spans="1:15" ht="25.5" hidden="1">
      <c r="A87" s="195" t="s">
        <v>137</v>
      </c>
      <c r="B87" s="190" t="s">
        <v>138</v>
      </c>
      <c r="C87" s="191" t="s">
        <v>271</v>
      </c>
      <c r="D87" s="191" t="s">
        <v>278</v>
      </c>
      <c r="E87" s="192" t="s">
        <v>279</v>
      </c>
      <c r="F87" s="191" t="s">
        <v>153</v>
      </c>
      <c r="G87" s="193">
        <v>-694</v>
      </c>
      <c r="H87" s="194">
        <v>-694</v>
      </c>
      <c r="I87" s="195" t="s">
        <v>101</v>
      </c>
      <c r="J87" s="195" t="s">
        <v>206</v>
      </c>
      <c r="K87" s="188"/>
      <c r="L87" s="197"/>
      <c r="M87" s="197"/>
      <c r="N87" s="197"/>
      <c r="O87" s="197"/>
    </row>
    <row r="88" spans="1:15" ht="25.5" hidden="1">
      <c r="A88" s="195" t="s">
        <v>137</v>
      </c>
      <c r="B88" s="190" t="s">
        <v>138</v>
      </c>
      <c r="C88" s="191" t="s">
        <v>271</v>
      </c>
      <c r="D88" s="191" t="s">
        <v>278</v>
      </c>
      <c r="E88" s="192" t="s">
        <v>280</v>
      </c>
      <c r="F88" s="191" t="s">
        <v>146</v>
      </c>
      <c r="G88" s="193">
        <v>-694</v>
      </c>
      <c r="H88" s="194">
        <v>-694</v>
      </c>
      <c r="I88" s="198" t="s">
        <v>101</v>
      </c>
      <c r="J88" s="195" t="s">
        <v>206</v>
      </c>
      <c r="K88" s="188"/>
      <c r="L88" s="197"/>
      <c r="M88" s="197"/>
      <c r="N88" s="197"/>
      <c r="O88" s="197"/>
    </row>
    <row r="89" spans="1:15" ht="25.5" hidden="1">
      <c r="A89" s="188" t="s">
        <v>137</v>
      </c>
      <c r="B89" s="200" t="s">
        <v>138</v>
      </c>
      <c r="C89" s="201" t="s">
        <v>271</v>
      </c>
      <c r="D89" s="201" t="s">
        <v>278</v>
      </c>
      <c r="E89" s="202" t="s">
        <v>281</v>
      </c>
      <c r="F89" s="202" t="s">
        <v>149</v>
      </c>
      <c r="G89" s="203">
        <v>-694</v>
      </c>
      <c r="H89" s="204">
        <v>-694</v>
      </c>
      <c r="I89" s="198" t="s">
        <v>101</v>
      </c>
      <c r="J89" s="198" t="s">
        <v>206</v>
      </c>
      <c r="K89" s="188"/>
      <c r="L89" s="197"/>
      <c r="M89" s="197"/>
      <c r="N89" s="197"/>
      <c r="O89" s="197"/>
    </row>
    <row r="90" spans="1:15" ht="25.5" hidden="1">
      <c r="A90" s="188" t="s">
        <v>137</v>
      </c>
      <c r="B90" s="190" t="s">
        <v>138</v>
      </c>
      <c r="C90" s="191" t="s">
        <v>271</v>
      </c>
      <c r="D90" s="191" t="s">
        <v>278</v>
      </c>
      <c r="E90" s="192" t="s">
        <v>282</v>
      </c>
      <c r="F90" s="191" t="s">
        <v>142</v>
      </c>
      <c r="G90" s="193">
        <v>-694</v>
      </c>
      <c r="H90" s="194">
        <v>-694</v>
      </c>
      <c r="I90" s="188" t="s">
        <v>101</v>
      </c>
      <c r="J90" s="195" t="s">
        <v>277</v>
      </c>
      <c r="K90" s="195"/>
      <c r="L90" s="197"/>
      <c r="M90" s="197"/>
      <c r="N90" s="197"/>
      <c r="O90" s="197"/>
    </row>
    <row r="91" spans="1:15" hidden="1">
      <c r="A91" s="188" t="s">
        <v>137</v>
      </c>
      <c r="B91" s="200" t="s">
        <v>138</v>
      </c>
      <c r="C91" s="201" t="s">
        <v>271</v>
      </c>
      <c r="D91" s="201" t="s">
        <v>283</v>
      </c>
      <c r="E91" s="202" t="s">
        <v>284</v>
      </c>
      <c r="F91" s="202" t="s">
        <v>149</v>
      </c>
      <c r="G91" s="203">
        <v>-2000</v>
      </c>
      <c r="H91" s="204">
        <v>-2000</v>
      </c>
      <c r="I91" s="198" t="s">
        <v>101</v>
      </c>
      <c r="J91" s="198" t="s">
        <v>206</v>
      </c>
      <c r="K91" s="188"/>
      <c r="L91" s="197"/>
      <c r="M91" s="197"/>
      <c r="N91" s="197"/>
      <c r="O91" s="197"/>
    </row>
    <row r="92" spans="1:15" ht="38.25" hidden="1">
      <c r="A92" s="188" t="s">
        <v>137</v>
      </c>
      <c r="B92" s="200" t="s">
        <v>138</v>
      </c>
      <c r="C92" s="201" t="s">
        <v>271</v>
      </c>
      <c r="D92" s="201" t="s">
        <v>285</v>
      </c>
      <c r="E92" s="202" t="s">
        <v>286</v>
      </c>
      <c r="F92" s="202" t="s">
        <v>149</v>
      </c>
      <c r="G92" s="203">
        <v>-1100</v>
      </c>
      <c r="H92" s="204">
        <v>-1100</v>
      </c>
      <c r="I92" s="198" t="s">
        <v>101</v>
      </c>
      <c r="J92" s="198" t="s">
        <v>206</v>
      </c>
      <c r="K92" s="188"/>
      <c r="L92" s="197"/>
      <c r="M92" s="197"/>
      <c r="N92" s="197"/>
      <c r="O92" s="197"/>
    </row>
    <row r="93" spans="1:15" hidden="1">
      <c r="A93" s="195" t="s">
        <v>137</v>
      </c>
      <c r="B93" s="190" t="s">
        <v>138</v>
      </c>
      <c r="C93" s="191" t="s">
        <v>287</v>
      </c>
      <c r="D93" s="191" t="s">
        <v>288</v>
      </c>
      <c r="E93" s="192" t="s">
        <v>289</v>
      </c>
      <c r="F93" s="191" t="s">
        <v>146</v>
      </c>
      <c r="G93" s="193">
        <v>-825</v>
      </c>
      <c r="H93" s="194">
        <v>-825</v>
      </c>
      <c r="I93" s="198" t="s">
        <v>290</v>
      </c>
      <c r="J93" s="234" t="s">
        <v>246</v>
      </c>
      <c r="K93" s="234" t="s">
        <v>290</v>
      </c>
      <c r="L93" s="197"/>
      <c r="M93" s="197"/>
      <c r="N93" s="197"/>
      <c r="O93" s="197"/>
    </row>
    <row r="94" spans="1:15" ht="25.5" hidden="1">
      <c r="A94" s="195" t="s">
        <v>137</v>
      </c>
      <c r="B94" s="190" t="s">
        <v>138</v>
      </c>
      <c r="C94" s="191" t="s">
        <v>287</v>
      </c>
      <c r="D94" s="191" t="s">
        <v>291</v>
      </c>
      <c r="E94" s="192" t="s">
        <v>292</v>
      </c>
      <c r="F94" s="191" t="s">
        <v>153</v>
      </c>
      <c r="G94" s="193">
        <v>-534</v>
      </c>
      <c r="H94" s="194">
        <v>-534</v>
      </c>
      <c r="I94" s="195" t="s">
        <v>290</v>
      </c>
      <c r="J94" s="195" t="s">
        <v>246</v>
      </c>
      <c r="K94" s="213"/>
      <c r="L94" s="197"/>
      <c r="M94" s="197"/>
      <c r="N94" s="197"/>
      <c r="O94" s="197"/>
    </row>
    <row r="95" spans="1:15" ht="25.5" hidden="1">
      <c r="A95" s="235" t="s">
        <v>137</v>
      </c>
      <c r="B95" s="236" t="s">
        <v>138</v>
      </c>
      <c r="C95" s="237" t="s">
        <v>287</v>
      </c>
      <c r="D95" s="237" t="s">
        <v>291</v>
      </c>
      <c r="E95" s="238" t="s">
        <v>292</v>
      </c>
      <c r="F95" s="239" t="s">
        <v>142</v>
      </c>
      <c r="G95" s="240">
        <v>-270</v>
      </c>
      <c r="H95" s="240">
        <v>-270</v>
      </c>
      <c r="I95" s="235" t="s">
        <v>290</v>
      </c>
      <c r="J95" s="235" t="s">
        <v>293</v>
      </c>
      <c r="K95" s="235"/>
      <c r="L95" s="197"/>
      <c r="M95" s="197"/>
      <c r="N95" s="197"/>
      <c r="O95" s="197"/>
    </row>
    <row r="96" spans="1:15" ht="25.5" hidden="1">
      <c r="A96" s="235" t="s">
        <v>137</v>
      </c>
      <c r="B96" s="236" t="s">
        <v>138</v>
      </c>
      <c r="C96" s="237" t="s">
        <v>287</v>
      </c>
      <c r="D96" s="237" t="s">
        <v>291</v>
      </c>
      <c r="E96" s="238" t="s">
        <v>294</v>
      </c>
      <c r="F96" s="239" t="s">
        <v>142</v>
      </c>
      <c r="G96" s="240">
        <v>-130.02000000000001</v>
      </c>
      <c r="H96" s="240">
        <v>-136</v>
      </c>
      <c r="I96" s="235" t="s">
        <v>290</v>
      </c>
      <c r="J96" s="235" t="s">
        <v>293</v>
      </c>
      <c r="K96" s="241"/>
      <c r="L96" s="197"/>
      <c r="M96" s="197"/>
      <c r="N96" s="197"/>
      <c r="O96" s="197"/>
    </row>
    <row r="97" spans="1:15" hidden="1">
      <c r="A97" s="195" t="s">
        <v>137</v>
      </c>
      <c r="B97" s="190" t="s">
        <v>138</v>
      </c>
      <c r="C97" s="191" t="s">
        <v>287</v>
      </c>
      <c r="D97" s="191" t="s">
        <v>295</v>
      </c>
      <c r="E97" s="192" t="s">
        <v>296</v>
      </c>
      <c r="F97" s="191" t="s">
        <v>146</v>
      </c>
      <c r="G97" s="193">
        <v>-72.180000000000007</v>
      </c>
      <c r="H97" s="194">
        <v>-72.180000000000007</v>
      </c>
      <c r="I97" s="198" t="s">
        <v>290</v>
      </c>
      <c r="J97" s="234" t="s">
        <v>246</v>
      </c>
      <c r="K97" s="188" t="s">
        <v>290</v>
      </c>
      <c r="L97" s="197"/>
      <c r="M97" s="197"/>
      <c r="N97" s="197"/>
      <c r="O97" s="197"/>
    </row>
    <row r="98" spans="1:15" hidden="1">
      <c r="A98" s="195" t="s">
        <v>137</v>
      </c>
      <c r="B98" s="190" t="s">
        <v>138</v>
      </c>
      <c r="C98" s="191" t="s">
        <v>287</v>
      </c>
      <c r="D98" s="191" t="s">
        <v>297</v>
      </c>
      <c r="E98" s="192" t="s">
        <v>298</v>
      </c>
      <c r="F98" s="191" t="s">
        <v>146</v>
      </c>
      <c r="G98" s="193">
        <v>-497.9</v>
      </c>
      <c r="H98" s="194">
        <v>-497.9</v>
      </c>
      <c r="I98" s="198" t="s">
        <v>290</v>
      </c>
      <c r="J98" s="234" t="s">
        <v>246</v>
      </c>
      <c r="K98" s="234" t="s">
        <v>290</v>
      </c>
      <c r="L98" s="197"/>
      <c r="M98" s="197"/>
      <c r="N98" s="197"/>
      <c r="O98" s="197"/>
    </row>
    <row r="99" spans="1:15" hidden="1">
      <c r="A99" s="235" t="s">
        <v>137</v>
      </c>
      <c r="B99" s="236" t="s">
        <v>138</v>
      </c>
      <c r="C99" s="237" t="s">
        <v>287</v>
      </c>
      <c r="D99" s="237" t="s">
        <v>299</v>
      </c>
      <c r="E99" s="238" t="s">
        <v>300</v>
      </c>
      <c r="F99" s="239" t="s">
        <v>142</v>
      </c>
      <c r="G99" s="240">
        <v>-159.99</v>
      </c>
      <c r="H99" s="240">
        <v>-159.99</v>
      </c>
      <c r="I99" s="235" t="s">
        <v>290</v>
      </c>
      <c r="J99" s="235" t="s">
        <v>293</v>
      </c>
      <c r="K99" s="235"/>
      <c r="L99" s="197"/>
      <c r="M99" s="197"/>
      <c r="N99" s="197"/>
      <c r="O99" s="197"/>
    </row>
    <row r="100" spans="1:15" ht="25.5" hidden="1">
      <c r="A100" s="235" t="s">
        <v>137</v>
      </c>
      <c r="B100" s="236" t="s">
        <v>138</v>
      </c>
      <c r="C100" s="237" t="s">
        <v>287</v>
      </c>
      <c r="D100" s="237" t="s">
        <v>299</v>
      </c>
      <c r="E100" s="238" t="s">
        <v>301</v>
      </c>
      <c r="F100" s="239" t="s">
        <v>142</v>
      </c>
      <c r="G100" s="240">
        <v>-199.99</v>
      </c>
      <c r="H100" s="240">
        <v>-199.99</v>
      </c>
      <c r="I100" s="235" t="s">
        <v>290</v>
      </c>
      <c r="J100" s="235" t="s">
        <v>293</v>
      </c>
      <c r="K100" s="235"/>
      <c r="L100" s="197"/>
      <c r="M100" s="197"/>
      <c r="N100" s="197"/>
      <c r="O100" s="197"/>
    </row>
    <row r="101" spans="1:15" hidden="1">
      <c r="A101" s="235" t="s">
        <v>137</v>
      </c>
      <c r="B101" s="236" t="s">
        <v>138</v>
      </c>
      <c r="C101" s="237" t="s">
        <v>287</v>
      </c>
      <c r="D101" s="237" t="s">
        <v>302</v>
      </c>
      <c r="E101" s="238" t="s">
        <v>303</v>
      </c>
      <c r="F101" s="239" t="s">
        <v>142</v>
      </c>
      <c r="G101" s="240">
        <v>-182.9</v>
      </c>
      <c r="H101" s="240">
        <v>-182.9</v>
      </c>
      <c r="I101" s="235" t="s">
        <v>290</v>
      </c>
      <c r="J101" s="235" t="s">
        <v>293</v>
      </c>
      <c r="K101" s="235"/>
      <c r="L101" s="197"/>
      <c r="M101" s="197"/>
      <c r="N101" s="197"/>
      <c r="O101" s="197"/>
    </row>
    <row r="102" spans="1:15" hidden="1">
      <c r="A102" s="235" t="s">
        <v>137</v>
      </c>
      <c r="B102" s="236" t="s">
        <v>138</v>
      </c>
      <c r="C102" s="237" t="s">
        <v>287</v>
      </c>
      <c r="D102" s="237" t="s">
        <v>304</v>
      </c>
      <c r="E102" s="238" t="s">
        <v>305</v>
      </c>
      <c r="F102" s="239" t="s">
        <v>142</v>
      </c>
      <c r="G102" s="240">
        <v>-214.9</v>
      </c>
      <c r="H102" s="240">
        <v>-214.9</v>
      </c>
      <c r="I102" s="235" t="s">
        <v>290</v>
      </c>
      <c r="J102" s="235" t="s">
        <v>293</v>
      </c>
      <c r="K102" s="235"/>
      <c r="L102" s="197"/>
      <c r="M102" s="197"/>
      <c r="N102" s="197"/>
      <c r="O102" s="197"/>
    </row>
    <row r="103" spans="1:15" hidden="1">
      <c r="A103" s="195" t="s">
        <v>137</v>
      </c>
      <c r="B103" s="190" t="s">
        <v>138</v>
      </c>
      <c r="C103" s="191" t="s">
        <v>287</v>
      </c>
      <c r="D103" s="191" t="s">
        <v>306</v>
      </c>
      <c r="E103" s="192" t="s">
        <v>307</v>
      </c>
      <c r="F103" s="191" t="s">
        <v>146</v>
      </c>
      <c r="G103" s="193">
        <v>-314</v>
      </c>
      <c r="H103" s="194">
        <v>-314</v>
      </c>
      <c r="I103" s="198" t="s">
        <v>290</v>
      </c>
      <c r="J103" s="234" t="s">
        <v>246</v>
      </c>
      <c r="K103" s="188" t="s">
        <v>290</v>
      </c>
      <c r="L103" s="197"/>
      <c r="M103" s="197"/>
      <c r="N103" s="197"/>
      <c r="O103" s="197"/>
    </row>
    <row r="104" spans="1:15" hidden="1">
      <c r="A104" s="195" t="s">
        <v>137</v>
      </c>
      <c r="B104" s="190" t="s">
        <v>138</v>
      </c>
      <c r="C104" s="191" t="s">
        <v>308</v>
      </c>
      <c r="D104" s="191" t="s">
        <v>309</v>
      </c>
      <c r="E104" s="192" t="s">
        <v>310</v>
      </c>
      <c r="F104" s="191" t="s">
        <v>153</v>
      </c>
      <c r="G104" s="193">
        <v>-836.1</v>
      </c>
      <c r="H104" s="194">
        <v>-836.1</v>
      </c>
      <c r="I104" s="195" t="s">
        <v>290</v>
      </c>
      <c r="J104" s="195" t="s">
        <v>246</v>
      </c>
      <c r="K104" s="213"/>
      <c r="L104" s="197"/>
      <c r="M104" s="197"/>
      <c r="N104" s="197"/>
      <c r="O104" s="197"/>
    </row>
    <row r="105" spans="1:15" hidden="1">
      <c r="A105" s="195" t="s">
        <v>137</v>
      </c>
      <c r="B105" s="190" t="s">
        <v>138</v>
      </c>
      <c r="C105" s="191" t="s">
        <v>308</v>
      </c>
      <c r="D105" s="191" t="s">
        <v>311</v>
      </c>
      <c r="E105" s="192" t="s">
        <v>312</v>
      </c>
      <c r="F105" s="191" t="s">
        <v>146</v>
      </c>
      <c r="G105" s="193">
        <v>-400</v>
      </c>
      <c r="H105" s="194">
        <v>-400</v>
      </c>
      <c r="I105" s="198" t="s">
        <v>290</v>
      </c>
      <c r="J105" s="234" t="s">
        <v>246</v>
      </c>
      <c r="K105" s="188" t="s">
        <v>290</v>
      </c>
      <c r="L105" s="197"/>
      <c r="M105" s="197"/>
      <c r="N105" s="197"/>
      <c r="O105" s="197"/>
    </row>
    <row r="106" spans="1:15" ht="25.5" hidden="1">
      <c r="A106" s="195" t="s">
        <v>137</v>
      </c>
      <c r="B106" s="190" t="s">
        <v>138</v>
      </c>
      <c r="C106" s="191" t="s">
        <v>313</v>
      </c>
      <c r="D106" s="191" t="s">
        <v>314</v>
      </c>
      <c r="E106" s="192" t="s">
        <v>315</v>
      </c>
      <c r="F106" s="191" t="s">
        <v>153</v>
      </c>
      <c r="G106" s="193">
        <v>-200</v>
      </c>
      <c r="H106" s="194">
        <v>-200</v>
      </c>
      <c r="I106" s="195" t="s">
        <v>61</v>
      </c>
      <c r="J106" s="189" t="s">
        <v>316</v>
      </c>
      <c r="K106" s="213"/>
      <c r="L106" s="197"/>
      <c r="M106" s="197"/>
      <c r="N106" s="197"/>
      <c r="O106" s="197"/>
    </row>
    <row r="107" spans="1:15" ht="25.5" hidden="1">
      <c r="A107" s="195" t="s">
        <v>137</v>
      </c>
      <c r="B107" s="190" t="s">
        <v>138</v>
      </c>
      <c r="C107" s="191" t="s">
        <v>313</v>
      </c>
      <c r="D107" s="191" t="s">
        <v>317</v>
      </c>
      <c r="E107" s="192" t="s">
        <v>318</v>
      </c>
      <c r="F107" s="191" t="s">
        <v>153</v>
      </c>
      <c r="G107" s="193">
        <v>-200</v>
      </c>
      <c r="H107" s="194">
        <v>-200</v>
      </c>
      <c r="I107" s="195" t="s">
        <v>61</v>
      </c>
      <c r="J107" s="189" t="s">
        <v>316</v>
      </c>
      <c r="K107" s="188"/>
      <c r="L107" s="197"/>
      <c r="M107" s="197"/>
      <c r="N107" s="197"/>
      <c r="O107" s="197"/>
    </row>
    <row r="108" spans="1:15" ht="38.25" hidden="1">
      <c r="A108" s="195" t="s">
        <v>137</v>
      </c>
      <c r="B108" s="190" t="s">
        <v>138</v>
      </c>
      <c r="C108" s="191" t="s">
        <v>313</v>
      </c>
      <c r="D108" s="191" t="s">
        <v>319</v>
      </c>
      <c r="E108" s="192" t="s">
        <v>320</v>
      </c>
      <c r="F108" s="191" t="s">
        <v>146</v>
      </c>
      <c r="G108" s="193">
        <v>-26.5</v>
      </c>
      <c r="H108" s="194">
        <v>-26.5</v>
      </c>
      <c r="I108" s="198" t="s">
        <v>61</v>
      </c>
      <c r="J108" s="189" t="s">
        <v>316</v>
      </c>
      <c r="K108" s="188"/>
      <c r="L108" s="197"/>
      <c r="M108" s="197"/>
      <c r="N108" s="197"/>
      <c r="O108" s="197"/>
    </row>
    <row r="109" spans="1:15" ht="38.25" hidden="1">
      <c r="A109" s="188" t="s">
        <v>137</v>
      </c>
      <c r="B109" s="200" t="s">
        <v>138</v>
      </c>
      <c r="C109" s="201" t="s">
        <v>313</v>
      </c>
      <c r="D109" s="201" t="s">
        <v>319</v>
      </c>
      <c r="E109" s="202" t="s">
        <v>321</v>
      </c>
      <c r="F109" s="202" t="s">
        <v>149</v>
      </c>
      <c r="G109" s="203">
        <v>-26.5</v>
      </c>
      <c r="H109" s="204">
        <v>-26.5</v>
      </c>
      <c r="I109" s="198" t="s">
        <v>61</v>
      </c>
      <c r="J109" s="189" t="s">
        <v>316</v>
      </c>
      <c r="K109" s="188"/>
      <c r="L109" s="197"/>
      <c r="M109" s="197"/>
      <c r="N109" s="197"/>
      <c r="O109" s="197"/>
    </row>
    <row r="110" spans="1:15" hidden="1">
      <c r="A110" s="195" t="s">
        <v>137</v>
      </c>
      <c r="B110" s="190" t="s">
        <v>138</v>
      </c>
      <c r="C110" s="191" t="s">
        <v>313</v>
      </c>
      <c r="D110" s="191" t="s">
        <v>322</v>
      </c>
      <c r="E110" s="192" t="s">
        <v>323</v>
      </c>
      <c r="F110" s="191" t="s">
        <v>153</v>
      </c>
      <c r="G110" s="193">
        <v>-400</v>
      </c>
      <c r="H110" s="194">
        <v>-400</v>
      </c>
      <c r="I110" s="215" t="s">
        <v>55</v>
      </c>
      <c r="J110" s="195" t="s">
        <v>198</v>
      </c>
      <c r="K110" s="188"/>
      <c r="L110" s="197"/>
      <c r="M110" s="197"/>
      <c r="N110" s="197"/>
      <c r="O110" s="197"/>
    </row>
    <row r="111" spans="1:15" hidden="1">
      <c r="A111" s="188" t="s">
        <v>137</v>
      </c>
      <c r="B111" s="200" t="s">
        <v>138</v>
      </c>
      <c r="C111" s="201" t="s">
        <v>313</v>
      </c>
      <c r="D111" s="201" t="s">
        <v>324</v>
      </c>
      <c r="E111" s="202" t="s">
        <v>325</v>
      </c>
      <c r="F111" s="202" t="s">
        <v>149</v>
      </c>
      <c r="G111" s="203">
        <v>-50</v>
      </c>
      <c r="H111" s="204">
        <v>-50</v>
      </c>
      <c r="I111" s="198" t="s">
        <v>61</v>
      </c>
      <c r="J111" s="189" t="s">
        <v>316</v>
      </c>
      <c r="K111" s="188"/>
      <c r="L111" s="197"/>
      <c r="M111" s="197"/>
      <c r="N111" s="197"/>
      <c r="O111" s="197"/>
    </row>
    <row r="112" spans="1:15" ht="25.5" hidden="1">
      <c r="A112" s="188" t="s">
        <v>137</v>
      </c>
      <c r="B112" s="200" t="s">
        <v>138</v>
      </c>
      <c r="C112" s="201" t="s">
        <v>313</v>
      </c>
      <c r="D112" s="201" t="s">
        <v>326</v>
      </c>
      <c r="E112" s="202" t="s">
        <v>327</v>
      </c>
      <c r="F112" s="202" t="s">
        <v>149</v>
      </c>
      <c r="G112" s="203">
        <v>-3177.74</v>
      </c>
      <c r="H112" s="204">
        <v>-3177.74</v>
      </c>
      <c r="I112" s="198" t="s">
        <v>61</v>
      </c>
      <c r="J112" s="189" t="s">
        <v>316</v>
      </c>
      <c r="K112" s="188"/>
      <c r="L112" s="197"/>
      <c r="M112" s="197"/>
      <c r="N112" s="197"/>
      <c r="O112" s="197"/>
    </row>
    <row r="113" spans="1:15" hidden="1">
      <c r="A113" s="188" t="s">
        <v>137</v>
      </c>
      <c r="B113" s="190" t="s">
        <v>138</v>
      </c>
      <c r="C113" s="191" t="s">
        <v>313</v>
      </c>
      <c r="D113" s="191" t="s">
        <v>328</v>
      </c>
      <c r="E113" s="192" t="s">
        <v>323</v>
      </c>
      <c r="F113" s="191" t="s">
        <v>142</v>
      </c>
      <c r="G113" s="193">
        <v>-600</v>
      </c>
      <c r="H113" s="194">
        <v>-600</v>
      </c>
      <c r="I113" s="215" t="s">
        <v>55</v>
      </c>
      <c r="J113" s="195" t="s">
        <v>198</v>
      </c>
      <c r="K113" s="195"/>
      <c r="L113" s="197"/>
      <c r="M113" s="197"/>
      <c r="N113" s="197"/>
      <c r="O113" s="197"/>
    </row>
    <row r="114" spans="1:15" hidden="1">
      <c r="A114" s="188" t="s">
        <v>137</v>
      </c>
      <c r="B114" s="190" t="s">
        <v>138</v>
      </c>
      <c r="C114" s="191" t="s">
        <v>313</v>
      </c>
      <c r="D114" s="191" t="s">
        <v>328</v>
      </c>
      <c r="E114" s="192" t="s">
        <v>323</v>
      </c>
      <c r="F114" s="191" t="s">
        <v>142</v>
      </c>
      <c r="G114" s="193">
        <v>-1000</v>
      </c>
      <c r="H114" s="194">
        <v>-1000</v>
      </c>
      <c r="I114" s="215" t="s">
        <v>55</v>
      </c>
      <c r="J114" s="195" t="s">
        <v>198</v>
      </c>
      <c r="K114" s="195"/>
      <c r="L114" s="197"/>
      <c r="M114" s="197"/>
      <c r="N114" s="197"/>
      <c r="O114" s="197"/>
    </row>
    <row r="115" spans="1:15" ht="25.5" hidden="1">
      <c r="A115" s="195" t="s">
        <v>137</v>
      </c>
      <c r="B115" s="190" t="s">
        <v>138</v>
      </c>
      <c r="C115" s="191" t="s">
        <v>313</v>
      </c>
      <c r="D115" s="191" t="s">
        <v>329</v>
      </c>
      <c r="E115" s="192" t="s">
        <v>330</v>
      </c>
      <c r="F115" s="191" t="s">
        <v>153</v>
      </c>
      <c r="G115" s="193">
        <v>-200</v>
      </c>
      <c r="H115" s="194">
        <v>-200</v>
      </c>
      <c r="I115" s="195" t="s">
        <v>61</v>
      </c>
      <c r="J115" s="189" t="s">
        <v>316</v>
      </c>
      <c r="K115" s="213"/>
      <c r="L115" s="197"/>
      <c r="M115" s="197"/>
      <c r="N115" s="197"/>
      <c r="O115" s="197"/>
    </row>
    <row r="116" spans="1:15" ht="25.5" hidden="1">
      <c r="A116" s="195" t="s">
        <v>137</v>
      </c>
      <c r="B116" s="190" t="s">
        <v>138</v>
      </c>
      <c r="C116" s="191" t="s">
        <v>313</v>
      </c>
      <c r="D116" s="191" t="s">
        <v>331</v>
      </c>
      <c r="E116" s="192" t="s">
        <v>332</v>
      </c>
      <c r="F116" s="191" t="s">
        <v>153</v>
      </c>
      <c r="G116" s="193">
        <v>-200</v>
      </c>
      <c r="H116" s="194">
        <v>-200</v>
      </c>
      <c r="I116" s="195" t="s">
        <v>61</v>
      </c>
      <c r="J116" s="189" t="s">
        <v>316</v>
      </c>
      <c r="K116" s="188"/>
      <c r="L116" s="197"/>
      <c r="M116" s="197"/>
      <c r="N116" s="197"/>
      <c r="O116" s="197"/>
    </row>
    <row r="117" spans="1:15" hidden="1">
      <c r="A117" s="195" t="s">
        <v>232</v>
      </c>
      <c r="B117" s="190" t="s">
        <v>138</v>
      </c>
      <c r="C117" s="191" t="s">
        <v>313</v>
      </c>
      <c r="D117" s="191" t="s">
        <v>333</v>
      </c>
      <c r="E117" s="192" t="s">
        <v>334</v>
      </c>
      <c r="F117" s="191" t="s">
        <v>153</v>
      </c>
      <c r="G117" s="193">
        <v>-26.5</v>
      </c>
      <c r="H117" s="194">
        <v>-26.5</v>
      </c>
      <c r="I117" s="195" t="s">
        <v>61</v>
      </c>
      <c r="J117" s="189" t="s">
        <v>316</v>
      </c>
      <c r="K117" s="188"/>
      <c r="L117" s="197"/>
      <c r="M117" s="197"/>
      <c r="N117" s="197"/>
      <c r="O117" s="197"/>
    </row>
    <row r="118" spans="1:15" ht="25.5" hidden="1">
      <c r="A118" s="195" t="s">
        <v>232</v>
      </c>
      <c r="B118" s="190" t="s">
        <v>138</v>
      </c>
      <c r="C118" s="191" t="s">
        <v>313</v>
      </c>
      <c r="D118" s="191" t="s">
        <v>333</v>
      </c>
      <c r="E118" s="192" t="s">
        <v>335</v>
      </c>
      <c r="F118" s="191" t="s">
        <v>153</v>
      </c>
      <c r="G118" s="193">
        <v>-26.5</v>
      </c>
      <c r="H118" s="194">
        <v>-26.5</v>
      </c>
      <c r="I118" s="195" t="s">
        <v>61</v>
      </c>
      <c r="J118" s="189" t="s">
        <v>316</v>
      </c>
      <c r="K118" s="188"/>
      <c r="L118" s="197"/>
      <c r="M118" s="197"/>
      <c r="N118" s="197"/>
      <c r="O118" s="197"/>
    </row>
    <row r="119" spans="1:15" ht="25.5" hidden="1">
      <c r="A119" s="195" t="s">
        <v>137</v>
      </c>
      <c r="B119" s="190" t="s">
        <v>138</v>
      </c>
      <c r="C119" s="191" t="s">
        <v>313</v>
      </c>
      <c r="D119" s="191" t="s">
        <v>336</v>
      </c>
      <c r="E119" s="192" t="s">
        <v>337</v>
      </c>
      <c r="F119" s="191" t="s">
        <v>153</v>
      </c>
      <c r="G119" s="193">
        <v>-200</v>
      </c>
      <c r="H119" s="194">
        <v>-200</v>
      </c>
      <c r="I119" s="195" t="s">
        <v>61</v>
      </c>
      <c r="J119" s="189" t="s">
        <v>316</v>
      </c>
      <c r="K119" s="188"/>
      <c r="L119" s="197"/>
      <c r="M119" s="197"/>
      <c r="N119" s="197"/>
      <c r="O119" s="197"/>
    </row>
    <row r="120" spans="1:15" hidden="1">
      <c r="A120" s="188" t="s">
        <v>137</v>
      </c>
      <c r="B120" s="190" t="s">
        <v>138</v>
      </c>
      <c r="C120" s="191" t="s">
        <v>313</v>
      </c>
      <c r="D120" s="191" t="s">
        <v>338</v>
      </c>
      <c r="E120" s="192" t="s">
        <v>323</v>
      </c>
      <c r="F120" s="191" t="s">
        <v>142</v>
      </c>
      <c r="G120" s="193">
        <v>-250</v>
      </c>
      <c r="H120" s="194">
        <v>-250</v>
      </c>
      <c r="I120" s="215" t="s">
        <v>55</v>
      </c>
      <c r="J120" s="195" t="s">
        <v>198</v>
      </c>
      <c r="K120" s="195"/>
      <c r="L120" s="197"/>
      <c r="M120" s="197"/>
      <c r="N120" s="197"/>
      <c r="O120" s="197"/>
    </row>
    <row r="121" spans="1:15" ht="25.5" hidden="1">
      <c r="A121" s="195" t="s">
        <v>137</v>
      </c>
      <c r="B121" s="190" t="s">
        <v>138</v>
      </c>
      <c r="C121" s="191" t="s">
        <v>339</v>
      </c>
      <c r="D121" s="191" t="s">
        <v>340</v>
      </c>
      <c r="E121" s="192" t="s">
        <v>341</v>
      </c>
      <c r="F121" s="191" t="s">
        <v>153</v>
      </c>
      <c r="G121" s="193">
        <v>-587.77</v>
      </c>
      <c r="H121" s="194">
        <v>-587.77</v>
      </c>
      <c r="I121" s="195" t="s">
        <v>88</v>
      </c>
      <c r="J121" s="195" t="s">
        <v>206</v>
      </c>
      <c r="K121" s="188"/>
      <c r="L121" s="197"/>
      <c r="M121" s="197"/>
      <c r="N121" s="197"/>
      <c r="O121" s="197"/>
    </row>
    <row r="122" spans="1:15" ht="25.5" hidden="1">
      <c r="A122" s="195" t="s">
        <v>137</v>
      </c>
      <c r="B122" s="190" t="s">
        <v>138</v>
      </c>
      <c r="C122" s="191" t="s">
        <v>339</v>
      </c>
      <c r="D122" s="191" t="s">
        <v>340</v>
      </c>
      <c r="E122" s="192" t="s">
        <v>342</v>
      </c>
      <c r="F122" s="191" t="s">
        <v>146</v>
      </c>
      <c r="G122" s="193">
        <v>-1175.54</v>
      </c>
      <c r="H122" s="194">
        <v>-1175.54</v>
      </c>
      <c r="I122" s="198" t="s">
        <v>88</v>
      </c>
      <c r="J122" s="234" t="s">
        <v>246</v>
      </c>
      <c r="K122" s="188"/>
      <c r="L122" s="197"/>
      <c r="M122" s="197"/>
      <c r="N122" s="197"/>
      <c r="O122" s="197"/>
    </row>
    <row r="123" spans="1:15" ht="25.5" hidden="1">
      <c r="A123" s="188" t="s">
        <v>137</v>
      </c>
      <c r="B123" s="190" t="s">
        <v>138</v>
      </c>
      <c r="C123" s="191" t="s">
        <v>339</v>
      </c>
      <c r="D123" s="191" t="s">
        <v>340</v>
      </c>
      <c r="E123" s="192" t="s">
        <v>343</v>
      </c>
      <c r="F123" s="191" t="s">
        <v>142</v>
      </c>
      <c r="G123" s="193">
        <v>-587.77</v>
      </c>
      <c r="H123" s="194">
        <v>-587.77</v>
      </c>
      <c r="I123" s="188" t="s">
        <v>88</v>
      </c>
      <c r="J123" s="234" t="s">
        <v>246</v>
      </c>
      <c r="K123" s="195"/>
      <c r="L123" s="197"/>
      <c r="M123" s="197"/>
      <c r="N123" s="197"/>
      <c r="O123" s="197"/>
    </row>
    <row r="124" spans="1:15" hidden="1">
      <c r="A124" s="195" t="s">
        <v>137</v>
      </c>
      <c r="B124" s="190" t="s">
        <v>138</v>
      </c>
      <c r="C124" s="191" t="s">
        <v>100</v>
      </c>
      <c r="D124" s="191" t="s">
        <v>344</v>
      </c>
      <c r="E124" s="192" t="s">
        <v>345</v>
      </c>
      <c r="F124" s="191" t="s">
        <v>153</v>
      </c>
      <c r="G124" s="193">
        <v>-18750</v>
      </c>
      <c r="H124" s="194">
        <v>-18750</v>
      </c>
      <c r="I124" s="195" t="s">
        <v>100</v>
      </c>
      <c r="J124" s="195" t="s">
        <v>206</v>
      </c>
      <c r="K124" s="188"/>
      <c r="L124" s="197"/>
      <c r="M124" s="197"/>
      <c r="N124" s="197"/>
      <c r="O124" s="197"/>
    </row>
    <row r="125" spans="1:15" hidden="1">
      <c r="A125" s="195" t="s">
        <v>137</v>
      </c>
      <c r="B125" s="190" t="s">
        <v>138</v>
      </c>
      <c r="C125" s="191" t="s">
        <v>100</v>
      </c>
      <c r="D125" s="191" t="s">
        <v>344</v>
      </c>
      <c r="E125" s="192" t="s">
        <v>346</v>
      </c>
      <c r="F125" s="191" t="s">
        <v>146</v>
      </c>
      <c r="G125" s="193">
        <v>-18750</v>
      </c>
      <c r="H125" s="194">
        <v>-18750</v>
      </c>
      <c r="I125" s="198" t="s">
        <v>100</v>
      </c>
      <c r="J125" s="195" t="s">
        <v>206</v>
      </c>
      <c r="K125" s="188"/>
      <c r="L125" s="197"/>
      <c r="M125" s="197"/>
      <c r="N125" s="197"/>
      <c r="O125" s="197"/>
    </row>
    <row r="126" spans="1:15" hidden="1">
      <c r="A126" s="188" t="s">
        <v>137</v>
      </c>
      <c r="B126" s="200" t="s">
        <v>138</v>
      </c>
      <c r="C126" s="201" t="s">
        <v>100</v>
      </c>
      <c r="D126" s="201" t="s">
        <v>344</v>
      </c>
      <c r="E126" s="202" t="s">
        <v>347</v>
      </c>
      <c r="F126" s="202" t="s">
        <v>149</v>
      </c>
      <c r="G126" s="203">
        <v>-18750</v>
      </c>
      <c r="H126" s="204">
        <v>-18750</v>
      </c>
      <c r="I126" s="198" t="s">
        <v>100</v>
      </c>
      <c r="J126" s="198" t="s">
        <v>206</v>
      </c>
      <c r="K126" s="188"/>
      <c r="L126" s="197"/>
      <c r="M126" s="197"/>
      <c r="N126" s="197"/>
      <c r="O126" s="197"/>
    </row>
    <row r="127" spans="1:15" hidden="1">
      <c r="A127" s="188" t="s">
        <v>137</v>
      </c>
      <c r="B127" s="190" t="s">
        <v>138</v>
      </c>
      <c r="C127" s="191" t="s">
        <v>100</v>
      </c>
      <c r="D127" s="191" t="s">
        <v>344</v>
      </c>
      <c r="E127" s="192" t="s">
        <v>348</v>
      </c>
      <c r="F127" s="191" t="s">
        <v>142</v>
      </c>
      <c r="G127" s="193">
        <v>-18750</v>
      </c>
      <c r="H127" s="194">
        <v>-18750</v>
      </c>
      <c r="I127" s="188" t="s">
        <v>100</v>
      </c>
      <c r="J127" s="195" t="s">
        <v>277</v>
      </c>
      <c r="K127" s="195"/>
      <c r="L127" s="197"/>
      <c r="M127" s="197"/>
      <c r="N127" s="197"/>
      <c r="O127" s="197"/>
    </row>
    <row r="128" spans="1:15" hidden="1">
      <c r="A128" s="195" t="s">
        <v>137</v>
      </c>
      <c r="B128" s="190" t="s">
        <v>138</v>
      </c>
      <c r="C128" s="191" t="s">
        <v>349</v>
      </c>
      <c r="D128" s="191" t="s">
        <v>350</v>
      </c>
      <c r="E128" s="192" t="s">
        <v>351</v>
      </c>
      <c r="F128" s="191" t="s">
        <v>153</v>
      </c>
      <c r="G128" s="193">
        <v>-92.65</v>
      </c>
      <c r="H128" s="194">
        <v>-92.65</v>
      </c>
      <c r="I128" s="195" t="s">
        <v>100</v>
      </c>
      <c r="J128" s="195" t="s">
        <v>143</v>
      </c>
      <c r="K128" s="188"/>
      <c r="L128" s="197"/>
      <c r="M128" s="197"/>
      <c r="N128" s="197"/>
      <c r="O128" s="197"/>
    </row>
    <row r="129" spans="1:15" ht="25.5" hidden="1">
      <c r="A129" s="195" t="s">
        <v>137</v>
      </c>
      <c r="B129" s="190" t="s">
        <v>138</v>
      </c>
      <c r="C129" s="191" t="s">
        <v>349</v>
      </c>
      <c r="D129" s="191" t="s">
        <v>350</v>
      </c>
      <c r="E129" s="192" t="s">
        <v>352</v>
      </c>
      <c r="F129" s="191" t="s">
        <v>146</v>
      </c>
      <c r="G129" s="193">
        <v>-92.65</v>
      </c>
      <c r="H129" s="194">
        <v>-92.65</v>
      </c>
      <c r="I129" s="198" t="s">
        <v>100</v>
      </c>
      <c r="J129" s="195" t="s">
        <v>143</v>
      </c>
      <c r="K129" s="213"/>
      <c r="L129" s="197"/>
      <c r="M129" s="197"/>
      <c r="N129" s="197"/>
      <c r="O129" s="197"/>
    </row>
    <row r="130" spans="1:15" ht="25.5" hidden="1">
      <c r="A130" s="188" t="s">
        <v>137</v>
      </c>
      <c r="B130" s="200" t="s">
        <v>138</v>
      </c>
      <c r="C130" s="201" t="s">
        <v>349</v>
      </c>
      <c r="D130" s="201" t="s">
        <v>350</v>
      </c>
      <c r="E130" s="202" t="s">
        <v>353</v>
      </c>
      <c r="F130" s="202" t="s">
        <v>149</v>
      </c>
      <c r="G130" s="203">
        <v>-92.65</v>
      </c>
      <c r="H130" s="204">
        <v>-92.65</v>
      </c>
      <c r="I130" s="198" t="s">
        <v>100</v>
      </c>
      <c r="J130" s="198" t="s">
        <v>143</v>
      </c>
      <c r="K130" s="188"/>
      <c r="L130" s="197"/>
      <c r="M130" s="197"/>
      <c r="N130" s="197"/>
      <c r="O130" s="197"/>
    </row>
    <row r="131" spans="1:15" hidden="1">
      <c r="A131" s="188" t="s">
        <v>137</v>
      </c>
      <c r="B131" s="190" t="s">
        <v>138</v>
      </c>
      <c r="C131" s="191" t="s">
        <v>354</v>
      </c>
      <c r="D131" s="191" t="s">
        <v>350</v>
      </c>
      <c r="E131" s="192" t="s">
        <v>355</v>
      </c>
      <c r="F131" s="191" t="s">
        <v>142</v>
      </c>
      <c r="G131" s="193">
        <v>-92.65</v>
      </c>
      <c r="H131" s="194">
        <v>-92.65</v>
      </c>
      <c r="I131" s="188" t="s">
        <v>100</v>
      </c>
      <c r="J131" s="195" t="s">
        <v>143</v>
      </c>
      <c r="K131" s="195"/>
      <c r="L131" s="197"/>
      <c r="M131" s="197"/>
      <c r="N131" s="197"/>
      <c r="O131" s="197"/>
    </row>
    <row r="132" spans="1:15" hidden="1">
      <c r="A132" s="195" t="s">
        <v>232</v>
      </c>
      <c r="B132" s="190" t="s">
        <v>138</v>
      </c>
      <c r="C132" s="191" t="s">
        <v>349</v>
      </c>
      <c r="D132" s="191" t="s">
        <v>356</v>
      </c>
      <c r="E132" s="192" t="s">
        <v>357</v>
      </c>
      <c r="F132" s="191" t="s">
        <v>146</v>
      </c>
      <c r="G132" s="193">
        <v>-1</v>
      </c>
      <c r="H132" s="194">
        <v>-1</v>
      </c>
      <c r="I132" s="198" t="s">
        <v>100</v>
      </c>
      <c r="J132" s="195" t="s">
        <v>143</v>
      </c>
      <c r="K132" s="188"/>
      <c r="L132" s="197"/>
      <c r="M132" s="197"/>
      <c r="N132" s="197"/>
      <c r="O132" s="197"/>
    </row>
    <row r="133" spans="1:15" ht="25.5" hidden="1">
      <c r="A133" s="195" t="s">
        <v>137</v>
      </c>
      <c r="B133" s="190" t="s">
        <v>138</v>
      </c>
      <c r="C133" s="191" t="s">
        <v>349</v>
      </c>
      <c r="D133" s="191" t="s">
        <v>356</v>
      </c>
      <c r="E133" s="192" t="s">
        <v>358</v>
      </c>
      <c r="F133" s="191" t="s">
        <v>146</v>
      </c>
      <c r="G133" s="193">
        <v>-119</v>
      </c>
      <c r="H133" s="194">
        <v>-119</v>
      </c>
      <c r="I133" s="198" t="s">
        <v>100</v>
      </c>
      <c r="J133" s="195" t="s">
        <v>143</v>
      </c>
      <c r="K133" s="188"/>
      <c r="L133" s="197"/>
      <c r="M133" s="197"/>
      <c r="N133" s="197"/>
      <c r="O133" s="197"/>
    </row>
    <row r="134" spans="1:15" ht="25.5" hidden="1">
      <c r="A134" s="188" t="s">
        <v>137</v>
      </c>
      <c r="B134" s="200" t="s">
        <v>138</v>
      </c>
      <c r="C134" s="201" t="s">
        <v>349</v>
      </c>
      <c r="D134" s="201" t="s">
        <v>356</v>
      </c>
      <c r="E134" s="202" t="s">
        <v>359</v>
      </c>
      <c r="F134" s="202" t="s">
        <v>149</v>
      </c>
      <c r="G134" s="203">
        <v>-119</v>
      </c>
      <c r="H134" s="204">
        <v>-119</v>
      </c>
      <c r="I134" s="198" t="s">
        <v>100</v>
      </c>
      <c r="J134" s="198" t="s">
        <v>143</v>
      </c>
      <c r="K134" s="188"/>
      <c r="L134" s="197"/>
      <c r="M134" s="197"/>
      <c r="N134" s="197"/>
      <c r="O134" s="197"/>
    </row>
    <row r="135" spans="1:15" ht="25.5" hidden="1">
      <c r="A135" s="188" t="s">
        <v>137</v>
      </c>
      <c r="B135" s="190" t="s">
        <v>138</v>
      </c>
      <c r="C135" s="191" t="s">
        <v>354</v>
      </c>
      <c r="D135" s="191" t="s">
        <v>356</v>
      </c>
      <c r="E135" s="192" t="s">
        <v>358</v>
      </c>
      <c r="F135" s="191" t="s">
        <v>142</v>
      </c>
      <c r="G135" s="193">
        <v>-119</v>
      </c>
      <c r="H135" s="194">
        <v>-119</v>
      </c>
      <c r="I135" s="188" t="s">
        <v>100</v>
      </c>
      <c r="J135" s="195" t="s">
        <v>143</v>
      </c>
      <c r="K135" s="195"/>
      <c r="L135" s="197"/>
      <c r="M135" s="197"/>
      <c r="N135" s="197"/>
      <c r="O135" s="197"/>
    </row>
    <row r="136" spans="1:15" hidden="1">
      <c r="A136" s="195" t="s">
        <v>137</v>
      </c>
      <c r="B136" s="190" t="s">
        <v>138</v>
      </c>
      <c r="C136" s="191" t="s">
        <v>139</v>
      </c>
      <c r="D136" s="191" t="s">
        <v>193</v>
      </c>
      <c r="E136" s="191" t="s">
        <v>360</v>
      </c>
      <c r="F136" s="191" t="s">
        <v>265</v>
      </c>
      <c r="G136" s="194">
        <v>-200</v>
      </c>
      <c r="H136" s="194">
        <v>-200</v>
      </c>
      <c r="I136" s="198" t="s">
        <v>84</v>
      </c>
      <c r="J136" s="227" t="s">
        <v>198</v>
      </c>
      <c r="K136" s="188" t="s">
        <v>361</v>
      </c>
      <c r="L136" s="197"/>
      <c r="M136" s="197"/>
      <c r="N136" s="197"/>
      <c r="O136" s="197"/>
    </row>
    <row r="137" spans="1:15" hidden="1">
      <c r="A137" s="188" t="s">
        <v>137</v>
      </c>
      <c r="B137" s="190" t="s">
        <v>138</v>
      </c>
      <c r="C137" s="191" t="s">
        <v>354</v>
      </c>
      <c r="D137" s="191" t="s">
        <v>362</v>
      </c>
      <c r="E137" s="192" t="s">
        <v>363</v>
      </c>
      <c r="F137" s="191" t="s">
        <v>142</v>
      </c>
      <c r="G137" s="193">
        <v>-2801.96</v>
      </c>
      <c r="H137" s="194">
        <v>-2801.96</v>
      </c>
      <c r="I137" s="188" t="s">
        <v>100</v>
      </c>
      <c r="J137" s="195" t="s">
        <v>143</v>
      </c>
      <c r="K137" s="196"/>
      <c r="L137" s="197"/>
      <c r="M137" s="197"/>
      <c r="N137" s="197"/>
      <c r="O137" s="197"/>
    </row>
    <row r="138" spans="1:15" ht="25.5" hidden="1">
      <c r="A138" s="195" t="s">
        <v>232</v>
      </c>
      <c r="B138" s="190" t="s">
        <v>138</v>
      </c>
      <c r="C138" s="191" t="s">
        <v>93</v>
      </c>
      <c r="D138" s="191" t="s">
        <v>364</v>
      </c>
      <c r="E138" s="192" t="s">
        <v>365</v>
      </c>
      <c r="F138" s="191" t="s">
        <v>153</v>
      </c>
      <c r="G138" s="193">
        <v>-73.44</v>
      </c>
      <c r="H138" s="194">
        <v>-73.44</v>
      </c>
      <c r="I138" s="195" t="s">
        <v>93</v>
      </c>
      <c r="J138" s="195" t="s">
        <v>164</v>
      </c>
      <c r="K138" s="188" t="s">
        <v>195</v>
      </c>
      <c r="L138" s="197"/>
      <c r="M138" s="197"/>
      <c r="N138" s="197"/>
      <c r="O138" s="197"/>
    </row>
    <row r="139" spans="1:15" ht="25.5" hidden="1">
      <c r="A139" s="195" t="s">
        <v>137</v>
      </c>
      <c r="B139" s="190" t="s">
        <v>138</v>
      </c>
      <c r="C139" s="191" t="s">
        <v>93</v>
      </c>
      <c r="D139" s="191" t="s">
        <v>364</v>
      </c>
      <c r="E139" s="192" t="s">
        <v>366</v>
      </c>
      <c r="F139" s="191" t="s">
        <v>153</v>
      </c>
      <c r="G139" s="193">
        <v>-1175.04</v>
      </c>
      <c r="H139" s="194">
        <v>-1175.04</v>
      </c>
      <c r="I139" s="195" t="s">
        <v>93</v>
      </c>
      <c r="J139" s="195" t="s">
        <v>164</v>
      </c>
      <c r="K139" s="188" t="s">
        <v>195</v>
      </c>
      <c r="L139" s="197"/>
      <c r="M139" s="197"/>
      <c r="N139" s="197"/>
      <c r="O139" s="197"/>
    </row>
    <row r="140" spans="1:15" ht="25.5" hidden="1">
      <c r="A140" s="195" t="s">
        <v>232</v>
      </c>
      <c r="B140" s="190" t="s">
        <v>138</v>
      </c>
      <c r="C140" s="191" t="s">
        <v>93</v>
      </c>
      <c r="D140" s="191" t="s">
        <v>364</v>
      </c>
      <c r="E140" s="192" t="s">
        <v>367</v>
      </c>
      <c r="F140" s="191" t="s">
        <v>146</v>
      </c>
      <c r="G140" s="193">
        <v>-73.44</v>
      </c>
      <c r="H140" s="194">
        <v>-73.44</v>
      </c>
      <c r="I140" s="198" t="s">
        <v>93</v>
      </c>
      <c r="J140" s="198" t="s">
        <v>164</v>
      </c>
      <c r="K140" s="188"/>
      <c r="L140" s="197"/>
      <c r="M140" s="197"/>
      <c r="N140" s="197"/>
      <c r="O140" s="197"/>
    </row>
    <row r="141" spans="1:15" ht="25.5" hidden="1">
      <c r="A141" s="195" t="s">
        <v>137</v>
      </c>
      <c r="B141" s="190" t="s">
        <v>138</v>
      </c>
      <c r="C141" s="191" t="s">
        <v>93</v>
      </c>
      <c r="D141" s="191" t="s">
        <v>364</v>
      </c>
      <c r="E141" s="192" t="s">
        <v>367</v>
      </c>
      <c r="F141" s="191" t="s">
        <v>146</v>
      </c>
      <c r="G141" s="193">
        <v>-1175.04</v>
      </c>
      <c r="H141" s="194">
        <v>-1175.04</v>
      </c>
      <c r="I141" s="198" t="s">
        <v>93</v>
      </c>
      <c r="J141" s="198" t="s">
        <v>164</v>
      </c>
      <c r="K141" s="188"/>
      <c r="L141" s="197"/>
      <c r="M141" s="197"/>
      <c r="N141" s="197"/>
      <c r="O141" s="197"/>
    </row>
    <row r="142" spans="1:15" ht="25.5" hidden="1">
      <c r="A142" s="188" t="s">
        <v>232</v>
      </c>
      <c r="B142" s="200" t="s">
        <v>138</v>
      </c>
      <c r="C142" s="201" t="s">
        <v>93</v>
      </c>
      <c r="D142" s="201" t="s">
        <v>364</v>
      </c>
      <c r="E142" s="202" t="s">
        <v>368</v>
      </c>
      <c r="F142" s="202" t="s">
        <v>149</v>
      </c>
      <c r="G142" s="203">
        <v>-73.44</v>
      </c>
      <c r="H142" s="204">
        <v>-73.44</v>
      </c>
      <c r="I142" s="198" t="s">
        <v>93</v>
      </c>
      <c r="J142" s="198" t="s">
        <v>164</v>
      </c>
      <c r="K142" s="188"/>
      <c r="L142" s="197"/>
      <c r="M142" s="197"/>
      <c r="N142" s="197"/>
      <c r="O142" s="197"/>
    </row>
    <row r="143" spans="1:15" ht="25.5" hidden="1">
      <c r="A143" s="188" t="s">
        <v>137</v>
      </c>
      <c r="B143" s="200" t="s">
        <v>138</v>
      </c>
      <c r="C143" s="201" t="s">
        <v>93</v>
      </c>
      <c r="D143" s="201" t="s">
        <v>364</v>
      </c>
      <c r="E143" s="202" t="s">
        <v>369</v>
      </c>
      <c r="F143" s="202" t="s">
        <v>149</v>
      </c>
      <c r="G143" s="203">
        <v>-1175.04</v>
      </c>
      <c r="H143" s="204">
        <v>-1175.04</v>
      </c>
      <c r="I143" s="198" t="s">
        <v>93</v>
      </c>
      <c r="J143" s="198" t="s">
        <v>164</v>
      </c>
      <c r="K143" s="188"/>
      <c r="L143" s="197"/>
      <c r="M143" s="197"/>
      <c r="N143" s="197"/>
      <c r="O143" s="197"/>
    </row>
    <row r="144" spans="1:15" ht="25.5" hidden="1">
      <c r="A144" s="188" t="s">
        <v>232</v>
      </c>
      <c r="B144" s="190" t="s">
        <v>138</v>
      </c>
      <c r="C144" s="191" t="s">
        <v>93</v>
      </c>
      <c r="D144" s="191" t="s">
        <v>364</v>
      </c>
      <c r="E144" s="192" t="s">
        <v>370</v>
      </c>
      <c r="F144" s="191" t="s">
        <v>142</v>
      </c>
      <c r="G144" s="193">
        <v>-73.44</v>
      </c>
      <c r="H144" s="194">
        <v>-73.44</v>
      </c>
      <c r="I144" s="188" t="s">
        <v>93</v>
      </c>
      <c r="J144" s="198" t="s">
        <v>164</v>
      </c>
      <c r="K144" s="195"/>
      <c r="L144" s="197"/>
      <c r="M144" s="197"/>
      <c r="N144" s="197"/>
      <c r="O144" s="197"/>
    </row>
    <row r="145" spans="1:15" ht="25.5" hidden="1">
      <c r="A145" s="188" t="s">
        <v>137</v>
      </c>
      <c r="B145" s="190" t="s">
        <v>138</v>
      </c>
      <c r="C145" s="191" t="s">
        <v>93</v>
      </c>
      <c r="D145" s="191" t="s">
        <v>364</v>
      </c>
      <c r="E145" s="192" t="s">
        <v>371</v>
      </c>
      <c r="F145" s="191" t="s">
        <v>142</v>
      </c>
      <c r="G145" s="193">
        <v>-1224</v>
      </c>
      <c r="H145" s="194">
        <v>-1224</v>
      </c>
      <c r="I145" s="188" t="s">
        <v>93</v>
      </c>
      <c r="J145" s="198" t="s">
        <v>164</v>
      </c>
      <c r="K145" s="195"/>
      <c r="L145" s="197"/>
      <c r="M145" s="197"/>
      <c r="N145" s="197"/>
      <c r="O145" s="197"/>
    </row>
    <row r="146" spans="1:15" hidden="1">
      <c r="A146" s="195" t="s">
        <v>232</v>
      </c>
      <c r="B146" s="190" t="s">
        <v>138</v>
      </c>
      <c r="C146" s="191" t="s">
        <v>93</v>
      </c>
      <c r="D146" s="191" t="s">
        <v>372</v>
      </c>
      <c r="E146" s="192" t="s">
        <v>373</v>
      </c>
      <c r="F146" s="191" t="s">
        <v>153</v>
      </c>
      <c r="G146" s="193">
        <v>-2647.76</v>
      </c>
      <c r="H146" s="194">
        <v>-2647.76</v>
      </c>
      <c r="I146" s="195" t="s">
        <v>93</v>
      </c>
      <c r="J146" s="195" t="s">
        <v>164</v>
      </c>
      <c r="K146" s="188"/>
      <c r="L146" s="197"/>
      <c r="M146" s="197"/>
      <c r="N146" s="197"/>
      <c r="O146" s="197"/>
    </row>
    <row r="147" spans="1:15" hidden="1">
      <c r="A147" s="195" t="s">
        <v>137</v>
      </c>
      <c r="B147" s="190" t="s">
        <v>138</v>
      </c>
      <c r="C147" s="191" t="s">
        <v>93</v>
      </c>
      <c r="D147" s="191" t="s">
        <v>372</v>
      </c>
      <c r="E147" s="192" t="s">
        <v>373</v>
      </c>
      <c r="F147" s="191" t="s">
        <v>153</v>
      </c>
      <c r="G147" s="193">
        <v>-2144.65</v>
      </c>
      <c r="H147" s="194">
        <v>-2144.65</v>
      </c>
      <c r="I147" s="195" t="s">
        <v>93</v>
      </c>
      <c r="J147" s="195" t="s">
        <v>164</v>
      </c>
      <c r="K147" s="213"/>
      <c r="L147" s="197"/>
      <c r="M147" s="197"/>
      <c r="N147" s="197"/>
      <c r="O147" s="197"/>
    </row>
    <row r="148" spans="1:15" ht="25.5" hidden="1">
      <c r="A148" s="195" t="s">
        <v>137</v>
      </c>
      <c r="B148" s="190" t="s">
        <v>138</v>
      </c>
      <c r="C148" s="191" t="s">
        <v>93</v>
      </c>
      <c r="D148" s="191" t="s">
        <v>372</v>
      </c>
      <c r="E148" s="192" t="s">
        <v>374</v>
      </c>
      <c r="F148" s="191" t="s">
        <v>153</v>
      </c>
      <c r="G148" s="193">
        <v>-130</v>
      </c>
      <c r="H148" s="194">
        <v>-130</v>
      </c>
      <c r="I148" s="195" t="s">
        <v>93</v>
      </c>
      <c r="J148" s="195" t="s">
        <v>164</v>
      </c>
      <c r="K148" s="213"/>
      <c r="L148" s="197"/>
      <c r="M148" s="197"/>
      <c r="N148" s="197"/>
      <c r="O148" s="197"/>
    </row>
    <row r="149" spans="1:15" hidden="1">
      <c r="A149" s="195" t="s">
        <v>232</v>
      </c>
      <c r="B149" s="190" t="s">
        <v>138</v>
      </c>
      <c r="C149" s="191" t="s">
        <v>93</v>
      </c>
      <c r="D149" s="191" t="s">
        <v>372</v>
      </c>
      <c r="E149" s="192" t="s">
        <v>375</v>
      </c>
      <c r="F149" s="191" t="s">
        <v>146</v>
      </c>
      <c r="G149" s="193">
        <v>-2647.76</v>
      </c>
      <c r="H149" s="194">
        <v>-2647.76</v>
      </c>
      <c r="I149" s="198" t="s">
        <v>93</v>
      </c>
      <c r="J149" s="198" t="s">
        <v>164</v>
      </c>
      <c r="K149" s="188"/>
      <c r="L149" s="197"/>
      <c r="M149" s="197"/>
      <c r="N149" s="197"/>
      <c r="O149" s="197"/>
    </row>
    <row r="150" spans="1:15" hidden="1">
      <c r="A150" s="195" t="s">
        <v>137</v>
      </c>
      <c r="B150" s="190" t="s">
        <v>138</v>
      </c>
      <c r="C150" s="191" t="s">
        <v>93</v>
      </c>
      <c r="D150" s="191" t="s">
        <v>372</v>
      </c>
      <c r="E150" s="192" t="s">
        <v>376</v>
      </c>
      <c r="F150" s="191" t="s">
        <v>146</v>
      </c>
      <c r="G150" s="193">
        <v>-2144.65</v>
      </c>
      <c r="H150" s="194">
        <v>-2144.65</v>
      </c>
      <c r="I150" s="198" t="s">
        <v>93</v>
      </c>
      <c r="J150" s="198" t="s">
        <v>164</v>
      </c>
      <c r="K150" s="188"/>
      <c r="L150" s="197"/>
      <c r="M150" s="197"/>
      <c r="N150" s="197"/>
      <c r="O150" s="197"/>
    </row>
    <row r="151" spans="1:15" ht="25.5" hidden="1">
      <c r="A151" s="195" t="s">
        <v>137</v>
      </c>
      <c r="B151" s="190" t="s">
        <v>138</v>
      </c>
      <c r="C151" s="191" t="s">
        <v>93</v>
      </c>
      <c r="D151" s="191" t="s">
        <v>372</v>
      </c>
      <c r="E151" s="192" t="s">
        <v>377</v>
      </c>
      <c r="F151" s="191" t="s">
        <v>146</v>
      </c>
      <c r="G151" s="193">
        <v>-130</v>
      </c>
      <c r="H151" s="194">
        <v>-130</v>
      </c>
      <c r="I151" s="198" t="s">
        <v>93</v>
      </c>
      <c r="J151" s="198" t="s">
        <v>164</v>
      </c>
      <c r="K151" s="213"/>
      <c r="L151" s="197"/>
      <c r="M151" s="197"/>
      <c r="N151" s="197"/>
      <c r="O151" s="197"/>
    </row>
    <row r="152" spans="1:15" hidden="1">
      <c r="A152" s="188" t="s">
        <v>232</v>
      </c>
      <c r="B152" s="200" t="s">
        <v>138</v>
      </c>
      <c r="C152" s="201" t="s">
        <v>93</v>
      </c>
      <c r="D152" s="201" t="s">
        <v>372</v>
      </c>
      <c r="E152" s="202" t="s">
        <v>378</v>
      </c>
      <c r="F152" s="202" t="s">
        <v>149</v>
      </c>
      <c r="G152" s="203">
        <v>-2647.76</v>
      </c>
      <c r="H152" s="204">
        <v>-2647.76</v>
      </c>
      <c r="I152" s="198" t="s">
        <v>93</v>
      </c>
      <c r="J152" s="198" t="s">
        <v>164</v>
      </c>
      <c r="K152" s="188"/>
      <c r="L152" s="197"/>
      <c r="M152" s="197"/>
      <c r="N152" s="197"/>
      <c r="O152" s="197"/>
    </row>
    <row r="153" spans="1:15" ht="25.5" hidden="1">
      <c r="A153" s="188" t="s">
        <v>137</v>
      </c>
      <c r="B153" s="200" t="s">
        <v>138</v>
      </c>
      <c r="C153" s="201" t="s">
        <v>93</v>
      </c>
      <c r="D153" s="201" t="s">
        <v>372</v>
      </c>
      <c r="E153" s="202" t="s">
        <v>379</v>
      </c>
      <c r="F153" s="202" t="s">
        <v>149</v>
      </c>
      <c r="G153" s="203">
        <v>-130</v>
      </c>
      <c r="H153" s="204">
        <v>-130</v>
      </c>
      <c r="I153" s="198" t="s">
        <v>93</v>
      </c>
      <c r="J153" s="198" t="s">
        <v>164</v>
      </c>
      <c r="K153" s="188"/>
      <c r="L153" s="197"/>
      <c r="M153" s="197"/>
      <c r="N153" s="197"/>
      <c r="O153" s="197"/>
    </row>
    <row r="154" spans="1:15" hidden="1">
      <c r="A154" s="188" t="s">
        <v>137</v>
      </c>
      <c r="B154" s="200" t="s">
        <v>138</v>
      </c>
      <c r="C154" s="201" t="s">
        <v>93</v>
      </c>
      <c r="D154" s="201" t="s">
        <v>372</v>
      </c>
      <c r="E154" s="202" t="s">
        <v>378</v>
      </c>
      <c r="F154" s="202" t="s">
        <v>149</v>
      </c>
      <c r="G154" s="203">
        <v>-2144.65</v>
      </c>
      <c r="H154" s="204">
        <v>-2144.65</v>
      </c>
      <c r="I154" s="198" t="s">
        <v>93</v>
      </c>
      <c r="J154" s="198" t="s">
        <v>164</v>
      </c>
      <c r="K154" s="188"/>
      <c r="L154" s="197"/>
      <c r="M154" s="197"/>
      <c r="N154" s="197"/>
      <c r="O154" s="197"/>
    </row>
    <row r="155" spans="1:15" hidden="1">
      <c r="A155" s="188" t="s">
        <v>232</v>
      </c>
      <c r="B155" s="190" t="s">
        <v>138</v>
      </c>
      <c r="C155" s="191" t="s">
        <v>93</v>
      </c>
      <c r="D155" s="191" t="s">
        <v>372</v>
      </c>
      <c r="E155" s="192" t="s">
        <v>380</v>
      </c>
      <c r="F155" s="191" t="s">
        <v>142</v>
      </c>
      <c r="G155" s="193">
        <v>-2647.76</v>
      </c>
      <c r="H155" s="194">
        <v>-2647.76</v>
      </c>
      <c r="I155" s="188" t="s">
        <v>93</v>
      </c>
      <c r="J155" s="198" t="s">
        <v>164</v>
      </c>
      <c r="K155" s="196"/>
      <c r="L155" s="197"/>
      <c r="M155" s="197"/>
      <c r="N155" s="197"/>
      <c r="O155" s="197"/>
    </row>
    <row r="156" spans="1:15" ht="25.5" hidden="1">
      <c r="A156" s="188" t="s">
        <v>137</v>
      </c>
      <c r="B156" s="190" t="s">
        <v>138</v>
      </c>
      <c r="C156" s="191" t="s">
        <v>93</v>
      </c>
      <c r="D156" s="191" t="s">
        <v>372</v>
      </c>
      <c r="E156" s="192" t="s">
        <v>381</v>
      </c>
      <c r="F156" s="191" t="s">
        <v>142</v>
      </c>
      <c r="G156" s="193">
        <v>-130</v>
      </c>
      <c r="H156" s="194">
        <v>-130</v>
      </c>
      <c r="I156" s="188" t="s">
        <v>93</v>
      </c>
      <c r="J156" s="198" t="s">
        <v>164</v>
      </c>
      <c r="K156" s="195"/>
      <c r="L156" s="197"/>
      <c r="M156" s="197"/>
      <c r="N156" s="197"/>
      <c r="O156" s="197"/>
    </row>
    <row r="157" spans="1:15" hidden="1">
      <c r="A157" s="188" t="s">
        <v>137</v>
      </c>
      <c r="B157" s="190" t="s">
        <v>138</v>
      </c>
      <c r="C157" s="191" t="s">
        <v>93</v>
      </c>
      <c r="D157" s="191" t="s">
        <v>372</v>
      </c>
      <c r="E157" s="192" t="s">
        <v>382</v>
      </c>
      <c r="F157" s="191" t="s">
        <v>142</v>
      </c>
      <c r="G157" s="193">
        <v>-2144.65</v>
      </c>
      <c r="H157" s="194">
        <v>-2144.65</v>
      </c>
      <c r="I157" s="188" t="s">
        <v>93</v>
      </c>
      <c r="J157" s="198" t="s">
        <v>164</v>
      </c>
      <c r="K157" s="195"/>
      <c r="L157" s="197"/>
      <c r="M157" s="197"/>
      <c r="N157" s="197"/>
      <c r="O157" s="197"/>
    </row>
    <row r="158" spans="1:15" hidden="1">
      <c r="A158" s="195" t="s">
        <v>232</v>
      </c>
      <c r="B158" s="190" t="s">
        <v>138</v>
      </c>
      <c r="C158" s="191" t="s">
        <v>93</v>
      </c>
      <c r="D158" s="195" t="s">
        <v>383</v>
      </c>
      <c r="E158" s="208" t="s">
        <v>384</v>
      </c>
      <c r="F158" s="195" t="s">
        <v>153</v>
      </c>
      <c r="G158" s="242">
        <v>-2200</v>
      </c>
      <c r="H158" s="243">
        <v>-2200</v>
      </c>
      <c r="I158" s="195" t="s">
        <v>93</v>
      </c>
      <c r="J158" s="195" t="s">
        <v>164</v>
      </c>
      <c r="K158" s="213"/>
      <c r="L158" s="197"/>
      <c r="M158" s="197"/>
      <c r="N158" s="197"/>
      <c r="O158" s="197"/>
    </row>
    <row r="159" spans="1:15">
      <c r="A159" s="188" t="s">
        <v>243</v>
      </c>
      <c r="B159" s="229" t="s">
        <v>138</v>
      </c>
      <c r="C159" s="230" t="s">
        <v>74</v>
      </c>
      <c r="D159" s="230" t="s">
        <v>257</v>
      </c>
      <c r="E159" s="230" t="s">
        <v>385</v>
      </c>
      <c r="F159" s="231" t="s">
        <v>268</v>
      </c>
      <c r="G159" s="232">
        <v>-3385.05</v>
      </c>
      <c r="H159" s="232">
        <v>-3385.05</v>
      </c>
      <c r="I159" s="198" t="s">
        <v>74</v>
      </c>
      <c r="J159" s="228" t="s">
        <v>143</v>
      </c>
      <c r="K159" s="233"/>
      <c r="L159" s="197"/>
      <c r="M159" s="197"/>
      <c r="N159" s="197"/>
      <c r="O159" s="197"/>
    </row>
    <row r="160" spans="1:15" hidden="1">
      <c r="A160" s="188" t="s">
        <v>243</v>
      </c>
      <c r="B160" s="200" t="s">
        <v>138</v>
      </c>
      <c r="C160" s="201" t="s">
        <v>74</v>
      </c>
      <c r="D160" s="201" t="s">
        <v>257</v>
      </c>
      <c r="E160" s="202" t="s">
        <v>386</v>
      </c>
      <c r="F160" s="202" t="s">
        <v>149</v>
      </c>
      <c r="G160" s="203">
        <v>-2380.1</v>
      </c>
      <c r="H160" s="204">
        <v>-2380.1</v>
      </c>
      <c r="I160" s="198" t="s">
        <v>74</v>
      </c>
      <c r="J160" s="198" t="s">
        <v>143</v>
      </c>
      <c r="K160" s="188"/>
      <c r="L160" s="197"/>
      <c r="M160" s="197"/>
      <c r="N160" s="197"/>
      <c r="O160" s="197"/>
    </row>
    <row r="161" spans="1:15" ht="25.5" hidden="1">
      <c r="A161" s="188" t="s">
        <v>232</v>
      </c>
      <c r="B161" s="200" t="s">
        <v>138</v>
      </c>
      <c r="C161" s="201" t="s">
        <v>93</v>
      </c>
      <c r="D161" s="201" t="s">
        <v>383</v>
      </c>
      <c r="E161" s="202" t="s">
        <v>387</v>
      </c>
      <c r="F161" s="202" t="s">
        <v>149</v>
      </c>
      <c r="G161" s="203">
        <v>-1500</v>
      </c>
      <c r="H161" s="204">
        <v>-1500</v>
      </c>
      <c r="I161" s="198" t="s">
        <v>93</v>
      </c>
      <c r="J161" s="198" t="s">
        <v>164</v>
      </c>
      <c r="K161" s="213"/>
      <c r="L161" s="197"/>
      <c r="M161" s="197"/>
      <c r="N161" s="197"/>
      <c r="O161" s="197"/>
    </row>
    <row r="162" spans="1:15" hidden="1">
      <c r="A162" s="188" t="s">
        <v>137</v>
      </c>
      <c r="B162" s="200" t="s">
        <v>138</v>
      </c>
      <c r="C162" s="201" t="s">
        <v>93</v>
      </c>
      <c r="D162" s="201" t="s">
        <v>383</v>
      </c>
      <c r="E162" s="202" t="s">
        <v>388</v>
      </c>
      <c r="F162" s="202" t="s">
        <v>149</v>
      </c>
      <c r="G162" s="203">
        <v>-1442.4</v>
      </c>
      <c r="H162" s="204">
        <v>-1500</v>
      </c>
      <c r="I162" s="198" t="s">
        <v>93</v>
      </c>
      <c r="J162" s="198" t="s">
        <v>164</v>
      </c>
      <c r="K162" s="213"/>
      <c r="L162" s="197"/>
      <c r="M162" s="197"/>
      <c r="N162" s="197"/>
      <c r="O162" s="197"/>
    </row>
    <row r="163" spans="1:15" hidden="1">
      <c r="A163" s="188" t="s">
        <v>243</v>
      </c>
      <c r="B163" s="189" t="s">
        <v>138</v>
      </c>
      <c r="C163" s="209" t="s">
        <v>74</v>
      </c>
      <c r="D163" s="209" t="s">
        <v>257</v>
      </c>
      <c r="E163" s="209" t="s">
        <v>389</v>
      </c>
      <c r="F163" s="209" t="s">
        <v>261</v>
      </c>
      <c r="G163" s="211">
        <v>-2359.7800000000002</v>
      </c>
      <c r="H163" s="212">
        <v>-2359.7800000000002</v>
      </c>
      <c r="I163" s="198" t="s">
        <v>74</v>
      </c>
      <c r="J163" s="195" t="s">
        <v>143</v>
      </c>
      <c r="K163" s="188"/>
      <c r="L163" s="197"/>
      <c r="M163" s="197"/>
      <c r="N163" s="197"/>
      <c r="O163" s="197"/>
    </row>
    <row r="164" spans="1:15" hidden="1">
      <c r="A164" s="188" t="s">
        <v>243</v>
      </c>
      <c r="B164" s="200" t="s">
        <v>138</v>
      </c>
      <c r="C164" s="201" t="s">
        <v>74</v>
      </c>
      <c r="D164" s="201" t="s">
        <v>257</v>
      </c>
      <c r="E164" s="202" t="s">
        <v>390</v>
      </c>
      <c r="F164" s="202" t="s">
        <v>146</v>
      </c>
      <c r="G164" s="203">
        <v>-2235.66</v>
      </c>
      <c r="H164" s="204">
        <v>-2235.66</v>
      </c>
      <c r="I164" s="198" t="s">
        <v>74</v>
      </c>
      <c r="J164" s="198" t="s">
        <v>143</v>
      </c>
      <c r="K164" s="188"/>
      <c r="L164" s="197"/>
      <c r="M164" s="197"/>
      <c r="N164" s="197"/>
      <c r="O164" s="197"/>
    </row>
    <row r="165" spans="1:15" hidden="1">
      <c r="A165" s="188" t="s">
        <v>137</v>
      </c>
      <c r="B165" s="190" t="s">
        <v>138</v>
      </c>
      <c r="C165" s="191" t="s">
        <v>83</v>
      </c>
      <c r="D165" s="191" t="s">
        <v>391</v>
      </c>
      <c r="E165" s="192" t="s">
        <v>392</v>
      </c>
      <c r="F165" s="191" t="s">
        <v>1</v>
      </c>
      <c r="G165" s="193">
        <v>-10000</v>
      </c>
      <c r="H165" s="206">
        <v>-10000</v>
      </c>
      <c r="I165" s="188" t="s">
        <v>83</v>
      </c>
      <c r="J165" s="189" t="s">
        <v>159</v>
      </c>
      <c r="K165" s="195"/>
      <c r="L165" s="197"/>
      <c r="M165" s="197"/>
      <c r="N165" s="197"/>
      <c r="O165" s="197"/>
    </row>
    <row r="166" spans="1:15" hidden="1">
      <c r="A166" s="188" t="s">
        <v>137</v>
      </c>
      <c r="B166" s="190" t="s">
        <v>138</v>
      </c>
      <c r="C166" s="191" t="s">
        <v>83</v>
      </c>
      <c r="D166" s="191" t="s">
        <v>391</v>
      </c>
      <c r="E166" s="192" t="s">
        <v>392</v>
      </c>
      <c r="F166" s="191" t="s">
        <v>2</v>
      </c>
      <c r="G166" s="193">
        <v>-10000</v>
      </c>
      <c r="H166" s="206">
        <v>-10000</v>
      </c>
      <c r="I166" s="188" t="s">
        <v>83</v>
      </c>
      <c r="J166" s="189" t="s">
        <v>159</v>
      </c>
      <c r="K166" s="195"/>
      <c r="L166" s="197"/>
      <c r="M166" s="197"/>
      <c r="N166" s="197"/>
      <c r="O166" s="197"/>
    </row>
    <row r="167" spans="1:15" ht="25.5" hidden="1">
      <c r="A167" s="195" t="s">
        <v>232</v>
      </c>
      <c r="B167" s="190" t="s">
        <v>138</v>
      </c>
      <c r="C167" s="191" t="s">
        <v>83</v>
      </c>
      <c r="D167" s="191" t="s">
        <v>393</v>
      </c>
      <c r="E167" s="192" t="s">
        <v>394</v>
      </c>
      <c r="F167" s="191" t="s">
        <v>153</v>
      </c>
      <c r="G167" s="193">
        <v>-1250</v>
      </c>
      <c r="H167" s="194">
        <v>-1250</v>
      </c>
      <c r="I167" s="195" t="s">
        <v>83</v>
      </c>
      <c r="J167" s="195" t="s">
        <v>164</v>
      </c>
      <c r="K167" s="213"/>
      <c r="L167" s="197"/>
      <c r="M167" s="197"/>
      <c r="N167" s="197"/>
      <c r="O167" s="197"/>
    </row>
    <row r="168" spans="1:15" ht="25.5" hidden="1">
      <c r="A168" s="188" t="s">
        <v>232</v>
      </c>
      <c r="B168" s="200" t="s">
        <v>138</v>
      </c>
      <c r="C168" s="201" t="s">
        <v>83</v>
      </c>
      <c r="D168" s="201" t="s">
        <v>393</v>
      </c>
      <c r="E168" s="202" t="s">
        <v>395</v>
      </c>
      <c r="F168" s="202" t="s">
        <v>146</v>
      </c>
      <c r="G168" s="203">
        <v>-450</v>
      </c>
      <c r="H168" s="204">
        <v>-450</v>
      </c>
      <c r="I168" s="198" t="s">
        <v>83</v>
      </c>
      <c r="J168" s="198" t="s">
        <v>164</v>
      </c>
      <c r="K168" s="188"/>
      <c r="L168" s="197"/>
      <c r="M168" s="197"/>
      <c r="N168" s="197"/>
      <c r="O168" s="197"/>
    </row>
    <row r="169" spans="1:15" ht="25.5" hidden="1">
      <c r="A169" s="188" t="s">
        <v>232</v>
      </c>
      <c r="B169" s="200" t="s">
        <v>138</v>
      </c>
      <c r="C169" s="201" t="s">
        <v>83</v>
      </c>
      <c r="D169" s="201" t="s">
        <v>393</v>
      </c>
      <c r="E169" s="202" t="s">
        <v>396</v>
      </c>
      <c r="F169" s="202" t="s">
        <v>149</v>
      </c>
      <c r="G169" s="203">
        <v>-450</v>
      </c>
      <c r="H169" s="204">
        <v>-450</v>
      </c>
      <c r="I169" s="198" t="s">
        <v>83</v>
      </c>
      <c r="J169" s="198" t="s">
        <v>164</v>
      </c>
      <c r="K169" s="188"/>
      <c r="L169" s="197"/>
      <c r="M169" s="197"/>
      <c r="N169" s="197"/>
      <c r="O169" s="197"/>
    </row>
    <row r="170" spans="1:15" ht="25.5" hidden="1">
      <c r="A170" s="188" t="s">
        <v>232</v>
      </c>
      <c r="B170" s="190" t="s">
        <v>138</v>
      </c>
      <c r="C170" s="191" t="s">
        <v>83</v>
      </c>
      <c r="D170" s="191" t="s">
        <v>393</v>
      </c>
      <c r="E170" s="192" t="s">
        <v>397</v>
      </c>
      <c r="F170" s="191" t="s">
        <v>142</v>
      </c>
      <c r="G170" s="193">
        <v>-450</v>
      </c>
      <c r="H170" s="194">
        <v>-450</v>
      </c>
      <c r="I170" s="188" t="s">
        <v>83</v>
      </c>
      <c r="J170" s="198" t="s">
        <v>164</v>
      </c>
      <c r="K170" s="195"/>
      <c r="L170" s="197"/>
      <c r="M170" s="197"/>
      <c r="N170" s="197"/>
      <c r="O170" s="197"/>
    </row>
    <row r="171" spans="1:15" ht="25.5" hidden="1">
      <c r="A171" s="195" t="s">
        <v>137</v>
      </c>
      <c r="B171" s="190" t="s">
        <v>138</v>
      </c>
      <c r="C171" s="191" t="s">
        <v>349</v>
      </c>
      <c r="D171" s="191" t="s">
        <v>398</v>
      </c>
      <c r="E171" s="192" t="s">
        <v>399</v>
      </c>
      <c r="F171" s="191" t="s">
        <v>153</v>
      </c>
      <c r="G171" s="193">
        <v>-147</v>
      </c>
      <c r="H171" s="194">
        <v>-147</v>
      </c>
      <c r="I171" s="195" t="s">
        <v>100</v>
      </c>
      <c r="J171" s="227" t="s">
        <v>143</v>
      </c>
      <c r="K171" s="188"/>
      <c r="L171" s="197"/>
      <c r="M171" s="197"/>
      <c r="N171" s="197"/>
      <c r="O171" s="197"/>
    </row>
    <row r="172" spans="1:15" ht="25.5" hidden="1">
      <c r="A172" s="188" t="s">
        <v>232</v>
      </c>
      <c r="B172" s="200" t="s">
        <v>138</v>
      </c>
      <c r="C172" s="201" t="s">
        <v>57</v>
      </c>
      <c r="D172" s="201" t="s">
        <v>400</v>
      </c>
      <c r="E172" s="202" t="s">
        <v>401</v>
      </c>
      <c r="F172" s="202" t="s">
        <v>149</v>
      </c>
      <c r="G172" s="203">
        <v>-6283.09</v>
      </c>
      <c r="H172" s="204">
        <v>-6283.09</v>
      </c>
      <c r="I172" s="198" t="s">
        <v>57</v>
      </c>
      <c r="J172" s="198" t="s">
        <v>169</v>
      </c>
      <c r="K172" s="188"/>
      <c r="L172" s="197"/>
      <c r="M172" s="197"/>
      <c r="N172" s="197"/>
      <c r="O172" s="197"/>
    </row>
    <row r="173" spans="1:15" ht="25.5" hidden="1">
      <c r="A173" s="195" t="s">
        <v>232</v>
      </c>
      <c r="B173" s="190" t="s">
        <v>138</v>
      </c>
      <c r="C173" s="191" t="s">
        <v>38</v>
      </c>
      <c r="D173" s="191" t="s">
        <v>232</v>
      </c>
      <c r="E173" s="192" t="s">
        <v>402</v>
      </c>
      <c r="F173" s="191" t="s">
        <v>153</v>
      </c>
      <c r="G173" s="193">
        <v>-127.3</v>
      </c>
      <c r="H173" s="194">
        <v>-127.3</v>
      </c>
      <c r="I173" s="195" t="s">
        <v>38</v>
      </c>
      <c r="J173" s="244" t="s">
        <v>169</v>
      </c>
      <c r="K173" s="213"/>
      <c r="L173" s="197"/>
      <c r="M173" s="197"/>
      <c r="N173" s="197"/>
      <c r="O173" s="197"/>
    </row>
    <row r="174" spans="1:15" hidden="1">
      <c r="A174" s="195" t="s">
        <v>137</v>
      </c>
      <c r="B174" s="190" t="s">
        <v>138</v>
      </c>
      <c r="C174" s="191" t="s">
        <v>38</v>
      </c>
      <c r="D174" s="191" t="s">
        <v>403</v>
      </c>
      <c r="E174" s="192" t="s">
        <v>404</v>
      </c>
      <c r="F174" s="191" t="s">
        <v>153</v>
      </c>
      <c r="G174" s="193">
        <v>-399.61</v>
      </c>
      <c r="H174" s="194">
        <v>-399.61</v>
      </c>
      <c r="I174" s="195" t="s">
        <v>38</v>
      </c>
      <c r="J174" s="195" t="s">
        <v>316</v>
      </c>
      <c r="K174" s="188"/>
      <c r="L174" s="197"/>
      <c r="M174" s="197"/>
      <c r="N174" s="197"/>
      <c r="O174" s="197"/>
    </row>
    <row r="175" spans="1:15">
      <c r="A175" s="245" t="s">
        <v>209</v>
      </c>
      <c r="B175" s="246" t="s">
        <v>138</v>
      </c>
      <c r="C175" s="247" t="s">
        <v>38</v>
      </c>
      <c r="D175" s="247" t="s">
        <v>405</v>
      </c>
      <c r="E175" s="247" t="s">
        <v>406</v>
      </c>
      <c r="F175" s="247" t="s">
        <v>407</v>
      </c>
      <c r="G175" s="248">
        <v>-214.44</v>
      </c>
      <c r="H175" s="248">
        <v>-214.44</v>
      </c>
      <c r="I175" s="227" t="s">
        <v>38</v>
      </c>
      <c r="J175" s="227" t="s">
        <v>169</v>
      </c>
      <c r="K175" s="233"/>
      <c r="L175" s="197"/>
      <c r="M175" s="197"/>
      <c r="N175" s="197"/>
      <c r="O175" s="197"/>
    </row>
    <row r="176" spans="1:15">
      <c r="A176" s="245" t="s">
        <v>137</v>
      </c>
      <c r="B176" s="246" t="s">
        <v>138</v>
      </c>
      <c r="C176" s="247" t="s">
        <v>38</v>
      </c>
      <c r="D176" s="247" t="s">
        <v>232</v>
      </c>
      <c r="E176" s="247" t="s">
        <v>408</v>
      </c>
      <c r="F176" s="247" t="s">
        <v>407</v>
      </c>
      <c r="G176" s="248">
        <v>-117.95</v>
      </c>
      <c r="H176" s="248">
        <v>-117.95</v>
      </c>
      <c r="I176" s="227" t="s">
        <v>38</v>
      </c>
      <c r="J176" s="195" t="s">
        <v>316</v>
      </c>
      <c r="K176" s="233"/>
      <c r="L176" s="197"/>
      <c r="M176" s="197"/>
      <c r="N176" s="197"/>
      <c r="O176" s="197"/>
    </row>
    <row r="177" spans="1:15">
      <c r="A177" s="245" t="s">
        <v>137</v>
      </c>
      <c r="B177" s="246" t="s">
        <v>138</v>
      </c>
      <c r="C177" s="249" t="s">
        <v>38</v>
      </c>
      <c r="D177" s="247" t="s">
        <v>232</v>
      </c>
      <c r="E177" s="247" t="s">
        <v>409</v>
      </c>
      <c r="F177" s="247" t="s">
        <v>407</v>
      </c>
      <c r="G177" s="248">
        <v>-1845.2</v>
      </c>
      <c r="H177" s="248">
        <v>-1845.2</v>
      </c>
      <c r="I177" s="227" t="s">
        <v>38</v>
      </c>
      <c r="J177" s="244" t="s">
        <v>169</v>
      </c>
      <c r="K177" s="233"/>
      <c r="L177" s="197"/>
      <c r="M177" s="197"/>
      <c r="N177" s="197"/>
      <c r="O177" s="197"/>
    </row>
    <row r="178" spans="1:15" ht="38.25" hidden="1">
      <c r="A178" s="195" t="s">
        <v>137</v>
      </c>
      <c r="B178" s="190" t="s">
        <v>138</v>
      </c>
      <c r="C178" s="190" t="s">
        <v>38</v>
      </c>
      <c r="D178" s="191" t="s">
        <v>410</v>
      </c>
      <c r="E178" s="192" t="s">
        <v>411</v>
      </c>
      <c r="F178" s="191" t="s">
        <v>146</v>
      </c>
      <c r="G178" s="193">
        <v>-864.7</v>
      </c>
      <c r="H178" s="194">
        <v>-864.7</v>
      </c>
      <c r="I178" s="198" t="s">
        <v>38</v>
      </c>
      <c r="J178" s="250" t="s">
        <v>169</v>
      </c>
      <c r="K178" s="188"/>
      <c r="L178" s="197"/>
      <c r="M178" s="197"/>
      <c r="N178" s="197"/>
      <c r="O178" s="197"/>
    </row>
    <row r="179" spans="1:15" ht="38.25" hidden="1">
      <c r="A179" s="195" t="s">
        <v>137</v>
      </c>
      <c r="B179" s="190" t="s">
        <v>138</v>
      </c>
      <c r="C179" s="195" t="s">
        <v>38</v>
      </c>
      <c r="D179" s="191" t="s">
        <v>410</v>
      </c>
      <c r="E179" s="251" t="s">
        <v>412</v>
      </c>
      <c r="F179" s="191" t="s">
        <v>146</v>
      </c>
      <c r="G179" s="193">
        <v>-378.91</v>
      </c>
      <c r="H179" s="194">
        <v>-378.91</v>
      </c>
      <c r="I179" s="198" t="s">
        <v>38</v>
      </c>
      <c r="J179" s="189" t="s">
        <v>316</v>
      </c>
      <c r="K179" s="188"/>
      <c r="L179" s="197"/>
      <c r="M179" s="197"/>
      <c r="N179" s="197"/>
      <c r="O179" s="197"/>
    </row>
    <row r="180" spans="1:15" hidden="1">
      <c r="A180" s="195" t="s">
        <v>137</v>
      </c>
      <c r="B180" s="190" t="s">
        <v>138</v>
      </c>
      <c r="C180" s="190" t="s">
        <v>38</v>
      </c>
      <c r="D180" s="191" t="s">
        <v>413</v>
      </c>
      <c r="E180" s="192" t="s">
        <v>414</v>
      </c>
      <c r="F180" s="191" t="s">
        <v>146</v>
      </c>
      <c r="G180" s="193">
        <v>-3.23</v>
      </c>
      <c r="H180" s="194">
        <v>-3.23</v>
      </c>
      <c r="I180" s="198" t="s">
        <v>38</v>
      </c>
      <c r="J180" s="189" t="s">
        <v>316</v>
      </c>
      <c r="K180" s="188"/>
      <c r="L180" s="197"/>
      <c r="M180" s="197"/>
      <c r="N180" s="197"/>
      <c r="O180" s="197"/>
    </row>
    <row r="181" spans="1:15" hidden="1">
      <c r="A181" s="195" t="s">
        <v>137</v>
      </c>
      <c r="B181" s="190" t="s">
        <v>138</v>
      </c>
      <c r="C181" s="190" t="s">
        <v>38</v>
      </c>
      <c r="D181" s="191" t="s">
        <v>413</v>
      </c>
      <c r="E181" s="192" t="s">
        <v>415</v>
      </c>
      <c r="F181" s="191" t="s">
        <v>146</v>
      </c>
      <c r="G181" s="193">
        <v>-45.9</v>
      </c>
      <c r="H181" s="194">
        <v>-45.9</v>
      </c>
      <c r="I181" s="198" t="s">
        <v>38</v>
      </c>
      <c r="J181" s="250" t="s">
        <v>169</v>
      </c>
      <c r="K181" s="213"/>
      <c r="L181" s="197"/>
      <c r="M181" s="197"/>
      <c r="N181" s="197"/>
      <c r="O181" s="197"/>
    </row>
    <row r="182" spans="1:15" hidden="1">
      <c r="A182" s="188" t="s">
        <v>209</v>
      </c>
      <c r="B182" s="188" t="s">
        <v>138</v>
      </c>
      <c r="C182" s="188" t="s">
        <v>38</v>
      </c>
      <c r="D182" s="188" t="s">
        <v>416</v>
      </c>
      <c r="E182" s="234" t="s">
        <v>417</v>
      </c>
      <c r="F182" s="234" t="s">
        <v>149</v>
      </c>
      <c r="G182" s="252">
        <v>-6.66</v>
      </c>
      <c r="H182" s="253">
        <v>-6.66</v>
      </c>
      <c r="I182" s="198" t="s">
        <v>38</v>
      </c>
      <c r="J182" s="198" t="s">
        <v>316</v>
      </c>
      <c r="K182" s="188"/>
      <c r="L182" s="197"/>
      <c r="M182" s="197"/>
      <c r="N182" s="197"/>
      <c r="O182" s="197"/>
    </row>
    <row r="183" spans="1:15" hidden="1">
      <c r="A183" s="188" t="s">
        <v>137</v>
      </c>
      <c r="B183" s="200" t="s">
        <v>138</v>
      </c>
      <c r="C183" s="200" t="s">
        <v>38</v>
      </c>
      <c r="D183" s="188" t="s">
        <v>418</v>
      </c>
      <c r="E183" s="202" t="s">
        <v>419</v>
      </c>
      <c r="F183" s="202" t="s">
        <v>149</v>
      </c>
      <c r="G183" s="203">
        <v>-12.98</v>
      </c>
      <c r="H183" s="204">
        <v>-12.98</v>
      </c>
      <c r="I183" s="198" t="s">
        <v>38</v>
      </c>
      <c r="J183" s="198" t="s">
        <v>169</v>
      </c>
      <c r="K183" s="188"/>
      <c r="L183" s="197"/>
      <c r="M183" s="197"/>
      <c r="N183" s="197"/>
      <c r="O183" s="197"/>
    </row>
    <row r="184" spans="1:15" hidden="1">
      <c r="A184" s="195" t="s">
        <v>137</v>
      </c>
      <c r="B184" s="190" t="s">
        <v>138</v>
      </c>
      <c r="C184" s="190" t="s">
        <v>38</v>
      </c>
      <c r="D184" s="195" t="s">
        <v>420</v>
      </c>
      <c r="E184" s="191" t="s">
        <v>421</v>
      </c>
      <c r="F184" s="191" t="s">
        <v>265</v>
      </c>
      <c r="G184" s="194">
        <v>-120000</v>
      </c>
      <c r="H184" s="194">
        <v>-120000</v>
      </c>
      <c r="I184" s="198" t="s">
        <v>38</v>
      </c>
      <c r="J184" s="195" t="s">
        <v>422</v>
      </c>
      <c r="K184" s="195"/>
      <c r="L184" s="197"/>
      <c r="M184" s="197"/>
      <c r="N184" s="197"/>
      <c r="O184" s="197"/>
    </row>
    <row r="185" spans="1:15" hidden="1">
      <c r="A185" s="195" t="s">
        <v>137</v>
      </c>
      <c r="B185" s="190" t="s">
        <v>138</v>
      </c>
      <c r="C185" s="190" t="s">
        <v>38</v>
      </c>
      <c r="D185" s="195" t="s">
        <v>423</v>
      </c>
      <c r="E185" s="191" t="s">
        <v>424</v>
      </c>
      <c r="F185" s="191" t="s">
        <v>265</v>
      </c>
      <c r="G185" s="194">
        <v>-190</v>
      </c>
      <c r="H185" s="194">
        <v>-190</v>
      </c>
      <c r="I185" s="198" t="s">
        <v>38</v>
      </c>
      <c r="J185" s="227" t="s">
        <v>169</v>
      </c>
      <c r="K185" s="195"/>
      <c r="L185" s="197"/>
      <c r="M185" s="197"/>
      <c r="N185" s="197"/>
      <c r="O185" s="197"/>
    </row>
    <row r="186" spans="1:15" hidden="1">
      <c r="A186" s="195" t="s">
        <v>137</v>
      </c>
      <c r="B186" s="190" t="s">
        <v>138</v>
      </c>
      <c r="C186" s="190" t="s">
        <v>38</v>
      </c>
      <c r="D186" s="191" t="s">
        <v>425</v>
      </c>
      <c r="E186" s="191" t="s">
        <v>415</v>
      </c>
      <c r="F186" s="191" t="s">
        <v>265</v>
      </c>
      <c r="G186" s="194">
        <v>-44.3</v>
      </c>
      <c r="H186" s="194">
        <v>-44.3</v>
      </c>
      <c r="I186" s="198" t="s">
        <v>38</v>
      </c>
      <c r="J186" s="244" t="s">
        <v>169</v>
      </c>
      <c r="K186" s="195"/>
      <c r="L186" s="197"/>
      <c r="M186" s="197"/>
      <c r="N186" s="197"/>
      <c r="O186" s="197"/>
    </row>
    <row r="187" spans="1:15" hidden="1">
      <c r="A187" s="195" t="s">
        <v>137</v>
      </c>
      <c r="B187" s="190" t="s">
        <v>138</v>
      </c>
      <c r="C187" s="190" t="s">
        <v>38</v>
      </c>
      <c r="D187" s="191" t="s">
        <v>425</v>
      </c>
      <c r="E187" s="191" t="s">
        <v>404</v>
      </c>
      <c r="F187" s="191" t="s">
        <v>265</v>
      </c>
      <c r="G187" s="194">
        <v>-1.29</v>
      </c>
      <c r="H187" s="194">
        <v>-1.29</v>
      </c>
      <c r="I187" s="198" t="s">
        <v>38</v>
      </c>
      <c r="J187" s="195" t="s">
        <v>316</v>
      </c>
      <c r="K187" s="195"/>
      <c r="L187" s="197"/>
      <c r="M187" s="197"/>
      <c r="N187" s="197"/>
      <c r="O187" s="197"/>
    </row>
    <row r="188" spans="1:15" hidden="1">
      <c r="A188" s="195" t="s">
        <v>137</v>
      </c>
      <c r="B188" s="190" t="s">
        <v>138</v>
      </c>
      <c r="C188" s="190" t="s">
        <v>38</v>
      </c>
      <c r="D188" s="191" t="s">
        <v>410</v>
      </c>
      <c r="E188" s="191" t="s">
        <v>415</v>
      </c>
      <c r="F188" s="191" t="s">
        <v>265</v>
      </c>
      <c r="G188" s="194">
        <v>-37.340000000000003</v>
      </c>
      <c r="H188" s="194">
        <v>-37.340000000000003</v>
      </c>
      <c r="I188" s="198" t="s">
        <v>38</v>
      </c>
      <c r="J188" s="227" t="s">
        <v>169</v>
      </c>
      <c r="K188" s="195"/>
      <c r="L188" s="197"/>
      <c r="M188" s="197"/>
      <c r="N188" s="197"/>
      <c r="O188" s="197"/>
    </row>
    <row r="189" spans="1:15" hidden="1">
      <c r="A189" s="195" t="s">
        <v>137</v>
      </c>
      <c r="B189" s="190" t="s">
        <v>138</v>
      </c>
      <c r="C189" s="190" t="s">
        <v>38</v>
      </c>
      <c r="D189" s="191" t="s">
        <v>410</v>
      </c>
      <c r="E189" s="191" t="s">
        <v>404</v>
      </c>
      <c r="F189" s="191" t="s">
        <v>265</v>
      </c>
      <c r="G189" s="194">
        <v>-2.75</v>
      </c>
      <c r="H189" s="194">
        <v>-2.75</v>
      </c>
      <c r="I189" s="198" t="s">
        <v>38</v>
      </c>
      <c r="J189" s="189" t="s">
        <v>316</v>
      </c>
      <c r="K189" s="195"/>
      <c r="L189" s="197"/>
      <c r="M189" s="197"/>
      <c r="N189" s="197"/>
      <c r="O189" s="197"/>
    </row>
    <row r="190" spans="1:15" ht="25.5" hidden="1">
      <c r="A190" s="195" t="s">
        <v>137</v>
      </c>
      <c r="B190" s="195" t="s">
        <v>138</v>
      </c>
      <c r="C190" s="190" t="s">
        <v>109</v>
      </c>
      <c r="D190" s="191" t="s">
        <v>426</v>
      </c>
      <c r="E190" s="192" t="s">
        <v>427</v>
      </c>
      <c r="F190" s="191" t="s">
        <v>153</v>
      </c>
      <c r="G190" s="242">
        <v>-124.7</v>
      </c>
      <c r="H190" s="194">
        <v>-124.7</v>
      </c>
      <c r="I190" s="195" t="s">
        <v>109</v>
      </c>
      <c r="J190" s="195" t="s">
        <v>206</v>
      </c>
      <c r="K190" s="188"/>
      <c r="L190" s="197"/>
      <c r="M190" s="197"/>
      <c r="N190" s="197"/>
      <c r="O190" s="197"/>
    </row>
    <row r="191" spans="1:15" ht="25.5" hidden="1">
      <c r="A191" s="195" t="s">
        <v>137</v>
      </c>
      <c r="B191" s="195" t="s">
        <v>138</v>
      </c>
      <c r="C191" s="190" t="s">
        <v>109</v>
      </c>
      <c r="D191" s="191" t="s">
        <v>426</v>
      </c>
      <c r="E191" s="192" t="s">
        <v>428</v>
      </c>
      <c r="F191" s="191" t="s">
        <v>146</v>
      </c>
      <c r="G191" s="242">
        <v>-119</v>
      </c>
      <c r="H191" s="194">
        <v>-119</v>
      </c>
      <c r="I191" s="198" t="s">
        <v>109</v>
      </c>
      <c r="J191" s="195" t="s">
        <v>206</v>
      </c>
      <c r="K191" s="188"/>
      <c r="L191" s="197"/>
      <c r="M191" s="197"/>
      <c r="N191" s="197"/>
      <c r="O191" s="197"/>
    </row>
    <row r="192" spans="1:15" ht="25.5" hidden="1">
      <c r="A192" s="188" t="s">
        <v>137</v>
      </c>
      <c r="B192" s="188" t="s">
        <v>138</v>
      </c>
      <c r="C192" s="200" t="s">
        <v>109</v>
      </c>
      <c r="D192" s="201" t="s">
        <v>426</v>
      </c>
      <c r="E192" s="202" t="s">
        <v>429</v>
      </c>
      <c r="F192" s="202" t="s">
        <v>149</v>
      </c>
      <c r="G192" s="252">
        <v>-119</v>
      </c>
      <c r="H192" s="204">
        <v>-119</v>
      </c>
      <c r="I192" s="198" t="s">
        <v>109</v>
      </c>
      <c r="J192" s="198" t="s">
        <v>206</v>
      </c>
      <c r="K192" s="188"/>
      <c r="L192" s="197"/>
      <c r="M192" s="197"/>
      <c r="N192" s="197"/>
      <c r="O192" s="197"/>
    </row>
    <row r="193" spans="1:15" ht="25.5" hidden="1">
      <c r="A193" s="188" t="s">
        <v>137</v>
      </c>
      <c r="B193" s="195" t="s">
        <v>138</v>
      </c>
      <c r="C193" s="190" t="s">
        <v>109</v>
      </c>
      <c r="D193" s="191" t="s">
        <v>426</v>
      </c>
      <c r="E193" s="192" t="s">
        <v>430</v>
      </c>
      <c r="F193" s="191" t="s">
        <v>142</v>
      </c>
      <c r="G193" s="242">
        <v>-124.7</v>
      </c>
      <c r="H193" s="194">
        <v>-124.7</v>
      </c>
      <c r="I193" s="188" t="s">
        <v>109</v>
      </c>
      <c r="J193" s="195" t="s">
        <v>277</v>
      </c>
      <c r="K193" s="195"/>
      <c r="L193" s="197"/>
      <c r="M193" s="197"/>
      <c r="N193" s="197"/>
      <c r="O193" s="197"/>
    </row>
    <row r="194" spans="1:15" ht="38.25" hidden="1">
      <c r="A194" s="195" t="s">
        <v>137</v>
      </c>
      <c r="B194" s="195" t="s">
        <v>138</v>
      </c>
      <c r="C194" s="190" t="s">
        <v>109</v>
      </c>
      <c r="D194" s="191" t="s">
        <v>431</v>
      </c>
      <c r="E194" s="192" t="s">
        <v>432</v>
      </c>
      <c r="F194" s="191" t="s">
        <v>153</v>
      </c>
      <c r="G194" s="242">
        <v>-358.24</v>
      </c>
      <c r="H194" s="194">
        <v>-358.24</v>
      </c>
      <c r="I194" s="195" t="s">
        <v>109</v>
      </c>
      <c r="J194" s="195" t="s">
        <v>143</v>
      </c>
      <c r="K194" s="213"/>
      <c r="L194" s="197"/>
      <c r="M194" s="197"/>
      <c r="N194" s="197"/>
      <c r="O194" s="197"/>
    </row>
    <row r="195" spans="1:15" ht="38.25" hidden="1">
      <c r="A195" s="195" t="s">
        <v>137</v>
      </c>
      <c r="B195" s="195" t="s">
        <v>138</v>
      </c>
      <c r="C195" s="190" t="s">
        <v>89</v>
      </c>
      <c r="D195" s="191" t="s">
        <v>433</v>
      </c>
      <c r="E195" s="192" t="s">
        <v>434</v>
      </c>
      <c r="F195" s="191" t="s">
        <v>153</v>
      </c>
      <c r="G195" s="242">
        <v>-2655.52</v>
      </c>
      <c r="H195" s="194">
        <v>-2655.52</v>
      </c>
      <c r="I195" s="195" t="s">
        <v>89</v>
      </c>
      <c r="J195" s="195" t="s">
        <v>246</v>
      </c>
      <c r="K195" s="188"/>
      <c r="L195" s="197"/>
      <c r="M195" s="197"/>
      <c r="N195" s="197"/>
      <c r="O195" s="197"/>
    </row>
    <row r="196" spans="1:15" ht="38.25" hidden="1">
      <c r="A196" s="195" t="s">
        <v>137</v>
      </c>
      <c r="B196" s="195" t="s">
        <v>138</v>
      </c>
      <c r="C196" s="190" t="s">
        <v>89</v>
      </c>
      <c r="D196" s="191" t="s">
        <v>433</v>
      </c>
      <c r="E196" s="192" t="s">
        <v>435</v>
      </c>
      <c r="F196" s="191" t="s">
        <v>146</v>
      </c>
      <c r="G196" s="242">
        <v>-3025.01</v>
      </c>
      <c r="H196" s="194">
        <v>-3025.01</v>
      </c>
      <c r="I196" s="198" t="s">
        <v>89</v>
      </c>
      <c r="J196" s="234" t="s">
        <v>246</v>
      </c>
      <c r="K196" s="188"/>
      <c r="L196" s="197"/>
      <c r="M196" s="197"/>
      <c r="N196" s="197"/>
      <c r="O196" s="197"/>
    </row>
    <row r="197" spans="1:15" ht="38.25" hidden="1">
      <c r="A197" s="188" t="s">
        <v>137</v>
      </c>
      <c r="B197" s="188" t="s">
        <v>138</v>
      </c>
      <c r="C197" s="200" t="s">
        <v>89</v>
      </c>
      <c r="D197" s="201" t="s">
        <v>433</v>
      </c>
      <c r="E197" s="202" t="s">
        <v>436</v>
      </c>
      <c r="F197" s="202" t="s">
        <v>149</v>
      </c>
      <c r="G197" s="252">
        <v>-2591.85</v>
      </c>
      <c r="H197" s="204">
        <v>-2591.85</v>
      </c>
      <c r="I197" s="198" t="s">
        <v>89</v>
      </c>
      <c r="J197" s="234" t="s">
        <v>246</v>
      </c>
      <c r="K197" s="188"/>
      <c r="L197" s="197"/>
      <c r="M197" s="197"/>
      <c r="N197" s="197"/>
      <c r="O197" s="197"/>
    </row>
    <row r="198" spans="1:15" ht="38.25" hidden="1">
      <c r="A198" s="188" t="s">
        <v>137</v>
      </c>
      <c r="B198" s="195" t="s">
        <v>138</v>
      </c>
      <c r="C198" s="190" t="s">
        <v>89</v>
      </c>
      <c r="D198" s="191" t="s">
        <v>433</v>
      </c>
      <c r="E198" s="192" t="s">
        <v>437</v>
      </c>
      <c r="F198" s="191" t="s">
        <v>142</v>
      </c>
      <c r="G198" s="242">
        <v>-2739.52</v>
      </c>
      <c r="H198" s="194">
        <v>-2739.52</v>
      </c>
      <c r="I198" s="188" t="s">
        <v>89</v>
      </c>
      <c r="J198" s="195" t="s">
        <v>246</v>
      </c>
      <c r="K198" s="195"/>
      <c r="L198" s="197"/>
      <c r="M198" s="197"/>
      <c r="N198" s="197"/>
      <c r="O198" s="197"/>
    </row>
    <row r="199" spans="1:15" ht="25.5" hidden="1">
      <c r="A199" s="235" t="s">
        <v>137</v>
      </c>
      <c r="B199" s="236" t="s">
        <v>138</v>
      </c>
      <c r="C199" s="237" t="s">
        <v>438</v>
      </c>
      <c r="D199" s="237" t="s">
        <v>439</v>
      </c>
      <c r="E199" s="254" t="s">
        <v>440</v>
      </c>
      <c r="F199" s="255" t="s">
        <v>142</v>
      </c>
      <c r="G199" s="240">
        <v>-574.9</v>
      </c>
      <c r="H199" s="240">
        <v>-574.9</v>
      </c>
      <c r="I199" s="235" t="s">
        <v>290</v>
      </c>
      <c r="J199" s="235" t="s">
        <v>293</v>
      </c>
      <c r="K199" s="235"/>
      <c r="L199" s="197"/>
      <c r="M199" s="197"/>
      <c r="N199" s="197"/>
      <c r="O199" s="197"/>
    </row>
    <row r="200" spans="1:15" ht="25.5" hidden="1">
      <c r="A200" s="235" t="s">
        <v>137</v>
      </c>
      <c r="B200" s="236" t="s">
        <v>138</v>
      </c>
      <c r="C200" s="237" t="s">
        <v>438</v>
      </c>
      <c r="D200" s="237" t="s">
        <v>439</v>
      </c>
      <c r="E200" s="238" t="s">
        <v>441</v>
      </c>
      <c r="F200" s="239" t="s">
        <v>153</v>
      </c>
      <c r="G200" s="240">
        <v>-574.9</v>
      </c>
      <c r="H200" s="240">
        <v>-574.9</v>
      </c>
      <c r="I200" s="235" t="s">
        <v>290</v>
      </c>
      <c r="J200" s="235" t="s">
        <v>293</v>
      </c>
      <c r="K200" s="235"/>
      <c r="L200" s="197"/>
      <c r="M200" s="197"/>
      <c r="N200" s="197"/>
      <c r="O200" s="197"/>
    </row>
    <row r="201" spans="1:15" ht="25.5" hidden="1">
      <c r="A201" s="195" t="s">
        <v>137</v>
      </c>
      <c r="B201" s="195" t="s">
        <v>138</v>
      </c>
      <c r="C201" s="190" t="s">
        <v>438</v>
      </c>
      <c r="D201" s="191" t="s">
        <v>439</v>
      </c>
      <c r="E201" s="192" t="s">
        <v>440</v>
      </c>
      <c r="F201" s="191" t="s">
        <v>146</v>
      </c>
      <c r="G201" s="242">
        <v>-574.9</v>
      </c>
      <c r="H201" s="194">
        <v>-574.9</v>
      </c>
      <c r="I201" s="198" t="s">
        <v>290</v>
      </c>
      <c r="J201" s="234" t="s">
        <v>246</v>
      </c>
      <c r="K201" s="234" t="s">
        <v>290</v>
      </c>
      <c r="L201" s="197"/>
      <c r="M201" s="197"/>
      <c r="N201" s="197"/>
      <c r="O201" s="197"/>
    </row>
    <row r="202" spans="1:15" hidden="1">
      <c r="A202" s="235" t="s">
        <v>137</v>
      </c>
      <c r="B202" s="236" t="s">
        <v>138</v>
      </c>
      <c r="C202" s="237" t="s">
        <v>438</v>
      </c>
      <c r="D202" s="237" t="s">
        <v>442</v>
      </c>
      <c r="E202" s="238" t="s">
        <v>443</v>
      </c>
      <c r="F202" s="239" t="s">
        <v>153</v>
      </c>
      <c r="G202" s="240">
        <v>-999.34</v>
      </c>
      <c r="H202" s="240">
        <v>-999.34</v>
      </c>
      <c r="I202" s="235" t="s">
        <v>290</v>
      </c>
      <c r="J202" s="235" t="s">
        <v>293</v>
      </c>
      <c r="K202" s="235"/>
      <c r="L202" s="197"/>
      <c r="M202" s="197"/>
      <c r="N202" s="197"/>
      <c r="O202" s="197"/>
    </row>
    <row r="203" spans="1:15" hidden="1">
      <c r="A203" s="195" t="s">
        <v>137</v>
      </c>
      <c r="B203" s="195" t="s">
        <v>138</v>
      </c>
      <c r="C203" s="195" t="s">
        <v>438</v>
      </c>
      <c r="D203" s="195" t="s">
        <v>442</v>
      </c>
      <c r="E203" s="208" t="s">
        <v>444</v>
      </c>
      <c r="F203" s="195" t="s">
        <v>146</v>
      </c>
      <c r="G203" s="242">
        <v>-999.34</v>
      </c>
      <c r="H203" s="243">
        <v>-999.34</v>
      </c>
      <c r="I203" s="198" t="s">
        <v>290</v>
      </c>
      <c r="J203" s="234" t="s">
        <v>246</v>
      </c>
      <c r="K203" s="234" t="s">
        <v>290</v>
      </c>
      <c r="L203" s="197"/>
      <c r="M203" s="197"/>
      <c r="N203" s="197"/>
      <c r="O203" s="197"/>
    </row>
    <row r="204" spans="1:15" hidden="1">
      <c r="A204" s="235" t="s">
        <v>137</v>
      </c>
      <c r="B204" s="236" t="s">
        <v>138</v>
      </c>
      <c r="C204" s="237" t="s">
        <v>438</v>
      </c>
      <c r="D204" s="237" t="s">
        <v>442</v>
      </c>
      <c r="E204" s="238" t="s">
        <v>445</v>
      </c>
      <c r="F204" s="239" t="s">
        <v>142</v>
      </c>
      <c r="G204" s="240">
        <v>-999.34</v>
      </c>
      <c r="H204" s="240">
        <v>-999.34</v>
      </c>
      <c r="I204" s="235" t="s">
        <v>290</v>
      </c>
      <c r="J204" s="235" t="s">
        <v>293</v>
      </c>
      <c r="K204" s="235"/>
      <c r="L204" s="197"/>
      <c r="M204" s="197"/>
      <c r="N204" s="197"/>
      <c r="O204" s="197"/>
    </row>
    <row r="205" spans="1:15" hidden="1">
      <c r="A205" s="195" t="s">
        <v>137</v>
      </c>
      <c r="B205" s="195" t="s">
        <v>138</v>
      </c>
      <c r="C205" s="195" t="s">
        <v>99</v>
      </c>
      <c r="D205" s="195" t="s">
        <v>446</v>
      </c>
      <c r="E205" s="208" t="s">
        <v>447</v>
      </c>
      <c r="F205" s="195" t="s">
        <v>153</v>
      </c>
      <c r="G205" s="242">
        <v>-139.16999999999999</v>
      </c>
      <c r="H205" s="243">
        <v>-142.5</v>
      </c>
      <c r="I205" s="195" t="s">
        <v>99</v>
      </c>
      <c r="J205" s="195" t="s">
        <v>143</v>
      </c>
      <c r="K205" s="188"/>
      <c r="L205" s="197"/>
      <c r="M205" s="197"/>
      <c r="N205" s="197"/>
      <c r="O205" s="197"/>
    </row>
    <row r="206" spans="1:15" ht="25.5" hidden="1">
      <c r="A206" s="195" t="s">
        <v>137</v>
      </c>
      <c r="B206" s="195" t="s">
        <v>138</v>
      </c>
      <c r="C206" s="195" t="s">
        <v>99</v>
      </c>
      <c r="D206" s="195" t="s">
        <v>446</v>
      </c>
      <c r="E206" s="208" t="s">
        <v>448</v>
      </c>
      <c r="F206" s="191" t="s">
        <v>146</v>
      </c>
      <c r="G206" s="242">
        <v>-330.1</v>
      </c>
      <c r="H206" s="243">
        <v>-330.1</v>
      </c>
      <c r="I206" s="198" t="s">
        <v>99</v>
      </c>
      <c r="J206" s="234" t="s">
        <v>143</v>
      </c>
      <c r="K206" s="213"/>
      <c r="L206" s="197"/>
      <c r="M206" s="197"/>
      <c r="N206" s="197"/>
      <c r="O206" s="197"/>
    </row>
    <row r="207" spans="1:15" hidden="1">
      <c r="A207" s="188" t="s">
        <v>137</v>
      </c>
      <c r="B207" s="188" t="s">
        <v>138</v>
      </c>
      <c r="C207" s="188" t="s">
        <v>99</v>
      </c>
      <c r="D207" s="188" t="s">
        <v>446</v>
      </c>
      <c r="E207" s="234" t="s">
        <v>449</v>
      </c>
      <c r="F207" s="202" t="s">
        <v>149</v>
      </c>
      <c r="G207" s="252">
        <v>-417.01</v>
      </c>
      <c r="H207" s="253">
        <v>-427</v>
      </c>
      <c r="I207" s="198" t="s">
        <v>99</v>
      </c>
      <c r="J207" s="234" t="s">
        <v>143</v>
      </c>
      <c r="K207" s="188"/>
      <c r="L207" s="197"/>
      <c r="M207" s="197"/>
      <c r="N207" s="197"/>
      <c r="O207" s="197"/>
    </row>
    <row r="208" spans="1:15" hidden="1">
      <c r="A208" s="188" t="s">
        <v>137</v>
      </c>
      <c r="B208" s="195" t="s">
        <v>138</v>
      </c>
      <c r="C208" s="195" t="s">
        <v>99</v>
      </c>
      <c r="D208" s="195" t="s">
        <v>446</v>
      </c>
      <c r="E208" s="208" t="s">
        <v>450</v>
      </c>
      <c r="F208" s="195" t="s">
        <v>142</v>
      </c>
      <c r="G208" s="242">
        <v>-173.84</v>
      </c>
      <c r="H208" s="243">
        <v>-178</v>
      </c>
      <c r="I208" s="188" t="s">
        <v>99</v>
      </c>
      <c r="J208" s="195" t="s">
        <v>143</v>
      </c>
      <c r="K208" s="196"/>
      <c r="L208" s="197"/>
      <c r="M208" s="197"/>
      <c r="N208" s="197"/>
      <c r="O208" s="197"/>
    </row>
    <row r="209" spans="1:15" ht="25.5" hidden="1">
      <c r="A209" s="188" t="s">
        <v>137</v>
      </c>
      <c r="B209" s="188" t="s">
        <v>138</v>
      </c>
      <c r="C209" s="188" t="s">
        <v>99</v>
      </c>
      <c r="D209" s="199" t="s">
        <v>201</v>
      </c>
      <c r="E209" s="234" t="s">
        <v>451</v>
      </c>
      <c r="F209" s="234" t="s">
        <v>149</v>
      </c>
      <c r="G209" s="252">
        <v>-76.11</v>
      </c>
      <c r="H209" s="253">
        <v>-76.11</v>
      </c>
      <c r="I209" s="198" t="s">
        <v>99</v>
      </c>
      <c r="J209" s="198" t="s">
        <v>143</v>
      </c>
      <c r="K209" s="188"/>
      <c r="L209" s="197"/>
      <c r="M209" s="197"/>
      <c r="N209" s="197"/>
      <c r="O209" s="197"/>
    </row>
    <row r="210" spans="1:15" hidden="1">
      <c r="A210" s="195" t="s">
        <v>137</v>
      </c>
      <c r="B210" s="195" t="s">
        <v>138</v>
      </c>
      <c r="C210" s="195" t="s">
        <v>452</v>
      </c>
      <c r="D210" s="256" t="s">
        <v>453</v>
      </c>
      <c r="E210" s="208" t="s">
        <v>454</v>
      </c>
      <c r="F210" s="195" t="s">
        <v>146</v>
      </c>
      <c r="G210" s="242">
        <v>-19.899999999999999</v>
      </c>
      <c r="H210" s="243">
        <v>-19.899999999999999</v>
      </c>
      <c r="I210" s="198" t="s">
        <v>96</v>
      </c>
      <c r="J210" s="234" t="s">
        <v>143</v>
      </c>
      <c r="K210" s="188"/>
      <c r="L210" s="197"/>
      <c r="M210" s="197"/>
      <c r="N210" s="197"/>
      <c r="O210" s="197"/>
    </row>
    <row r="211" spans="1:15" ht="38.25" hidden="1">
      <c r="A211" s="195" t="s">
        <v>137</v>
      </c>
      <c r="B211" s="195" t="s">
        <v>138</v>
      </c>
      <c r="C211" s="195" t="s">
        <v>452</v>
      </c>
      <c r="D211" s="195" t="s">
        <v>455</v>
      </c>
      <c r="E211" s="208" t="s">
        <v>456</v>
      </c>
      <c r="F211" s="195" t="s">
        <v>153</v>
      </c>
      <c r="G211" s="242">
        <v>-57</v>
      </c>
      <c r="H211" s="243">
        <v>-57</v>
      </c>
      <c r="I211" s="195" t="s">
        <v>99</v>
      </c>
      <c r="J211" s="195" t="s">
        <v>164</v>
      </c>
      <c r="K211" s="188"/>
      <c r="L211" s="197"/>
      <c r="M211" s="197"/>
      <c r="N211" s="197"/>
      <c r="O211" s="197"/>
    </row>
    <row r="212" spans="1:15" hidden="1">
      <c r="A212" s="195" t="s">
        <v>137</v>
      </c>
      <c r="B212" s="195" t="s">
        <v>138</v>
      </c>
      <c r="C212" s="195" t="s">
        <v>452</v>
      </c>
      <c r="D212" s="195" t="s">
        <v>455</v>
      </c>
      <c r="E212" s="208" t="s">
        <v>457</v>
      </c>
      <c r="F212" s="195" t="s">
        <v>153</v>
      </c>
      <c r="G212" s="242">
        <v>-20</v>
      </c>
      <c r="H212" s="243">
        <v>-20</v>
      </c>
      <c r="I212" s="195" t="s">
        <v>99</v>
      </c>
      <c r="J212" s="195" t="s">
        <v>164</v>
      </c>
      <c r="K212" s="188"/>
      <c r="L212" s="197"/>
      <c r="M212" s="197"/>
      <c r="N212" s="197"/>
      <c r="O212" s="197"/>
    </row>
    <row r="213" spans="1:15" ht="38.25" hidden="1">
      <c r="A213" s="195" t="s">
        <v>137</v>
      </c>
      <c r="B213" s="195" t="s">
        <v>138</v>
      </c>
      <c r="C213" s="195" t="s">
        <v>452</v>
      </c>
      <c r="D213" s="195" t="s">
        <v>455</v>
      </c>
      <c r="E213" s="208" t="s">
        <v>458</v>
      </c>
      <c r="F213" s="195" t="s">
        <v>146</v>
      </c>
      <c r="G213" s="242">
        <v>-38.5</v>
      </c>
      <c r="H213" s="243">
        <v>-38.5</v>
      </c>
      <c r="I213" s="198" t="s">
        <v>99</v>
      </c>
      <c r="J213" s="198" t="s">
        <v>164</v>
      </c>
      <c r="K213" s="188"/>
      <c r="L213" s="197"/>
      <c r="M213" s="197"/>
      <c r="N213" s="197"/>
      <c r="O213" s="197"/>
    </row>
    <row r="214" spans="1:15" ht="38.25" hidden="1">
      <c r="A214" s="195" t="s">
        <v>137</v>
      </c>
      <c r="B214" s="195" t="s">
        <v>138</v>
      </c>
      <c r="C214" s="195" t="s">
        <v>452</v>
      </c>
      <c r="D214" s="195" t="s">
        <v>455</v>
      </c>
      <c r="E214" s="208" t="s">
        <v>459</v>
      </c>
      <c r="F214" s="195" t="s">
        <v>146</v>
      </c>
      <c r="G214" s="242">
        <v>-50.5</v>
      </c>
      <c r="H214" s="243">
        <v>-50.5</v>
      </c>
      <c r="I214" s="198" t="s">
        <v>99</v>
      </c>
      <c r="J214" s="198" t="s">
        <v>164</v>
      </c>
      <c r="K214" s="188"/>
      <c r="L214" s="197"/>
      <c r="M214" s="197"/>
      <c r="N214" s="197"/>
      <c r="O214" s="197"/>
    </row>
    <row r="215" spans="1:15" ht="25.5" hidden="1">
      <c r="A215" s="195" t="s">
        <v>137</v>
      </c>
      <c r="B215" s="195" t="s">
        <v>138</v>
      </c>
      <c r="C215" s="195" t="s">
        <v>452</v>
      </c>
      <c r="D215" s="195" t="s">
        <v>455</v>
      </c>
      <c r="E215" s="208" t="s">
        <v>460</v>
      </c>
      <c r="F215" s="195" t="s">
        <v>146</v>
      </c>
      <c r="G215" s="242">
        <v>-24.5</v>
      </c>
      <c r="H215" s="243">
        <v>-24.5</v>
      </c>
      <c r="I215" s="198" t="s">
        <v>99</v>
      </c>
      <c r="J215" s="198" t="s">
        <v>164</v>
      </c>
      <c r="K215" s="188"/>
      <c r="L215" s="197"/>
      <c r="M215" s="197"/>
      <c r="N215" s="197"/>
      <c r="O215" s="197"/>
    </row>
    <row r="216" spans="1:15" ht="25.5" hidden="1">
      <c r="A216" s="188" t="s">
        <v>137</v>
      </c>
      <c r="B216" s="188" t="s">
        <v>138</v>
      </c>
      <c r="C216" s="188" t="s">
        <v>452</v>
      </c>
      <c r="D216" s="188" t="s">
        <v>455</v>
      </c>
      <c r="E216" s="234" t="s">
        <v>461</v>
      </c>
      <c r="F216" s="234" t="s">
        <v>149</v>
      </c>
      <c r="G216" s="252">
        <v>-33</v>
      </c>
      <c r="H216" s="253">
        <v>-33</v>
      </c>
      <c r="I216" s="214" t="s">
        <v>99</v>
      </c>
      <c r="J216" s="198" t="s">
        <v>164</v>
      </c>
      <c r="K216" s="188"/>
      <c r="L216" s="197"/>
      <c r="M216" s="197"/>
      <c r="N216" s="197"/>
      <c r="O216" s="197"/>
    </row>
    <row r="217" spans="1:15" hidden="1">
      <c r="A217" s="188" t="s">
        <v>137</v>
      </c>
      <c r="B217" s="188" t="s">
        <v>138</v>
      </c>
      <c r="C217" s="188" t="s">
        <v>452</v>
      </c>
      <c r="D217" s="188" t="s">
        <v>455</v>
      </c>
      <c r="E217" s="234" t="s">
        <v>462</v>
      </c>
      <c r="F217" s="234" t="s">
        <v>149</v>
      </c>
      <c r="G217" s="252">
        <v>-35</v>
      </c>
      <c r="H217" s="253">
        <v>-35</v>
      </c>
      <c r="I217" s="198" t="s">
        <v>99</v>
      </c>
      <c r="J217" s="198" t="s">
        <v>164</v>
      </c>
      <c r="K217" s="188"/>
      <c r="L217" s="197"/>
      <c r="M217" s="197"/>
      <c r="N217" s="197"/>
      <c r="O217" s="197"/>
    </row>
    <row r="218" spans="1:15" hidden="1">
      <c r="A218" s="188" t="s">
        <v>137</v>
      </c>
      <c r="B218" s="188" t="s">
        <v>138</v>
      </c>
      <c r="C218" s="188" t="s">
        <v>452</v>
      </c>
      <c r="D218" s="188" t="s">
        <v>455</v>
      </c>
      <c r="E218" s="234" t="s">
        <v>463</v>
      </c>
      <c r="F218" s="234" t="s">
        <v>149</v>
      </c>
      <c r="G218" s="252">
        <v>-6</v>
      </c>
      <c r="H218" s="253">
        <v>-6</v>
      </c>
      <c r="I218" s="198" t="s">
        <v>99</v>
      </c>
      <c r="J218" s="198" t="s">
        <v>164</v>
      </c>
      <c r="K218" s="188"/>
      <c r="L218" s="197"/>
      <c r="M218" s="197"/>
      <c r="N218" s="197"/>
      <c r="O218" s="197"/>
    </row>
    <row r="219" spans="1:15" ht="38.25" hidden="1">
      <c r="A219" s="188" t="s">
        <v>137</v>
      </c>
      <c r="B219" s="195" t="s">
        <v>138</v>
      </c>
      <c r="C219" s="195" t="s">
        <v>452</v>
      </c>
      <c r="D219" s="195" t="s">
        <v>455</v>
      </c>
      <c r="E219" s="208" t="s">
        <v>464</v>
      </c>
      <c r="F219" s="195" t="s">
        <v>142</v>
      </c>
      <c r="G219" s="242">
        <v>-118.2</v>
      </c>
      <c r="H219" s="243">
        <v>-118.2</v>
      </c>
      <c r="I219" s="188" t="s">
        <v>99</v>
      </c>
      <c r="J219" s="198" t="s">
        <v>164</v>
      </c>
      <c r="K219" s="195"/>
      <c r="L219" s="197"/>
      <c r="M219" s="197"/>
      <c r="N219" s="197"/>
      <c r="O219" s="197"/>
    </row>
    <row r="220" spans="1:15" ht="51" hidden="1">
      <c r="A220" s="188" t="s">
        <v>137</v>
      </c>
      <c r="B220" s="195" t="s">
        <v>138</v>
      </c>
      <c r="C220" s="195" t="s">
        <v>452</v>
      </c>
      <c r="D220" s="195" t="s">
        <v>455</v>
      </c>
      <c r="E220" s="208" t="s">
        <v>465</v>
      </c>
      <c r="F220" s="195" t="s">
        <v>142</v>
      </c>
      <c r="G220" s="242">
        <v>-85</v>
      </c>
      <c r="H220" s="243">
        <v>-85</v>
      </c>
      <c r="I220" s="188" t="s">
        <v>99</v>
      </c>
      <c r="J220" s="198" t="s">
        <v>164</v>
      </c>
      <c r="K220" s="195"/>
      <c r="L220" s="197"/>
      <c r="M220" s="197"/>
      <c r="N220" s="197"/>
      <c r="O220" s="197"/>
    </row>
    <row r="221" spans="1:15" hidden="1">
      <c r="A221" s="195" t="s">
        <v>137</v>
      </c>
      <c r="B221" s="195" t="s">
        <v>138</v>
      </c>
      <c r="C221" s="195" t="s">
        <v>452</v>
      </c>
      <c r="D221" s="195" t="s">
        <v>187</v>
      </c>
      <c r="E221" s="208" t="s">
        <v>466</v>
      </c>
      <c r="F221" s="195" t="s">
        <v>153</v>
      </c>
      <c r="G221" s="242">
        <v>-22</v>
      </c>
      <c r="H221" s="243">
        <v>-22</v>
      </c>
      <c r="I221" s="195" t="s">
        <v>99</v>
      </c>
      <c r="J221" s="195" t="s">
        <v>164</v>
      </c>
      <c r="K221" s="188"/>
      <c r="L221" s="197"/>
      <c r="M221" s="197"/>
      <c r="N221" s="197"/>
      <c r="O221" s="197"/>
    </row>
    <row r="222" spans="1:15" hidden="1">
      <c r="A222" s="188" t="s">
        <v>137</v>
      </c>
      <c r="B222" s="195" t="s">
        <v>138</v>
      </c>
      <c r="C222" s="195" t="s">
        <v>452</v>
      </c>
      <c r="D222" s="195" t="s">
        <v>187</v>
      </c>
      <c r="E222" s="208" t="s">
        <v>467</v>
      </c>
      <c r="F222" s="195" t="s">
        <v>142</v>
      </c>
      <c r="G222" s="242">
        <v>-12</v>
      </c>
      <c r="H222" s="243">
        <v>-12</v>
      </c>
      <c r="I222" s="188" t="s">
        <v>99</v>
      </c>
      <c r="J222" s="198" t="s">
        <v>164</v>
      </c>
      <c r="K222" s="195"/>
      <c r="L222" s="197"/>
      <c r="M222" s="197"/>
      <c r="N222" s="197"/>
      <c r="O222" s="197"/>
    </row>
    <row r="223" spans="1:15" hidden="1">
      <c r="A223" s="195" t="s">
        <v>137</v>
      </c>
      <c r="B223" s="195" t="s">
        <v>138</v>
      </c>
      <c r="C223" s="195" t="s">
        <v>452</v>
      </c>
      <c r="D223" s="195" t="s">
        <v>201</v>
      </c>
      <c r="E223" s="223" t="s">
        <v>468</v>
      </c>
      <c r="F223" s="195" t="s">
        <v>153</v>
      </c>
      <c r="G223" s="242">
        <v>-414.31</v>
      </c>
      <c r="H223" s="243">
        <v>-414.31</v>
      </c>
      <c r="I223" s="195" t="s">
        <v>99</v>
      </c>
      <c r="J223" s="195" t="s">
        <v>164</v>
      </c>
      <c r="K223" s="213"/>
      <c r="L223" s="197"/>
      <c r="M223" s="197"/>
      <c r="N223" s="197"/>
      <c r="O223" s="197"/>
    </row>
    <row r="224" spans="1:15" hidden="1">
      <c r="A224" s="195" t="s">
        <v>137</v>
      </c>
      <c r="B224" s="195" t="s">
        <v>138</v>
      </c>
      <c r="C224" s="195" t="s">
        <v>452</v>
      </c>
      <c r="D224" s="195" t="s">
        <v>201</v>
      </c>
      <c r="E224" s="208" t="s">
        <v>469</v>
      </c>
      <c r="F224" s="195" t="s">
        <v>153</v>
      </c>
      <c r="G224" s="242">
        <v>-39.090000000000003</v>
      </c>
      <c r="H224" s="243">
        <v>-39.090000000000003</v>
      </c>
      <c r="I224" s="195" t="s">
        <v>99</v>
      </c>
      <c r="J224" s="244" t="s">
        <v>470</v>
      </c>
      <c r="K224" s="213"/>
      <c r="L224" s="197"/>
      <c r="M224" s="197"/>
      <c r="N224" s="197"/>
      <c r="O224" s="197"/>
    </row>
    <row r="225" spans="1:15" hidden="1">
      <c r="A225" s="195" t="s">
        <v>137</v>
      </c>
      <c r="B225" s="195" t="s">
        <v>138</v>
      </c>
      <c r="C225" s="195" t="s">
        <v>452</v>
      </c>
      <c r="D225" s="195" t="s">
        <v>201</v>
      </c>
      <c r="E225" s="208" t="s">
        <v>471</v>
      </c>
      <c r="F225" s="195" t="s">
        <v>153</v>
      </c>
      <c r="G225" s="242">
        <v>-18.28</v>
      </c>
      <c r="H225" s="243">
        <v>-18.28</v>
      </c>
      <c r="I225" s="195" t="s">
        <v>99</v>
      </c>
      <c r="J225" s="195" t="s">
        <v>143</v>
      </c>
      <c r="K225" s="213"/>
      <c r="L225" s="197"/>
      <c r="M225" s="197"/>
      <c r="N225" s="197"/>
      <c r="O225" s="197"/>
    </row>
    <row r="226" spans="1:15" hidden="1">
      <c r="A226" s="195" t="s">
        <v>137</v>
      </c>
      <c r="B226" s="195" t="s">
        <v>138</v>
      </c>
      <c r="C226" s="195" t="s">
        <v>452</v>
      </c>
      <c r="D226" s="195" t="s">
        <v>201</v>
      </c>
      <c r="E226" s="208" t="s">
        <v>472</v>
      </c>
      <c r="F226" s="195" t="s">
        <v>153</v>
      </c>
      <c r="G226" s="242">
        <v>-11.33</v>
      </c>
      <c r="H226" s="243">
        <v>-11.33</v>
      </c>
      <c r="I226" s="195" t="s">
        <v>99</v>
      </c>
      <c r="J226" s="195" t="s">
        <v>143</v>
      </c>
      <c r="K226" s="213"/>
      <c r="L226" s="197"/>
      <c r="M226" s="197"/>
      <c r="N226" s="197"/>
      <c r="O226" s="197"/>
    </row>
    <row r="227" spans="1:15" hidden="1">
      <c r="A227" s="195" t="s">
        <v>137</v>
      </c>
      <c r="B227" s="195" t="s">
        <v>138</v>
      </c>
      <c r="C227" s="195" t="s">
        <v>452</v>
      </c>
      <c r="D227" s="195" t="s">
        <v>201</v>
      </c>
      <c r="E227" s="208" t="s">
        <v>473</v>
      </c>
      <c r="F227" s="195" t="s">
        <v>153</v>
      </c>
      <c r="G227" s="242">
        <v>-36.22</v>
      </c>
      <c r="H227" s="243">
        <v>-36.22</v>
      </c>
      <c r="I227" s="195" t="s">
        <v>99</v>
      </c>
      <c r="J227" s="244" t="s">
        <v>470</v>
      </c>
      <c r="K227" s="188"/>
      <c r="L227" s="197"/>
      <c r="M227" s="197"/>
      <c r="N227" s="197"/>
      <c r="O227" s="197"/>
    </row>
    <row r="228" spans="1:15" hidden="1">
      <c r="A228" s="195" t="s">
        <v>137</v>
      </c>
      <c r="B228" s="195" t="s">
        <v>138</v>
      </c>
      <c r="C228" s="195" t="s">
        <v>452</v>
      </c>
      <c r="D228" s="195" t="s">
        <v>201</v>
      </c>
      <c r="E228" s="208" t="s">
        <v>474</v>
      </c>
      <c r="F228" s="195" t="s">
        <v>153</v>
      </c>
      <c r="G228" s="242">
        <v>-17.63</v>
      </c>
      <c r="H228" s="243">
        <v>-17.63</v>
      </c>
      <c r="I228" s="195" t="s">
        <v>99</v>
      </c>
      <c r="J228" s="195" t="s">
        <v>143</v>
      </c>
      <c r="K228" s="188"/>
      <c r="L228" s="197"/>
      <c r="M228" s="197"/>
      <c r="N228" s="197"/>
      <c r="O228" s="197"/>
    </row>
    <row r="229" spans="1:15" hidden="1">
      <c r="A229" s="195" t="s">
        <v>137</v>
      </c>
      <c r="B229" s="195" t="s">
        <v>138</v>
      </c>
      <c r="C229" s="195" t="s">
        <v>452</v>
      </c>
      <c r="D229" s="195" t="s">
        <v>201</v>
      </c>
      <c r="E229" s="208" t="s">
        <v>475</v>
      </c>
      <c r="F229" s="195" t="s">
        <v>153</v>
      </c>
      <c r="G229" s="242">
        <v>-115.12</v>
      </c>
      <c r="H229" s="243">
        <v>-115.12</v>
      </c>
      <c r="I229" s="195" t="s">
        <v>99</v>
      </c>
      <c r="J229" s="195" t="s">
        <v>476</v>
      </c>
      <c r="K229" s="188"/>
      <c r="L229" s="197"/>
      <c r="M229" s="197"/>
      <c r="N229" s="197"/>
      <c r="O229" s="197"/>
    </row>
    <row r="230" spans="1:15" hidden="1">
      <c r="A230" s="195" t="s">
        <v>137</v>
      </c>
      <c r="B230" s="195" t="s">
        <v>138</v>
      </c>
      <c r="C230" s="195" t="s">
        <v>452</v>
      </c>
      <c r="D230" s="195" t="s">
        <v>201</v>
      </c>
      <c r="E230" s="208" t="s">
        <v>477</v>
      </c>
      <c r="F230" s="195" t="s">
        <v>153</v>
      </c>
      <c r="G230" s="242">
        <v>-229.72</v>
      </c>
      <c r="H230" s="243">
        <v>-229.72</v>
      </c>
      <c r="I230" s="195" t="s">
        <v>99</v>
      </c>
      <c r="J230" s="195" t="s">
        <v>164</v>
      </c>
      <c r="K230" s="188"/>
      <c r="L230" s="197"/>
      <c r="M230" s="197"/>
      <c r="N230" s="197"/>
      <c r="O230" s="197"/>
    </row>
    <row r="231" spans="1:15" hidden="1">
      <c r="A231" s="195" t="s">
        <v>137</v>
      </c>
      <c r="B231" s="195" t="s">
        <v>138</v>
      </c>
      <c r="C231" s="195" t="s">
        <v>452</v>
      </c>
      <c r="D231" s="195" t="s">
        <v>201</v>
      </c>
      <c r="E231" s="208" t="s">
        <v>478</v>
      </c>
      <c r="F231" s="195" t="s">
        <v>153</v>
      </c>
      <c r="G231" s="242">
        <v>-39.22</v>
      </c>
      <c r="H231" s="243">
        <v>-39.22</v>
      </c>
      <c r="I231" s="195" t="s">
        <v>99</v>
      </c>
      <c r="J231" s="195" t="s">
        <v>143</v>
      </c>
      <c r="K231" s="188"/>
      <c r="L231" s="197"/>
      <c r="M231" s="197"/>
      <c r="N231" s="197"/>
      <c r="O231" s="197"/>
    </row>
    <row r="232" spans="1:15" ht="25.5" hidden="1">
      <c r="A232" s="195" t="s">
        <v>137</v>
      </c>
      <c r="B232" s="195" t="s">
        <v>138</v>
      </c>
      <c r="C232" s="195" t="s">
        <v>452</v>
      </c>
      <c r="D232" s="195" t="s">
        <v>201</v>
      </c>
      <c r="E232" s="208" t="s">
        <v>479</v>
      </c>
      <c r="F232" s="195" t="s">
        <v>153</v>
      </c>
      <c r="G232" s="242">
        <v>-101.84</v>
      </c>
      <c r="H232" s="243">
        <v>-101.84</v>
      </c>
      <c r="I232" s="195" t="s">
        <v>99</v>
      </c>
      <c r="J232" s="195" t="s">
        <v>164</v>
      </c>
      <c r="K232" s="188"/>
      <c r="L232" s="197"/>
      <c r="M232" s="197"/>
      <c r="N232" s="197"/>
      <c r="O232" s="197"/>
    </row>
    <row r="233" spans="1:15" hidden="1">
      <c r="A233" s="195" t="s">
        <v>137</v>
      </c>
      <c r="B233" s="195" t="s">
        <v>138</v>
      </c>
      <c r="C233" s="195" t="s">
        <v>452</v>
      </c>
      <c r="D233" s="195" t="s">
        <v>201</v>
      </c>
      <c r="E233" s="208" t="s">
        <v>480</v>
      </c>
      <c r="F233" s="195" t="s">
        <v>146</v>
      </c>
      <c r="G233" s="242">
        <v>-13.1</v>
      </c>
      <c r="H233" s="243">
        <v>-13.1</v>
      </c>
      <c r="I233" s="198" t="s">
        <v>99</v>
      </c>
      <c r="J233" s="198" t="s">
        <v>164</v>
      </c>
      <c r="K233" s="188"/>
      <c r="L233" s="197"/>
      <c r="M233" s="197"/>
      <c r="N233" s="197"/>
      <c r="O233" s="197"/>
    </row>
    <row r="234" spans="1:15" hidden="1">
      <c r="A234" s="195" t="s">
        <v>137</v>
      </c>
      <c r="B234" s="195" t="s">
        <v>138</v>
      </c>
      <c r="C234" s="195" t="s">
        <v>452</v>
      </c>
      <c r="D234" s="195" t="s">
        <v>201</v>
      </c>
      <c r="E234" s="208" t="s">
        <v>481</v>
      </c>
      <c r="F234" s="195" t="s">
        <v>146</v>
      </c>
      <c r="G234" s="242">
        <v>-516.85</v>
      </c>
      <c r="H234" s="243">
        <v>-516.85</v>
      </c>
      <c r="I234" s="198" t="s">
        <v>99</v>
      </c>
      <c r="J234" s="198" t="s">
        <v>164</v>
      </c>
      <c r="K234" s="188"/>
      <c r="L234" s="197"/>
      <c r="M234" s="197"/>
      <c r="N234" s="197"/>
      <c r="O234" s="197"/>
    </row>
    <row r="235" spans="1:15" ht="25.5" hidden="1">
      <c r="A235" s="195" t="s">
        <v>137</v>
      </c>
      <c r="B235" s="195" t="s">
        <v>138</v>
      </c>
      <c r="C235" s="195" t="s">
        <v>452</v>
      </c>
      <c r="D235" s="195" t="s">
        <v>201</v>
      </c>
      <c r="E235" s="208" t="s">
        <v>482</v>
      </c>
      <c r="F235" s="195" t="s">
        <v>146</v>
      </c>
      <c r="G235" s="242">
        <v>-242.43</v>
      </c>
      <c r="H235" s="243">
        <v>-242.43</v>
      </c>
      <c r="I235" s="198" t="s">
        <v>99</v>
      </c>
      <c r="J235" s="195" t="s">
        <v>143</v>
      </c>
      <c r="K235" s="188"/>
      <c r="L235" s="197"/>
      <c r="M235" s="197"/>
      <c r="N235" s="197"/>
      <c r="O235" s="197"/>
    </row>
    <row r="236" spans="1:15" hidden="1">
      <c r="A236" s="188" t="s">
        <v>137</v>
      </c>
      <c r="B236" s="188" t="s">
        <v>138</v>
      </c>
      <c r="C236" s="188" t="s">
        <v>452</v>
      </c>
      <c r="D236" s="188" t="s">
        <v>201</v>
      </c>
      <c r="E236" s="234" t="s">
        <v>483</v>
      </c>
      <c r="F236" s="234" t="s">
        <v>149</v>
      </c>
      <c r="G236" s="252">
        <v>-75.16</v>
      </c>
      <c r="H236" s="253">
        <v>-75.16</v>
      </c>
      <c r="I236" s="198" t="s">
        <v>99</v>
      </c>
      <c r="J236" s="198" t="s">
        <v>143</v>
      </c>
      <c r="K236" s="188"/>
      <c r="L236" s="197"/>
      <c r="M236" s="197"/>
      <c r="N236" s="197"/>
      <c r="O236" s="197"/>
    </row>
    <row r="237" spans="1:15" hidden="1">
      <c r="A237" s="188" t="s">
        <v>137</v>
      </c>
      <c r="B237" s="188" t="s">
        <v>138</v>
      </c>
      <c r="C237" s="188" t="s">
        <v>452</v>
      </c>
      <c r="D237" s="188" t="s">
        <v>201</v>
      </c>
      <c r="E237" s="234" t="s">
        <v>484</v>
      </c>
      <c r="F237" s="234" t="s">
        <v>149</v>
      </c>
      <c r="G237" s="252">
        <v>-29.48</v>
      </c>
      <c r="H237" s="253">
        <v>-29.48</v>
      </c>
      <c r="I237" s="198" t="s">
        <v>99</v>
      </c>
      <c r="J237" s="198" t="s">
        <v>143</v>
      </c>
      <c r="K237" s="188"/>
      <c r="L237" s="197"/>
      <c r="M237" s="197"/>
      <c r="N237" s="197"/>
      <c r="O237" s="197"/>
    </row>
    <row r="238" spans="1:15" ht="25.5" hidden="1">
      <c r="A238" s="188" t="s">
        <v>137</v>
      </c>
      <c r="B238" s="188" t="s">
        <v>138</v>
      </c>
      <c r="C238" s="188" t="s">
        <v>452</v>
      </c>
      <c r="D238" s="188" t="s">
        <v>201</v>
      </c>
      <c r="E238" s="234" t="s">
        <v>485</v>
      </c>
      <c r="F238" s="234" t="s">
        <v>149</v>
      </c>
      <c r="G238" s="252">
        <v>-100.86</v>
      </c>
      <c r="H238" s="253">
        <v>-100.86</v>
      </c>
      <c r="I238" s="198" t="s">
        <v>99</v>
      </c>
      <c r="J238" s="234" t="s">
        <v>143</v>
      </c>
      <c r="K238" s="188"/>
      <c r="L238" s="197"/>
      <c r="M238" s="197"/>
      <c r="N238" s="197"/>
      <c r="O238" s="197"/>
    </row>
    <row r="239" spans="1:15" hidden="1">
      <c r="A239" s="188" t="s">
        <v>137</v>
      </c>
      <c r="B239" s="188" t="s">
        <v>138</v>
      </c>
      <c r="C239" s="188" t="s">
        <v>452</v>
      </c>
      <c r="D239" s="188" t="s">
        <v>201</v>
      </c>
      <c r="E239" s="234" t="s">
        <v>486</v>
      </c>
      <c r="F239" s="234" t="s">
        <v>149</v>
      </c>
      <c r="G239" s="252">
        <v>-501.85</v>
      </c>
      <c r="H239" s="253">
        <v>-501.85</v>
      </c>
      <c r="I239" s="198" t="s">
        <v>99</v>
      </c>
      <c r="J239" s="198" t="s">
        <v>164</v>
      </c>
      <c r="K239" s="213"/>
      <c r="L239" s="197"/>
      <c r="M239" s="197"/>
      <c r="N239" s="197"/>
      <c r="O239" s="197"/>
    </row>
    <row r="240" spans="1:15" hidden="1">
      <c r="A240" s="188" t="s">
        <v>137</v>
      </c>
      <c r="B240" s="188" t="s">
        <v>138</v>
      </c>
      <c r="C240" s="188" t="s">
        <v>452</v>
      </c>
      <c r="D240" s="188" t="s">
        <v>201</v>
      </c>
      <c r="E240" s="234" t="s">
        <v>487</v>
      </c>
      <c r="F240" s="234" t="s">
        <v>149</v>
      </c>
      <c r="G240" s="252">
        <v>-12.22</v>
      </c>
      <c r="H240" s="253">
        <v>-12.22</v>
      </c>
      <c r="I240" s="198" t="s">
        <v>99</v>
      </c>
      <c r="J240" s="198" t="s">
        <v>143</v>
      </c>
      <c r="K240" s="188"/>
      <c r="L240" s="197"/>
      <c r="M240" s="197"/>
      <c r="N240" s="197"/>
      <c r="O240" s="197"/>
    </row>
    <row r="241" spans="1:15" hidden="1">
      <c r="A241" s="188" t="s">
        <v>137</v>
      </c>
      <c r="B241" s="195" t="s">
        <v>138</v>
      </c>
      <c r="C241" s="195" t="s">
        <v>452</v>
      </c>
      <c r="D241" s="195" t="s">
        <v>201</v>
      </c>
      <c r="E241" s="208" t="s">
        <v>488</v>
      </c>
      <c r="F241" s="195" t="s">
        <v>142</v>
      </c>
      <c r="G241" s="242">
        <v>-761.73</v>
      </c>
      <c r="H241" s="243">
        <v>-761.73</v>
      </c>
      <c r="I241" s="188" t="s">
        <v>99</v>
      </c>
      <c r="J241" s="198" t="s">
        <v>164</v>
      </c>
      <c r="K241" s="195"/>
      <c r="L241" s="197"/>
      <c r="M241" s="197"/>
      <c r="N241" s="197"/>
      <c r="O241" s="197"/>
    </row>
    <row r="242" spans="1:15" hidden="1">
      <c r="A242" s="188" t="s">
        <v>137</v>
      </c>
      <c r="B242" s="195" t="s">
        <v>138</v>
      </c>
      <c r="C242" s="195" t="s">
        <v>452</v>
      </c>
      <c r="D242" s="195" t="s">
        <v>201</v>
      </c>
      <c r="E242" s="208" t="s">
        <v>489</v>
      </c>
      <c r="F242" s="195" t="s">
        <v>142</v>
      </c>
      <c r="G242" s="242">
        <v>-9.84</v>
      </c>
      <c r="H242" s="243">
        <v>-9.84</v>
      </c>
      <c r="I242" s="188" t="s">
        <v>99</v>
      </c>
      <c r="J242" s="195" t="s">
        <v>143</v>
      </c>
      <c r="K242" s="195"/>
      <c r="L242" s="197"/>
      <c r="M242" s="197"/>
      <c r="N242" s="197"/>
      <c r="O242" s="197"/>
    </row>
    <row r="243" spans="1:15" hidden="1">
      <c r="A243" s="188" t="s">
        <v>137</v>
      </c>
      <c r="B243" s="195" t="s">
        <v>138</v>
      </c>
      <c r="C243" s="195" t="s">
        <v>452</v>
      </c>
      <c r="D243" s="195" t="s">
        <v>201</v>
      </c>
      <c r="E243" s="208" t="s">
        <v>490</v>
      </c>
      <c r="F243" s="195" t="s">
        <v>142</v>
      </c>
      <c r="G243" s="242">
        <v>-33.47</v>
      </c>
      <c r="H243" s="243">
        <v>-33.47</v>
      </c>
      <c r="I243" s="188" t="s">
        <v>99</v>
      </c>
      <c r="J243" s="195" t="s">
        <v>143</v>
      </c>
      <c r="K243" s="195"/>
      <c r="L243" s="197"/>
      <c r="M243" s="197"/>
      <c r="N243" s="197"/>
      <c r="O243" s="197"/>
    </row>
    <row r="244" spans="1:15" hidden="1">
      <c r="A244" s="195" t="s">
        <v>232</v>
      </c>
      <c r="B244" s="195" t="s">
        <v>138</v>
      </c>
      <c r="C244" s="195" t="s">
        <v>491</v>
      </c>
      <c r="D244" s="195" t="s">
        <v>492</v>
      </c>
      <c r="E244" s="208" t="s">
        <v>493</v>
      </c>
      <c r="F244" s="195" t="s">
        <v>146</v>
      </c>
      <c r="G244" s="242">
        <v>-362.08</v>
      </c>
      <c r="H244" s="243">
        <v>-362.08</v>
      </c>
      <c r="I244" s="198" t="s">
        <v>107</v>
      </c>
      <c r="J244" s="198" t="s">
        <v>164</v>
      </c>
      <c r="K244" s="188"/>
      <c r="L244" s="197"/>
      <c r="M244" s="197"/>
      <c r="N244" s="197"/>
      <c r="O244" s="197"/>
    </row>
    <row r="245" spans="1:15" hidden="1">
      <c r="A245" s="195" t="s">
        <v>232</v>
      </c>
      <c r="B245" s="195" t="s">
        <v>138</v>
      </c>
      <c r="C245" s="195" t="s">
        <v>491</v>
      </c>
      <c r="D245" s="195" t="s">
        <v>492</v>
      </c>
      <c r="E245" s="208" t="s">
        <v>493</v>
      </c>
      <c r="F245" s="195" t="s">
        <v>146</v>
      </c>
      <c r="G245" s="242">
        <v>-225.99</v>
      </c>
      <c r="H245" s="243">
        <v>-225.99</v>
      </c>
      <c r="I245" s="198" t="s">
        <v>107</v>
      </c>
      <c r="J245" s="198" t="s">
        <v>164</v>
      </c>
      <c r="K245" s="188"/>
      <c r="L245" s="197"/>
      <c r="M245" s="197"/>
      <c r="N245" s="197"/>
      <c r="O245" s="197"/>
    </row>
    <row r="246" spans="1:15" hidden="1">
      <c r="A246" s="195" t="s">
        <v>137</v>
      </c>
      <c r="B246" s="195" t="s">
        <v>138</v>
      </c>
      <c r="C246" s="195" t="s">
        <v>491</v>
      </c>
      <c r="D246" s="195" t="s">
        <v>492</v>
      </c>
      <c r="E246" s="208" t="s">
        <v>493</v>
      </c>
      <c r="F246" s="195" t="s">
        <v>146</v>
      </c>
      <c r="G246" s="242">
        <v>-65.849999999999994</v>
      </c>
      <c r="H246" s="243">
        <v>-65.849999999999994</v>
      </c>
      <c r="I246" s="198" t="s">
        <v>107</v>
      </c>
      <c r="J246" s="198" t="s">
        <v>164</v>
      </c>
      <c r="K246" s="213"/>
      <c r="L246" s="197"/>
      <c r="M246" s="197"/>
      <c r="N246" s="197"/>
      <c r="O246" s="197"/>
    </row>
    <row r="247" spans="1:15" hidden="1">
      <c r="A247" s="195" t="s">
        <v>137</v>
      </c>
      <c r="B247" s="195" t="s">
        <v>138</v>
      </c>
      <c r="C247" s="195" t="s">
        <v>491</v>
      </c>
      <c r="D247" s="195" t="s">
        <v>492</v>
      </c>
      <c r="E247" s="208" t="s">
        <v>493</v>
      </c>
      <c r="F247" s="195" t="s">
        <v>146</v>
      </c>
      <c r="G247" s="242">
        <v>-0.2</v>
      </c>
      <c r="H247" s="243">
        <v>-0.2</v>
      </c>
      <c r="I247" s="198" t="s">
        <v>107</v>
      </c>
      <c r="J247" s="198" t="s">
        <v>164</v>
      </c>
      <c r="K247" s="188"/>
      <c r="L247" s="197"/>
      <c r="M247" s="197"/>
      <c r="N247" s="197"/>
      <c r="O247" s="197"/>
    </row>
    <row r="248" spans="1:15" hidden="1">
      <c r="A248" s="195" t="s">
        <v>137</v>
      </c>
      <c r="B248" s="195" t="s">
        <v>138</v>
      </c>
      <c r="C248" s="195" t="s">
        <v>491</v>
      </c>
      <c r="D248" s="195" t="s">
        <v>492</v>
      </c>
      <c r="E248" s="208" t="s">
        <v>494</v>
      </c>
      <c r="F248" s="195" t="s">
        <v>146</v>
      </c>
      <c r="G248" s="242">
        <v>-0.15</v>
      </c>
      <c r="H248" s="243">
        <v>-0.15</v>
      </c>
      <c r="I248" s="198" t="s">
        <v>107</v>
      </c>
      <c r="J248" s="198" t="s">
        <v>164</v>
      </c>
      <c r="K248" s="188"/>
      <c r="L248" s="197"/>
      <c r="M248" s="197"/>
      <c r="N248" s="197"/>
      <c r="O248" s="197"/>
    </row>
    <row r="249" spans="1:15" hidden="1">
      <c r="A249" s="188" t="s">
        <v>232</v>
      </c>
      <c r="B249" s="188" t="s">
        <v>138</v>
      </c>
      <c r="C249" s="188" t="s">
        <v>491</v>
      </c>
      <c r="D249" s="188" t="s">
        <v>492</v>
      </c>
      <c r="E249" s="234" t="s">
        <v>495</v>
      </c>
      <c r="F249" s="234" t="s">
        <v>149</v>
      </c>
      <c r="G249" s="252">
        <v>-375.38</v>
      </c>
      <c r="H249" s="253">
        <v>-375.38</v>
      </c>
      <c r="I249" s="198" t="s">
        <v>107</v>
      </c>
      <c r="J249" s="198" t="s">
        <v>164</v>
      </c>
      <c r="K249" s="188"/>
      <c r="L249" s="197"/>
      <c r="M249" s="197"/>
      <c r="N249" s="197"/>
      <c r="O249" s="197"/>
    </row>
    <row r="250" spans="1:15" hidden="1">
      <c r="A250" s="188" t="s">
        <v>137</v>
      </c>
      <c r="B250" s="188" t="s">
        <v>138</v>
      </c>
      <c r="C250" s="188" t="s">
        <v>491</v>
      </c>
      <c r="D250" s="188" t="s">
        <v>492</v>
      </c>
      <c r="E250" s="234" t="s">
        <v>495</v>
      </c>
      <c r="F250" s="234" t="s">
        <v>149</v>
      </c>
      <c r="G250" s="252">
        <v>-83.78</v>
      </c>
      <c r="H250" s="253">
        <v>-83.78</v>
      </c>
      <c r="I250" s="198" t="s">
        <v>107</v>
      </c>
      <c r="J250" s="198" t="s">
        <v>164</v>
      </c>
      <c r="K250" s="188"/>
      <c r="L250" s="197"/>
      <c r="M250" s="197"/>
      <c r="N250" s="197"/>
      <c r="O250" s="197"/>
    </row>
    <row r="251" spans="1:15" hidden="1">
      <c r="A251" s="188" t="s">
        <v>243</v>
      </c>
      <c r="B251" s="188" t="s">
        <v>138</v>
      </c>
      <c r="C251" s="188" t="s">
        <v>74</v>
      </c>
      <c r="D251" s="188" t="s">
        <v>257</v>
      </c>
      <c r="E251" s="234" t="s">
        <v>496</v>
      </c>
      <c r="F251" s="234" t="s">
        <v>142</v>
      </c>
      <c r="G251" s="252">
        <v>-1339.3</v>
      </c>
      <c r="H251" s="253">
        <v>-1339.3</v>
      </c>
      <c r="I251" s="188" t="s">
        <v>74</v>
      </c>
      <c r="J251" s="198" t="s">
        <v>143</v>
      </c>
      <c r="K251" s="188"/>
      <c r="L251" s="197"/>
      <c r="M251" s="197"/>
      <c r="N251" s="197"/>
      <c r="O251" s="197"/>
    </row>
    <row r="252" spans="1:15" hidden="1">
      <c r="A252" s="188" t="s">
        <v>232</v>
      </c>
      <c r="B252" s="188" t="s">
        <v>138</v>
      </c>
      <c r="C252" s="188" t="s">
        <v>491</v>
      </c>
      <c r="D252" s="188" t="s">
        <v>492</v>
      </c>
      <c r="E252" s="234" t="s">
        <v>495</v>
      </c>
      <c r="F252" s="234" t="s">
        <v>149</v>
      </c>
      <c r="G252" s="252">
        <v>-3.29</v>
      </c>
      <c r="H252" s="253">
        <v>-3.29</v>
      </c>
      <c r="I252" s="198" t="s">
        <v>107</v>
      </c>
      <c r="J252" s="198" t="s">
        <v>164</v>
      </c>
      <c r="K252" s="188"/>
      <c r="L252" s="197"/>
      <c r="M252" s="197"/>
      <c r="N252" s="197"/>
      <c r="O252" s="197"/>
    </row>
    <row r="253" spans="1:15" hidden="1">
      <c r="A253" s="188" t="s">
        <v>137</v>
      </c>
      <c r="B253" s="188" t="s">
        <v>138</v>
      </c>
      <c r="C253" s="188" t="s">
        <v>491</v>
      </c>
      <c r="D253" s="188" t="s">
        <v>492</v>
      </c>
      <c r="E253" s="234" t="s">
        <v>495</v>
      </c>
      <c r="F253" s="234" t="s">
        <v>149</v>
      </c>
      <c r="G253" s="252">
        <v>-0.56999999999999995</v>
      </c>
      <c r="H253" s="253">
        <v>-0.56999999999999995</v>
      </c>
      <c r="I253" s="198" t="s">
        <v>107</v>
      </c>
      <c r="J253" s="198" t="s">
        <v>164</v>
      </c>
      <c r="K253" s="188"/>
      <c r="L253" s="197"/>
      <c r="M253" s="197"/>
      <c r="N253" s="197"/>
      <c r="O253" s="197"/>
    </row>
    <row r="254" spans="1:15" hidden="1">
      <c r="A254" s="188" t="s">
        <v>137</v>
      </c>
      <c r="B254" s="188" t="s">
        <v>138</v>
      </c>
      <c r="C254" s="188" t="s">
        <v>491</v>
      </c>
      <c r="D254" s="188" t="s">
        <v>492</v>
      </c>
      <c r="E254" s="234" t="s">
        <v>497</v>
      </c>
      <c r="F254" s="234" t="s">
        <v>149</v>
      </c>
      <c r="G254" s="252">
        <v>-0.23</v>
      </c>
      <c r="H254" s="253">
        <v>-0.23</v>
      </c>
      <c r="I254" s="198" t="s">
        <v>107</v>
      </c>
      <c r="J254" s="198" t="s">
        <v>164</v>
      </c>
      <c r="K254" s="213"/>
      <c r="L254" s="197"/>
      <c r="M254" s="197"/>
      <c r="N254" s="197"/>
      <c r="O254" s="197"/>
    </row>
    <row r="255" spans="1:15" hidden="1">
      <c r="A255" s="188" t="s">
        <v>137</v>
      </c>
      <c r="B255" s="195" t="s">
        <v>138</v>
      </c>
      <c r="C255" s="195" t="s">
        <v>491</v>
      </c>
      <c r="D255" s="195" t="s">
        <v>492</v>
      </c>
      <c r="E255" s="208" t="s">
        <v>495</v>
      </c>
      <c r="F255" s="195" t="s">
        <v>149</v>
      </c>
      <c r="G255" s="242">
        <v>-400.42</v>
      </c>
      <c r="H255" s="243">
        <v>-400.42</v>
      </c>
      <c r="I255" s="188" t="s">
        <v>107</v>
      </c>
      <c r="J255" s="198" t="s">
        <v>164</v>
      </c>
      <c r="K255" s="195"/>
      <c r="L255" s="197"/>
      <c r="M255" s="197"/>
      <c r="N255" s="197"/>
      <c r="O255" s="197"/>
    </row>
    <row r="256" spans="1:15" hidden="1">
      <c r="A256" s="188" t="s">
        <v>137</v>
      </c>
      <c r="B256" s="195" t="s">
        <v>138</v>
      </c>
      <c r="C256" s="195" t="s">
        <v>491</v>
      </c>
      <c r="D256" s="195" t="s">
        <v>492</v>
      </c>
      <c r="E256" s="208" t="s">
        <v>498</v>
      </c>
      <c r="F256" s="195" t="s">
        <v>142</v>
      </c>
      <c r="G256" s="242">
        <v>-47.49</v>
      </c>
      <c r="H256" s="243">
        <v>-47.49</v>
      </c>
      <c r="I256" s="188" t="s">
        <v>107</v>
      </c>
      <c r="J256" s="198" t="s">
        <v>164</v>
      </c>
      <c r="K256" s="195"/>
      <c r="L256" s="197"/>
      <c r="M256" s="197"/>
      <c r="N256" s="197"/>
      <c r="O256" s="197"/>
    </row>
    <row r="257" spans="1:15" hidden="1">
      <c r="A257" s="188" t="s">
        <v>243</v>
      </c>
      <c r="B257" s="195" t="s">
        <v>138</v>
      </c>
      <c r="C257" s="195" t="s">
        <v>74</v>
      </c>
      <c r="D257" s="195" t="s">
        <v>257</v>
      </c>
      <c r="E257" s="195" t="s">
        <v>499</v>
      </c>
      <c r="F257" s="195" t="s">
        <v>265</v>
      </c>
      <c r="G257" s="243">
        <v>-1281.94</v>
      </c>
      <c r="H257" s="243">
        <v>-1281.94</v>
      </c>
      <c r="I257" s="198" t="s">
        <v>74</v>
      </c>
      <c r="J257" s="195" t="s">
        <v>143</v>
      </c>
      <c r="K257" s="195"/>
      <c r="L257" s="197"/>
      <c r="M257" s="197"/>
      <c r="N257" s="197"/>
      <c r="O257" s="197"/>
    </row>
    <row r="258" spans="1:15" hidden="1">
      <c r="A258" s="188" t="s">
        <v>137</v>
      </c>
      <c r="B258" s="195" t="s">
        <v>138</v>
      </c>
      <c r="C258" s="195" t="s">
        <v>491</v>
      </c>
      <c r="D258" s="195" t="s">
        <v>492</v>
      </c>
      <c r="E258" s="208" t="s">
        <v>498</v>
      </c>
      <c r="F258" s="195" t="s">
        <v>142</v>
      </c>
      <c r="G258" s="242">
        <v>-2.57</v>
      </c>
      <c r="H258" s="243">
        <v>-2.57</v>
      </c>
      <c r="I258" s="188" t="s">
        <v>107</v>
      </c>
      <c r="J258" s="198" t="s">
        <v>164</v>
      </c>
      <c r="K258" s="195"/>
      <c r="L258" s="197"/>
      <c r="M258" s="197"/>
      <c r="N258" s="197"/>
      <c r="O258" s="197"/>
    </row>
    <row r="259" spans="1:15" hidden="1">
      <c r="A259" s="188" t="s">
        <v>137</v>
      </c>
      <c r="B259" s="195" t="s">
        <v>138</v>
      </c>
      <c r="C259" s="195" t="s">
        <v>491</v>
      </c>
      <c r="D259" s="195" t="s">
        <v>492</v>
      </c>
      <c r="E259" s="208" t="s">
        <v>500</v>
      </c>
      <c r="F259" s="195" t="s">
        <v>142</v>
      </c>
      <c r="G259" s="242">
        <v>-0.08</v>
      </c>
      <c r="H259" s="243">
        <v>-0.08</v>
      </c>
      <c r="I259" s="188" t="s">
        <v>107</v>
      </c>
      <c r="J259" s="198" t="s">
        <v>164</v>
      </c>
      <c r="K259" s="195"/>
      <c r="L259" s="197"/>
      <c r="M259" s="197"/>
      <c r="N259" s="197"/>
      <c r="O259" s="197"/>
    </row>
    <row r="260" spans="1:15" hidden="1">
      <c r="A260" s="188" t="s">
        <v>137</v>
      </c>
      <c r="B260" s="195" t="s">
        <v>138</v>
      </c>
      <c r="C260" s="195" t="s">
        <v>491</v>
      </c>
      <c r="D260" s="195" t="s">
        <v>492</v>
      </c>
      <c r="E260" s="208" t="s">
        <v>498</v>
      </c>
      <c r="F260" s="195" t="s">
        <v>142</v>
      </c>
      <c r="G260" s="242">
        <v>-244.46</v>
      </c>
      <c r="H260" s="243">
        <v>-244.46</v>
      </c>
      <c r="I260" s="188" t="s">
        <v>107</v>
      </c>
      <c r="J260" s="198" t="s">
        <v>164</v>
      </c>
      <c r="K260" s="195"/>
      <c r="L260" s="197"/>
      <c r="M260" s="197"/>
      <c r="N260" s="197"/>
      <c r="O260" s="197"/>
    </row>
    <row r="261" spans="1:15" hidden="1">
      <c r="A261" s="188" t="s">
        <v>137</v>
      </c>
      <c r="B261" s="195" t="s">
        <v>138</v>
      </c>
      <c r="C261" s="195" t="s">
        <v>501</v>
      </c>
      <c r="D261" s="195" t="s">
        <v>492</v>
      </c>
      <c r="E261" s="208" t="s">
        <v>502</v>
      </c>
      <c r="F261" s="195" t="s">
        <v>146</v>
      </c>
      <c r="G261" s="242">
        <v>-171.16</v>
      </c>
      <c r="H261" s="243">
        <v>-171.16</v>
      </c>
      <c r="I261" s="198" t="s">
        <v>503</v>
      </c>
      <c r="J261" s="198" t="s">
        <v>206</v>
      </c>
      <c r="K261" s="188"/>
      <c r="L261" s="197"/>
      <c r="M261" s="197"/>
      <c r="N261" s="197"/>
      <c r="O261" s="197"/>
    </row>
    <row r="262" spans="1:15" hidden="1">
      <c r="A262" s="188" t="s">
        <v>137</v>
      </c>
      <c r="B262" s="195" t="s">
        <v>138</v>
      </c>
      <c r="C262" s="195" t="s">
        <v>501</v>
      </c>
      <c r="D262" s="195" t="s">
        <v>492</v>
      </c>
      <c r="E262" s="208" t="s">
        <v>504</v>
      </c>
      <c r="F262" s="195" t="s">
        <v>146</v>
      </c>
      <c r="G262" s="242">
        <v>-0.72</v>
      </c>
      <c r="H262" s="243">
        <v>-0.72</v>
      </c>
      <c r="I262" s="198" t="s">
        <v>503</v>
      </c>
      <c r="J262" s="198" t="s">
        <v>206</v>
      </c>
      <c r="K262" s="188"/>
      <c r="L262" s="197"/>
      <c r="M262" s="197"/>
      <c r="N262" s="197"/>
      <c r="O262" s="197"/>
    </row>
    <row r="263" spans="1:15" hidden="1">
      <c r="A263" s="188" t="s">
        <v>137</v>
      </c>
      <c r="B263" s="195" t="s">
        <v>138</v>
      </c>
      <c r="C263" s="195" t="s">
        <v>501</v>
      </c>
      <c r="D263" s="195" t="s">
        <v>492</v>
      </c>
      <c r="E263" s="208" t="s">
        <v>502</v>
      </c>
      <c r="F263" s="195" t="s">
        <v>146</v>
      </c>
      <c r="G263" s="242">
        <v>-5.03</v>
      </c>
      <c r="H263" s="243">
        <v>-5.03</v>
      </c>
      <c r="I263" s="198" t="s">
        <v>503</v>
      </c>
      <c r="J263" s="198" t="s">
        <v>206</v>
      </c>
      <c r="K263" s="188"/>
      <c r="L263" s="197"/>
      <c r="M263" s="197"/>
      <c r="N263" s="197"/>
      <c r="O263" s="197"/>
    </row>
    <row r="264" spans="1:15" hidden="1">
      <c r="A264" s="188" t="s">
        <v>232</v>
      </c>
      <c r="B264" s="195" t="s">
        <v>138</v>
      </c>
      <c r="C264" s="195" t="s">
        <v>501</v>
      </c>
      <c r="D264" s="195" t="s">
        <v>492</v>
      </c>
      <c r="E264" s="208" t="s">
        <v>502</v>
      </c>
      <c r="F264" s="195" t="s">
        <v>146</v>
      </c>
      <c r="G264" s="242">
        <v>-123.69</v>
      </c>
      <c r="H264" s="243">
        <v>-123.69</v>
      </c>
      <c r="I264" s="198" t="s">
        <v>503</v>
      </c>
      <c r="J264" s="198" t="s">
        <v>206</v>
      </c>
      <c r="K264" s="213"/>
      <c r="L264" s="197"/>
      <c r="M264" s="197"/>
      <c r="N264" s="197"/>
      <c r="O264" s="197"/>
    </row>
    <row r="265" spans="1:15" hidden="1">
      <c r="A265" s="188" t="s">
        <v>137</v>
      </c>
      <c r="B265" s="195" t="s">
        <v>138</v>
      </c>
      <c r="C265" s="195" t="s">
        <v>501</v>
      </c>
      <c r="D265" s="195" t="s">
        <v>492</v>
      </c>
      <c r="E265" s="208" t="s">
        <v>505</v>
      </c>
      <c r="F265" s="195" t="s">
        <v>149</v>
      </c>
      <c r="G265" s="242">
        <v>-19.760000000000002</v>
      </c>
      <c r="H265" s="243">
        <v>-19.760000000000002</v>
      </c>
      <c r="I265" s="198" t="s">
        <v>503</v>
      </c>
      <c r="J265" s="198" t="s">
        <v>206</v>
      </c>
      <c r="K265" s="188"/>
      <c r="L265" s="197"/>
      <c r="M265" s="197"/>
      <c r="N265" s="197"/>
      <c r="O265" s="197"/>
    </row>
    <row r="266" spans="1:15" hidden="1">
      <c r="A266" s="188" t="s">
        <v>137</v>
      </c>
      <c r="B266" s="195" t="s">
        <v>138</v>
      </c>
      <c r="C266" s="195" t="s">
        <v>501</v>
      </c>
      <c r="D266" s="195" t="s">
        <v>492</v>
      </c>
      <c r="E266" s="208" t="s">
        <v>505</v>
      </c>
      <c r="F266" s="195" t="s">
        <v>149</v>
      </c>
      <c r="G266" s="242">
        <v>-0.02</v>
      </c>
      <c r="H266" s="243">
        <v>-0.02</v>
      </c>
      <c r="I266" s="198" t="s">
        <v>503</v>
      </c>
      <c r="J266" s="198" t="s">
        <v>206</v>
      </c>
      <c r="K266" s="188"/>
      <c r="L266" s="197"/>
      <c r="M266" s="197"/>
      <c r="N266" s="197"/>
      <c r="O266" s="197"/>
    </row>
    <row r="267" spans="1:15" hidden="1">
      <c r="A267" s="188" t="s">
        <v>137</v>
      </c>
      <c r="B267" s="195" t="s">
        <v>138</v>
      </c>
      <c r="C267" s="195" t="s">
        <v>501</v>
      </c>
      <c r="D267" s="195" t="s">
        <v>492</v>
      </c>
      <c r="E267" s="208" t="s">
        <v>506</v>
      </c>
      <c r="F267" s="195" t="s">
        <v>149</v>
      </c>
      <c r="G267" s="242">
        <v>-0.31</v>
      </c>
      <c r="H267" s="243">
        <v>-0.31</v>
      </c>
      <c r="I267" s="198" t="s">
        <v>503</v>
      </c>
      <c r="J267" s="198" t="s">
        <v>206</v>
      </c>
      <c r="K267" s="188"/>
      <c r="L267" s="197"/>
      <c r="M267" s="197"/>
      <c r="N267" s="197"/>
      <c r="O267" s="197"/>
    </row>
    <row r="268" spans="1:15" hidden="1">
      <c r="A268" s="188" t="s">
        <v>137</v>
      </c>
      <c r="B268" s="195" t="s">
        <v>138</v>
      </c>
      <c r="C268" s="195" t="s">
        <v>501</v>
      </c>
      <c r="D268" s="195" t="s">
        <v>492</v>
      </c>
      <c r="E268" s="208" t="s">
        <v>507</v>
      </c>
      <c r="F268" s="195" t="s">
        <v>149</v>
      </c>
      <c r="G268" s="242">
        <v>-11.85</v>
      </c>
      <c r="H268" s="243">
        <v>-11.85</v>
      </c>
      <c r="I268" s="198" t="s">
        <v>503</v>
      </c>
      <c r="J268" s="198" t="s">
        <v>206</v>
      </c>
      <c r="K268" s="188"/>
      <c r="L268" s="197"/>
      <c r="M268" s="197"/>
      <c r="N268" s="197"/>
      <c r="O268" s="197"/>
    </row>
    <row r="269" spans="1:15" hidden="1">
      <c r="A269" s="188" t="s">
        <v>232</v>
      </c>
      <c r="B269" s="195" t="s">
        <v>138</v>
      </c>
      <c r="C269" s="195" t="s">
        <v>501</v>
      </c>
      <c r="D269" s="195" t="s">
        <v>492</v>
      </c>
      <c r="E269" s="208" t="s">
        <v>505</v>
      </c>
      <c r="F269" s="195" t="s">
        <v>149</v>
      </c>
      <c r="G269" s="242">
        <v>-42.04</v>
      </c>
      <c r="H269" s="243">
        <v>-42.04</v>
      </c>
      <c r="I269" s="198" t="s">
        <v>503</v>
      </c>
      <c r="J269" s="198" t="s">
        <v>206</v>
      </c>
      <c r="K269" s="188"/>
      <c r="L269" s="197"/>
      <c r="M269" s="197"/>
      <c r="N269" s="197"/>
      <c r="O269" s="197"/>
    </row>
    <row r="270" spans="1:15" hidden="1">
      <c r="A270" s="188" t="s">
        <v>243</v>
      </c>
      <c r="B270" s="195" t="s">
        <v>138</v>
      </c>
      <c r="C270" s="195" t="s">
        <v>74</v>
      </c>
      <c r="D270" s="195" t="s">
        <v>257</v>
      </c>
      <c r="E270" s="208" t="s">
        <v>508</v>
      </c>
      <c r="F270" s="195" t="s">
        <v>153</v>
      </c>
      <c r="G270" s="242">
        <v>-1279.8800000000001</v>
      </c>
      <c r="H270" s="243">
        <v>-1279.8800000000001</v>
      </c>
      <c r="I270" s="198" t="s">
        <v>74</v>
      </c>
      <c r="J270" s="257" t="s">
        <v>143</v>
      </c>
      <c r="K270" s="188"/>
      <c r="L270" s="197"/>
      <c r="M270" s="197"/>
      <c r="N270" s="197"/>
      <c r="O270" s="197"/>
    </row>
    <row r="271" spans="1:15" hidden="1">
      <c r="A271" s="188" t="s">
        <v>137</v>
      </c>
      <c r="B271" s="195" t="s">
        <v>138</v>
      </c>
      <c r="C271" s="195" t="s">
        <v>501</v>
      </c>
      <c r="D271" s="195" t="s">
        <v>492</v>
      </c>
      <c r="E271" s="208" t="s">
        <v>509</v>
      </c>
      <c r="F271" s="195" t="s">
        <v>142</v>
      </c>
      <c r="G271" s="242">
        <v>-54.59</v>
      </c>
      <c r="H271" s="243">
        <v>-54.59</v>
      </c>
      <c r="I271" s="198" t="s">
        <v>503</v>
      </c>
      <c r="J271" s="198" t="s">
        <v>206</v>
      </c>
      <c r="K271" s="213"/>
      <c r="L271" s="197"/>
      <c r="M271" s="197"/>
      <c r="N271" s="197"/>
      <c r="O271" s="197"/>
    </row>
    <row r="272" spans="1:15" hidden="1">
      <c r="A272" s="188" t="s">
        <v>137</v>
      </c>
      <c r="B272" s="195" t="s">
        <v>138</v>
      </c>
      <c r="C272" s="195" t="s">
        <v>501</v>
      </c>
      <c r="D272" s="195" t="s">
        <v>492</v>
      </c>
      <c r="E272" s="208" t="s">
        <v>510</v>
      </c>
      <c r="F272" s="195" t="s">
        <v>142</v>
      </c>
      <c r="G272" s="242">
        <v>-0.02</v>
      </c>
      <c r="H272" s="243">
        <v>-0.02</v>
      </c>
      <c r="I272" s="198" t="s">
        <v>503</v>
      </c>
      <c r="J272" s="198" t="s">
        <v>206</v>
      </c>
      <c r="K272" s="213"/>
      <c r="L272" s="197"/>
      <c r="M272" s="197"/>
      <c r="N272" s="197"/>
      <c r="O272" s="197"/>
    </row>
    <row r="273" spans="1:15" hidden="1">
      <c r="A273" s="188" t="s">
        <v>137</v>
      </c>
      <c r="B273" s="195" t="s">
        <v>138</v>
      </c>
      <c r="C273" s="195" t="s">
        <v>501</v>
      </c>
      <c r="D273" s="195" t="s">
        <v>492</v>
      </c>
      <c r="E273" s="208" t="s">
        <v>509</v>
      </c>
      <c r="F273" s="195" t="s">
        <v>142</v>
      </c>
      <c r="G273" s="242">
        <v>-127.39</v>
      </c>
      <c r="H273" s="243">
        <v>-127.39</v>
      </c>
      <c r="I273" s="198" t="s">
        <v>503</v>
      </c>
      <c r="J273" s="198" t="s">
        <v>206</v>
      </c>
      <c r="K273" s="188"/>
      <c r="L273" s="197"/>
      <c r="M273" s="197"/>
      <c r="N273" s="197"/>
      <c r="O273" s="197"/>
    </row>
    <row r="274" spans="1:15" hidden="1">
      <c r="A274" s="188" t="s">
        <v>137</v>
      </c>
      <c r="B274" s="195" t="s">
        <v>138</v>
      </c>
      <c r="C274" s="195" t="s">
        <v>501</v>
      </c>
      <c r="D274" s="195" t="s">
        <v>492</v>
      </c>
      <c r="E274" s="208" t="s">
        <v>511</v>
      </c>
      <c r="F274" s="195" t="s">
        <v>142</v>
      </c>
      <c r="G274" s="242">
        <v>-1.42</v>
      </c>
      <c r="H274" s="243">
        <v>-1.42</v>
      </c>
      <c r="I274" s="198" t="s">
        <v>503</v>
      </c>
      <c r="J274" s="198" t="s">
        <v>206</v>
      </c>
      <c r="K274" s="188"/>
      <c r="L274" s="197"/>
      <c r="M274" s="197"/>
      <c r="N274" s="197"/>
      <c r="O274" s="197"/>
    </row>
    <row r="275" spans="1:15" hidden="1">
      <c r="A275" s="188" t="s">
        <v>232</v>
      </c>
      <c r="B275" s="189" t="s">
        <v>138</v>
      </c>
      <c r="C275" s="209" t="s">
        <v>501</v>
      </c>
      <c r="D275" s="209" t="s">
        <v>492</v>
      </c>
      <c r="E275" s="210" t="s">
        <v>509</v>
      </c>
      <c r="F275" s="209" t="s">
        <v>142</v>
      </c>
      <c r="G275" s="258">
        <v>-354.07</v>
      </c>
      <c r="H275" s="212">
        <v>-354.07</v>
      </c>
      <c r="I275" s="198" t="s">
        <v>503</v>
      </c>
      <c r="J275" s="198" t="s">
        <v>206</v>
      </c>
      <c r="K275" s="188"/>
      <c r="L275" s="197"/>
      <c r="M275" s="197"/>
      <c r="N275" s="197"/>
      <c r="O275" s="197"/>
    </row>
    <row r="276" spans="1:15" hidden="1">
      <c r="A276" s="188" t="s">
        <v>137</v>
      </c>
      <c r="B276" s="200" t="s">
        <v>138</v>
      </c>
      <c r="C276" s="201" t="s">
        <v>91</v>
      </c>
      <c r="D276" s="201" t="s">
        <v>512</v>
      </c>
      <c r="E276" s="202" t="s">
        <v>513</v>
      </c>
      <c r="F276" s="202" t="s">
        <v>149</v>
      </c>
      <c r="G276" s="259">
        <v>-691.2</v>
      </c>
      <c r="H276" s="204">
        <v>-691.2</v>
      </c>
      <c r="I276" s="198" t="s">
        <v>91</v>
      </c>
      <c r="J276" s="234" t="s">
        <v>143</v>
      </c>
      <c r="K276" s="188"/>
      <c r="L276" s="197"/>
      <c r="M276" s="197"/>
      <c r="N276" s="197"/>
      <c r="O276" s="197"/>
    </row>
    <row r="277" spans="1:15" ht="25.5" hidden="1">
      <c r="A277" s="195" t="s">
        <v>137</v>
      </c>
      <c r="B277" s="195" t="s">
        <v>138</v>
      </c>
      <c r="C277" s="195" t="s">
        <v>91</v>
      </c>
      <c r="D277" s="195" t="s">
        <v>514</v>
      </c>
      <c r="E277" s="208" t="s">
        <v>515</v>
      </c>
      <c r="F277" s="195" t="s">
        <v>146</v>
      </c>
      <c r="G277" s="242">
        <v>-430</v>
      </c>
      <c r="H277" s="243">
        <v>-430</v>
      </c>
      <c r="I277" s="198" t="s">
        <v>91</v>
      </c>
      <c r="J277" s="234" t="s">
        <v>143</v>
      </c>
      <c r="K277" s="188"/>
      <c r="L277" s="197"/>
      <c r="M277" s="197"/>
      <c r="N277" s="197"/>
      <c r="O277" s="197"/>
    </row>
    <row r="278" spans="1:15" hidden="1">
      <c r="A278" s="195" t="s">
        <v>137</v>
      </c>
      <c r="B278" s="195" t="s">
        <v>138</v>
      </c>
      <c r="C278" s="195" t="s">
        <v>91</v>
      </c>
      <c r="D278" s="195" t="s">
        <v>291</v>
      </c>
      <c r="E278" s="208" t="s">
        <v>516</v>
      </c>
      <c r="F278" s="195" t="s">
        <v>153</v>
      </c>
      <c r="G278" s="242">
        <v>-334.49</v>
      </c>
      <c r="H278" s="243">
        <v>-350</v>
      </c>
      <c r="I278" s="195" t="s">
        <v>91</v>
      </c>
      <c r="J278" s="195" t="s">
        <v>246</v>
      </c>
      <c r="K278" s="188"/>
      <c r="L278" s="197"/>
      <c r="M278" s="197"/>
      <c r="N278" s="197"/>
      <c r="O278" s="197"/>
    </row>
    <row r="279" spans="1:15" hidden="1">
      <c r="A279" s="195" t="s">
        <v>137</v>
      </c>
      <c r="B279" s="195" t="s">
        <v>138</v>
      </c>
      <c r="C279" s="195" t="s">
        <v>517</v>
      </c>
      <c r="D279" s="195" t="s">
        <v>157</v>
      </c>
      <c r="E279" s="208" t="s">
        <v>518</v>
      </c>
      <c r="F279" s="195" t="s">
        <v>153</v>
      </c>
      <c r="G279" s="242">
        <v>-10000</v>
      </c>
      <c r="H279" s="243">
        <v>-10000</v>
      </c>
      <c r="I279" s="195" t="s">
        <v>83</v>
      </c>
      <c r="J279" s="227" t="s">
        <v>159</v>
      </c>
      <c r="K279" s="213"/>
      <c r="L279" s="197"/>
      <c r="M279" s="197"/>
      <c r="N279" s="197"/>
      <c r="O279" s="197"/>
    </row>
    <row r="280" spans="1:15" hidden="1">
      <c r="A280" s="188" t="s">
        <v>137</v>
      </c>
      <c r="B280" s="188" t="s">
        <v>138</v>
      </c>
      <c r="C280" s="188" t="s">
        <v>91</v>
      </c>
      <c r="D280" s="188" t="s">
        <v>304</v>
      </c>
      <c r="E280" s="234" t="s">
        <v>519</v>
      </c>
      <c r="F280" s="234" t="s">
        <v>149</v>
      </c>
      <c r="G280" s="252">
        <v>-51.8</v>
      </c>
      <c r="H280" s="253">
        <v>-51.8</v>
      </c>
      <c r="I280" s="198" t="s">
        <v>91</v>
      </c>
      <c r="J280" s="234" t="s">
        <v>143</v>
      </c>
      <c r="K280" s="188"/>
      <c r="L280" s="197"/>
      <c r="M280" s="197"/>
      <c r="N280" s="197"/>
      <c r="O280" s="197"/>
    </row>
    <row r="281" spans="1:15" hidden="1">
      <c r="A281" s="195" t="s">
        <v>137</v>
      </c>
      <c r="B281" s="195" t="s">
        <v>138</v>
      </c>
      <c r="C281" s="195" t="s">
        <v>520</v>
      </c>
      <c r="D281" s="195" t="s">
        <v>521</v>
      </c>
      <c r="E281" s="208" t="s">
        <v>522</v>
      </c>
      <c r="F281" s="195" t="s">
        <v>153</v>
      </c>
      <c r="G281" s="242">
        <v>-157.80000000000001</v>
      </c>
      <c r="H281" s="243">
        <v>-157.80000000000001</v>
      </c>
      <c r="I281" s="195" t="s">
        <v>91</v>
      </c>
      <c r="J281" s="195" t="s">
        <v>246</v>
      </c>
      <c r="K281" s="188"/>
      <c r="L281" s="197"/>
      <c r="M281" s="197"/>
      <c r="N281" s="197"/>
      <c r="O281" s="197"/>
    </row>
    <row r="282" spans="1:15" hidden="1">
      <c r="A282" s="188" t="s">
        <v>137</v>
      </c>
      <c r="B282" s="188" t="s">
        <v>138</v>
      </c>
      <c r="C282" s="188" t="s">
        <v>520</v>
      </c>
      <c r="D282" s="188" t="s">
        <v>523</v>
      </c>
      <c r="E282" s="234" t="s">
        <v>524</v>
      </c>
      <c r="F282" s="234" t="s">
        <v>149</v>
      </c>
      <c r="G282" s="252">
        <v>-474.6</v>
      </c>
      <c r="H282" s="253">
        <v>-474.6</v>
      </c>
      <c r="I282" s="214" t="s">
        <v>91</v>
      </c>
      <c r="J282" s="234" t="s">
        <v>143</v>
      </c>
      <c r="K282" s="188"/>
      <c r="L282" s="197"/>
      <c r="M282" s="197"/>
      <c r="N282" s="197"/>
      <c r="O282" s="197"/>
    </row>
    <row r="283" spans="1:15" ht="25.5" hidden="1">
      <c r="A283" s="195" t="s">
        <v>137</v>
      </c>
      <c r="B283" s="195" t="s">
        <v>138</v>
      </c>
      <c r="C283" s="195" t="s">
        <v>520</v>
      </c>
      <c r="D283" s="195" t="s">
        <v>525</v>
      </c>
      <c r="E283" s="208" t="s">
        <v>526</v>
      </c>
      <c r="F283" s="195" t="s">
        <v>153</v>
      </c>
      <c r="G283" s="242">
        <v>-80</v>
      </c>
      <c r="H283" s="243">
        <v>-80</v>
      </c>
      <c r="I283" s="195" t="s">
        <v>91</v>
      </c>
      <c r="J283" s="195" t="s">
        <v>246</v>
      </c>
      <c r="K283" s="188"/>
      <c r="L283" s="197"/>
      <c r="M283" s="197"/>
      <c r="N283" s="197"/>
      <c r="O283" s="197"/>
    </row>
    <row r="284" spans="1:15" hidden="1">
      <c r="A284" s="195" t="s">
        <v>137</v>
      </c>
      <c r="B284" s="195" t="s">
        <v>138</v>
      </c>
      <c r="C284" s="195" t="s">
        <v>520</v>
      </c>
      <c r="D284" s="195" t="s">
        <v>525</v>
      </c>
      <c r="E284" s="208" t="s">
        <v>527</v>
      </c>
      <c r="F284" s="195" t="s">
        <v>146</v>
      </c>
      <c r="G284" s="242">
        <v>-435</v>
      </c>
      <c r="H284" s="243">
        <v>-435</v>
      </c>
      <c r="I284" s="198" t="s">
        <v>91</v>
      </c>
      <c r="J284" s="234" t="s">
        <v>143</v>
      </c>
      <c r="K284" s="213"/>
      <c r="L284" s="197"/>
      <c r="M284" s="197"/>
      <c r="N284" s="197"/>
      <c r="O284" s="197"/>
    </row>
    <row r="285" spans="1:15" ht="25.5" hidden="1">
      <c r="A285" s="195" t="s">
        <v>137</v>
      </c>
      <c r="B285" s="195" t="s">
        <v>138</v>
      </c>
      <c r="C285" s="195" t="s">
        <v>520</v>
      </c>
      <c r="D285" s="195" t="s">
        <v>525</v>
      </c>
      <c r="E285" s="208" t="s">
        <v>528</v>
      </c>
      <c r="F285" s="195" t="s">
        <v>146</v>
      </c>
      <c r="G285" s="242">
        <v>-720</v>
      </c>
      <c r="H285" s="243">
        <v>-720</v>
      </c>
      <c r="I285" s="214" t="s">
        <v>91</v>
      </c>
      <c r="J285" s="234" t="s">
        <v>143</v>
      </c>
      <c r="K285" s="188"/>
      <c r="L285" s="197"/>
      <c r="M285" s="197"/>
      <c r="N285" s="197"/>
      <c r="O285" s="197"/>
    </row>
    <row r="286" spans="1:15" hidden="1">
      <c r="A286" s="188" t="s">
        <v>137</v>
      </c>
      <c r="B286" s="188" t="s">
        <v>138</v>
      </c>
      <c r="C286" s="188" t="s">
        <v>520</v>
      </c>
      <c r="D286" s="188" t="s">
        <v>525</v>
      </c>
      <c r="E286" s="234" t="s">
        <v>529</v>
      </c>
      <c r="F286" s="234" t="s">
        <v>149</v>
      </c>
      <c r="G286" s="225">
        <v>-360</v>
      </c>
      <c r="H286" s="253">
        <v>-360</v>
      </c>
      <c r="I286" s="198" t="s">
        <v>91</v>
      </c>
      <c r="J286" s="234" t="s">
        <v>143</v>
      </c>
      <c r="K286" s="188"/>
      <c r="L286" s="197"/>
      <c r="M286" s="197"/>
      <c r="N286" s="197"/>
      <c r="O286" s="197"/>
    </row>
    <row r="287" spans="1:15" hidden="1">
      <c r="A287" s="188" t="s">
        <v>137</v>
      </c>
      <c r="B287" s="188" t="s">
        <v>138</v>
      </c>
      <c r="C287" s="188" t="s">
        <v>520</v>
      </c>
      <c r="D287" s="188" t="s">
        <v>525</v>
      </c>
      <c r="E287" s="234" t="s">
        <v>530</v>
      </c>
      <c r="F287" s="234" t="s">
        <v>149</v>
      </c>
      <c r="G287" s="252">
        <v>-360</v>
      </c>
      <c r="H287" s="253">
        <v>-360</v>
      </c>
      <c r="I287" s="198" t="s">
        <v>91</v>
      </c>
      <c r="J287" s="234" t="s">
        <v>143</v>
      </c>
      <c r="K287" s="188"/>
      <c r="L287" s="197"/>
      <c r="M287" s="197"/>
      <c r="N287" s="197"/>
      <c r="O287" s="197"/>
    </row>
    <row r="288" spans="1:15" ht="25.5" hidden="1">
      <c r="A288" s="188" t="s">
        <v>137</v>
      </c>
      <c r="B288" s="195" t="s">
        <v>138</v>
      </c>
      <c r="C288" s="195" t="s">
        <v>520</v>
      </c>
      <c r="D288" s="195" t="s">
        <v>531</v>
      </c>
      <c r="E288" s="208" t="s">
        <v>532</v>
      </c>
      <c r="F288" s="195" t="s">
        <v>142</v>
      </c>
      <c r="G288" s="242">
        <v>-1900</v>
      </c>
      <c r="H288" s="243">
        <v>-1900</v>
      </c>
      <c r="I288" s="188" t="s">
        <v>91</v>
      </c>
      <c r="J288" s="195" t="s">
        <v>246</v>
      </c>
      <c r="K288" s="195"/>
      <c r="L288" s="197"/>
      <c r="M288" s="197"/>
      <c r="N288" s="197"/>
      <c r="O288" s="197"/>
    </row>
    <row r="289" spans="1:15" hidden="1">
      <c r="A289" s="188" t="s">
        <v>137</v>
      </c>
      <c r="B289" s="188" t="s">
        <v>138</v>
      </c>
      <c r="C289" s="188" t="s">
        <v>61</v>
      </c>
      <c r="D289" s="188" t="s">
        <v>278</v>
      </c>
      <c r="E289" s="234" t="s">
        <v>533</v>
      </c>
      <c r="F289" s="234" t="s">
        <v>149</v>
      </c>
      <c r="G289" s="252">
        <v>-1299.2</v>
      </c>
      <c r="H289" s="253">
        <v>-1299.2</v>
      </c>
      <c r="I289" s="198" t="s">
        <v>61</v>
      </c>
      <c r="J289" s="198" t="s">
        <v>206</v>
      </c>
      <c r="K289" s="188"/>
      <c r="L289" s="197"/>
      <c r="M289" s="197"/>
      <c r="N289" s="197"/>
      <c r="O289" s="197"/>
    </row>
    <row r="290" spans="1:15" ht="25.5" hidden="1">
      <c r="A290" s="195" t="s">
        <v>137</v>
      </c>
      <c r="B290" s="195" t="s">
        <v>138</v>
      </c>
      <c r="C290" s="195" t="s">
        <v>61</v>
      </c>
      <c r="D290" s="195" t="s">
        <v>534</v>
      </c>
      <c r="E290" s="208" t="s">
        <v>535</v>
      </c>
      <c r="F290" s="195" t="s">
        <v>153</v>
      </c>
      <c r="G290" s="242">
        <v>-4730</v>
      </c>
      <c r="H290" s="243">
        <v>-4730</v>
      </c>
      <c r="I290" s="195" t="s">
        <v>61</v>
      </c>
      <c r="J290" s="189" t="s">
        <v>316</v>
      </c>
      <c r="K290" s="188"/>
      <c r="L290" s="197"/>
      <c r="M290" s="197"/>
      <c r="N290" s="197"/>
      <c r="O290" s="197"/>
    </row>
    <row r="291" spans="1:15" ht="25.5" hidden="1">
      <c r="A291" s="195" t="s">
        <v>137</v>
      </c>
      <c r="B291" s="195" t="s">
        <v>138</v>
      </c>
      <c r="C291" s="195" t="s">
        <v>61</v>
      </c>
      <c r="D291" s="195" t="s">
        <v>536</v>
      </c>
      <c r="E291" s="208" t="s">
        <v>537</v>
      </c>
      <c r="F291" s="195" t="s">
        <v>153</v>
      </c>
      <c r="G291" s="242">
        <v>-6973.97</v>
      </c>
      <c r="H291" s="243">
        <v>-6973.97</v>
      </c>
      <c r="I291" s="195" t="s">
        <v>61</v>
      </c>
      <c r="J291" s="195" t="s">
        <v>422</v>
      </c>
      <c r="K291" s="188"/>
      <c r="L291" s="197"/>
      <c r="M291" s="197"/>
      <c r="N291" s="197"/>
      <c r="O291" s="197"/>
    </row>
    <row r="292" spans="1:15" hidden="1">
      <c r="A292" s="189" t="s">
        <v>137</v>
      </c>
      <c r="B292" s="189" t="s">
        <v>138</v>
      </c>
      <c r="C292" s="189" t="s">
        <v>61</v>
      </c>
      <c r="D292" s="189" t="s">
        <v>536</v>
      </c>
      <c r="E292" s="223" t="s">
        <v>538</v>
      </c>
      <c r="F292" s="189" t="s">
        <v>153</v>
      </c>
      <c r="G292" s="258">
        <v>-4104.24</v>
      </c>
      <c r="H292" s="260">
        <v>-4104.24</v>
      </c>
      <c r="I292" s="195" t="s">
        <v>61</v>
      </c>
      <c r="J292" s="189" t="s">
        <v>422</v>
      </c>
      <c r="K292" s="188"/>
      <c r="L292" s="197"/>
      <c r="M292" s="197"/>
      <c r="N292" s="197"/>
      <c r="O292" s="197"/>
    </row>
    <row r="293" spans="1:15" ht="38.25" hidden="1">
      <c r="A293" s="189" t="s">
        <v>209</v>
      </c>
      <c r="B293" s="189" t="s">
        <v>138</v>
      </c>
      <c r="C293" s="189" t="s">
        <v>61</v>
      </c>
      <c r="D293" s="189" t="s">
        <v>212</v>
      </c>
      <c r="E293" s="223" t="s">
        <v>539</v>
      </c>
      <c r="F293" s="189" t="s">
        <v>146</v>
      </c>
      <c r="G293" s="258">
        <v>-40</v>
      </c>
      <c r="H293" s="260">
        <v>-40</v>
      </c>
      <c r="I293" s="198" t="s">
        <v>61</v>
      </c>
      <c r="J293" s="189" t="s">
        <v>159</v>
      </c>
      <c r="K293" s="188"/>
      <c r="L293" s="197"/>
      <c r="M293" s="197"/>
      <c r="N293" s="197"/>
      <c r="O293" s="197"/>
    </row>
    <row r="294" spans="1:15" ht="25.5" hidden="1">
      <c r="A294" s="189" t="s">
        <v>137</v>
      </c>
      <c r="B294" s="189" t="s">
        <v>138</v>
      </c>
      <c r="C294" s="189" t="s">
        <v>61</v>
      </c>
      <c r="D294" s="189" t="s">
        <v>540</v>
      </c>
      <c r="E294" s="223" t="s">
        <v>541</v>
      </c>
      <c r="F294" s="189" t="s">
        <v>153</v>
      </c>
      <c r="G294" s="258">
        <v>-20.309999999999999</v>
      </c>
      <c r="H294" s="260">
        <v>-20.309999999999999</v>
      </c>
      <c r="I294" s="195" t="s">
        <v>61</v>
      </c>
      <c r="J294" s="189" t="s">
        <v>422</v>
      </c>
      <c r="K294" s="188"/>
      <c r="L294" s="197"/>
      <c r="M294" s="197"/>
      <c r="N294" s="197"/>
      <c r="O294" s="197"/>
    </row>
    <row r="295" spans="1:15" hidden="1">
      <c r="A295" s="189" t="s">
        <v>137</v>
      </c>
      <c r="B295" s="189" t="s">
        <v>138</v>
      </c>
      <c r="C295" s="189" t="s">
        <v>61</v>
      </c>
      <c r="D295" s="189" t="s">
        <v>540</v>
      </c>
      <c r="E295" s="223" t="s">
        <v>542</v>
      </c>
      <c r="F295" s="189" t="s">
        <v>153</v>
      </c>
      <c r="G295" s="258">
        <v>-78.180000000000007</v>
      </c>
      <c r="H295" s="260">
        <v>-78.180000000000007</v>
      </c>
      <c r="I295" s="195" t="s">
        <v>61</v>
      </c>
      <c r="J295" s="189" t="s">
        <v>422</v>
      </c>
      <c r="K295" s="188"/>
      <c r="L295" s="197"/>
      <c r="M295" s="197"/>
      <c r="N295" s="197"/>
      <c r="O295" s="197"/>
    </row>
    <row r="296" spans="1:15" ht="25.5" hidden="1">
      <c r="A296" s="189" t="s">
        <v>137</v>
      </c>
      <c r="B296" s="189" t="s">
        <v>138</v>
      </c>
      <c r="C296" s="189" t="s">
        <v>61</v>
      </c>
      <c r="D296" s="189" t="s">
        <v>540</v>
      </c>
      <c r="E296" s="223" t="s">
        <v>543</v>
      </c>
      <c r="F296" s="189" t="s">
        <v>146</v>
      </c>
      <c r="G296" s="258">
        <v>-16.73</v>
      </c>
      <c r="H296" s="260">
        <v>-16.73</v>
      </c>
      <c r="I296" s="198" t="s">
        <v>61</v>
      </c>
      <c r="J296" s="189" t="s">
        <v>422</v>
      </c>
      <c r="K296" s="188"/>
      <c r="L296" s="197"/>
      <c r="M296" s="197"/>
      <c r="N296" s="197"/>
      <c r="O296" s="197"/>
    </row>
    <row r="297" spans="1:15" ht="25.5" hidden="1">
      <c r="A297" s="199" t="s">
        <v>137</v>
      </c>
      <c r="B297" s="199" t="s">
        <v>138</v>
      </c>
      <c r="C297" s="199" t="s">
        <v>61</v>
      </c>
      <c r="D297" s="199" t="s">
        <v>540</v>
      </c>
      <c r="E297" s="205" t="s">
        <v>544</v>
      </c>
      <c r="F297" s="205" t="s">
        <v>149</v>
      </c>
      <c r="G297" s="225">
        <v>-51.11</v>
      </c>
      <c r="H297" s="226">
        <v>-51.11</v>
      </c>
      <c r="I297" s="198" t="s">
        <v>61</v>
      </c>
      <c r="J297" s="250" t="s">
        <v>422</v>
      </c>
      <c r="K297" s="188"/>
      <c r="L297" s="197"/>
      <c r="M297" s="197"/>
      <c r="N297" s="197"/>
      <c r="O297" s="197"/>
    </row>
    <row r="298" spans="1:15" hidden="1">
      <c r="A298" s="199" t="s">
        <v>137</v>
      </c>
      <c r="B298" s="189" t="s">
        <v>138</v>
      </c>
      <c r="C298" s="189" t="s">
        <v>61</v>
      </c>
      <c r="D298" s="189" t="s">
        <v>540</v>
      </c>
      <c r="E298" s="223" t="s">
        <v>545</v>
      </c>
      <c r="F298" s="189" t="s">
        <v>142</v>
      </c>
      <c r="G298" s="258">
        <v>-46.54</v>
      </c>
      <c r="H298" s="260">
        <v>-46.54</v>
      </c>
      <c r="I298" s="188" t="s">
        <v>61</v>
      </c>
      <c r="J298" s="189" t="s">
        <v>422</v>
      </c>
      <c r="K298" s="195"/>
      <c r="L298" s="197"/>
      <c r="M298" s="197"/>
      <c r="N298" s="197"/>
      <c r="O298" s="197"/>
    </row>
    <row r="299" spans="1:15" ht="51" hidden="1">
      <c r="A299" s="189" t="s">
        <v>137</v>
      </c>
      <c r="B299" s="189" t="s">
        <v>138</v>
      </c>
      <c r="C299" s="189" t="s">
        <v>61</v>
      </c>
      <c r="D299" s="189" t="s">
        <v>546</v>
      </c>
      <c r="E299" s="223" t="s">
        <v>547</v>
      </c>
      <c r="F299" s="189" t="s">
        <v>146</v>
      </c>
      <c r="G299" s="258">
        <v>-600</v>
      </c>
      <c r="H299" s="260">
        <v>-600</v>
      </c>
      <c r="I299" s="198" t="s">
        <v>61</v>
      </c>
      <c r="J299" s="189" t="s">
        <v>159</v>
      </c>
      <c r="K299" s="188"/>
      <c r="L299" s="197"/>
      <c r="M299" s="197"/>
      <c r="N299" s="197"/>
      <c r="O299" s="197"/>
    </row>
    <row r="300" spans="1:15" hidden="1">
      <c r="A300" s="261" t="s">
        <v>137</v>
      </c>
      <c r="B300" s="261" t="s">
        <v>138</v>
      </c>
      <c r="C300" s="261" t="s">
        <v>61</v>
      </c>
      <c r="D300" s="261" t="s">
        <v>548</v>
      </c>
      <c r="E300" s="262" t="s">
        <v>549</v>
      </c>
      <c r="F300" s="263" t="s">
        <v>142</v>
      </c>
      <c r="G300" s="258">
        <v>-32</v>
      </c>
      <c r="H300" s="264">
        <v>-32</v>
      </c>
      <c r="I300" s="265" t="s">
        <v>61</v>
      </c>
      <c r="J300" s="189" t="s">
        <v>316</v>
      </c>
      <c r="K300" s="265"/>
      <c r="L300" s="197"/>
      <c r="M300" s="197"/>
      <c r="N300" s="197"/>
      <c r="O300" s="197"/>
    </row>
    <row r="301" spans="1:15" hidden="1">
      <c r="A301" s="189" t="s">
        <v>137</v>
      </c>
      <c r="B301" s="189" t="s">
        <v>138</v>
      </c>
      <c r="C301" s="189" t="s">
        <v>61</v>
      </c>
      <c r="D301" s="189" t="s">
        <v>550</v>
      </c>
      <c r="E301" s="223" t="s">
        <v>551</v>
      </c>
      <c r="F301" s="189" t="s">
        <v>153</v>
      </c>
      <c r="G301" s="258">
        <v>-1593.15</v>
      </c>
      <c r="H301" s="260">
        <v>-1593.15</v>
      </c>
      <c r="I301" s="195" t="s">
        <v>96</v>
      </c>
      <c r="J301" s="189" t="s">
        <v>198</v>
      </c>
      <c r="K301" s="188"/>
      <c r="L301" s="197"/>
      <c r="M301" s="197"/>
      <c r="N301" s="197"/>
      <c r="O301" s="197"/>
    </row>
    <row r="302" spans="1:15" hidden="1">
      <c r="A302" s="189" t="s">
        <v>137</v>
      </c>
      <c r="B302" s="189" t="s">
        <v>138</v>
      </c>
      <c r="C302" s="189" t="s">
        <v>61</v>
      </c>
      <c r="D302" s="189" t="s">
        <v>550</v>
      </c>
      <c r="E302" s="223" t="s">
        <v>551</v>
      </c>
      <c r="F302" s="189" t="s">
        <v>146</v>
      </c>
      <c r="G302" s="258">
        <v>-1593.15</v>
      </c>
      <c r="H302" s="260">
        <v>-1593.15</v>
      </c>
      <c r="I302" s="195" t="s">
        <v>96</v>
      </c>
      <c r="J302" s="189" t="s">
        <v>198</v>
      </c>
      <c r="K302" s="188"/>
      <c r="L302" s="197"/>
      <c r="M302" s="197"/>
      <c r="N302" s="197"/>
      <c r="O302" s="197"/>
    </row>
    <row r="303" spans="1:15" ht="25.5" hidden="1">
      <c r="A303" s="199" t="s">
        <v>137</v>
      </c>
      <c r="B303" s="199" t="s">
        <v>138</v>
      </c>
      <c r="C303" s="199" t="s">
        <v>61</v>
      </c>
      <c r="D303" s="199" t="s">
        <v>550</v>
      </c>
      <c r="E303" s="205" t="s">
        <v>552</v>
      </c>
      <c r="F303" s="205" t="s">
        <v>149</v>
      </c>
      <c r="G303" s="225">
        <v>-1593.15</v>
      </c>
      <c r="H303" s="226">
        <v>-1593.15</v>
      </c>
      <c r="I303" s="195" t="s">
        <v>96</v>
      </c>
      <c r="J303" s="250" t="s">
        <v>198</v>
      </c>
      <c r="K303" s="188"/>
      <c r="L303" s="197"/>
      <c r="M303" s="197"/>
      <c r="N303" s="197"/>
      <c r="O303" s="197"/>
    </row>
    <row r="304" spans="1:15" hidden="1">
      <c r="A304" s="199" t="s">
        <v>137</v>
      </c>
      <c r="B304" s="189" t="s">
        <v>138</v>
      </c>
      <c r="C304" s="189" t="s">
        <v>61</v>
      </c>
      <c r="D304" s="189" t="s">
        <v>550</v>
      </c>
      <c r="E304" s="223" t="s">
        <v>551</v>
      </c>
      <c r="F304" s="189" t="s">
        <v>142</v>
      </c>
      <c r="G304" s="258">
        <v>-1593.15</v>
      </c>
      <c r="H304" s="260">
        <v>-1593.15</v>
      </c>
      <c r="I304" s="195" t="s">
        <v>96</v>
      </c>
      <c r="J304" s="189" t="s">
        <v>198</v>
      </c>
      <c r="K304" s="195"/>
      <c r="L304" s="197"/>
      <c r="M304" s="197"/>
      <c r="N304" s="197"/>
      <c r="O304" s="197"/>
    </row>
    <row r="305" spans="1:15" ht="38.25" hidden="1">
      <c r="A305" s="189" t="s">
        <v>137</v>
      </c>
      <c r="B305" s="189" t="s">
        <v>138</v>
      </c>
      <c r="C305" s="189" t="s">
        <v>61</v>
      </c>
      <c r="D305" s="189" t="s">
        <v>431</v>
      </c>
      <c r="E305" s="223" t="s">
        <v>553</v>
      </c>
      <c r="F305" s="189" t="s">
        <v>146</v>
      </c>
      <c r="G305" s="258">
        <v>-60</v>
      </c>
      <c r="H305" s="260">
        <v>-60</v>
      </c>
      <c r="I305" s="198" t="s">
        <v>61</v>
      </c>
      <c r="J305" s="189" t="s">
        <v>206</v>
      </c>
      <c r="K305" s="188"/>
      <c r="L305" s="197"/>
      <c r="M305" s="197"/>
      <c r="N305" s="197"/>
      <c r="O305" s="197"/>
    </row>
    <row r="306" spans="1:15" ht="25.5" hidden="1">
      <c r="A306" s="199" t="s">
        <v>137</v>
      </c>
      <c r="B306" s="199" t="s">
        <v>138</v>
      </c>
      <c r="C306" s="199" t="s">
        <v>61</v>
      </c>
      <c r="D306" s="199" t="s">
        <v>554</v>
      </c>
      <c r="E306" s="205" t="s">
        <v>555</v>
      </c>
      <c r="F306" s="205" t="s">
        <v>149</v>
      </c>
      <c r="G306" s="225">
        <v>-92.88</v>
      </c>
      <c r="H306" s="226">
        <v>-92.88</v>
      </c>
      <c r="I306" s="198" t="s">
        <v>61</v>
      </c>
      <c r="J306" s="198" t="s">
        <v>164</v>
      </c>
      <c r="K306" s="188"/>
      <c r="L306" s="197"/>
      <c r="M306" s="197"/>
      <c r="N306" s="197"/>
      <c r="O306" s="197"/>
    </row>
    <row r="307" spans="1:15" hidden="1">
      <c r="A307" s="189" t="s">
        <v>137</v>
      </c>
      <c r="B307" s="189" t="s">
        <v>138</v>
      </c>
      <c r="C307" s="189" t="s">
        <v>61</v>
      </c>
      <c r="D307" s="189" t="s">
        <v>556</v>
      </c>
      <c r="E307" s="223" t="s">
        <v>557</v>
      </c>
      <c r="F307" s="189" t="s">
        <v>153</v>
      </c>
      <c r="G307" s="225">
        <v>-545.67999999999995</v>
      </c>
      <c r="H307" s="225">
        <v>-545.67999999999995</v>
      </c>
      <c r="I307" s="195" t="s">
        <v>61</v>
      </c>
      <c r="J307" s="189" t="s">
        <v>143</v>
      </c>
      <c r="K307" s="188" t="s">
        <v>195</v>
      </c>
      <c r="L307" s="197"/>
      <c r="M307" s="197"/>
      <c r="N307" s="197"/>
      <c r="O307" s="197"/>
    </row>
    <row r="308" spans="1:15" hidden="1">
      <c r="A308" s="199" t="s">
        <v>137</v>
      </c>
      <c r="B308" s="199" t="s">
        <v>138</v>
      </c>
      <c r="C308" s="199" t="s">
        <v>61</v>
      </c>
      <c r="D308" s="199" t="s">
        <v>556</v>
      </c>
      <c r="E308" s="205" t="s">
        <v>558</v>
      </c>
      <c r="F308" s="199" t="s">
        <v>146</v>
      </c>
      <c r="G308" s="258">
        <v>-545.67999999999995</v>
      </c>
      <c r="H308" s="266">
        <v>-545.67999999999995</v>
      </c>
      <c r="I308" s="198" t="s">
        <v>61</v>
      </c>
      <c r="J308" s="199" t="s">
        <v>143</v>
      </c>
      <c r="K308" s="188"/>
      <c r="L308" s="197"/>
      <c r="M308" s="197"/>
      <c r="N308" s="197"/>
      <c r="O308" s="197"/>
    </row>
    <row r="309" spans="1:15" hidden="1">
      <c r="A309" s="199" t="s">
        <v>137</v>
      </c>
      <c r="B309" s="199" t="s">
        <v>138</v>
      </c>
      <c r="C309" s="199" t="s">
        <v>61</v>
      </c>
      <c r="D309" s="199" t="s">
        <v>556</v>
      </c>
      <c r="E309" s="205" t="s">
        <v>559</v>
      </c>
      <c r="F309" s="205" t="s">
        <v>149</v>
      </c>
      <c r="G309" s="225">
        <v>-545.67999999999995</v>
      </c>
      <c r="H309" s="226">
        <v>-545.67999999999995</v>
      </c>
      <c r="I309" s="198" t="s">
        <v>61</v>
      </c>
      <c r="J309" s="250" t="s">
        <v>143</v>
      </c>
      <c r="K309" s="188"/>
      <c r="L309" s="197"/>
      <c r="M309" s="197"/>
      <c r="N309" s="197"/>
      <c r="O309" s="197"/>
    </row>
    <row r="310" spans="1:15" hidden="1">
      <c r="A310" s="199" t="s">
        <v>137</v>
      </c>
      <c r="B310" s="199" t="s">
        <v>138</v>
      </c>
      <c r="C310" s="199" t="s">
        <v>61</v>
      </c>
      <c r="D310" s="199" t="s">
        <v>556</v>
      </c>
      <c r="E310" s="267" t="s">
        <v>560</v>
      </c>
      <c r="F310" s="199" t="s">
        <v>142</v>
      </c>
      <c r="G310" s="258">
        <v>-545.67999999999995</v>
      </c>
      <c r="H310" s="266">
        <v>-545.67999999999995</v>
      </c>
      <c r="I310" s="188" t="s">
        <v>61</v>
      </c>
      <c r="J310" s="199" t="s">
        <v>143</v>
      </c>
      <c r="K310" s="188" t="s">
        <v>561</v>
      </c>
      <c r="L310" s="197"/>
      <c r="M310" s="197"/>
      <c r="N310" s="197"/>
      <c r="O310" s="197"/>
    </row>
    <row r="311" spans="1:15" hidden="1">
      <c r="A311" s="261" t="s">
        <v>137</v>
      </c>
      <c r="B311" s="261" t="s">
        <v>138</v>
      </c>
      <c r="C311" s="261" t="s">
        <v>61</v>
      </c>
      <c r="D311" s="261" t="s">
        <v>562</v>
      </c>
      <c r="E311" s="262" t="s">
        <v>549</v>
      </c>
      <c r="F311" s="263" t="s">
        <v>142</v>
      </c>
      <c r="G311" s="258">
        <v>-330</v>
      </c>
      <c r="H311" s="264">
        <v>-330</v>
      </c>
      <c r="I311" s="265" t="s">
        <v>61</v>
      </c>
      <c r="J311" s="189" t="s">
        <v>316</v>
      </c>
      <c r="K311" s="265"/>
      <c r="L311" s="197"/>
      <c r="M311" s="197"/>
      <c r="N311" s="197"/>
      <c r="O311" s="197"/>
    </row>
    <row r="312" spans="1:15" ht="25.5" hidden="1">
      <c r="A312" s="189" t="s">
        <v>137</v>
      </c>
      <c r="B312" s="189" t="s">
        <v>138</v>
      </c>
      <c r="C312" s="189" t="s">
        <v>61</v>
      </c>
      <c r="D312" s="189" t="s">
        <v>563</v>
      </c>
      <c r="E312" s="223" t="s">
        <v>564</v>
      </c>
      <c r="F312" s="189" t="s">
        <v>153</v>
      </c>
      <c r="G312" s="258">
        <v>-220</v>
      </c>
      <c r="H312" s="260">
        <v>-220</v>
      </c>
      <c r="I312" s="195" t="s">
        <v>61</v>
      </c>
      <c r="J312" s="189" t="s">
        <v>316</v>
      </c>
      <c r="K312" s="188"/>
      <c r="L312" s="197"/>
      <c r="M312" s="197"/>
      <c r="N312" s="197"/>
      <c r="O312" s="197"/>
    </row>
    <row r="313" spans="1:15" hidden="1">
      <c r="A313" s="189" t="s">
        <v>209</v>
      </c>
      <c r="B313" s="189" t="s">
        <v>138</v>
      </c>
      <c r="C313" s="189" t="s">
        <v>61</v>
      </c>
      <c r="D313" s="189" t="s">
        <v>565</v>
      </c>
      <c r="E313" s="223" t="s">
        <v>566</v>
      </c>
      <c r="F313" s="189" t="s">
        <v>153</v>
      </c>
      <c r="G313" s="258">
        <v>-700</v>
      </c>
      <c r="H313" s="260">
        <v>-700</v>
      </c>
      <c r="I313" s="268" t="s">
        <v>83</v>
      </c>
      <c r="J313" s="189" t="s">
        <v>316</v>
      </c>
      <c r="K313" s="188"/>
      <c r="L313" s="197"/>
      <c r="M313" s="197"/>
      <c r="N313" s="197"/>
      <c r="O313" s="197"/>
    </row>
    <row r="314" spans="1:15" hidden="1">
      <c r="A314" s="189" t="s">
        <v>209</v>
      </c>
      <c r="B314" s="189" t="s">
        <v>138</v>
      </c>
      <c r="C314" s="189" t="s">
        <v>61</v>
      </c>
      <c r="D314" s="189" t="s">
        <v>565</v>
      </c>
      <c r="E314" s="223" t="s">
        <v>567</v>
      </c>
      <c r="F314" s="189" t="s">
        <v>153</v>
      </c>
      <c r="G314" s="258">
        <v>-1400</v>
      </c>
      <c r="H314" s="260">
        <v>-1400</v>
      </c>
      <c r="I314" s="268" t="s">
        <v>83</v>
      </c>
      <c r="J314" s="189" t="s">
        <v>316</v>
      </c>
      <c r="K314" s="188"/>
      <c r="L314" s="197"/>
      <c r="M314" s="197"/>
      <c r="N314" s="197"/>
      <c r="O314" s="197"/>
    </row>
    <row r="315" spans="1:15" hidden="1">
      <c r="A315" s="189" t="s">
        <v>209</v>
      </c>
      <c r="B315" s="189" t="s">
        <v>138</v>
      </c>
      <c r="C315" s="189" t="s">
        <v>61</v>
      </c>
      <c r="D315" s="189" t="s">
        <v>565</v>
      </c>
      <c r="E315" s="223" t="s">
        <v>568</v>
      </c>
      <c r="F315" s="189" t="s">
        <v>153</v>
      </c>
      <c r="G315" s="258">
        <v>-700</v>
      </c>
      <c r="H315" s="260">
        <v>-700</v>
      </c>
      <c r="I315" s="268" t="s">
        <v>83</v>
      </c>
      <c r="J315" s="189" t="s">
        <v>316</v>
      </c>
      <c r="K315" s="188"/>
      <c r="L315" s="197"/>
      <c r="M315" s="197"/>
      <c r="N315" s="197"/>
      <c r="O315" s="197"/>
    </row>
    <row r="316" spans="1:15">
      <c r="A316" s="199" t="s">
        <v>137</v>
      </c>
      <c r="B316" s="199" t="s">
        <v>138</v>
      </c>
      <c r="C316" s="199" t="s">
        <v>452</v>
      </c>
      <c r="D316" s="199" t="s">
        <v>455</v>
      </c>
      <c r="E316" s="199" t="s">
        <v>569</v>
      </c>
      <c r="F316" s="205" t="s">
        <v>268</v>
      </c>
      <c r="G316" s="226">
        <v>-38</v>
      </c>
      <c r="H316" s="226">
        <v>-38</v>
      </c>
      <c r="I316" s="257" t="s">
        <v>99</v>
      </c>
      <c r="J316" s="269" t="s">
        <v>164</v>
      </c>
      <c r="K316" s="188"/>
      <c r="L316" s="197"/>
      <c r="M316" s="197"/>
      <c r="N316" s="197"/>
      <c r="O316" s="197"/>
    </row>
    <row r="317" spans="1:15" hidden="1">
      <c r="A317" s="261" t="s">
        <v>137</v>
      </c>
      <c r="B317" s="261" t="s">
        <v>138</v>
      </c>
      <c r="C317" s="261" t="s">
        <v>570</v>
      </c>
      <c r="D317" s="261" t="s">
        <v>521</v>
      </c>
      <c r="E317" s="262" t="s">
        <v>571</v>
      </c>
      <c r="F317" s="263" t="s">
        <v>142</v>
      </c>
      <c r="G317" s="258">
        <v>-594.67999999999995</v>
      </c>
      <c r="H317" s="264">
        <v>-594.67999999999995</v>
      </c>
      <c r="I317" s="265" t="s">
        <v>61</v>
      </c>
      <c r="J317" s="189" t="s">
        <v>316</v>
      </c>
      <c r="K317" s="265"/>
      <c r="L317" s="197"/>
      <c r="M317" s="197"/>
      <c r="N317" s="197"/>
      <c r="O317" s="197"/>
    </row>
    <row r="318" spans="1:15" hidden="1">
      <c r="A318" s="265" t="s">
        <v>137</v>
      </c>
      <c r="B318" s="270" t="s">
        <v>138</v>
      </c>
      <c r="C318" s="271" t="s">
        <v>570</v>
      </c>
      <c r="D318" s="271" t="s">
        <v>521</v>
      </c>
      <c r="E318" s="272" t="s">
        <v>572</v>
      </c>
      <c r="F318" s="239" t="s">
        <v>142</v>
      </c>
      <c r="G318" s="193">
        <v>-193.67</v>
      </c>
      <c r="H318" s="273">
        <v>-193.67</v>
      </c>
      <c r="I318" s="265" t="s">
        <v>61</v>
      </c>
      <c r="J318" s="189" t="s">
        <v>316</v>
      </c>
      <c r="K318" s="265"/>
      <c r="L318" s="197"/>
      <c r="M318" s="197"/>
      <c r="N318" s="197"/>
      <c r="O318" s="197"/>
    </row>
    <row r="319" spans="1:15" ht="25.5" hidden="1">
      <c r="A319" s="199" t="s">
        <v>137</v>
      </c>
      <c r="B319" s="199" t="s">
        <v>138</v>
      </c>
      <c r="C319" s="199" t="s">
        <v>570</v>
      </c>
      <c r="D319" s="199" t="s">
        <v>573</v>
      </c>
      <c r="E319" s="205" t="s">
        <v>574</v>
      </c>
      <c r="F319" s="205" t="s">
        <v>149</v>
      </c>
      <c r="G319" s="225">
        <v>-100</v>
      </c>
      <c r="H319" s="226">
        <v>-100</v>
      </c>
      <c r="I319" s="198" t="s">
        <v>61</v>
      </c>
      <c r="J319" s="198" t="s">
        <v>422</v>
      </c>
      <c r="K319" s="213"/>
      <c r="L319" s="197"/>
      <c r="M319" s="197"/>
      <c r="N319" s="197"/>
      <c r="O319" s="197"/>
    </row>
    <row r="320" spans="1:15" hidden="1">
      <c r="A320" s="199" t="s">
        <v>137</v>
      </c>
      <c r="B320" s="189" t="s">
        <v>138</v>
      </c>
      <c r="C320" s="189" t="s">
        <v>570</v>
      </c>
      <c r="D320" s="189" t="s">
        <v>575</v>
      </c>
      <c r="E320" s="223" t="s">
        <v>576</v>
      </c>
      <c r="F320" s="189" t="s">
        <v>142</v>
      </c>
      <c r="G320" s="258">
        <v>-250</v>
      </c>
      <c r="H320" s="260">
        <v>-250</v>
      </c>
      <c r="I320" s="215" t="s">
        <v>55</v>
      </c>
      <c r="J320" s="195" t="s">
        <v>476</v>
      </c>
      <c r="K320" s="195"/>
      <c r="L320" s="197"/>
      <c r="M320" s="197"/>
      <c r="N320" s="197"/>
      <c r="O320" s="197"/>
    </row>
    <row r="321" spans="1:15" ht="25.5" hidden="1">
      <c r="A321" s="189" t="s">
        <v>137</v>
      </c>
      <c r="B321" s="189" t="s">
        <v>138</v>
      </c>
      <c r="C321" s="189" t="s">
        <v>570</v>
      </c>
      <c r="D321" s="274" t="s">
        <v>577</v>
      </c>
      <c r="E321" s="275" t="s">
        <v>578</v>
      </c>
      <c r="F321" s="244" t="s">
        <v>261</v>
      </c>
      <c r="G321" s="276">
        <v>1738</v>
      </c>
      <c r="H321" s="260">
        <v>-1738</v>
      </c>
      <c r="I321" s="195" t="s">
        <v>61</v>
      </c>
      <c r="J321" s="189" t="s">
        <v>422</v>
      </c>
      <c r="K321" s="188" t="s">
        <v>195</v>
      </c>
      <c r="L321" s="197"/>
      <c r="M321" s="197"/>
      <c r="N321" s="197"/>
      <c r="O321" s="197"/>
    </row>
    <row r="322" spans="1:15" ht="25.5" hidden="1">
      <c r="A322" s="189" t="s">
        <v>137</v>
      </c>
      <c r="B322" s="189" t="s">
        <v>138</v>
      </c>
      <c r="C322" s="189" t="s">
        <v>570</v>
      </c>
      <c r="D322" s="189" t="s">
        <v>536</v>
      </c>
      <c r="E322" s="223" t="s">
        <v>579</v>
      </c>
      <c r="F322" s="189" t="s">
        <v>146</v>
      </c>
      <c r="G322" s="258">
        <v>-103.53</v>
      </c>
      <c r="H322" s="260">
        <v>-103.53</v>
      </c>
      <c r="I322" s="198" t="s">
        <v>61</v>
      </c>
      <c r="J322" s="195" t="s">
        <v>422</v>
      </c>
      <c r="K322" s="188"/>
      <c r="L322" s="197"/>
      <c r="M322" s="197"/>
      <c r="N322" s="197"/>
      <c r="O322" s="197"/>
    </row>
    <row r="323" spans="1:15" ht="25.5" hidden="1">
      <c r="A323" s="199" t="s">
        <v>137</v>
      </c>
      <c r="B323" s="199" t="s">
        <v>138</v>
      </c>
      <c r="C323" s="199" t="s">
        <v>570</v>
      </c>
      <c r="D323" s="199" t="s">
        <v>536</v>
      </c>
      <c r="E323" s="205" t="s">
        <v>580</v>
      </c>
      <c r="F323" s="205" t="s">
        <v>149</v>
      </c>
      <c r="G323" s="225">
        <v>-346.54</v>
      </c>
      <c r="H323" s="226">
        <v>-346.54</v>
      </c>
      <c r="I323" s="198" t="s">
        <v>61</v>
      </c>
      <c r="J323" s="250" t="s">
        <v>422</v>
      </c>
      <c r="K323" s="188"/>
      <c r="L323" s="197"/>
      <c r="M323" s="197"/>
      <c r="N323" s="197"/>
      <c r="O323" s="197"/>
    </row>
    <row r="324" spans="1:15" ht="25.5" hidden="1">
      <c r="A324" s="189" t="s">
        <v>137</v>
      </c>
      <c r="B324" s="189" t="s">
        <v>138</v>
      </c>
      <c r="C324" s="189" t="s">
        <v>570</v>
      </c>
      <c r="D324" s="189" t="s">
        <v>581</v>
      </c>
      <c r="E324" s="223" t="s">
        <v>582</v>
      </c>
      <c r="F324" s="189" t="s">
        <v>153</v>
      </c>
      <c r="G324" s="258">
        <v>-100</v>
      </c>
      <c r="H324" s="260">
        <v>-100</v>
      </c>
      <c r="I324" s="195" t="s">
        <v>61</v>
      </c>
      <c r="J324" s="195" t="s">
        <v>422</v>
      </c>
      <c r="K324" s="188" t="s">
        <v>195</v>
      </c>
      <c r="L324" s="197"/>
      <c r="M324" s="197"/>
      <c r="N324" s="197"/>
      <c r="O324" s="197"/>
    </row>
    <row r="325" spans="1:15" hidden="1">
      <c r="A325" s="189" t="s">
        <v>137</v>
      </c>
      <c r="B325" s="189" t="s">
        <v>138</v>
      </c>
      <c r="C325" s="189" t="s">
        <v>570</v>
      </c>
      <c r="D325" s="189" t="s">
        <v>581</v>
      </c>
      <c r="E325" s="223" t="s">
        <v>583</v>
      </c>
      <c r="F325" s="189" t="s">
        <v>146</v>
      </c>
      <c r="G325" s="258">
        <v>-90</v>
      </c>
      <c r="H325" s="260">
        <v>-90</v>
      </c>
      <c r="I325" s="198" t="s">
        <v>61</v>
      </c>
      <c r="J325" s="189" t="s">
        <v>422</v>
      </c>
      <c r="K325" s="188"/>
      <c r="L325" s="197"/>
      <c r="M325" s="197"/>
      <c r="N325" s="197"/>
      <c r="O325" s="197"/>
    </row>
    <row r="326" spans="1:15" hidden="1">
      <c r="A326" s="189" t="s">
        <v>137</v>
      </c>
      <c r="B326" s="189" t="s">
        <v>138</v>
      </c>
      <c r="C326" s="189" t="s">
        <v>570</v>
      </c>
      <c r="D326" s="189" t="s">
        <v>581</v>
      </c>
      <c r="E326" s="223" t="s">
        <v>584</v>
      </c>
      <c r="F326" s="189" t="s">
        <v>146</v>
      </c>
      <c r="G326" s="258">
        <v>-90</v>
      </c>
      <c r="H326" s="260">
        <v>-90</v>
      </c>
      <c r="I326" s="198" t="s">
        <v>61</v>
      </c>
      <c r="J326" s="250" t="s">
        <v>422</v>
      </c>
      <c r="K326" s="188"/>
      <c r="L326" s="197"/>
      <c r="M326" s="197"/>
      <c r="N326" s="197"/>
      <c r="O326" s="197"/>
    </row>
    <row r="327" spans="1:15" hidden="1">
      <c r="A327" s="199" t="s">
        <v>137</v>
      </c>
      <c r="B327" s="199" t="s">
        <v>138</v>
      </c>
      <c r="C327" s="199" t="s">
        <v>570</v>
      </c>
      <c r="D327" s="199" t="s">
        <v>581</v>
      </c>
      <c r="E327" s="205" t="s">
        <v>585</v>
      </c>
      <c r="F327" s="205" t="s">
        <v>149</v>
      </c>
      <c r="G327" s="225">
        <v>-100</v>
      </c>
      <c r="H327" s="226">
        <v>-100</v>
      </c>
      <c r="I327" s="198" t="s">
        <v>61</v>
      </c>
      <c r="J327" s="250" t="s">
        <v>422</v>
      </c>
      <c r="K327" s="188"/>
      <c r="L327" s="197"/>
      <c r="M327" s="197"/>
      <c r="N327" s="197"/>
      <c r="O327" s="197"/>
    </row>
    <row r="328" spans="1:15" hidden="1">
      <c r="A328" s="199" t="s">
        <v>137</v>
      </c>
      <c r="B328" s="189" t="s">
        <v>138</v>
      </c>
      <c r="C328" s="189" t="s">
        <v>570</v>
      </c>
      <c r="D328" s="189" t="s">
        <v>581</v>
      </c>
      <c r="E328" s="223" t="s">
        <v>586</v>
      </c>
      <c r="F328" s="189" t="s">
        <v>142</v>
      </c>
      <c r="G328" s="258">
        <v>-100</v>
      </c>
      <c r="H328" s="260">
        <v>-100</v>
      </c>
      <c r="I328" s="188" t="s">
        <v>61</v>
      </c>
      <c r="J328" s="189" t="s">
        <v>422</v>
      </c>
      <c r="K328" s="196" t="s">
        <v>587</v>
      </c>
      <c r="L328" s="197"/>
      <c r="M328" s="197"/>
      <c r="N328" s="197"/>
      <c r="O328" s="197"/>
    </row>
    <row r="329" spans="1:15" hidden="1">
      <c r="A329" s="189" t="s">
        <v>137</v>
      </c>
      <c r="B329" s="189" t="s">
        <v>138</v>
      </c>
      <c r="C329" s="189" t="s">
        <v>570</v>
      </c>
      <c r="D329" s="189" t="s">
        <v>588</v>
      </c>
      <c r="E329" s="223" t="s">
        <v>589</v>
      </c>
      <c r="F329" s="189" t="s">
        <v>153</v>
      </c>
      <c r="G329" s="258">
        <v>-84.9</v>
      </c>
      <c r="H329" s="260">
        <v>-84.9</v>
      </c>
      <c r="I329" s="195" t="s">
        <v>61</v>
      </c>
      <c r="J329" s="189" t="s">
        <v>422</v>
      </c>
      <c r="K329" s="188"/>
      <c r="L329" s="197"/>
      <c r="M329" s="197"/>
      <c r="N329" s="197"/>
      <c r="O329" s="197"/>
    </row>
    <row r="330" spans="1:15" hidden="1">
      <c r="A330" s="199" t="s">
        <v>137</v>
      </c>
      <c r="B330" s="199" t="s">
        <v>138</v>
      </c>
      <c r="C330" s="199" t="s">
        <v>570</v>
      </c>
      <c r="D330" s="199" t="s">
        <v>588</v>
      </c>
      <c r="E330" s="205" t="s">
        <v>590</v>
      </c>
      <c r="F330" s="205" t="s">
        <v>149</v>
      </c>
      <c r="G330" s="225">
        <v>-114.44</v>
      </c>
      <c r="H330" s="226">
        <v>-114.44</v>
      </c>
      <c r="I330" s="198" t="s">
        <v>61</v>
      </c>
      <c r="J330" s="198" t="s">
        <v>422</v>
      </c>
      <c r="K330" s="188"/>
      <c r="L330" s="197"/>
      <c r="M330" s="197"/>
      <c r="N330" s="197"/>
      <c r="O330" s="197"/>
    </row>
    <row r="331" spans="1:15" hidden="1">
      <c r="A331" s="189" t="s">
        <v>137</v>
      </c>
      <c r="B331" s="189" t="s">
        <v>138</v>
      </c>
      <c r="C331" s="189" t="s">
        <v>570</v>
      </c>
      <c r="D331" s="189" t="s">
        <v>591</v>
      </c>
      <c r="E331" s="223" t="s">
        <v>592</v>
      </c>
      <c r="F331" s="189" t="s">
        <v>146</v>
      </c>
      <c r="G331" s="258">
        <v>-300</v>
      </c>
      <c r="H331" s="260">
        <v>-300</v>
      </c>
      <c r="I331" s="215" t="s">
        <v>55</v>
      </c>
      <c r="J331" s="250" t="s">
        <v>476</v>
      </c>
      <c r="K331" s="188"/>
      <c r="L331" s="197"/>
      <c r="M331" s="197"/>
      <c r="N331" s="197"/>
      <c r="O331" s="197"/>
    </row>
    <row r="332" spans="1:15" hidden="1">
      <c r="A332" s="199" t="s">
        <v>137</v>
      </c>
      <c r="B332" s="189" t="s">
        <v>138</v>
      </c>
      <c r="C332" s="189" t="s">
        <v>570</v>
      </c>
      <c r="D332" s="189" t="s">
        <v>201</v>
      </c>
      <c r="E332" s="223" t="s">
        <v>593</v>
      </c>
      <c r="F332" s="189" t="s">
        <v>142</v>
      </c>
      <c r="G332" s="258">
        <v>-25.95</v>
      </c>
      <c r="H332" s="260">
        <v>-25.95</v>
      </c>
      <c r="I332" s="188" t="s">
        <v>61</v>
      </c>
      <c r="J332" s="189" t="s">
        <v>316</v>
      </c>
      <c r="K332" s="195"/>
      <c r="L332" s="197"/>
      <c r="M332" s="197"/>
      <c r="N332" s="197"/>
      <c r="O332" s="197"/>
    </row>
    <row r="333" spans="1:15" ht="25.5" hidden="1">
      <c r="A333" s="189" t="s">
        <v>137</v>
      </c>
      <c r="B333" s="189" t="s">
        <v>138</v>
      </c>
      <c r="C333" s="189" t="s">
        <v>570</v>
      </c>
      <c r="D333" s="189" t="s">
        <v>565</v>
      </c>
      <c r="E333" s="223" t="s">
        <v>594</v>
      </c>
      <c r="F333" s="189" t="s">
        <v>146</v>
      </c>
      <c r="G333" s="258">
        <v>-350</v>
      </c>
      <c r="H333" s="260">
        <v>-350</v>
      </c>
      <c r="I333" s="214" t="s">
        <v>83</v>
      </c>
      <c r="J333" s="189" t="s">
        <v>316</v>
      </c>
      <c r="K333" s="188"/>
      <c r="L333" s="197"/>
      <c r="M333" s="197"/>
      <c r="N333" s="197"/>
      <c r="O333" s="197"/>
    </row>
    <row r="334" spans="1:15" hidden="1">
      <c r="A334" s="189" t="s">
        <v>137</v>
      </c>
      <c r="B334" s="189" t="s">
        <v>138</v>
      </c>
      <c r="C334" s="189" t="s">
        <v>570</v>
      </c>
      <c r="D334" s="189" t="s">
        <v>595</v>
      </c>
      <c r="E334" s="223" t="s">
        <v>596</v>
      </c>
      <c r="F334" s="189" t="s">
        <v>146</v>
      </c>
      <c r="G334" s="258">
        <v>-250</v>
      </c>
      <c r="H334" s="260">
        <v>-250</v>
      </c>
      <c r="I334" s="215" t="s">
        <v>55</v>
      </c>
      <c r="J334" s="250" t="s">
        <v>476</v>
      </c>
      <c r="K334" s="188"/>
      <c r="L334" s="197"/>
      <c r="M334" s="197"/>
      <c r="N334" s="197"/>
      <c r="O334" s="197"/>
    </row>
    <row r="335" spans="1:15" hidden="1">
      <c r="A335" s="199" t="s">
        <v>137</v>
      </c>
      <c r="B335" s="189" t="s">
        <v>138</v>
      </c>
      <c r="C335" s="189" t="s">
        <v>570</v>
      </c>
      <c r="D335" s="189" t="s">
        <v>595</v>
      </c>
      <c r="E335" s="223" t="s">
        <v>597</v>
      </c>
      <c r="F335" s="189" t="s">
        <v>142</v>
      </c>
      <c r="G335" s="258">
        <v>-100</v>
      </c>
      <c r="H335" s="260">
        <v>-100</v>
      </c>
      <c r="I335" s="215" t="s">
        <v>55</v>
      </c>
      <c r="J335" s="189" t="s">
        <v>476</v>
      </c>
      <c r="K335" s="195"/>
      <c r="L335" s="197"/>
      <c r="M335" s="197"/>
      <c r="N335" s="197"/>
      <c r="O335" s="197"/>
    </row>
    <row r="336" spans="1:15" hidden="1">
      <c r="A336" s="199" t="s">
        <v>137</v>
      </c>
      <c r="B336" s="189" t="s">
        <v>138</v>
      </c>
      <c r="C336" s="189" t="s">
        <v>570</v>
      </c>
      <c r="D336" s="189" t="s">
        <v>598</v>
      </c>
      <c r="E336" s="223" t="s">
        <v>597</v>
      </c>
      <c r="F336" s="189" t="s">
        <v>142</v>
      </c>
      <c r="G336" s="258">
        <v>-500</v>
      </c>
      <c r="H336" s="260">
        <v>-500</v>
      </c>
      <c r="I336" s="215" t="s">
        <v>55</v>
      </c>
      <c r="J336" s="189" t="s">
        <v>476</v>
      </c>
      <c r="K336" s="195"/>
      <c r="L336" s="197"/>
      <c r="M336" s="197"/>
      <c r="N336" s="197"/>
      <c r="O336" s="197"/>
    </row>
    <row r="337" spans="1:15" hidden="1">
      <c r="A337" s="189" t="s">
        <v>137</v>
      </c>
      <c r="B337" s="189" t="s">
        <v>138</v>
      </c>
      <c r="C337" s="189" t="s">
        <v>599</v>
      </c>
      <c r="D337" s="189" t="s">
        <v>160</v>
      </c>
      <c r="E337" s="223" t="s">
        <v>600</v>
      </c>
      <c r="F337" s="189" t="s">
        <v>153</v>
      </c>
      <c r="G337" s="258">
        <v>-24.9</v>
      </c>
      <c r="H337" s="260">
        <v>-24.9</v>
      </c>
      <c r="I337" s="195" t="s">
        <v>98</v>
      </c>
      <c r="J337" s="189" t="s">
        <v>246</v>
      </c>
      <c r="K337" s="188"/>
      <c r="L337" s="197"/>
      <c r="M337" s="197"/>
      <c r="N337" s="197"/>
      <c r="O337" s="197"/>
    </row>
    <row r="338" spans="1:15" hidden="1">
      <c r="A338" s="189" t="s">
        <v>137</v>
      </c>
      <c r="B338" s="189" t="s">
        <v>138</v>
      </c>
      <c r="C338" s="189" t="s">
        <v>599</v>
      </c>
      <c r="D338" s="189" t="s">
        <v>160</v>
      </c>
      <c r="E338" s="223" t="s">
        <v>601</v>
      </c>
      <c r="F338" s="189" t="s">
        <v>146</v>
      </c>
      <c r="G338" s="258">
        <v>-44.95</v>
      </c>
      <c r="H338" s="260">
        <v>-44.95</v>
      </c>
      <c r="I338" s="198" t="s">
        <v>98</v>
      </c>
      <c r="J338" s="189" t="s">
        <v>246</v>
      </c>
      <c r="K338" s="188"/>
      <c r="L338" s="197"/>
      <c r="M338" s="197"/>
      <c r="N338" s="197"/>
      <c r="O338" s="197"/>
    </row>
    <row r="339" spans="1:15" hidden="1">
      <c r="A339" s="189" t="s">
        <v>137</v>
      </c>
      <c r="B339" s="189" t="s">
        <v>138</v>
      </c>
      <c r="C339" s="189" t="s">
        <v>98</v>
      </c>
      <c r="D339" s="189" t="s">
        <v>602</v>
      </c>
      <c r="E339" s="223" t="s">
        <v>603</v>
      </c>
      <c r="F339" s="189" t="s">
        <v>146</v>
      </c>
      <c r="G339" s="258">
        <v>-299.89999999999998</v>
      </c>
      <c r="H339" s="260">
        <v>-299.89999999999998</v>
      </c>
      <c r="I339" s="198" t="s">
        <v>98</v>
      </c>
      <c r="J339" s="189" t="s">
        <v>246</v>
      </c>
      <c r="K339" s="188"/>
      <c r="L339" s="197"/>
      <c r="M339" s="197"/>
      <c r="N339" s="197"/>
      <c r="O339" s="197"/>
    </row>
    <row r="340" spans="1:15" ht="25.5" hidden="1">
      <c r="A340" s="189" t="s">
        <v>137</v>
      </c>
      <c r="B340" s="189" t="s">
        <v>138</v>
      </c>
      <c r="C340" s="189" t="s">
        <v>98</v>
      </c>
      <c r="D340" s="189" t="s">
        <v>604</v>
      </c>
      <c r="E340" s="223" t="s">
        <v>605</v>
      </c>
      <c r="F340" s="189" t="s">
        <v>153</v>
      </c>
      <c r="G340" s="258">
        <v>-302.89999999999998</v>
      </c>
      <c r="H340" s="260">
        <v>-302.89999999999998</v>
      </c>
      <c r="I340" s="195" t="s">
        <v>98</v>
      </c>
      <c r="J340" s="189" t="s">
        <v>246</v>
      </c>
      <c r="K340" s="188"/>
      <c r="L340" s="197"/>
      <c r="M340" s="197"/>
      <c r="N340" s="197"/>
      <c r="O340" s="197"/>
    </row>
    <row r="341" spans="1:15" ht="25.5" hidden="1">
      <c r="A341" s="199" t="s">
        <v>137</v>
      </c>
      <c r="B341" s="199" t="s">
        <v>138</v>
      </c>
      <c r="C341" s="199" t="s">
        <v>98</v>
      </c>
      <c r="D341" s="199" t="s">
        <v>604</v>
      </c>
      <c r="E341" s="205" t="s">
        <v>606</v>
      </c>
      <c r="F341" s="205" t="s">
        <v>149</v>
      </c>
      <c r="G341" s="225">
        <v>-233</v>
      </c>
      <c r="H341" s="226">
        <v>-233</v>
      </c>
      <c r="I341" s="198" t="s">
        <v>98</v>
      </c>
      <c r="J341" s="189" t="s">
        <v>246</v>
      </c>
      <c r="K341" s="213"/>
      <c r="L341" s="197"/>
      <c r="M341" s="197"/>
      <c r="N341" s="197"/>
      <c r="O341" s="197"/>
    </row>
    <row r="342" spans="1:15" ht="25.5" hidden="1">
      <c r="A342" s="189" t="s">
        <v>137</v>
      </c>
      <c r="B342" s="189" t="s">
        <v>138</v>
      </c>
      <c r="C342" s="189" t="s">
        <v>98</v>
      </c>
      <c r="D342" s="189" t="s">
        <v>607</v>
      </c>
      <c r="E342" s="223" t="s">
        <v>608</v>
      </c>
      <c r="F342" s="189" t="s">
        <v>146</v>
      </c>
      <c r="G342" s="258">
        <v>-23.94</v>
      </c>
      <c r="H342" s="260">
        <v>-23.94</v>
      </c>
      <c r="I342" s="198" t="s">
        <v>98</v>
      </c>
      <c r="J342" s="189" t="s">
        <v>246</v>
      </c>
      <c r="K342" s="213"/>
      <c r="L342" s="197"/>
      <c r="M342" s="197"/>
      <c r="N342" s="197"/>
      <c r="O342" s="197"/>
    </row>
    <row r="343" spans="1:15" hidden="1">
      <c r="A343" s="199" t="s">
        <v>137</v>
      </c>
      <c r="B343" s="189" t="s">
        <v>138</v>
      </c>
      <c r="C343" s="189" t="s">
        <v>98</v>
      </c>
      <c r="D343" s="189" t="s">
        <v>607</v>
      </c>
      <c r="E343" s="223" t="s">
        <v>609</v>
      </c>
      <c r="F343" s="189" t="s">
        <v>142</v>
      </c>
      <c r="G343" s="258">
        <v>-95.78</v>
      </c>
      <c r="H343" s="260">
        <v>-95.78</v>
      </c>
      <c r="I343" s="188" t="s">
        <v>98</v>
      </c>
      <c r="J343" s="189" t="s">
        <v>246</v>
      </c>
      <c r="K343" s="195"/>
      <c r="L343" s="197"/>
      <c r="M343" s="197"/>
      <c r="N343" s="197"/>
      <c r="O343" s="197"/>
    </row>
    <row r="344" spans="1:15" hidden="1">
      <c r="A344" s="189" t="s">
        <v>137</v>
      </c>
      <c r="B344" s="189" t="s">
        <v>138</v>
      </c>
      <c r="C344" s="189" t="s">
        <v>98</v>
      </c>
      <c r="D344" s="189" t="s">
        <v>610</v>
      </c>
      <c r="E344" s="223" t="s">
        <v>611</v>
      </c>
      <c r="F344" s="189" t="s">
        <v>153</v>
      </c>
      <c r="G344" s="258">
        <v>-31.91</v>
      </c>
      <c r="H344" s="260">
        <v>-31.91</v>
      </c>
      <c r="I344" s="195" t="s">
        <v>98</v>
      </c>
      <c r="J344" s="189" t="s">
        <v>246</v>
      </c>
      <c r="K344" s="188"/>
      <c r="L344" s="197"/>
      <c r="M344" s="197"/>
      <c r="N344" s="197"/>
      <c r="O344" s="197"/>
    </row>
    <row r="345" spans="1:15" ht="25.5" hidden="1">
      <c r="A345" s="189" t="s">
        <v>137</v>
      </c>
      <c r="B345" s="189" t="s">
        <v>138</v>
      </c>
      <c r="C345" s="189" t="s">
        <v>98</v>
      </c>
      <c r="D345" s="189" t="s">
        <v>612</v>
      </c>
      <c r="E345" s="223" t="s">
        <v>613</v>
      </c>
      <c r="F345" s="189" t="s">
        <v>146</v>
      </c>
      <c r="G345" s="258">
        <v>-789.9</v>
      </c>
      <c r="H345" s="260">
        <v>-789.9</v>
      </c>
      <c r="I345" s="198" t="s">
        <v>98</v>
      </c>
      <c r="J345" s="189" t="s">
        <v>246</v>
      </c>
      <c r="K345" s="188"/>
      <c r="L345" s="197"/>
      <c r="M345" s="197"/>
      <c r="N345" s="197"/>
      <c r="O345" s="197"/>
    </row>
    <row r="346" spans="1:15" ht="25.5" hidden="1">
      <c r="A346" s="199" t="s">
        <v>137</v>
      </c>
      <c r="B346" s="199" t="s">
        <v>138</v>
      </c>
      <c r="C346" s="199" t="s">
        <v>98</v>
      </c>
      <c r="D346" s="199" t="s">
        <v>612</v>
      </c>
      <c r="E346" s="205" t="s">
        <v>614</v>
      </c>
      <c r="F346" s="205" t="s">
        <v>149</v>
      </c>
      <c r="G346" s="225">
        <v>-825</v>
      </c>
      <c r="H346" s="226">
        <v>-825</v>
      </c>
      <c r="I346" s="214" t="s">
        <v>98</v>
      </c>
      <c r="J346" s="189" t="s">
        <v>246</v>
      </c>
      <c r="K346" s="188"/>
      <c r="L346" s="197"/>
      <c r="M346" s="197"/>
      <c r="N346" s="197"/>
      <c r="O346" s="197"/>
    </row>
    <row r="347" spans="1:15" ht="25.5" hidden="1">
      <c r="A347" s="199" t="s">
        <v>137</v>
      </c>
      <c r="B347" s="189" t="s">
        <v>138</v>
      </c>
      <c r="C347" s="189" t="s">
        <v>98</v>
      </c>
      <c r="D347" s="189" t="s">
        <v>612</v>
      </c>
      <c r="E347" s="223" t="s">
        <v>615</v>
      </c>
      <c r="F347" s="189" t="s">
        <v>142</v>
      </c>
      <c r="G347" s="258">
        <v>-789.9</v>
      </c>
      <c r="H347" s="260">
        <v>-789.9</v>
      </c>
      <c r="I347" s="188" t="s">
        <v>98</v>
      </c>
      <c r="J347" s="189" t="s">
        <v>246</v>
      </c>
      <c r="K347" s="195"/>
      <c r="L347" s="197"/>
      <c r="M347" s="197"/>
      <c r="N347" s="197"/>
      <c r="O347" s="197"/>
    </row>
    <row r="348" spans="1:15" hidden="1">
      <c r="A348" s="199" t="s">
        <v>137</v>
      </c>
      <c r="B348" s="189" t="s">
        <v>138</v>
      </c>
      <c r="C348" s="189" t="s">
        <v>98</v>
      </c>
      <c r="D348" s="189" t="s">
        <v>612</v>
      </c>
      <c r="E348" s="223" t="s">
        <v>609</v>
      </c>
      <c r="F348" s="189" t="s">
        <v>142</v>
      </c>
      <c r="G348" s="258">
        <v>-1344.6</v>
      </c>
      <c r="H348" s="260">
        <v>-1344.6</v>
      </c>
      <c r="I348" s="188" t="s">
        <v>98</v>
      </c>
      <c r="J348" s="189" t="s">
        <v>246</v>
      </c>
      <c r="K348" s="195"/>
      <c r="L348" s="197"/>
      <c r="M348" s="197"/>
      <c r="N348" s="197"/>
      <c r="O348" s="197"/>
    </row>
    <row r="349" spans="1:15" hidden="1">
      <c r="A349" s="199" t="s">
        <v>137</v>
      </c>
      <c r="B349" s="189" t="s">
        <v>138</v>
      </c>
      <c r="C349" s="189" t="s">
        <v>98</v>
      </c>
      <c r="D349" s="189" t="s">
        <v>616</v>
      </c>
      <c r="E349" s="223" t="s">
        <v>617</v>
      </c>
      <c r="F349" s="189" t="s">
        <v>142</v>
      </c>
      <c r="G349" s="258">
        <v>-34.229999999999997</v>
      </c>
      <c r="H349" s="260">
        <v>-34.229999999999997</v>
      </c>
      <c r="I349" s="188" t="s">
        <v>98</v>
      </c>
      <c r="J349" s="189" t="s">
        <v>246</v>
      </c>
      <c r="K349" s="195"/>
      <c r="L349" s="197"/>
      <c r="M349" s="197"/>
      <c r="N349" s="197"/>
      <c r="O349" s="197"/>
    </row>
    <row r="350" spans="1:15" ht="25.5" hidden="1">
      <c r="A350" s="189" t="s">
        <v>137</v>
      </c>
      <c r="B350" s="189" t="s">
        <v>138</v>
      </c>
      <c r="C350" s="189" t="s">
        <v>98</v>
      </c>
      <c r="D350" s="189" t="s">
        <v>618</v>
      </c>
      <c r="E350" s="223" t="s">
        <v>619</v>
      </c>
      <c r="F350" s="189" t="s">
        <v>153</v>
      </c>
      <c r="G350" s="258">
        <v>-936.39</v>
      </c>
      <c r="H350" s="260">
        <v>-936.39</v>
      </c>
      <c r="I350" s="195" t="s">
        <v>98</v>
      </c>
      <c r="J350" s="189" t="s">
        <v>246</v>
      </c>
      <c r="K350" s="188"/>
      <c r="L350" s="197"/>
      <c r="M350" s="197"/>
      <c r="N350" s="197"/>
      <c r="O350" s="197"/>
    </row>
    <row r="351" spans="1:15" ht="38.25" hidden="1">
      <c r="A351" s="189" t="s">
        <v>137</v>
      </c>
      <c r="B351" s="189" t="s">
        <v>138</v>
      </c>
      <c r="C351" s="189" t="s">
        <v>98</v>
      </c>
      <c r="D351" s="189" t="s">
        <v>618</v>
      </c>
      <c r="E351" s="223" t="s">
        <v>620</v>
      </c>
      <c r="F351" s="189" t="s">
        <v>146</v>
      </c>
      <c r="G351" s="277">
        <v>0</v>
      </c>
      <c r="H351" s="260">
        <v>-2500</v>
      </c>
      <c r="I351" s="198" t="s">
        <v>98</v>
      </c>
      <c r="J351" s="189" t="s">
        <v>246</v>
      </c>
      <c r="K351" s="188" t="s">
        <v>621</v>
      </c>
      <c r="L351" s="197"/>
      <c r="M351" s="197"/>
      <c r="N351" s="197"/>
      <c r="O351" s="197"/>
    </row>
    <row r="352" spans="1:15" ht="76.5" hidden="1">
      <c r="A352" s="199" t="s">
        <v>137</v>
      </c>
      <c r="B352" s="199" t="s">
        <v>138</v>
      </c>
      <c r="C352" s="199" t="s">
        <v>98</v>
      </c>
      <c r="D352" s="199" t="s">
        <v>618</v>
      </c>
      <c r="E352" s="205" t="s">
        <v>622</v>
      </c>
      <c r="F352" s="205" t="s">
        <v>149</v>
      </c>
      <c r="G352" s="225">
        <v>-372.11</v>
      </c>
      <c r="H352" s="226">
        <v>-372.11</v>
      </c>
      <c r="I352" s="198" t="s">
        <v>98</v>
      </c>
      <c r="J352" s="189" t="s">
        <v>246</v>
      </c>
      <c r="K352" s="188"/>
      <c r="L352" s="197"/>
      <c r="M352" s="197"/>
      <c r="N352" s="197"/>
      <c r="O352" s="278"/>
    </row>
    <row r="353" spans="1:15" ht="38.25" hidden="1">
      <c r="A353" s="199" t="s">
        <v>137</v>
      </c>
      <c r="B353" s="189" t="s">
        <v>138</v>
      </c>
      <c r="C353" s="189" t="s">
        <v>98</v>
      </c>
      <c r="D353" s="189" t="s">
        <v>623</v>
      </c>
      <c r="E353" s="223" t="s">
        <v>624</v>
      </c>
      <c r="F353" s="189" t="s">
        <v>142</v>
      </c>
      <c r="G353" s="258">
        <v>-56</v>
      </c>
      <c r="H353" s="260">
        <v>-56</v>
      </c>
      <c r="I353" s="188" t="s">
        <v>98</v>
      </c>
      <c r="J353" s="189" t="s">
        <v>246</v>
      </c>
      <c r="K353" s="195"/>
      <c r="L353" s="197"/>
      <c r="M353" s="197"/>
      <c r="N353" s="197"/>
      <c r="O353" s="197"/>
    </row>
    <row r="354" spans="1:15" ht="25.5" hidden="1">
      <c r="A354" s="189" t="s">
        <v>137</v>
      </c>
      <c r="B354" s="189" t="s">
        <v>138</v>
      </c>
      <c r="C354" s="189" t="s">
        <v>98</v>
      </c>
      <c r="D354" s="189" t="s">
        <v>625</v>
      </c>
      <c r="E354" s="223" t="s">
        <v>626</v>
      </c>
      <c r="F354" s="189" t="s">
        <v>153</v>
      </c>
      <c r="G354" s="258">
        <v>-84.3</v>
      </c>
      <c r="H354" s="260">
        <v>-84.3</v>
      </c>
      <c r="I354" s="195" t="s">
        <v>98</v>
      </c>
      <c r="J354" s="189" t="s">
        <v>246</v>
      </c>
      <c r="K354" s="188"/>
      <c r="L354" s="197"/>
      <c r="M354" s="197"/>
      <c r="N354" s="197"/>
      <c r="O354" s="197"/>
    </row>
    <row r="355" spans="1:15" ht="25.5" hidden="1">
      <c r="A355" s="189" t="s">
        <v>137</v>
      </c>
      <c r="B355" s="189" t="s">
        <v>138</v>
      </c>
      <c r="C355" s="189" t="s">
        <v>98</v>
      </c>
      <c r="D355" s="189" t="s">
        <v>625</v>
      </c>
      <c r="E355" s="223" t="s">
        <v>627</v>
      </c>
      <c r="F355" s="189" t="s">
        <v>146</v>
      </c>
      <c r="G355" s="258">
        <v>-635</v>
      </c>
      <c r="H355" s="260">
        <v>-635</v>
      </c>
      <c r="I355" s="198" t="s">
        <v>98</v>
      </c>
      <c r="J355" s="189" t="s">
        <v>246</v>
      </c>
      <c r="K355" s="188"/>
      <c r="L355" s="197"/>
      <c r="M355" s="197"/>
      <c r="N355" s="197"/>
      <c r="O355" s="197"/>
    </row>
    <row r="356" spans="1:15" ht="25.5" hidden="1">
      <c r="A356" s="199" t="s">
        <v>137</v>
      </c>
      <c r="B356" s="199" t="s">
        <v>138</v>
      </c>
      <c r="C356" s="199" t="s">
        <v>98</v>
      </c>
      <c r="D356" s="199" t="s">
        <v>625</v>
      </c>
      <c r="E356" s="205" t="s">
        <v>628</v>
      </c>
      <c r="F356" s="205" t="s">
        <v>149</v>
      </c>
      <c r="G356" s="225">
        <v>-200</v>
      </c>
      <c r="H356" s="226">
        <v>-200</v>
      </c>
      <c r="I356" s="198" t="s">
        <v>98</v>
      </c>
      <c r="J356" s="189" t="s">
        <v>246</v>
      </c>
      <c r="K356" s="188"/>
      <c r="L356" s="197"/>
      <c r="M356" s="197"/>
      <c r="N356" s="197"/>
      <c r="O356" s="197"/>
    </row>
    <row r="357" spans="1:15" ht="25.5" hidden="1">
      <c r="A357" s="199" t="s">
        <v>137</v>
      </c>
      <c r="B357" s="199" t="s">
        <v>138</v>
      </c>
      <c r="C357" s="199" t="s">
        <v>98</v>
      </c>
      <c r="D357" s="199" t="s">
        <v>625</v>
      </c>
      <c r="E357" s="205" t="s">
        <v>629</v>
      </c>
      <c r="F357" s="205" t="s">
        <v>149</v>
      </c>
      <c r="G357" s="225">
        <v>-330</v>
      </c>
      <c r="H357" s="226">
        <v>-330</v>
      </c>
      <c r="I357" s="198" t="s">
        <v>98</v>
      </c>
      <c r="J357" s="189" t="s">
        <v>246</v>
      </c>
      <c r="K357" s="213"/>
      <c r="L357" s="197"/>
      <c r="M357" s="197"/>
      <c r="N357" s="197"/>
      <c r="O357" s="197"/>
    </row>
    <row r="358" spans="1:15" ht="25.5" hidden="1">
      <c r="A358" s="199" t="s">
        <v>137</v>
      </c>
      <c r="B358" s="189" t="s">
        <v>138</v>
      </c>
      <c r="C358" s="189" t="s">
        <v>98</v>
      </c>
      <c r="D358" s="189" t="s">
        <v>625</v>
      </c>
      <c r="E358" s="223" t="s">
        <v>630</v>
      </c>
      <c r="F358" s="189" t="s">
        <v>142</v>
      </c>
      <c r="G358" s="258">
        <v>-213</v>
      </c>
      <c r="H358" s="260">
        <v>-213</v>
      </c>
      <c r="I358" s="188" t="s">
        <v>98</v>
      </c>
      <c r="J358" s="189" t="s">
        <v>246</v>
      </c>
      <c r="K358" s="195"/>
      <c r="L358" s="197"/>
      <c r="M358" s="197"/>
      <c r="N358" s="197"/>
      <c r="O358" s="197"/>
    </row>
    <row r="359" spans="1:15" ht="25.5" hidden="1">
      <c r="A359" s="199" t="s">
        <v>137</v>
      </c>
      <c r="B359" s="189" t="s">
        <v>138</v>
      </c>
      <c r="C359" s="189" t="s">
        <v>98</v>
      </c>
      <c r="D359" s="189" t="s">
        <v>625</v>
      </c>
      <c r="E359" s="223" t="s">
        <v>631</v>
      </c>
      <c r="F359" s="189" t="s">
        <v>142</v>
      </c>
      <c r="G359" s="258">
        <v>-536</v>
      </c>
      <c r="H359" s="260">
        <v>-536</v>
      </c>
      <c r="I359" s="188" t="s">
        <v>98</v>
      </c>
      <c r="J359" s="189" t="s">
        <v>246</v>
      </c>
      <c r="K359" s="195"/>
      <c r="L359" s="197"/>
      <c r="M359" s="197"/>
      <c r="N359" s="197"/>
      <c r="O359" s="197"/>
    </row>
    <row r="360" spans="1:15" ht="25.5" hidden="1">
      <c r="A360" s="199" t="s">
        <v>137</v>
      </c>
      <c r="B360" s="189" t="s">
        <v>138</v>
      </c>
      <c r="C360" s="189" t="s">
        <v>98</v>
      </c>
      <c r="D360" s="189" t="s">
        <v>625</v>
      </c>
      <c r="E360" s="223" t="s">
        <v>632</v>
      </c>
      <c r="F360" s="189" t="s">
        <v>142</v>
      </c>
      <c r="G360" s="258">
        <v>-223.5</v>
      </c>
      <c r="H360" s="260">
        <v>-223.5</v>
      </c>
      <c r="I360" s="188" t="s">
        <v>98</v>
      </c>
      <c r="J360" s="189" t="s">
        <v>246</v>
      </c>
      <c r="K360" s="195"/>
      <c r="L360" s="197"/>
      <c r="M360" s="197"/>
      <c r="N360" s="197"/>
      <c r="O360" s="197"/>
    </row>
    <row r="361" spans="1:15" ht="25.5" hidden="1">
      <c r="A361" s="199" t="s">
        <v>137</v>
      </c>
      <c r="B361" s="189" t="s">
        <v>138</v>
      </c>
      <c r="C361" s="189" t="s">
        <v>98</v>
      </c>
      <c r="D361" s="189" t="s">
        <v>625</v>
      </c>
      <c r="E361" s="223" t="s">
        <v>633</v>
      </c>
      <c r="F361" s="189" t="s">
        <v>142</v>
      </c>
      <c r="G361" s="258">
        <v>-475.8</v>
      </c>
      <c r="H361" s="260">
        <v>-475.8</v>
      </c>
      <c r="I361" s="188" t="s">
        <v>98</v>
      </c>
      <c r="J361" s="189" t="s">
        <v>246</v>
      </c>
      <c r="K361" s="195"/>
      <c r="L361" s="197"/>
      <c r="M361" s="197"/>
      <c r="N361" s="197"/>
      <c r="O361" s="197"/>
    </row>
    <row r="362" spans="1:15" ht="25.5" hidden="1">
      <c r="A362" s="199" t="s">
        <v>137</v>
      </c>
      <c r="B362" s="189" t="s">
        <v>138</v>
      </c>
      <c r="C362" s="189" t="s">
        <v>98</v>
      </c>
      <c r="D362" s="189" t="s">
        <v>442</v>
      </c>
      <c r="E362" s="223" t="s">
        <v>634</v>
      </c>
      <c r="F362" s="189" t="s">
        <v>142</v>
      </c>
      <c r="G362" s="258">
        <v>-188.7</v>
      </c>
      <c r="H362" s="260">
        <v>-188.7</v>
      </c>
      <c r="I362" s="188" t="s">
        <v>98</v>
      </c>
      <c r="J362" s="189" t="s">
        <v>246</v>
      </c>
      <c r="K362" s="195"/>
      <c r="L362" s="197"/>
      <c r="M362" s="197"/>
      <c r="N362" s="197"/>
      <c r="O362" s="197"/>
    </row>
    <row r="363" spans="1:15" hidden="1">
      <c r="A363" s="199" t="s">
        <v>137</v>
      </c>
      <c r="B363" s="189" t="s">
        <v>138</v>
      </c>
      <c r="C363" s="189" t="s">
        <v>98</v>
      </c>
      <c r="D363" s="189" t="s">
        <v>635</v>
      </c>
      <c r="E363" s="223" t="s">
        <v>636</v>
      </c>
      <c r="F363" s="189" t="s">
        <v>142</v>
      </c>
      <c r="G363" s="258">
        <v>-28.99</v>
      </c>
      <c r="H363" s="260">
        <v>-28.99</v>
      </c>
      <c r="I363" s="188" t="s">
        <v>98</v>
      </c>
      <c r="J363" s="189" t="s">
        <v>246</v>
      </c>
      <c r="K363" s="195"/>
      <c r="L363" s="197"/>
      <c r="M363" s="197"/>
      <c r="N363" s="197"/>
      <c r="O363" s="197"/>
    </row>
    <row r="364" spans="1:15" hidden="1">
      <c r="A364" s="189" t="s">
        <v>137</v>
      </c>
      <c r="B364" s="189" t="s">
        <v>138</v>
      </c>
      <c r="C364" s="189" t="s">
        <v>98</v>
      </c>
      <c r="D364" s="189" t="s">
        <v>637</v>
      </c>
      <c r="E364" s="223" t="s">
        <v>638</v>
      </c>
      <c r="F364" s="189" t="s">
        <v>153</v>
      </c>
      <c r="G364" s="258">
        <v>-41.9</v>
      </c>
      <c r="H364" s="260">
        <v>-41.9</v>
      </c>
      <c r="I364" s="195" t="s">
        <v>98</v>
      </c>
      <c r="J364" s="189" t="s">
        <v>246</v>
      </c>
      <c r="K364" s="188"/>
      <c r="L364" s="197"/>
      <c r="M364" s="197"/>
      <c r="N364" s="197"/>
      <c r="O364" s="197"/>
    </row>
    <row r="365" spans="1:15" ht="38.25" hidden="1">
      <c r="A365" s="189" t="s">
        <v>137</v>
      </c>
      <c r="B365" s="189" t="s">
        <v>138</v>
      </c>
      <c r="C365" s="189" t="s">
        <v>98</v>
      </c>
      <c r="D365" s="189" t="s">
        <v>639</v>
      </c>
      <c r="E365" s="223" t="s">
        <v>640</v>
      </c>
      <c r="F365" s="189" t="s">
        <v>153</v>
      </c>
      <c r="G365" s="258">
        <v>-661.07</v>
      </c>
      <c r="H365" s="260">
        <v>-661.07</v>
      </c>
      <c r="I365" s="195" t="s">
        <v>98</v>
      </c>
      <c r="J365" s="189" t="s">
        <v>246</v>
      </c>
      <c r="K365" s="188"/>
      <c r="L365" s="197"/>
      <c r="M365" s="197"/>
      <c r="N365" s="197"/>
      <c r="O365" s="197"/>
    </row>
    <row r="366" spans="1:15" hidden="1">
      <c r="A366" s="199" t="s">
        <v>137</v>
      </c>
      <c r="B366" s="199" t="s">
        <v>138</v>
      </c>
      <c r="C366" s="199" t="s">
        <v>98</v>
      </c>
      <c r="D366" s="199" t="s">
        <v>639</v>
      </c>
      <c r="E366" s="205" t="s">
        <v>641</v>
      </c>
      <c r="F366" s="205" t="s">
        <v>149</v>
      </c>
      <c r="G366" s="225">
        <v>-80.45</v>
      </c>
      <c r="H366" s="226">
        <v>-80.45</v>
      </c>
      <c r="I366" s="198" t="s">
        <v>98</v>
      </c>
      <c r="J366" s="189" t="s">
        <v>246</v>
      </c>
      <c r="K366" s="188"/>
      <c r="L366" s="197"/>
      <c r="M366" s="197"/>
      <c r="N366" s="197"/>
      <c r="O366" s="197"/>
    </row>
    <row r="367" spans="1:15" hidden="1">
      <c r="A367" s="189" t="s">
        <v>232</v>
      </c>
      <c r="B367" s="189" t="s">
        <v>138</v>
      </c>
      <c r="C367" s="189" t="s">
        <v>98</v>
      </c>
      <c r="D367" s="189" t="s">
        <v>642</v>
      </c>
      <c r="E367" s="223" t="s">
        <v>643</v>
      </c>
      <c r="F367" s="189" t="s">
        <v>153</v>
      </c>
      <c r="G367" s="258">
        <v>-200</v>
      </c>
      <c r="H367" s="260">
        <v>-200</v>
      </c>
      <c r="I367" s="195" t="s">
        <v>98</v>
      </c>
      <c r="J367" s="189" t="s">
        <v>246</v>
      </c>
      <c r="K367" s="188" t="s">
        <v>195</v>
      </c>
      <c r="L367" s="197"/>
      <c r="M367" s="197"/>
      <c r="N367" s="197"/>
      <c r="O367" s="197"/>
    </row>
    <row r="368" spans="1:15" hidden="1">
      <c r="A368" s="189" t="s">
        <v>232</v>
      </c>
      <c r="B368" s="189" t="s">
        <v>138</v>
      </c>
      <c r="C368" s="189" t="s">
        <v>98</v>
      </c>
      <c r="D368" s="189" t="s">
        <v>642</v>
      </c>
      <c r="E368" s="223" t="s">
        <v>643</v>
      </c>
      <c r="F368" s="189" t="s">
        <v>146</v>
      </c>
      <c r="G368" s="258">
        <v>-200</v>
      </c>
      <c r="H368" s="260">
        <v>-200</v>
      </c>
      <c r="I368" s="198" t="s">
        <v>98</v>
      </c>
      <c r="J368" s="189" t="s">
        <v>246</v>
      </c>
      <c r="K368" s="188"/>
      <c r="L368" s="197"/>
      <c r="M368" s="197"/>
      <c r="N368" s="197"/>
      <c r="O368" s="197"/>
    </row>
    <row r="369" spans="1:15" hidden="1">
      <c r="A369" s="199" t="s">
        <v>232</v>
      </c>
      <c r="B369" s="199" t="s">
        <v>138</v>
      </c>
      <c r="C369" s="199" t="s">
        <v>98</v>
      </c>
      <c r="D369" s="199" t="s">
        <v>642</v>
      </c>
      <c r="E369" s="205" t="s">
        <v>644</v>
      </c>
      <c r="F369" s="205" t="s">
        <v>149</v>
      </c>
      <c r="G369" s="225">
        <v>-200</v>
      </c>
      <c r="H369" s="226">
        <v>-200</v>
      </c>
      <c r="I369" s="198" t="s">
        <v>98</v>
      </c>
      <c r="J369" s="189" t="s">
        <v>246</v>
      </c>
      <c r="K369" s="188"/>
      <c r="L369" s="197"/>
      <c r="M369" s="197"/>
      <c r="N369" s="197"/>
      <c r="O369" s="197"/>
    </row>
    <row r="370" spans="1:15" hidden="1">
      <c r="A370" s="199" t="s">
        <v>232</v>
      </c>
      <c r="B370" s="189" t="s">
        <v>138</v>
      </c>
      <c r="C370" s="189" t="s">
        <v>98</v>
      </c>
      <c r="D370" s="189" t="s">
        <v>642</v>
      </c>
      <c r="E370" s="223" t="s">
        <v>643</v>
      </c>
      <c r="F370" s="189" t="s">
        <v>142</v>
      </c>
      <c r="G370" s="258">
        <v>-200</v>
      </c>
      <c r="H370" s="260">
        <v>-200</v>
      </c>
      <c r="I370" s="188" t="s">
        <v>98</v>
      </c>
      <c r="J370" s="189" t="s">
        <v>246</v>
      </c>
      <c r="K370" s="195"/>
      <c r="L370" s="197"/>
      <c r="M370" s="197"/>
      <c r="N370" s="197"/>
      <c r="O370" s="197"/>
    </row>
    <row r="371" spans="1:15" hidden="1">
      <c r="A371" s="189" t="s">
        <v>137</v>
      </c>
      <c r="B371" s="189" t="s">
        <v>138</v>
      </c>
      <c r="C371" s="189" t="s">
        <v>98</v>
      </c>
      <c r="D371" s="189" t="s">
        <v>645</v>
      </c>
      <c r="E371" s="223" t="s">
        <v>646</v>
      </c>
      <c r="F371" s="189" t="s">
        <v>146</v>
      </c>
      <c r="G371" s="258">
        <v>-152.68</v>
      </c>
      <c r="H371" s="260">
        <v>-152.68</v>
      </c>
      <c r="I371" s="198" t="s">
        <v>98</v>
      </c>
      <c r="J371" s="189" t="s">
        <v>246</v>
      </c>
      <c r="K371" s="188"/>
      <c r="L371" s="197"/>
      <c r="M371" s="197"/>
      <c r="N371" s="197"/>
      <c r="O371" s="197"/>
    </row>
    <row r="372" spans="1:15" ht="25.5" hidden="1">
      <c r="A372" s="189" t="s">
        <v>137</v>
      </c>
      <c r="B372" s="189" t="s">
        <v>138</v>
      </c>
      <c r="C372" s="189" t="s">
        <v>97</v>
      </c>
      <c r="D372" s="189" t="s">
        <v>362</v>
      </c>
      <c r="E372" s="223" t="s">
        <v>647</v>
      </c>
      <c r="F372" s="189" t="s">
        <v>146</v>
      </c>
      <c r="G372" s="258">
        <v>-56.67</v>
      </c>
      <c r="H372" s="260">
        <v>-56.67</v>
      </c>
      <c r="I372" s="198" t="s">
        <v>97</v>
      </c>
      <c r="J372" s="205" t="s">
        <v>143</v>
      </c>
      <c r="K372" s="188"/>
      <c r="L372" s="197"/>
      <c r="M372" s="197"/>
      <c r="N372" s="197"/>
      <c r="O372" s="197"/>
    </row>
    <row r="373" spans="1:15" hidden="1">
      <c r="A373" s="199" t="s">
        <v>243</v>
      </c>
      <c r="B373" s="189" t="s">
        <v>138</v>
      </c>
      <c r="C373" s="189" t="s">
        <v>648</v>
      </c>
      <c r="D373" s="189" t="s">
        <v>649</v>
      </c>
      <c r="E373" s="189" t="s">
        <v>650</v>
      </c>
      <c r="F373" s="189" t="s">
        <v>153</v>
      </c>
      <c r="G373" s="260">
        <v>-5000</v>
      </c>
      <c r="H373" s="260">
        <v>-5000</v>
      </c>
      <c r="I373" s="215" t="s">
        <v>100</v>
      </c>
      <c r="J373" s="279" t="s">
        <v>206</v>
      </c>
      <c r="K373" s="188"/>
      <c r="L373" s="197"/>
      <c r="M373" s="197"/>
      <c r="N373" s="197"/>
      <c r="O373" s="197"/>
    </row>
    <row r="374" spans="1:15" hidden="1">
      <c r="A374" s="199" t="s">
        <v>243</v>
      </c>
      <c r="B374" s="189" t="s">
        <v>138</v>
      </c>
      <c r="C374" s="189" t="s">
        <v>648</v>
      </c>
      <c r="D374" s="189" t="s">
        <v>651</v>
      </c>
      <c r="E374" s="189" t="s">
        <v>650</v>
      </c>
      <c r="F374" s="189" t="s">
        <v>153</v>
      </c>
      <c r="G374" s="260">
        <v>-5000</v>
      </c>
      <c r="H374" s="260">
        <v>-5000</v>
      </c>
      <c r="I374" s="215" t="s">
        <v>100</v>
      </c>
      <c r="J374" s="279" t="s">
        <v>206</v>
      </c>
      <c r="K374" s="188"/>
      <c r="L374" s="197"/>
      <c r="M374" s="197"/>
      <c r="N374" s="197"/>
      <c r="O374" s="197"/>
    </row>
    <row r="375" spans="1:15" hidden="1">
      <c r="A375" s="199" t="s">
        <v>137</v>
      </c>
      <c r="B375" s="189" t="s">
        <v>138</v>
      </c>
      <c r="C375" s="189" t="s">
        <v>652</v>
      </c>
      <c r="D375" s="189" t="s">
        <v>653</v>
      </c>
      <c r="E375" s="223" t="s">
        <v>654</v>
      </c>
      <c r="F375" s="189" t="s">
        <v>142</v>
      </c>
      <c r="G375" s="258">
        <v>-11.61</v>
      </c>
      <c r="H375" s="260">
        <v>-11.61</v>
      </c>
      <c r="I375" s="188" t="s">
        <v>97</v>
      </c>
      <c r="J375" s="244" t="s">
        <v>470</v>
      </c>
      <c r="K375" s="195"/>
      <c r="L375" s="197"/>
      <c r="M375" s="197"/>
      <c r="N375" s="197"/>
      <c r="O375" s="197"/>
    </row>
    <row r="376" spans="1:15" hidden="1">
      <c r="A376" s="261" t="s">
        <v>232</v>
      </c>
      <c r="B376" s="261" t="s">
        <v>138</v>
      </c>
      <c r="C376" s="261" t="s">
        <v>491</v>
      </c>
      <c r="D376" s="261" t="s">
        <v>655</v>
      </c>
      <c r="E376" s="261" t="s">
        <v>656</v>
      </c>
      <c r="F376" s="261" t="s">
        <v>265</v>
      </c>
      <c r="G376" s="264">
        <v>-70.930000000000007</v>
      </c>
      <c r="H376" s="264">
        <v>-70.930000000000007</v>
      </c>
      <c r="I376" s="198" t="s">
        <v>107</v>
      </c>
      <c r="J376" s="280" t="s">
        <v>206</v>
      </c>
      <c r="K376" s="195"/>
      <c r="L376" s="197"/>
      <c r="M376" s="197"/>
      <c r="N376" s="197"/>
      <c r="O376" s="197"/>
    </row>
    <row r="377" spans="1:15" hidden="1">
      <c r="A377" s="189" t="s">
        <v>137</v>
      </c>
      <c r="B377" s="189" t="s">
        <v>138</v>
      </c>
      <c r="C377" s="189" t="s">
        <v>652</v>
      </c>
      <c r="D377" s="189" t="s">
        <v>160</v>
      </c>
      <c r="E377" s="223" t="s">
        <v>657</v>
      </c>
      <c r="F377" s="189" t="s">
        <v>153</v>
      </c>
      <c r="G377" s="258">
        <v>-120</v>
      </c>
      <c r="H377" s="260">
        <v>-120</v>
      </c>
      <c r="I377" s="195" t="s">
        <v>97</v>
      </c>
      <c r="J377" s="189" t="s">
        <v>246</v>
      </c>
      <c r="K377" s="188"/>
      <c r="L377" s="197"/>
      <c r="M377" s="197"/>
      <c r="N377" s="197"/>
      <c r="O377" s="197"/>
    </row>
    <row r="378" spans="1:15" hidden="1">
      <c r="A378" s="189" t="s">
        <v>137</v>
      </c>
      <c r="B378" s="189" t="s">
        <v>138</v>
      </c>
      <c r="C378" s="189" t="s">
        <v>652</v>
      </c>
      <c r="D378" s="189" t="s">
        <v>160</v>
      </c>
      <c r="E378" s="223" t="s">
        <v>658</v>
      </c>
      <c r="F378" s="189" t="s">
        <v>153</v>
      </c>
      <c r="G378" s="258">
        <v>-120</v>
      </c>
      <c r="H378" s="260">
        <v>-120</v>
      </c>
      <c r="I378" s="195" t="s">
        <v>97</v>
      </c>
      <c r="J378" s="189" t="s">
        <v>246</v>
      </c>
      <c r="K378" s="188"/>
      <c r="L378" s="197"/>
      <c r="M378" s="197"/>
      <c r="N378" s="197"/>
      <c r="O378" s="197"/>
    </row>
    <row r="379" spans="1:15" hidden="1">
      <c r="A379" s="189" t="s">
        <v>137</v>
      </c>
      <c r="B379" s="189" t="s">
        <v>138</v>
      </c>
      <c r="C379" s="189" t="s">
        <v>652</v>
      </c>
      <c r="D379" s="189" t="s">
        <v>160</v>
      </c>
      <c r="E379" s="223" t="s">
        <v>659</v>
      </c>
      <c r="F379" s="189" t="s">
        <v>153</v>
      </c>
      <c r="G379" s="258">
        <v>-120</v>
      </c>
      <c r="H379" s="260">
        <v>-120</v>
      </c>
      <c r="I379" s="195" t="s">
        <v>97</v>
      </c>
      <c r="J379" s="189" t="s">
        <v>246</v>
      </c>
      <c r="K379" s="188"/>
      <c r="L379" s="197"/>
      <c r="M379" s="197"/>
      <c r="N379" s="197"/>
      <c r="O379" s="197"/>
    </row>
    <row r="380" spans="1:15" hidden="1">
      <c r="A380" s="189" t="s">
        <v>137</v>
      </c>
      <c r="B380" s="189" t="s">
        <v>138</v>
      </c>
      <c r="C380" s="189" t="s">
        <v>652</v>
      </c>
      <c r="D380" s="189" t="s">
        <v>160</v>
      </c>
      <c r="E380" s="223" t="s">
        <v>660</v>
      </c>
      <c r="F380" s="189" t="s">
        <v>146</v>
      </c>
      <c r="G380" s="258">
        <v>-120</v>
      </c>
      <c r="H380" s="260">
        <v>-120</v>
      </c>
      <c r="I380" s="198" t="s">
        <v>97</v>
      </c>
      <c r="J380" s="205" t="s">
        <v>143</v>
      </c>
      <c r="K380" s="188"/>
      <c r="L380" s="197"/>
      <c r="M380" s="197"/>
      <c r="N380" s="197"/>
      <c r="O380" s="197"/>
    </row>
    <row r="381" spans="1:15" hidden="1">
      <c r="A381" s="189" t="s">
        <v>137</v>
      </c>
      <c r="B381" s="189" t="s">
        <v>138</v>
      </c>
      <c r="C381" s="189" t="s">
        <v>652</v>
      </c>
      <c r="D381" s="189" t="s">
        <v>160</v>
      </c>
      <c r="E381" s="223" t="s">
        <v>661</v>
      </c>
      <c r="F381" s="189" t="s">
        <v>146</v>
      </c>
      <c r="G381" s="258">
        <v>-120</v>
      </c>
      <c r="H381" s="260">
        <v>-120</v>
      </c>
      <c r="I381" s="198" t="s">
        <v>97</v>
      </c>
      <c r="J381" s="205" t="s">
        <v>143</v>
      </c>
      <c r="K381" s="188"/>
      <c r="L381" s="197"/>
      <c r="M381" s="197"/>
      <c r="N381" s="197"/>
      <c r="O381" s="197"/>
    </row>
    <row r="382" spans="1:15" hidden="1">
      <c r="A382" s="189" t="s">
        <v>137</v>
      </c>
      <c r="B382" s="189" t="s">
        <v>138</v>
      </c>
      <c r="C382" s="189" t="s">
        <v>652</v>
      </c>
      <c r="D382" s="189" t="s">
        <v>160</v>
      </c>
      <c r="E382" s="223" t="s">
        <v>662</v>
      </c>
      <c r="F382" s="189" t="s">
        <v>146</v>
      </c>
      <c r="G382" s="258">
        <v>-120</v>
      </c>
      <c r="H382" s="260">
        <v>-120</v>
      </c>
      <c r="I382" s="198" t="s">
        <v>97</v>
      </c>
      <c r="J382" s="205" t="s">
        <v>143</v>
      </c>
      <c r="K382" s="188"/>
      <c r="L382" s="197"/>
      <c r="M382" s="197"/>
      <c r="N382" s="197"/>
      <c r="O382" s="197"/>
    </row>
    <row r="383" spans="1:15" hidden="1">
      <c r="A383" s="199" t="s">
        <v>137</v>
      </c>
      <c r="B383" s="199" t="s">
        <v>138</v>
      </c>
      <c r="C383" s="199" t="s">
        <v>652</v>
      </c>
      <c r="D383" s="199" t="s">
        <v>160</v>
      </c>
      <c r="E383" s="205" t="s">
        <v>663</v>
      </c>
      <c r="F383" s="205" t="s">
        <v>149</v>
      </c>
      <c r="G383" s="225">
        <v>-20</v>
      </c>
      <c r="H383" s="226">
        <v>-20</v>
      </c>
      <c r="I383" s="198" t="s">
        <v>97</v>
      </c>
      <c r="J383" s="205" t="s">
        <v>143</v>
      </c>
      <c r="K383" s="188"/>
      <c r="L383" s="197"/>
      <c r="M383" s="197"/>
      <c r="N383" s="197"/>
      <c r="O383" s="197"/>
    </row>
    <row r="384" spans="1:15" hidden="1">
      <c r="A384" s="199" t="s">
        <v>137</v>
      </c>
      <c r="B384" s="199" t="s">
        <v>138</v>
      </c>
      <c r="C384" s="199" t="s">
        <v>652</v>
      </c>
      <c r="D384" s="199" t="s">
        <v>160</v>
      </c>
      <c r="E384" s="205" t="s">
        <v>664</v>
      </c>
      <c r="F384" s="205" t="s">
        <v>149</v>
      </c>
      <c r="G384" s="225">
        <v>-120</v>
      </c>
      <c r="H384" s="226">
        <v>-120</v>
      </c>
      <c r="I384" s="198" t="s">
        <v>97</v>
      </c>
      <c r="J384" s="205" t="s">
        <v>143</v>
      </c>
      <c r="K384" s="188"/>
      <c r="L384" s="197"/>
      <c r="M384" s="197"/>
      <c r="N384" s="197"/>
      <c r="O384" s="197"/>
    </row>
    <row r="385" spans="1:15" hidden="1">
      <c r="A385" s="199" t="s">
        <v>137</v>
      </c>
      <c r="B385" s="199" t="s">
        <v>138</v>
      </c>
      <c r="C385" s="199" t="s">
        <v>652</v>
      </c>
      <c r="D385" s="199" t="s">
        <v>160</v>
      </c>
      <c r="E385" s="205" t="s">
        <v>664</v>
      </c>
      <c r="F385" s="205" t="s">
        <v>149</v>
      </c>
      <c r="G385" s="225">
        <v>-120</v>
      </c>
      <c r="H385" s="226">
        <v>-120</v>
      </c>
      <c r="I385" s="198" t="s">
        <v>97</v>
      </c>
      <c r="J385" s="205" t="s">
        <v>143</v>
      </c>
      <c r="K385" s="188"/>
      <c r="L385" s="197"/>
      <c r="M385" s="197"/>
      <c r="N385" s="197"/>
      <c r="O385" s="197"/>
    </row>
    <row r="386" spans="1:15" hidden="1">
      <c r="A386" s="199" t="s">
        <v>137</v>
      </c>
      <c r="B386" s="189" t="s">
        <v>138</v>
      </c>
      <c r="C386" s="189" t="s">
        <v>652</v>
      </c>
      <c r="D386" s="189" t="s">
        <v>160</v>
      </c>
      <c r="E386" s="223" t="s">
        <v>665</v>
      </c>
      <c r="F386" s="189" t="s">
        <v>142</v>
      </c>
      <c r="G386" s="258">
        <v>-5</v>
      </c>
      <c r="H386" s="260">
        <v>-5</v>
      </c>
      <c r="I386" s="188" t="s">
        <v>97</v>
      </c>
      <c r="J386" s="250" t="s">
        <v>164</v>
      </c>
      <c r="K386" s="195"/>
      <c r="L386" s="197"/>
      <c r="M386" s="197"/>
      <c r="N386" s="197"/>
      <c r="O386" s="197"/>
    </row>
    <row r="387" spans="1:15" hidden="1">
      <c r="A387" s="199" t="s">
        <v>137</v>
      </c>
      <c r="B387" s="189" t="s">
        <v>138</v>
      </c>
      <c r="C387" s="189" t="s">
        <v>652</v>
      </c>
      <c r="D387" s="189" t="s">
        <v>160</v>
      </c>
      <c r="E387" s="223" t="s">
        <v>666</v>
      </c>
      <c r="F387" s="189" t="s">
        <v>142</v>
      </c>
      <c r="G387" s="258">
        <v>-120</v>
      </c>
      <c r="H387" s="260">
        <v>-120</v>
      </c>
      <c r="I387" s="188" t="s">
        <v>97</v>
      </c>
      <c r="J387" s="189" t="s">
        <v>246</v>
      </c>
      <c r="K387" s="195"/>
      <c r="L387" s="197"/>
      <c r="M387" s="197"/>
      <c r="N387" s="197"/>
      <c r="O387" s="197"/>
    </row>
    <row r="388" spans="1:15" hidden="1">
      <c r="A388" s="199" t="s">
        <v>137</v>
      </c>
      <c r="B388" s="189" t="s">
        <v>138</v>
      </c>
      <c r="C388" s="189" t="s">
        <v>652</v>
      </c>
      <c r="D388" s="189" t="s">
        <v>160</v>
      </c>
      <c r="E388" s="223" t="s">
        <v>667</v>
      </c>
      <c r="F388" s="189" t="s">
        <v>142</v>
      </c>
      <c r="G388" s="258">
        <v>-120</v>
      </c>
      <c r="H388" s="260">
        <v>-120</v>
      </c>
      <c r="I388" s="188" t="s">
        <v>97</v>
      </c>
      <c r="J388" s="189" t="s">
        <v>246</v>
      </c>
      <c r="K388" s="195"/>
      <c r="L388" s="197"/>
      <c r="M388" s="197"/>
      <c r="N388" s="197"/>
      <c r="O388" s="197"/>
    </row>
    <row r="389" spans="1:15" hidden="1">
      <c r="A389" s="199" t="s">
        <v>137</v>
      </c>
      <c r="B389" s="189" t="s">
        <v>138</v>
      </c>
      <c r="C389" s="189" t="s">
        <v>652</v>
      </c>
      <c r="D389" s="189" t="s">
        <v>160</v>
      </c>
      <c r="E389" s="223" t="s">
        <v>668</v>
      </c>
      <c r="F389" s="189" t="s">
        <v>142</v>
      </c>
      <c r="G389" s="258">
        <v>-120</v>
      </c>
      <c r="H389" s="260">
        <v>-120</v>
      </c>
      <c r="I389" s="188" t="s">
        <v>97</v>
      </c>
      <c r="J389" s="195" t="s">
        <v>246</v>
      </c>
      <c r="K389" s="195"/>
      <c r="L389" s="197"/>
      <c r="M389" s="197"/>
      <c r="N389" s="197"/>
      <c r="O389" s="197"/>
    </row>
    <row r="390" spans="1:15" hidden="1">
      <c r="A390" s="199" t="s">
        <v>137</v>
      </c>
      <c r="B390" s="199" t="s">
        <v>138</v>
      </c>
      <c r="C390" s="199" t="s">
        <v>652</v>
      </c>
      <c r="D390" s="199" t="s">
        <v>669</v>
      </c>
      <c r="E390" s="205" t="s">
        <v>670</v>
      </c>
      <c r="F390" s="205" t="s">
        <v>149</v>
      </c>
      <c r="G390" s="225">
        <v>-120</v>
      </c>
      <c r="H390" s="226">
        <v>-120</v>
      </c>
      <c r="I390" s="198" t="s">
        <v>97</v>
      </c>
      <c r="J390" s="205" t="s">
        <v>143</v>
      </c>
      <c r="K390" s="188"/>
      <c r="L390" s="197"/>
      <c r="M390" s="197"/>
      <c r="N390" s="197"/>
      <c r="O390" s="197"/>
    </row>
    <row r="391" spans="1:15" ht="38.25" hidden="1">
      <c r="A391" s="199" t="s">
        <v>137</v>
      </c>
      <c r="B391" s="189" t="s">
        <v>138</v>
      </c>
      <c r="C391" s="189" t="s">
        <v>652</v>
      </c>
      <c r="D391" s="189" t="s">
        <v>671</v>
      </c>
      <c r="E391" s="223" t="s">
        <v>672</v>
      </c>
      <c r="F391" s="189" t="s">
        <v>142</v>
      </c>
      <c r="G391" s="258">
        <v>-944.4</v>
      </c>
      <c r="H391" s="260">
        <v>-944.4</v>
      </c>
      <c r="I391" s="188" t="s">
        <v>97</v>
      </c>
      <c r="J391" s="189" t="s">
        <v>277</v>
      </c>
      <c r="K391" s="195"/>
      <c r="L391" s="197"/>
      <c r="M391" s="197"/>
      <c r="N391" s="197"/>
      <c r="O391" s="197"/>
    </row>
    <row r="392" spans="1:15" hidden="1">
      <c r="A392" s="189" t="s">
        <v>137</v>
      </c>
      <c r="B392" s="189" t="s">
        <v>138</v>
      </c>
      <c r="C392" s="189" t="s">
        <v>652</v>
      </c>
      <c r="D392" s="189" t="s">
        <v>362</v>
      </c>
      <c r="E392" s="223" t="s">
        <v>673</v>
      </c>
      <c r="F392" s="189" t="s">
        <v>153</v>
      </c>
      <c r="G392" s="258">
        <v>-799.3</v>
      </c>
      <c r="H392" s="260">
        <v>-799.3</v>
      </c>
      <c r="I392" s="195" t="s">
        <v>97</v>
      </c>
      <c r="J392" s="189" t="s">
        <v>206</v>
      </c>
      <c r="K392" s="188"/>
      <c r="L392" s="197"/>
      <c r="M392" s="197"/>
      <c r="N392" s="197"/>
      <c r="O392" s="197"/>
    </row>
    <row r="393" spans="1:15" hidden="1">
      <c r="A393" s="189" t="s">
        <v>137</v>
      </c>
      <c r="B393" s="189" t="s">
        <v>138</v>
      </c>
      <c r="C393" s="189" t="s">
        <v>652</v>
      </c>
      <c r="D393" s="189" t="s">
        <v>362</v>
      </c>
      <c r="E393" s="223" t="s">
        <v>674</v>
      </c>
      <c r="F393" s="189" t="s">
        <v>153</v>
      </c>
      <c r="G393" s="258">
        <v>-1946.76</v>
      </c>
      <c r="H393" s="260">
        <v>-1946.76</v>
      </c>
      <c r="I393" s="195" t="s">
        <v>97</v>
      </c>
      <c r="J393" s="189" t="s">
        <v>206</v>
      </c>
      <c r="K393" s="188"/>
      <c r="L393" s="197"/>
      <c r="M393" s="197"/>
      <c r="N393" s="197"/>
      <c r="O393" s="197"/>
    </row>
    <row r="394" spans="1:15" hidden="1">
      <c r="A394" s="199" t="s">
        <v>137</v>
      </c>
      <c r="B394" s="189" t="s">
        <v>138</v>
      </c>
      <c r="C394" s="189" t="s">
        <v>652</v>
      </c>
      <c r="D394" s="189" t="s">
        <v>675</v>
      </c>
      <c r="E394" s="223" t="s">
        <v>676</v>
      </c>
      <c r="F394" s="189" t="s">
        <v>142</v>
      </c>
      <c r="G394" s="258">
        <v>-1191.8599999999999</v>
      </c>
      <c r="H394" s="260">
        <v>-1191.8599999999999</v>
      </c>
      <c r="I394" s="188" t="s">
        <v>97</v>
      </c>
      <c r="J394" s="244" t="s">
        <v>470</v>
      </c>
      <c r="K394" s="195"/>
      <c r="L394" s="197"/>
      <c r="M394" s="197"/>
      <c r="N394" s="197"/>
      <c r="O394" s="197"/>
    </row>
    <row r="395" spans="1:15" ht="25.5" hidden="1">
      <c r="A395" s="199" t="s">
        <v>137</v>
      </c>
      <c r="B395" s="189" t="s">
        <v>138</v>
      </c>
      <c r="C395" s="189" t="s">
        <v>652</v>
      </c>
      <c r="D395" s="189" t="s">
        <v>677</v>
      </c>
      <c r="E395" s="223" t="s">
        <v>678</v>
      </c>
      <c r="F395" s="189" t="s">
        <v>142</v>
      </c>
      <c r="G395" s="258">
        <v>-925.04</v>
      </c>
      <c r="H395" s="260">
        <v>-925.04</v>
      </c>
      <c r="I395" s="188" t="s">
        <v>97</v>
      </c>
      <c r="J395" s="189" t="s">
        <v>277</v>
      </c>
      <c r="K395" s="195"/>
      <c r="L395" s="197"/>
      <c r="M395" s="197"/>
      <c r="N395" s="197"/>
      <c r="O395" s="197"/>
    </row>
    <row r="396" spans="1:15" ht="25.5" hidden="1">
      <c r="A396" s="199" t="s">
        <v>137</v>
      </c>
      <c r="B396" s="189" t="s">
        <v>138</v>
      </c>
      <c r="C396" s="189" t="s">
        <v>652</v>
      </c>
      <c r="D396" s="189" t="s">
        <v>677</v>
      </c>
      <c r="E396" s="223" t="s">
        <v>679</v>
      </c>
      <c r="F396" s="189" t="s">
        <v>142</v>
      </c>
      <c r="G396" s="258">
        <v>-358.35</v>
      </c>
      <c r="H396" s="260">
        <v>-358.35</v>
      </c>
      <c r="I396" s="188" t="s">
        <v>97</v>
      </c>
      <c r="J396" s="189" t="s">
        <v>277</v>
      </c>
      <c r="K396" s="195"/>
      <c r="L396" s="197"/>
      <c r="M396" s="197"/>
      <c r="N396" s="197"/>
      <c r="O396" s="197"/>
    </row>
    <row r="397" spans="1:15" hidden="1">
      <c r="A397" s="189" t="s">
        <v>137</v>
      </c>
      <c r="B397" s="189" t="s">
        <v>138</v>
      </c>
      <c r="C397" s="189" t="s">
        <v>652</v>
      </c>
      <c r="D397" s="189" t="s">
        <v>201</v>
      </c>
      <c r="E397" s="223" t="s">
        <v>680</v>
      </c>
      <c r="F397" s="189" t="s">
        <v>153</v>
      </c>
      <c r="G397" s="258">
        <v>-218.93</v>
      </c>
      <c r="H397" s="260">
        <v>-218.93</v>
      </c>
      <c r="I397" s="195" t="s">
        <v>97</v>
      </c>
      <c r="J397" s="189" t="s">
        <v>206</v>
      </c>
      <c r="K397" s="188"/>
      <c r="L397" s="197"/>
      <c r="M397" s="197"/>
      <c r="N397" s="197"/>
      <c r="O397" s="197"/>
    </row>
    <row r="398" spans="1:15" hidden="1">
      <c r="A398" s="199" t="s">
        <v>137</v>
      </c>
      <c r="B398" s="199" t="s">
        <v>138</v>
      </c>
      <c r="C398" s="199" t="s">
        <v>652</v>
      </c>
      <c r="D398" s="199" t="s">
        <v>681</v>
      </c>
      <c r="E398" s="205" t="s">
        <v>682</v>
      </c>
      <c r="F398" s="205" t="s">
        <v>149</v>
      </c>
      <c r="G398" s="258">
        <v>-320</v>
      </c>
      <c r="H398" s="226">
        <v>-320</v>
      </c>
      <c r="I398" s="198" t="s">
        <v>97</v>
      </c>
      <c r="J398" s="250" t="s">
        <v>206</v>
      </c>
      <c r="K398" s="188"/>
      <c r="L398" s="197"/>
      <c r="M398" s="197"/>
      <c r="N398" s="197"/>
      <c r="O398" s="197"/>
    </row>
    <row r="399" spans="1:15" hidden="1">
      <c r="A399" s="189" t="s">
        <v>137</v>
      </c>
      <c r="B399" s="189" t="s">
        <v>683</v>
      </c>
      <c r="C399" s="189" t="s">
        <v>684</v>
      </c>
      <c r="D399" s="189" t="s">
        <v>685</v>
      </c>
      <c r="E399" s="189" t="s">
        <v>686</v>
      </c>
      <c r="F399" s="189" t="s">
        <v>146</v>
      </c>
      <c r="G399" s="281">
        <v>21</v>
      </c>
      <c r="H399" s="282">
        <v>21</v>
      </c>
      <c r="I399" s="198" t="s">
        <v>112</v>
      </c>
      <c r="J399" s="250" t="s">
        <v>143</v>
      </c>
      <c r="K399" s="195" t="s">
        <v>687</v>
      </c>
      <c r="L399" s="197"/>
      <c r="M399" s="197"/>
      <c r="N399" s="197"/>
      <c r="O399" s="197"/>
    </row>
    <row r="400" spans="1:15" hidden="1">
      <c r="A400" s="189" t="s">
        <v>137</v>
      </c>
      <c r="B400" s="189" t="s">
        <v>683</v>
      </c>
      <c r="C400" s="189" t="s">
        <v>684</v>
      </c>
      <c r="D400" s="189" t="s">
        <v>685</v>
      </c>
      <c r="E400" s="189" t="s">
        <v>688</v>
      </c>
      <c r="F400" s="189" t="s">
        <v>149</v>
      </c>
      <c r="G400" s="281">
        <v>21</v>
      </c>
      <c r="H400" s="282">
        <v>21</v>
      </c>
      <c r="I400" s="198" t="s">
        <v>112</v>
      </c>
      <c r="J400" s="250" t="s">
        <v>143</v>
      </c>
      <c r="K400" s="195" t="s">
        <v>687</v>
      </c>
      <c r="L400" s="197"/>
      <c r="M400" s="197"/>
      <c r="N400" s="197"/>
      <c r="O400" s="197"/>
    </row>
    <row r="401" spans="1:15" hidden="1">
      <c r="A401" s="189" t="s">
        <v>137</v>
      </c>
      <c r="B401" s="189" t="s">
        <v>683</v>
      </c>
      <c r="C401" s="189" t="s">
        <v>684</v>
      </c>
      <c r="D401" s="189" t="s">
        <v>689</v>
      </c>
      <c r="E401" s="189" t="s">
        <v>690</v>
      </c>
      <c r="F401" s="189" t="s">
        <v>153</v>
      </c>
      <c r="G401" s="281">
        <v>103.18</v>
      </c>
      <c r="H401" s="282">
        <v>103.18</v>
      </c>
      <c r="I401" s="198" t="s">
        <v>112</v>
      </c>
      <c r="J401" s="250" t="s">
        <v>143</v>
      </c>
      <c r="K401" s="195" t="s">
        <v>687</v>
      </c>
      <c r="L401" s="197"/>
      <c r="M401" s="197"/>
      <c r="N401" s="197"/>
      <c r="O401" s="197"/>
    </row>
    <row r="402" spans="1:15" hidden="1">
      <c r="A402" s="189" t="s">
        <v>137</v>
      </c>
      <c r="B402" s="189" t="s">
        <v>683</v>
      </c>
      <c r="C402" s="189" t="s">
        <v>684</v>
      </c>
      <c r="D402" s="189" t="s">
        <v>689</v>
      </c>
      <c r="E402" s="189" t="s">
        <v>691</v>
      </c>
      <c r="F402" s="189" t="s">
        <v>146</v>
      </c>
      <c r="G402" s="281">
        <v>91</v>
      </c>
      <c r="H402" s="282">
        <v>91</v>
      </c>
      <c r="I402" s="198" t="s">
        <v>112</v>
      </c>
      <c r="J402" s="250" t="s">
        <v>143</v>
      </c>
      <c r="K402" s="195" t="s">
        <v>687</v>
      </c>
      <c r="L402" s="197"/>
      <c r="M402" s="197"/>
      <c r="N402" s="197"/>
      <c r="O402" s="197"/>
    </row>
    <row r="403" spans="1:15" hidden="1">
      <c r="A403" s="189" t="s">
        <v>137</v>
      </c>
      <c r="B403" s="189" t="s">
        <v>683</v>
      </c>
      <c r="C403" s="189" t="s">
        <v>684</v>
      </c>
      <c r="D403" s="189" t="s">
        <v>689</v>
      </c>
      <c r="E403" s="189" t="s">
        <v>692</v>
      </c>
      <c r="F403" s="189" t="s">
        <v>149</v>
      </c>
      <c r="G403" s="281">
        <v>98</v>
      </c>
      <c r="H403" s="282">
        <v>98</v>
      </c>
      <c r="I403" s="198" t="s">
        <v>112</v>
      </c>
      <c r="J403" s="250" t="s">
        <v>143</v>
      </c>
      <c r="K403" s="195" t="s">
        <v>687</v>
      </c>
      <c r="L403" s="197"/>
      <c r="M403" s="197"/>
      <c r="N403" s="197"/>
      <c r="O403" s="197"/>
    </row>
    <row r="404" spans="1:15" hidden="1">
      <c r="A404" s="189" t="s">
        <v>137</v>
      </c>
      <c r="B404" s="189" t="s">
        <v>683</v>
      </c>
      <c r="C404" s="189" t="s">
        <v>684</v>
      </c>
      <c r="D404" s="189" t="s">
        <v>689</v>
      </c>
      <c r="E404" s="189" t="s">
        <v>693</v>
      </c>
      <c r="F404" s="189" t="s">
        <v>142</v>
      </c>
      <c r="G404" s="281">
        <v>95.81</v>
      </c>
      <c r="H404" s="282">
        <v>95.81</v>
      </c>
      <c r="I404" s="198" t="s">
        <v>112</v>
      </c>
      <c r="J404" s="250" t="s">
        <v>143</v>
      </c>
      <c r="K404" s="195" t="s">
        <v>687</v>
      </c>
      <c r="L404" s="283"/>
      <c r="M404" s="283"/>
      <c r="N404" s="283"/>
      <c r="O404" s="197"/>
    </row>
    <row r="405" spans="1:15" hidden="1">
      <c r="A405" s="189" t="s">
        <v>137</v>
      </c>
      <c r="B405" s="189" t="s">
        <v>683</v>
      </c>
      <c r="C405" s="189" t="s">
        <v>684</v>
      </c>
      <c r="D405" s="189" t="s">
        <v>694</v>
      </c>
      <c r="E405" s="189" t="s">
        <v>695</v>
      </c>
      <c r="F405" s="189" t="s">
        <v>153</v>
      </c>
      <c r="G405" s="281">
        <v>7.37</v>
      </c>
      <c r="H405" s="282">
        <v>7.37</v>
      </c>
      <c r="I405" s="198" t="s">
        <v>112</v>
      </c>
      <c r="J405" s="250" t="s">
        <v>143</v>
      </c>
      <c r="K405" s="195" t="s">
        <v>687</v>
      </c>
      <c r="L405" s="197"/>
      <c r="M405" s="197"/>
      <c r="N405" s="197"/>
      <c r="O405" s="197"/>
    </row>
    <row r="406" spans="1:15" hidden="1">
      <c r="A406" s="189" t="s">
        <v>137</v>
      </c>
      <c r="B406" s="189" t="s">
        <v>683</v>
      </c>
      <c r="C406" s="189" t="s">
        <v>684</v>
      </c>
      <c r="D406" s="189" t="s">
        <v>694</v>
      </c>
      <c r="E406" s="189" t="s">
        <v>696</v>
      </c>
      <c r="F406" s="189" t="s">
        <v>146</v>
      </c>
      <c r="G406" s="281">
        <v>7</v>
      </c>
      <c r="H406" s="282">
        <v>7</v>
      </c>
      <c r="I406" s="198" t="s">
        <v>112</v>
      </c>
      <c r="J406" s="250" t="s">
        <v>143</v>
      </c>
      <c r="K406" s="195" t="s">
        <v>687</v>
      </c>
      <c r="L406" s="197"/>
      <c r="M406" s="197"/>
      <c r="N406" s="197"/>
      <c r="O406" s="197"/>
    </row>
    <row r="407" spans="1:15" hidden="1">
      <c r="A407" s="189" t="s">
        <v>137</v>
      </c>
      <c r="B407" s="189" t="s">
        <v>683</v>
      </c>
      <c r="C407" s="189" t="s">
        <v>684</v>
      </c>
      <c r="D407" s="189" t="s">
        <v>694</v>
      </c>
      <c r="E407" s="189" t="s">
        <v>697</v>
      </c>
      <c r="F407" s="189" t="s">
        <v>149</v>
      </c>
      <c r="G407" s="281">
        <v>7</v>
      </c>
      <c r="H407" s="282">
        <v>7</v>
      </c>
      <c r="I407" s="198" t="s">
        <v>112</v>
      </c>
      <c r="J407" s="250" t="s">
        <v>143</v>
      </c>
      <c r="K407" s="195" t="s">
        <v>687</v>
      </c>
      <c r="L407" s="197"/>
      <c r="M407" s="197"/>
      <c r="N407" s="197"/>
      <c r="O407" s="197"/>
    </row>
    <row r="408" spans="1:15" hidden="1">
      <c r="A408" s="189" t="s">
        <v>137</v>
      </c>
      <c r="B408" s="189" t="s">
        <v>683</v>
      </c>
      <c r="C408" s="189" t="s">
        <v>684</v>
      </c>
      <c r="D408" s="189" t="s">
        <v>694</v>
      </c>
      <c r="E408" s="189" t="s">
        <v>698</v>
      </c>
      <c r="F408" s="189" t="s">
        <v>142</v>
      </c>
      <c r="G408" s="281">
        <v>57.37</v>
      </c>
      <c r="H408" s="282">
        <v>57.37</v>
      </c>
      <c r="I408" s="198" t="s">
        <v>112</v>
      </c>
      <c r="J408" s="250" t="s">
        <v>143</v>
      </c>
      <c r="K408" s="195" t="s">
        <v>687</v>
      </c>
      <c r="L408" s="197"/>
      <c r="M408" s="197"/>
      <c r="N408" s="197"/>
      <c r="O408" s="197"/>
    </row>
    <row r="409" spans="1:15" hidden="1">
      <c r="A409" s="189" t="s">
        <v>137</v>
      </c>
      <c r="B409" s="189" t="s">
        <v>683</v>
      </c>
      <c r="C409" s="189" t="s">
        <v>684</v>
      </c>
      <c r="D409" s="189" t="s">
        <v>699</v>
      </c>
      <c r="E409" s="189" t="s">
        <v>700</v>
      </c>
      <c r="F409" s="189" t="s">
        <v>153</v>
      </c>
      <c r="G409" s="281">
        <v>73.7</v>
      </c>
      <c r="H409" s="282">
        <v>73.7</v>
      </c>
      <c r="I409" s="198" t="s">
        <v>112</v>
      </c>
      <c r="J409" s="250" t="s">
        <v>143</v>
      </c>
      <c r="K409" s="195" t="s">
        <v>687</v>
      </c>
      <c r="L409" s="197"/>
      <c r="M409" s="197"/>
      <c r="N409" s="197"/>
      <c r="O409" s="197"/>
    </row>
    <row r="410" spans="1:15" hidden="1">
      <c r="A410" s="189" t="s">
        <v>137</v>
      </c>
      <c r="B410" s="189" t="s">
        <v>683</v>
      </c>
      <c r="C410" s="189" t="s">
        <v>684</v>
      </c>
      <c r="D410" s="189" t="s">
        <v>699</v>
      </c>
      <c r="E410" s="189" t="s">
        <v>701</v>
      </c>
      <c r="F410" s="189" t="s">
        <v>146</v>
      </c>
      <c r="G410" s="281">
        <v>56</v>
      </c>
      <c r="H410" s="282">
        <v>56</v>
      </c>
      <c r="I410" s="198" t="s">
        <v>112</v>
      </c>
      <c r="J410" s="250" t="s">
        <v>143</v>
      </c>
      <c r="K410" s="195" t="s">
        <v>687</v>
      </c>
      <c r="L410" s="197"/>
      <c r="M410" s="197"/>
      <c r="N410" s="197"/>
      <c r="O410" s="197"/>
    </row>
    <row r="411" spans="1:15" hidden="1">
      <c r="A411" s="189" t="s">
        <v>137</v>
      </c>
      <c r="B411" s="189" t="s">
        <v>683</v>
      </c>
      <c r="C411" s="189" t="s">
        <v>684</v>
      </c>
      <c r="D411" s="189" t="s">
        <v>699</v>
      </c>
      <c r="E411" s="189" t="s">
        <v>702</v>
      </c>
      <c r="F411" s="189" t="s">
        <v>149</v>
      </c>
      <c r="G411" s="281">
        <v>56</v>
      </c>
      <c r="H411" s="282">
        <v>56</v>
      </c>
      <c r="I411" s="198" t="s">
        <v>112</v>
      </c>
      <c r="J411" s="250" t="s">
        <v>143</v>
      </c>
      <c r="K411" s="195" t="s">
        <v>687</v>
      </c>
      <c r="L411" s="197"/>
      <c r="M411" s="197"/>
      <c r="N411" s="197"/>
      <c r="O411" s="197"/>
    </row>
    <row r="412" spans="1:15" hidden="1">
      <c r="A412" s="189" t="s">
        <v>137</v>
      </c>
      <c r="B412" s="189" t="s">
        <v>683</v>
      </c>
      <c r="C412" s="189" t="s">
        <v>684</v>
      </c>
      <c r="D412" s="189" t="s">
        <v>699</v>
      </c>
      <c r="E412" s="189" t="s">
        <v>703</v>
      </c>
      <c r="F412" s="189" t="s">
        <v>142</v>
      </c>
      <c r="G412" s="281">
        <v>58.96</v>
      </c>
      <c r="H412" s="282">
        <v>58.96</v>
      </c>
      <c r="I412" s="198" t="s">
        <v>112</v>
      </c>
      <c r="J412" s="250" t="s">
        <v>143</v>
      </c>
      <c r="K412" s="195" t="s">
        <v>687</v>
      </c>
      <c r="L412" s="197"/>
      <c r="M412" s="197"/>
      <c r="N412" s="197"/>
      <c r="O412" s="197"/>
    </row>
    <row r="413" spans="1:15" hidden="1">
      <c r="A413" s="189" t="s">
        <v>137</v>
      </c>
      <c r="B413" s="189" t="s">
        <v>683</v>
      </c>
      <c r="C413" s="189" t="s">
        <v>684</v>
      </c>
      <c r="D413" s="189" t="s">
        <v>704</v>
      </c>
      <c r="E413" s="189" t="s">
        <v>705</v>
      </c>
      <c r="F413" s="189" t="s">
        <v>153</v>
      </c>
      <c r="G413" s="281">
        <v>22.11</v>
      </c>
      <c r="H413" s="282">
        <v>22.11</v>
      </c>
      <c r="I413" s="198" t="s">
        <v>112</v>
      </c>
      <c r="J413" s="250" t="s">
        <v>143</v>
      </c>
      <c r="K413" s="195" t="s">
        <v>687</v>
      </c>
      <c r="L413" s="197"/>
      <c r="M413" s="197"/>
      <c r="N413" s="197"/>
      <c r="O413" s="197"/>
    </row>
    <row r="414" spans="1:15" hidden="1">
      <c r="A414" s="189" t="s">
        <v>137</v>
      </c>
      <c r="B414" s="189" t="s">
        <v>683</v>
      </c>
      <c r="C414" s="189" t="s">
        <v>684</v>
      </c>
      <c r="D414" s="189" t="s">
        <v>704</v>
      </c>
      <c r="E414" s="189" t="s">
        <v>706</v>
      </c>
      <c r="F414" s="189" t="s">
        <v>146</v>
      </c>
      <c r="G414" s="281">
        <v>21</v>
      </c>
      <c r="H414" s="282">
        <v>21</v>
      </c>
      <c r="I414" s="198" t="s">
        <v>112</v>
      </c>
      <c r="J414" s="250" t="s">
        <v>143</v>
      </c>
      <c r="K414" s="195" t="s">
        <v>687</v>
      </c>
      <c r="L414" s="197"/>
      <c r="M414" s="197"/>
      <c r="N414" s="197"/>
      <c r="O414" s="197"/>
    </row>
    <row r="415" spans="1:15" hidden="1">
      <c r="A415" s="189" t="s">
        <v>137</v>
      </c>
      <c r="B415" s="189" t="s">
        <v>683</v>
      </c>
      <c r="C415" s="189" t="s">
        <v>684</v>
      </c>
      <c r="D415" s="189" t="s">
        <v>704</v>
      </c>
      <c r="E415" s="189" t="s">
        <v>707</v>
      </c>
      <c r="F415" s="189" t="s">
        <v>149</v>
      </c>
      <c r="G415" s="281">
        <v>14</v>
      </c>
      <c r="H415" s="282">
        <v>14</v>
      </c>
      <c r="I415" s="198" t="s">
        <v>112</v>
      </c>
      <c r="J415" s="250" t="s">
        <v>143</v>
      </c>
      <c r="K415" s="195" t="s">
        <v>687</v>
      </c>
      <c r="L415" s="197"/>
      <c r="M415" s="197"/>
      <c r="N415" s="197"/>
      <c r="O415" s="197"/>
    </row>
    <row r="416" spans="1:15" hidden="1">
      <c r="A416" s="189" t="s">
        <v>137</v>
      </c>
      <c r="B416" s="189" t="s">
        <v>683</v>
      </c>
      <c r="C416" s="189" t="s">
        <v>684</v>
      </c>
      <c r="D416" s="189" t="s">
        <v>704</v>
      </c>
      <c r="E416" s="189" t="s">
        <v>708</v>
      </c>
      <c r="F416" s="189" t="s">
        <v>142</v>
      </c>
      <c r="G416" s="281">
        <v>22.11</v>
      </c>
      <c r="H416" s="282">
        <v>22.11</v>
      </c>
      <c r="I416" s="198" t="s">
        <v>112</v>
      </c>
      <c r="J416" s="250" t="s">
        <v>143</v>
      </c>
      <c r="K416" s="195" t="s">
        <v>687</v>
      </c>
      <c r="L416" s="197"/>
      <c r="M416" s="197"/>
      <c r="N416" s="197"/>
      <c r="O416" s="197"/>
    </row>
    <row r="417" spans="1:15" hidden="1">
      <c r="A417" s="189" t="s">
        <v>137</v>
      </c>
      <c r="B417" s="189" t="s">
        <v>683</v>
      </c>
      <c r="C417" s="189" t="s">
        <v>684</v>
      </c>
      <c r="D417" s="189" t="s">
        <v>709</v>
      </c>
      <c r="E417" s="189" t="s">
        <v>710</v>
      </c>
      <c r="F417" s="189" t="s">
        <v>153</v>
      </c>
      <c r="G417" s="281">
        <v>22.11</v>
      </c>
      <c r="H417" s="282">
        <v>22.11</v>
      </c>
      <c r="I417" s="198" t="s">
        <v>112</v>
      </c>
      <c r="J417" s="250" t="s">
        <v>143</v>
      </c>
      <c r="K417" s="195" t="s">
        <v>687</v>
      </c>
      <c r="L417" s="197"/>
      <c r="M417" s="197"/>
      <c r="N417" s="197"/>
      <c r="O417" s="197"/>
    </row>
    <row r="418" spans="1:15" hidden="1">
      <c r="A418" s="189" t="s">
        <v>137</v>
      </c>
      <c r="B418" s="189" t="s">
        <v>683</v>
      </c>
      <c r="C418" s="189" t="s">
        <v>684</v>
      </c>
      <c r="D418" s="189" t="s">
        <v>709</v>
      </c>
      <c r="E418" s="189" t="s">
        <v>711</v>
      </c>
      <c r="F418" s="189" t="s">
        <v>146</v>
      </c>
      <c r="G418" s="281">
        <v>21</v>
      </c>
      <c r="H418" s="282">
        <v>21</v>
      </c>
      <c r="I418" s="198" t="s">
        <v>112</v>
      </c>
      <c r="J418" s="250" t="s">
        <v>143</v>
      </c>
      <c r="K418" s="195" t="s">
        <v>687</v>
      </c>
      <c r="L418" s="197"/>
      <c r="M418" s="197"/>
      <c r="N418" s="197"/>
      <c r="O418" s="197"/>
    </row>
    <row r="419" spans="1:15" hidden="1">
      <c r="A419" s="189" t="s">
        <v>137</v>
      </c>
      <c r="B419" s="189" t="s">
        <v>683</v>
      </c>
      <c r="C419" s="189" t="s">
        <v>684</v>
      </c>
      <c r="D419" s="189" t="s">
        <v>709</v>
      </c>
      <c r="E419" s="189" t="s">
        <v>712</v>
      </c>
      <c r="F419" s="189" t="s">
        <v>149</v>
      </c>
      <c r="G419" s="281">
        <v>21</v>
      </c>
      <c r="H419" s="282">
        <v>21</v>
      </c>
      <c r="I419" s="198" t="s">
        <v>112</v>
      </c>
      <c r="J419" s="250" t="s">
        <v>143</v>
      </c>
      <c r="K419" s="195" t="s">
        <v>687</v>
      </c>
      <c r="L419" s="197"/>
      <c r="M419" s="197"/>
      <c r="N419" s="197"/>
      <c r="O419" s="197"/>
    </row>
    <row r="420" spans="1:15" hidden="1">
      <c r="A420" s="189" t="s">
        <v>137</v>
      </c>
      <c r="B420" s="189" t="s">
        <v>683</v>
      </c>
      <c r="C420" s="189" t="s">
        <v>684</v>
      </c>
      <c r="D420" s="189" t="s">
        <v>709</v>
      </c>
      <c r="E420" s="189" t="s">
        <v>713</v>
      </c>
      <c r="F420" s="189" t="s">
        <v>142</v>
      </c>
      <c r="G420" s="281">
        <v>72.11</v>
      </c>
      <c r="H420" s="282">
        <v>72.11</v>
      </c>
      <c r="I420" s="198" t="s">
        <v>112</v>
      </c>
      <c r="J420" s="250" t="s">
        <v>143</v>
      </c>
      <c r="K420" s="195" t="s">
        <v>687</v>
      </c>
      <c r="L420" s="197"/>
      <c r="M420" s="197"/>
      <c r="N420" s="197"/>
      <c r="O420" s="197"/>
    </row>
    <row r="421" spans="1:15" hidden="1">
      <c r="A421" s="189" t="s">
        <v>137</v>
      </c>
      <c r="B421" s="189" t="s">
        <v>683</v>
      </c>
      <c r="C421" s="189" t="s">
        <v>684</v>
      </c>
      <c r="D421" s="189" t="s">
        <v>322</v>
      </c>
      <c r="E421" s="189" t="s">
        <v>714</v>
      </c>
      <c r="F421" s="189" t="s">
        <v>153</v>
      </c>
      <c r="G421" s="281">
        <v>51.59</v>
      </c>
      <c r="H421" s="282">
        <v>51.59</v>
      </c>
      <c r="I421" s="198" t="s">
        <v>112</v>
      </c>
      <c r="J421" s="250" t="s">
        <v>143</v>
      </c>
      <c r="K421" s="195" t="s">
        <v>687</v>
      </c>
      <c r="L421" s="197"/>
      <c r="M421" s="197"/>
      <c r="N421" s="197"/>
      <c r="O421" s="197"/>
    </row>
    <row r="422" spans="1:15" hidden="1">
      <c r="A422" s="189" t="s">
        <v>137</v>
      </c>
      <c r="B422" s="189" t="s">
        <v>683</v>
      </c>
      <c r="C422" s="189" t="s">
        <v>684</v>
      </c>
      <c r="D422" s="189" t="s">
        <v>322</v>
      </c>
      <c r="E422" s="189" t="s">
        <v>715</v>
      </c>
      <c r="F422" s="189" t="s">
        <v>146</v>
      </c>
      <c r="G422" s="281">
        <v>49</v>
      </c>
      <c r="H422" s="282">
        <v>49</v>
      </c>
      <c r="I422" s="198" t="s">
        <v>112</v>
      </c>
      <c r="J422" s="250" t="s">
        <v>143</v>
      </c>
      <c r="K422" s="195" t="s">
        <v>687</v>
      </c>
      <c r="L422" s="197"/>
      <c r="M422" s="197"/>
      <c r="N422" s="197"/>
      <c r="O422" s="197"/>
    </row>
    <row r="423" spans="1:15" hidden="1">
      <c r="A423" s="189" t="s">
        <v>137</v>
      </c>
      <c r="B423" s="189" t="s">
        <v>683</v>
      </c>
      <c r="C423" s="189" t="s">
        <v>684</v>
      </c>
      <c r="D423" s="189" t="s">
        <v>322</v>
      </c>
      <c r="E423" s="189" t="s">
        <v>716</v>
      </c>
      <c r="F423" s="189" t="s">
        <v>149</v>
      </c>
      <c r="G423" s="281">
        <v>49</v>
      </c>
      <c r="H423" s="282">
        <v>49</v>
      </c>
      <c r="I423" s="198" t="s">
        <v>112</v>
      </c>
      <c r="J423" s="250" t="s">
        <v>143</v>
      </c>
      <c r="K423" s="195" t="s">
        <v>687</v>
      </c>
      <c r="L423" s="197"/>
      <c r="M423" s="197"/>
      <c r="N423" s="197"/>
      <c r="O423" s="197"/>
    </row>
    <row r="424" spans="1:15" hidden="1">
      <c r="A424" s="189" t="s">
        <v>137</v>
      </c>
      <c r="B424" s="189" t="s">
        <v>683</v>
      </c>
      <c r="C424" s="189" t="s">
        <v>684</v>
      </c>
      <c r="D424" s="189" t="s">
        <v>322</v>
      </c>
      <c r="E424" s="189" t="s">
        <v>717</v>
      </c>
      <c r="F424" s="189" t="s">
        <v>142</v>
      </c>
      <c r="G424" s="281">
        <v>151.59</v>
      </c>
      <c r="H424" s="282">
        <v>151.59</v>
      </c>
      <c r="I424" s="198" t="s">
        <v>112</v>
      </c>
      <c r="J424" s="250" t="s">
        <v>143</v>
      </c>
      <c r="K424" s="195" t="s">
        <v>687</v>
      </c>
      <c r="L424" s="197"/>
      <c r="M424" s="197"/>
      <c r="N424" s="197"/>
      <c r="O424" s="197"/>
    </row>
    <row r="425" spans="1:15" hidden="1">
      <c r="A425" s="189" t="s">
        <v>137</v>
      </c>
      <c r="B425" s="189" t="s">
        <v>683</v>
      </c>
      <c r="C425" s="189" t="s">
        <v>684</v>
      </c>
      <c r="D425" s="189" t="s">
        <v>718</v>
      </c>
      <c r="E425" s="189" t="s">
        <v>719</v>
      </c>
      <c r="F425" s="189" t="s">
        <v>153</v>
      </c>
      <c r="G425" s="281">
        <v>22.11</v>
      </c>
      <c r="H425" s="282">
        <v>22.11</v>
      </c>
      <c r="I425" s="198" t="s">
        <v>112</v>
      </c>
      <c r="J425" s="250" t="s">
        <v>143</v>
      </c>
      <c r="K425" s="195" t="s">
        <v>687</v>
      </c>
      <c r="L425" s="197"/>
      <c r="M425" s="197"/>
      <c r="N425" s="197"/>
      <c r="O425" s="197"/>
    </row>
    <row r="426" spans="1:15" hidden="1">
      <c r="A426" s="189" t="s">
        <v>137</v>
      </c>
      <c r="B426" s="189" t="s">
        <v>683</v>
      </c>
      <c r="C426" s="189" t="s">
        <v>684</v>
      </c>
      <c r="D426" s="189" t="s">
        <v>718</v>
      </c>
      <c r="E426" s="189" t="s">
        <v>720</v>
      </c>
      <c r="F426" s="189" t="s">
        <v>142</v>
      </c>
      <c r="G426" s="281">
        <v>22.11</v>
      </c>
      <c r="H426" s="282">
        <v>22.11</v>
      </c>
      <c r="I426" s="198" t="s">
        <v>112</v>
      </c>
      <c r="J426" s="250" t="s">
        <v>143</v>
      </c>
      <c r="K426" s="195" t="s">
        <v>687</v>
      </c>
      <c r="L426" s="197"/>
      <c r="M426" s="197"/>
      <c r="N426" s="197"/>
      <c r="O426" s="197"/>
    </row>
    <row r="427" spans="1:15" hidden="1">
      <c r="A427" s="189" t="s">
        <v>137</v>
      </c>
      <c r="B427" s="189" t="s">
        <v>683</v>
      </c>
      <c r="C427" s="189" t="s">
        <v>684</v>
      </c>
      <c r="D427" s="189" t="s">
        <v>721</v>
      </c>
      <c r="E427" s="189" t="s">
        <v>722</v>
      </c>
      <c r="F427" s="189" t="s">
        <v>153</v>
      </c>
      <c r="G427" s="281">
        <v>14.74</v>
      </c>
      <c r="H427" s="282">
        <v>14.74</v>
      </c>
      <c r="I427" s="198" t="s">
        <v>112</v>
      </c>
      <c r="J427" s="250" t="s">
        <v>143</v>
      </c>
      <c r="K427" s="195" t="s">
        <v>687</v>
      </c>
      <c r="L427" s="197"/>
      <c r="M427" s="197"/>
      <c r="N427" s="197"/>
      <c r="O427" s="197"/>
    </row>
    <row r="428" spans="1:15" hidden="1">
      <c r="A428" s="189" t="s">
        <v>137</v>
      </c>
      <c r="B428" s="189" t="s">
        <v>683</v>
      </c>
      <c r="C428" s="189" t="s">
        <v>684</v>
      </c>
      <c r="D428" s="189" t="s">
        <v>721</v>
      </c>
      <c r="E428" s="189" t="s">
        <v>723</v>
      </c>
      <c r="F428" s="189" t="s">
        <v>146</v>
      </c>
      <c r="G428" s="281">
        <v>7</v>
      </c>
      <c r="H428" s="282">
        <v>7</v>
      </c>
      <c r="I428" s="198" t="s">
        <v>112</v>
      </c>
      <c r="J428" s="250" t="s">
        <v>143</v>
      </c>
      <c r="K428" s="195" t="s">
        <v>687</v>
      </c>
      <c r="L428" s="197"/>
      <c r="M428" s="197"/>
      <c r="N428" s="197"/>
      <c r="O428" s="197"/>
    </row>
    <row r="429" spans="1:15" hidden="1">
      <c r="A429" s="189" t="s">
        <v>137</v>
      </c>
      <c r="B429" s="189" t="s">
        <v>683</v>
      </c>
      <c r="C429" s="189" t="s">
        <v>684</v>
      </c>
      <c r="D429" s="189" t="s">
        <v>721</v>
      </c>
      <c r="E429" s="189" t="s">
        <v>724</v>
      </c>
      <c r="F429" s="189" t="s">
        <v>149</v>
      </c>
      <c r="G429" s="281">
        <v>7</v>
      </c>
      <c r="H429" s="282">
        <v>7</v>
      </c>
      <c r="I429" s="198" t="s">
        <v>112</v>
      </c>
      <c r="J429" s="250" t="s">
        <v>143</v>
      </c>
      <c r="K429" s="195" t="s">
        <v>687</v>
      </c>
      <c r="L429" s="197"/>
      <c r="M429" s="197"/>
      <c r="N429" s="197"/>
      <c r="O429" s="197"/>
    </row>
    <row r="430" spans="1:15" hidden="1">
      <c r="A430" s="189" t="s">
        <v>137</v>
      </c>
      <c r="B430" s="189" t="s">
        <v>683</v>
      </c>
      <c r="C430" s="189" t="s">
        <v>684</v>
      </c>
      <c r="D430" s="189" t="s">
        <v>721</v>
      </c>
      <c r="E430" s="189" t="s">
        <v>725</v>
      </c>
      <c r="F430" s="189" t="s">
        <v>142</v>
      </c>
      <c r="G430" s="281">
        <v>14.74</v>
      </c>
      <c r="H430" s="282">
        <v>14.74</v>
      </c>
      <c r="I430" s="198" t="s">
        <v>112</v>
      </c>
      <c r="J430" s="250" t="s">
        <v>143</v>
      </c>
      <c r="K430" s="195" t="s">
        <v>687</v>
      </c>
      <c r="L430" s="197"/>
      <c r="M430" s="197"/>
      <c r="N430" s="197"/>
      <c r="O430" s="197"/>
    </row>
    <row r="431" spans="1:15" hidden="1">
      <c r="A431" s="189" t="s">
        <v>137</v>
      </c>
      <c r="B431" s="189" t="s">
        <v>683</v>
      </c>
      <c r="C431" s="189" t="s">
        <v>684</v>
      </c>
      <c r="D431" s="189" t="s">
        <v>726</v>
      </c>
      <c r="E431" s="189" t="s">
        <v>727</v>
      </c>
      <c r="F431" s="189" t="s">
        <v>153</v>
      </c>
      <c r="G431" s="281">
        <v>36.85</v>
      </c>
      <c r="H431" s="282">
        <v>36.85</v>
      </c>
      <c r="I431" s="198" t="s">
        <v>112</v>
      </c>
      <c r="J431" s="250" t="s">
        <v>143</v>
      </c>
      <c r="K431" s="195" t="s">
        <v>687</v>
      </c>
      <c r="L431" s="197"/>
      <c r="M431" s="197"/>
      <c r="N431" s="197"/>
      <c r="O431" s="197"/>
    </row>
    <row r="432" spans="1:15" hidden="1">
      <c r="A432" s="189" t="s">
        <v>137</v>
      </c>
      <c r="B432" s="189" t="s">
        <v>683</v>
      </c>
      <c r="C432" s="189" t="s">
        <v>684</v>
      </c>
      <c r="D432" s="189" t="s">
        <v>726</v>
      </c>
      <c r="E432" s="189" t="s">
        <v>728</v>
      </c>
      <c r="F432" s="189" t="s">
        <v>146</v>
      </c>
      <c r="G432" s="281">
        <v>35</v>
      </c>
      <c r="H432" s="282">
        <v>35</v>
      </c>
      <c r="I432" s="198" t="s">
        <v>112</v>
      </c>
      <c r="J432" s="250" t="s">
        <v>143</v>
      </c>
      <c r="K432" s="195" t="s">
        <v>687</v>
      </c>
      <c r="L432" s="197"/>
      <c r="M432" s="197"/>
      <c r="N432" s="197"/>
      <c r="O432" s="197"/>
    </row>
    <row r="433" spans="1:15" hidden="1">
      <c r="A433" s="189" t="s">
        <v>137</v>
      </c>
      <c r="B433" s="189" t="s">
        <v>683</v>
      </c>
      <c r="C433" s="189" t="s">
        <v>684</v>
      </c>
      <c r="D433" s="189" t="s">
        <v>726</v>
      </c>
      <c r="E433" s="189" t="s">
        <v>729</v>
      </c>
      <c r="F433" s="189" t="s">
        <v>149</v>
      </c>
      <c r="G433" s="281">
        <v>35</v>
      </c>
      <c r="H433" s="282">
        <v>35</v>
      </c>
      <c r="I433" s="198" t="s">
        <v>112</v>
      </c>
      <c r="J433" s="250" t="s">
        <v>143</v>
      </c>
      <c r="K433" s="195" t="s">
        <v>687</v>
      </c>
      <c r="L433" s="197"/>
      <c r="M433" s="197"/>
      <c r="N433" s="197"/>
      <c r="O433" s="197"/>
    </row>
    <row r="434" spans="1:15" hidden="1">
      <c r="A434" s="189" t="s">
        <v>137</v>
      </c>
      <c r="B434" s="189" t="s">
        <v>683</v>
      </c>
      <c r="C434" s="189" t="s">
        <v>684</v>
      </c>
      <c r="D434" s="189" t="s">
        <v>726</v>
      </c>
      <c r="E434" s="189" t="s">
        <v>730</v>
      </c>
      <c r="F434" s="189" t="s">
        <v>142</v>
      </c>
      <c r="G434" s="281">
        <v>36.85</v>
      </c>
      <c r="H434" s="282">
        <v>36.85</v>
      </c>
      <c r="I434" s="198" t="s">
        <v>112</v>
      </c>
      <c r="J434" s="250" t="s">
        <v>143</v>
      </c>
      <c r="K434" s="195" t="s">
        <v>687</v>
      </c>
      <c r="L434" s="197"/>
      <c r="M434" s="197"/>
      <c r="N434" s="197"/>
      <c r="O434" s="197"/>
    </row>
    <row r="435" spans="1:15" hidden="1">
      <c r="A435" s="189" t="s">
        <v>137</v>
      </c>
      <c r="B435" s="189" t="s">
        <v>683</v>
      </c>
      <c r="C435" s="189" t="s">
        <v>684</v>
      </c>
      <c r="D435" s="189" t="s">
        <v>731</v>
      </c>
      <c r="E435" s="189" t="s">
        <v>732</v>
      </c>
      <c r="F435" s="189" t="s">
        <v>153</v>
      </c>
      <c r="G435" s="281">
        <v>22.11</v>
      </c>
      <c r="H435" s="282">
        <v>22.11</v>
      </c>
      <c r="I435" s="198" t="s">
        <v>112</v>
      </c>
      <c r="J435" s="250" t="s">
        <v>143</v>
      </c>
      <c r="K435" s="195" t="s">
        <v>687</v>
      </c>
      <c r="L435" s="197"/>
      <c r="M435" s="197"/>
      <c r="N435" s="197"/>
      <c r="O435" s="197"/>
    </row>
    <row r="436" spans="1:15" hidden="1">
      <c r="A436" s="189" t="s">
        <v>137</v>
      </c>
      <c r="B436" s="189" t="s">
        <v>683</v>
      </c>
      <c r="C436" s="189" t="s">
        <v>684</v>
      </c>
      <c r="D436" s="189" t="s">
        <v>731</v>
      </c>
      <c r="E436" s="189" t="s">
        <v>733</v>
      </c>
      <c r="F436" s="189" t="s">
        <v>146</v>
      </c>
      <c r="G436" s="281">
        <v>21</v>
      </c>
      <c r="H436" s="282">
        <v>21</v>
      </c>
      <c r="I436" s="198" t="s">
        <v>112</v>
      </c>
      <c r="J436" s="250" t="s">
        <v>143</v>
      </c>
      <c r="K436" s="195" t="s">
        <v>687</v>
      </c>
      <c r="L436" s="197"/>
      <c r="M436" s="197"/>
      <c r="N436" s="197"/>
      <c r="O436" s="197"/>
    </row>
    <row r="437" spans="1:15" hidden="1">
      <c r="A437" s="189" t="s">
        <v>137</v>
      </c>
      <c r="B437" s="189" t="s">
        <v>683</v>
      </c>
      <c r="C437" s="189" t="s">
        <v>684</v>
      </c>
      <c r="D437" s="189" t="s">
        <v>731</v>
      </c>
      <c r="E437" s="189" t="s">
        <v>734</v>
      </c>
      <c r="F437" s="189" t="s">
        <v>149</v>
      </c>
      <c r="G437" s="281">
        <v>21</v>
      </c>
      <c r="H437" s="282">
        <v>21</v>
      </c>
      <c r="I437" s="198" t="s">
        <v>112</v>
      </c>
      <c r="J437" s="250" t="s">
        <v>143</v>
      </c>
      <c r="K437" s="195" t="s">
        <v>687</v>
      </c>
      <c r="L437" s="197"/>
      <c r="M437" s="197"/>
      <c r="N437" s="197"/>
      <c r="O437" s="197"/>
    </row>
    <row r="438" spans="1:15" hidden="1">
      <c r="A438" s="189" t="s">
        <v>137</v>
      </c>
      <c r="B438" s="189" t="s">
        <v>683</v>
      </c>
      <c r="C438" s="189" t="s">
        <v>684</v>
      </c>
      <c r="D438" s="189" t="s">
        <v>731</v>
      </c>
      <c r="E438" s="189" t="s">
        <v>735</v>
      </c>
      <c r="F438" s="189" t="s">
        <v>142</v>
      </c>
      <c r="G438" s="281">
        <v>122.11</v>
      </c>
      <c r="H438" s="282">
        <v>122.11</v>
      </c>
      <c r="I438" s="198" t="s">
        <v>112</v>
      </c>
      <c r="J438" s="250" t="s">
        <v>143</v>
      </c>
      <c r="K438" s="195" t="s">
        <v>687</v>
      </c>
      <c r="L438" s="197"/>
      <c r="M438" s="197"/>
      <c r="N438" s="197"/>
      <c r="O438" s="197"/>
    </row>
    <row r="439" spans="1:15" hidden="1">
      <c r="A439" s="189" t="s">
        <v>137</v>
      </c>
      <c r="B439" s="189" t="s">
        <v>683</v>
      </c>
      <c r="C439" s="189" t="s">
        <v>684</v>
      </c>
      <c r="D439" s="189" t="s">
        <v>736</v>
      </c>
      <c r="E439" s="189" t="s">
        <v>737</v>
      </c>
      <c r="F439" s="189" t="s">
        <v>153</v>
      </c>
      <c r="G439" s="281">
        <v>51.59</v>
      </c>
      <c r="H439" s="282">
        <v>51.59</v>
      </c>
      <c r="I439" s="198" t="s">
        <v>112</v>
      </c>
      <c r="J439" s="250" t="s">
        <v>143</v>
      </c>
      <c r="K439" s="195" t="s">
        <v>687</v>
      </c>
      <c r="L439" s="197"/>
      <c r="M439" s="197"/>
      <c r="N439" s="197"/>
      <c r="O439" s="197"/>
    </row>
    <row r="440" spans="1:15" hidden="1">
      <c r="A440" s="189" t="s">
        <v>137</v>
      </c>
      <c r="B440" s="189" t="s">
        <v>683</v>
      </c>
      <c r="C440" s="189" t="s">
        <v>684</v>
      </c>
      <c r="D440" s="189" t="s">
        <v>736</v>
      </c>
      <c r="E440" s="189" t="s">
        <v>738</v>
      </c>
      <c r="F440" s="189" t="s">
        <v>146</v>
      </c>
      <c r="G440" s="281">
        <v>35</v>
      </c>
      <c r="H440" s="282">
        <v>35</v>
      </c>
      <c r="I440" s="198" t="s">
        <v>112</v>
      </c>
      <c r="J440" s="250" t="s">
        <v>143</v>
      </c>
      <c r="K440" s="195" t="s">
        <v>687</v>
      </c>
      <c r="L440" s="197"/>
      <c r="M440" s="197"/>
      <c r="N440" s="197"/>
      <c r="O440" s="197"/>
    </row>
    <row r="441" spans="1:15" hidden="1">
      <c r="A441" s="189" t="s">
        <v>137</v>
      </c>
      <c r="B441" s="189" t="s">
        <v>683</v>
      </c>
      <c r="C441" s="189" t="s">
        <v>684</v>
      </c>
      <c r="D441" s="189" t="s">
        <v>736</v>
      </c>
      <c r="E441" s="189" t="s">
        <v>739</v>
      </c>
      <c r="F441" s="189" t="s">
        <v>149</v>
      </c>
      <c r="G441" s="281">
        <v>35</v>
      </c>
      <c r="H441" s="282">
        <v>35</v>
      </c>
      <c r="I441" s="198" t="s">
        <v>112</v>
      </c>
      <c r="J441" s="250" t="s">
        <v>143</v>
      </c>
      <c r="K441" s="195" t="s">
        <v>687</v>
      </c>
      <c r="L441" s="197"/>
      <c r="M441" s="197"/>
      <c r="N441" s="197"/>
      <c r="O441" s="197"/>
    </row>
    <row r="442" spans="1:15" hidden="1">
      <c r="A442" s="189" t="s">
        <v>137</v>
      </c>
      <c r="B442" s="189" t="s">
        <v>683</v>
      </c>
      <c r="C442" s="189" t="s">
        <v>684</v>
      </c>
      <c r="D442" s="189" t="s">
        <v>736</v>
      </c>
      <c r="E442" s="189" t="s">
        <v>740</v>
      </c>
      <c r="F442" s="189" t="s">
        <v>142</v>
      </c>
      <c r="G442" s="281">
        <v>51.59</v>
      </c>
      <c r="H442" s="282">
        <v>51.59</v>
      </c>
      <c r="I442" s="198" t="s">
        <v>112</v>
      </c>
      <c r="J442" s="250" t="s">
        <v>143</v>
      </c>
      <c r="K442" s="195" t="s">
        <v>687</v>
      </c>
      <c r="L442" s="197"/>
      <c r="M442" s="197"/>
      <c r="N442" s="197"/>
      <c r="O442" s="197"/>
    </row>
    <row r="443" spans="1:15" hidden="1">
      <c r="A443" s="189" t="s">
        <v>137</v>
      </c>
      <c r="B443" s="189" t="s">
        <v>683</v>
      </c>
      <c r="C443" s="189" t="s">
        <v>684</v>
      </c>
      <c r="D443" s="189" t="s">
        <v>741</v>
      </c>
      <c r="E443" s="189" t="s">
        <v>742</v>
      </c>
      <c r="F443" s="189" t="s">
        <v>142</v>
      </c>
      <c r="G443" s="281">
        <v>49.74</v>
      </c>
      <c r="H443" s="282">
        <v>49.74</v>
      </c>
      <c r="I443" s="198" t="s">
        <v>112</v>
      </c>
      <c r="J443" s="250" t="s">
        <v>143</v>
      </c>
      <c r="K443" s="195" t="s">
        <v>687</v>
      </c>
      <c r="L443" s="197"/>
      <c r="M443" s="197"/>
      <c r="N443" s="197"/>
      <c r="O443" s="197"/>
    </row>
    <row r="444" spans="1:15" hidden="1">
      <c r="A444" s="189" t="s">
        <v>137</v>
      </c>
      <c r="B444" s="189" t="s">
        <v>683</v>
      </c>
      <c r="C444" s="189" t="s">
        <v>684</v>
      </c>
      <c r="D444" s="189" t="s">
        <v>743</v>
      </c>
      <c r="E444" s="189" t="s">
        <v>744</v>
      </c>
      <c r="F444" s="189" t="s">
        <v>153</v>
      </c>
      <c r="G444" s="281">
        <v>29.48</v>
      </c>
      <c r="H444" s="282">
        <v>29.48</v>
      </c>
      <c r="I444" s="198" t="s">
        <v>112</v>
      </c>
      <c r="J444" s="250" t="s">
        <v>143</v>
      </c>
      <c r="K444" s="195" t="s">
        <v>687</v>
      </c>
      <c r="L444" s="197"/>
      <c r="M444" s="197"/>
      <c r="N444" s="197"/>
      <c r="O444" s="197"/>
    </row>
    <row r="445" spans="1:15" hidden="1">
      <c r="A445" s="189" t="s">
        <v>137</v>
      </c>
      <c r="B445" s="189" t="s">
        <v>683</v>
      </c>
      <c r="C445" s="189" t="s">
        <v>684</v>
      </c>
      <c r="D445" s="189" t="s">
        <v>743</v>
      </c>
      <c r="E445" s="189" t="s">
        <v>745</v>
      </c>
      <c r="F445" s="189" t="s">
        <v>146</v>
      </c>
      <c r="G445" s="281">
        <v>28</v>
      </c>
      <c r="H445" s="282">
        <v>28</v>
      </c>
      <c r="I445" s="198" t="s">
        <v>112</v>
      </c>
      <c r="J445" s="250" t="s">
        <v>143</v>
      </c>
      <c r="K445" s="195" t="s">
        <v>687</v>
      </c>
      <c r="L445" s="197"/>
      <c r="M445" s="197"/>
      <c r="N445" s="197"/>
      <c r="O445" s="197"/>
    </row>
    <row r="446" spans="1:15" hidden="1">
      <c r="A446" s="189" t="s">
        <v>137</v>
      </c>
      <c r="B446" s="189" t="s">
        <v>683</v>
      </c>
      <c r="C446" s="189" t="s">
        <v>684</v>
      </c>
      <c r="D446" s="189" t="s">
        <v>743</v>
      </c>
      <c r="E446" s="189" t="s">
        <v>746</v>
      </c>
      <c r="F446" s="189" t="s">
        <v>149</v>
      </c>
      <c r="G446" s="281">
        <v>28</v>
      </c>
      <c r="H446" s="282">
        <v>28</v>
      </c>
      <c r="I446" s="198" t="s">
        <v>112</v>
      </c>
      <c r="J446" s="250" t="s">
        <v>143</v>
      </c>
      <c r="K446" s="195" t="s">
        <v>687</v>
      </c>
      <c r="L446" s="197"/>
      <c r="M446" s="197"/>
      <c r="N446" s="197"/>
      <c r="O446" s="197"/>
    </row>
    <row r="447" spans="1:15" hidden="1">
      <c r="A447" s="189" t="s">
        <v>137</v>
      </c>
      <c r="B447" s="189" t="s">
        <v>683</v>
      </c>
      <c r="C447" s="189" t="s">
        <v>684</v>
      </c>
      <c r="D447" s="189" t="s">
        <v>747</v>
      </c>
      <c r="E447" s="189" t="s">
        <v>748</v>
      </c>
      <c r="F447" s="189" t="s">
        <v>142</v>
      </c>
      <c r="G447" s="281">
        <v>14.74</v>
      </c>
      <c r="H447" s="282">
        <v>14.74</v>
      </c>
      <c r="I447" s="198" t="s">
        <v>112</v>
      </c>
      <c r="J447" s="250" t="s">
        <v>143</v>
      </c>
      <c r="K447" s="195" t="s">
        <v>687</v>
      </c>
      <c r="L447" s="197"/>
      <c r="M447" s="197"/>
      <c r="N447" s="197"/>
      <c r="O447" s="197"/>
    </row>
    <row r="448" spans="1:15" hidden="1">
      <c r="A448" s="189" t="s">
        <v>137</v>
      </c>
      <c r="B448" s="189" t="s">
        <v>683</v>
      </c>
      <c r="C448" s="189" t="s">
        <v>684</v>
      </c>
      <c r="D448" s="189" t="s">
        <v>749</v>
      </c>
      <c r="E448" s="189" t="s">
        <v>750</v>
      </c>
      <c r="F448" s="189" t="s">
        <v>153</v>
      </c>
      <c r="G448" s="281">
        <v>14.74</v>
      </c>
      <c r="H448" s="282">
        <v>14.74</v>
      </c>
      <c r="I448" s="198" t="s">
        <v>112</v>
      </c>
      <c r="J448" s="250" t="s">
        <v>143</v>
      </c>
      <c r="K448" s="195" t="s">
        <v>687</v>
      </c>
      <c r="L448" s="197"/>
      <c r="M448" s="197"/>
      <c r="N448" s="197"/>
      <c r="O448" s="197"/>
    </row>
    <row r="449" spans="1:15" hidden="1">
      <c r="A449" s="189" t="s">
        <v>137</v>
      </c>
      <c r="B449" s="189" t="s">
        <v>683</v>
      </c>
      <c r="C449" s="189" t="s">
        <v>684</v>
      </c>
      <c r="D449" s="189" t="s">
        <v>749</v>
      </c>
      <c r="E449" s="189" t="s">
        <v>751</v>
      </c>
      <c r="F449" s="189" t="s">
        <v>146</v>
      </c>
      <c r="G449" s="281">
        <v>85</v>
      </c>
      <c r="H449" s="282">
        <v>85</v>
      </c>
      <c r="I449" s="198" t="s">
        <v>112</v>
      </c>
      <c r="J449" s="250" t="s">
        <v>143</v>
      </c>
      <c r="K449" s="195" t="s">
        <v>687</v>
      </c>
      <c r="L449" s="197"/>
      <c r="M449" s="197"/>
      <c r="N449" s="197"/>
      <c r="O449" s="197"/>
    </row>
    <row r="450" spans="1:15" hidden="1">
      <c r="A450" s="189" t="s">
        <v>137</v>
      </c>
      <c r="B450" s="189" t="s">
        <v>683</v>
      </c>
      <c r="C450" s="189" t="s">
        <v>684</v>
      </c>
      <c r="D450" s="189" t="s">
        <v>749</v>
      </c>
      <c r="E450" s="189" t="s">
        <v>752</v>
      </c>
      <c r="F450" s="189" t="s">
        <v>149</v>
      </c>
      <c r="G450" s="281">
        <v>35</v>
      </c>
      <c r="H450" s="282">
        <v>35</v>
      </c>
      <c r="I450" s="198" t="s">
        <v>112</v>
      </c>
      <c r="J450" s="250" t="s">
        <v>143</v>
      </c>
      <c r="K450" s="195" t="s">
        <v>687</v>
      </c>
      <c r="L450" s="197"/>
      <c r="M450" s="197"/>
      <c r="N450" s="197"/>
      <c r="O450" s="197"/>
    </row>
    <row r="451" spans="1:15" hidden="1">
      <c r="A451" s="189" t="s">
        <v>137</v>
      </c>
      <c r="B451" s="189" t="s">
        <v>683</v>
      </c>
      <c r="C451" s="189" t="s">
        <v>684</v>
      </c>
      <c r="D451" s="189" t="s">
        <v>749</v>
      </c>
      <c r="E451" s="189" t="s">
        <v>753</v>
      </c>
      <c r="F451" s="189" t="s">
        <v>142</v>
      </c>
      <c r="G451" s="281">
        <v>29.48</v>
      </c>
      <c r="H451" s="282">
        <v>29.48</v>
      </c>
      <c r="I451" s="198" t="s">
        <v>112</v>
      </c>
      <c r="J451" s="250" t="s">
        <v>143</v>
      </c>
      <c r="K451" s="195" t="s">
        <v>687</v>
      </c>
      <c r="L451" s="197"/>
      <c r="M451" s="197"/>
      <c r="N451" s="197"/>
      <c r="O451" s="197"/>
    </row>
    <row r="452" spans="1:15" hidden="1">
      <c r="A452" s="189" t="s">
        <v>137</v>
      </c>
      <c r="B452" s="189" t="s">
        <v>683</v>
      </c>
      <c r="C452" s="189" t="s">
        <v>684</v>
      </c>
      <c r="D452" s="189" t="s">
        <v>754</v>
      </c>
      <c r="E452" s="189" t="s">
        <v>755</v>
      </c>
      <c r="F452" s="189" t="s">
        <v>153</v>
      </c>
      <c r="G452" s="281">
        <v>125.29</v>
      </c>
      <c r="H452" s="282">
        <v>125.29</v>
      </c>
      <c r="I452" s="198" t="s">
        <v>112</v>
      </c>
      <c r="J452" s="250" t="s">
        <v>143</v>
      </c>
      <c r="K452" s="195" t="s">
        <v>687</v>
      </c>
      <c r="L452" s="197"/>
      <c r="M452" s="197"/>
      <c r="N452" s="197"/>
      <c r="O452" s="197"/>
    </row>
    <row r="453" spans="1:15" hidden="1">
      <c r="A453" s="189" t="s">
        <v>137</v>
      </c>
      <c r="B453" s="189" t="s">
        <v>683</v>
      </c>
      <c r="C453" s="189" t="s">
        <v>684</v>
      </c>
      <c r="D453" s="189" t="s">
        <v>754</v>
      </c>
      <c r="E453" s="189" t="s">
        <v>756</v>
      </c>
      <c r="F453" s="189" t="s">
        <v>146</v>
      </c>
      <c r="G453" s="281">
        <v>147</v>
      </c>
      <c r="H453" s="282">
        <v>147</v>
      </c>
      <c r="I453" s="198" t="s">
        <v>112</v>
      </c>
      <c r="J453" s="250" t="s">
        <v>143</v>
      </c>
      <c r="K453" s="195" t="s">
        <v>687</v>
      </c>
      <c r="L453" s="197"/>
      <c r="M453" s="197"/>
      <c r="N453" s="197"/>
      <c r="O453" s="197"/>
    </row>
    <row r="454" spans="1:15" hidden="1">
      <c r="A454" s="189" t="s">
        <v>137</v>
      </c>
      <c r="B454" s="189" t="s">
        <v>683</v>
      </c>
      <c r="C454" s="189" t="s">
        <v>684</v>
      </c>
      <c r="D454" s="189" t="s">
        <v>754</v>
      </c>
      <c r="E454" s="189" t="s">
        <v>757</v>
      </c>
      <c r="F454" s="189" t="s">
        <v>149</v>
      </c>
      <c r="G454" s="281">
        <v>147</v>
      </c>
      <c r="H454" s="282">
        <v>147</v>
      </c>
      <c r="I454" s="198" t="s">
        <v>112</v>
      </c>
      <c r="J454" s="250" t="s">
        <v>143</v>
      </c>
      <c r="K454" s="195" t="s">
        <v>687</v>
      </c>
      <c r="L454" s="197"/>
      <c r="M454" s="197"/>
      <c r="N454" s="197"/>
      <c r="O454" s="197"/>
    </row>
    <row r="455" spans="1:15" hidden="1">
      <c r="A455" s="189" t="s">
        <v>137</v>
      </c>
      <c r="B455" s="189" t="s">
        <v>683</v>
      </c>
      <c r="C455" s="189" t="s">
        <v>684</v>
      </c>
      <c r="D455" s="189" t="s">
        <v>754</v>
      </c>
      <c r="E455" s="189" t="s">
        <v>758</v>
      </c>
      <c r="F455" s="189" t="s">
        <v>142</v>
      </c>
      <c r="G455" s="281">
        <v>154.77000000000001</v>
      </c>
      <c r="H455" s="282">
        <v>154.77000000000001</v>
      </c>
      <c r="I455" s="198" t="s">
        <v>112</v>
      </c>
      <c r="J455" s="250" t="s">
        <v>143</v>
      </c>
      <c r="K455" s="195" t="s">
        <v>687</v>
      </c>
      <c r="L455" s="197"/>
      <c r="M455" s="197"/>
      <c r="N455" s="197"/>
      <c r="O455" s="197"/>
    </row>
    <row r="456" spans="1:15" hidden="1">
      <c r="A456" s="189" t="s">
        <v>137</v>
      </c>
      <c r="B456" s="189" t="s">
        <v>683</v>
      </c>
      <c r="C456" s="189" t="s">
        <v>684</v>
      </c>
      <c r="D456" s="189" t="s">
        <v>759</v>
      </c>
      <c r="E456" s="189" t="s">
        <v>760</v>
      </c>
      <c r="F456" s="189" t="s">
        <v>153</v>
      </c>
      <c r="G456" s="281">
        <v>51.59</v>
      </c>
      <c r="H456" s="282">
        <v>51.59</v>
      </c>
      <c r="I456" s="198" t="s">
        <v>112</v>
      </c>
      <c r="J456" s="250" t="s">
        <v>143</v>
      </c>
      <c r="K456" s="195" t="s">
        <v>687</v>
      </c>
      <c r="L456" s="197"/>
      <c r="M456" s="197"/>
      <c r="N456" s="197"/>
      <c r="O456" s="197"/>
    </row>
    <row r="457" spans="1:15" hidden="1">
      <c r="A457" s="189" t="s">
        <v>137</v>
      </c>
      <c r="B457" s="189" t="s">
        <v>683</v>
      </c>
      <c r="C457" s="189" t="s">
        <v>684</v>
      </c>
      <c r="D457" s="189" t="s">
        <v>759</v>
      </c>
      <c r="E457" s="189" t="s">
        <v>761</v>
      </c>
      <c r="F457" s="189" t="s">
        <v>146</v>
      </c>
      <c r="G457" s="281">
        <v>56</v>
      </c>
      <c r="H457" s="282">
        <v>56</v>
      </c>
      <c r="I457" s="198" t="s">
        <v>112</v>
      </c>
      <c r="J457" s="250" t="s">
        <v>143</v>
      </c>
      <c r="K457" s="195" t="s">
        <v>687</v>
      </c>
      <c r="L457" s="197"/>
      <c r="M457" s="197"/>
      <c r="N457" s="197"/>
      <c r="O457" s="197"/>
    </row>
    <row r="458" spans="1:15" hidden="1">
      <c r="A458" s="189" t="s">
        <v>137</v>
      </c>
      <c r="B458" s="189" t="s">
        <v>683</v>
      </c>
      <c r="C458" s="189" t="s">
        <v>684</v>
      </c>
      <c r="D458" s="189" t="s">
        <v>759</v>
      </c>
      <c r="E458" s="189" t="s">
        <v>762</v>
      </c>
      <c r="F458" s="189" t="s">
        <v>149</v>
      </c>
      <c r="G458" s="281">
        <v>49</v>
      </c>
      <c r="H458" s="282">
        <v>49</v>
      </c>
      <c r="I458" s="198" t="s">
        <v>112</v>
      </c>
      <c r="J458" s="250" t="s">
        <v>143</v>
      </c>
      <c r="K458" s="195" t="s">
        <v>687</v>
      </c>
      <c r="L458" s="197"/>
      <c r="M458" s="197"/>
      <c r="N458" s="197"/>
      <c r="O458" s="197"/>
    </row>
    <row r="459" spans="1:15" hidden="1">
      <c r="A459" s="189" t="s">
        <v>137</v>
      </c>
      <c r="B459" s="189" t="s">
        <v>683</v>
      </c>
      <c r="C459" s="189" t="s">
        <v>684</v>
      </c>
      <c r="D459" s="189" t="s">
        <v>759</v>
      </c>
      <c r="E459" s="189" t="s">
        <v>763</v>
      </c>
      <c r="F459" s="189" t="s">
        <v>142</v>
      </c>
      <c r="G459" s="281">
        <v>58.96</v>
      </c>
      <c r="H459" s="282">
        <v>58.96</v>
      </c>
      <c r="I459" s="198" t="s">
        <v>112</v>
      </c>
      <c r="J459" s="250" t="s">
        <v>143</v>
      </c>
      <c r="K459" s="195" t="s">
        <v>687</v>
      </c>
      <c r="L459" s="197"/>
      <c r="M459" s="197"/>
      <c r="N459" s="197"/>
      <c r="O459" s="197"/>
    </row>
    <row r="460" spans="1:15" hidden="1">
      <c r="A460" s="189" t="s">
        <v>137</v>
      </c>
      <c r="B460" s="189" t="s">
        <v>683</v>
      </c>
      <c r="C460" s="189" t="s">
        <v>684</v>
      </c>
      <c r="D460" s="189" t="s">
        <v>764</v>
      </c>
      <c r="E460" s="189" t="s">
        <v>765</v>
      </c>
      <c r="F460" s="189" t="s">
        <v>153</v>
      </c>
      <c r="G460" s="281">
        <v>44.22</v>
      </c>
      <c r="H460" s="282">
        <v>44.22</v>
      </c>
      <c r="I460" s="198" t="s">
        <v>112</v>
      </c>
      <c r="J460" s="250" t="s">
        <v>143</v>
      </c>
      <c r="K460" s="195" t="s">
        <v>687</v>
      </c>
      <c r="L460" s="197"/>
      <c r="M460" s="197"/>
      <c r="N460" s="197"/>
      <c r="O460" s="197"/>
    </row>
    <row r="461" spans="1:15" hidden="1">
      <c r="A461" s="189" t="s">
        <v>137</v>
      </c>
      <c r="B461" s="189" t="s">
        <v>683</v>
      </c>
      <c r="C461" s="189" t="s">
        <v>684</v>
      </c>
      <c r="D461" s="189" t="s">
        <v>764</v>
      </c>
      <c r="E461" s="189" t="s">
        <v>766</v>
      </c>
      <c r="F461" s="189" t="s">
        <v>146</v>
      </c>
      <c r="G461" s="281">
        <v>99</v>
      </c>
      <c r="H461" s="282">
        <v>99</v>
      </c>
      <c r="I461" s="198" t="s">
        <v>112</v>
      </c>
      <c r="J461" s="250" t="s">
        <v>143</v>
      </c>
      <c r="K461" s="195" t="s">
        <v>687</v>
      </c>
      <c r="L461" s="197"/>
      <c r="M461" s="197"/>
      <c r="N461" s="197"/>
      <c r="O461" s="197"/>
    </row>
    <row r="462" spans="1:15" hidden="1">
      <c r="A462" s="189" t="s">
        <v>137</v>
      </c>
      <c r="B462" s="189" t="s">
        <v>683</v>
      </c>
      <c r="C462" s="189" t="s">
        <v>684</v>
      </c>
      <c r="D462" s="189" t="s">
        <v>764</v>
      </c>
      <c r="E462" s="189" t="s">
        <v>767</v>
      </c>
      <c r="F462" s="189" t="s">
        <v>149</v>
      </c>
      <c r="G462" s="281">
        <v>49</v>
      </c>
      <c r="H462" s="282">
        <v>49</v>
      </c>
      <c r="I462" s="198" t="s">
        <v>112</v>
      </c>
      <c r="J462" s="250" t="s">
        <v>143</v>
      </c>
      <c r="K462" s="195" t="s">
        <v>687</v>
      </c>
      <c r="L462" s="197"/>
      <c r="M462" s="197"/>
      <c r="N462" s="197"/>
      <c r="O462" s="197"/>
    </row>
    <row r="463" spans="1:15" hidden="1">
      <c r="A463" s="189" t="s">
        <v>137</v>
      </c>
      <c r="B463" s="189" t="s">
        <v>683</v>
      </c>
      <c r="C463" s="189" t="s">
        <v>684</v>
      </c>
      <c r="D463" s="189" t="s">
        <v>764</v>
      </c>
      <c r="E463" s="189" t="s">
        <v>768</v>
      </c>
      <c r="F463" s="189" t="s">
        <v>142</v>
      </c>
      <c r="G463" s="281">
        <v>51.59</v>
      </c>
      <c r="H463" s="282">
        <v>51.59</v>
      </c>
      <c r="I463" s="198" t="s">
        <v>112</v>
      </c>
      <c r="J463" s="250" t="s">
        <v>143</v>
      </c>
      <c r="K463" s="195" t="s">
        <v>687</v>
      </c>
      <c r="L463" s="197"/>
      <c r="M463" s="197"/>
      <c r="N463" s="197"/>
      <c r="O463" s="197"/>
    </row>
    <row r="464" spans="1:15" hidden="1">
      <c r="A464" s="189" t="s">
        <v>137</v>
      </c>
      <c r="B464" s="189" t="s">
        <v>683</v>
      </c>
      <c r="C464" s="189" t="s">
        <v>684</v>
      </c>
      <c r="D464" s="189" t="s">
        <v>769</v>
      </c>
      <c r="E464" s="189" t="s">
        <v>770</v>
      </c>
      <c r="F464" s="189" t="s">
        <v>153</v>
      </c>
      <c r="G464" s="281">
        <v>36.85</v>
      </c>
      <c r="H464" s="282">
        <v>36.85</v>
      </c>
      <c r="I464" s="198" t="s">
        <v>112</v>
      </c>
      <c r="J464" s="250" t="s">
        <v>143</v>
      </c>
      <c r="K464" s="195" t="s">
        <v>687</v>
      </c>
      <c r="L464" s="197"/>
      <c r="M464" s="197"/>
      <c r="N464" s="197"/>
      <c r="O464" s="197"/>
    </row>
    <row r="465" spans="1:15" hidden="1">
      <c r="A465" s="189" t="s">
        <v>137</v>
      </c>
      <c r="B465" s="189" t="s">
        <v>683</v>
      </c>
      <c r="C465" s="189" t="s">
        <v>684</v>
      </c>
      <c r="D465" s="189" t="s">
        <v>769</v>
      </c>
      <c r="E465" s="189" t="s">
        <v>771</v>
      </c>
      <c r="F465" s="189" t="s">
        <v>146</v>
      </c>
      <c r="G465" s="281">
        <v>28</v>
      </c>
      <c r="H465" s="282">
        <v>28</v>
      </c>
      <c r="I465" s="198" t="s">
        <v>112</v>
      </c>
      <c r="J465" s="250" t="s">
        <v>143</v>
      </c>
      <c r="K465" s="195" t="s">
        <v>687</v>
      </c>
      <c r="L465" s="197"/>
      <c r="M465" s="197"/>
      <c r="N465" s="197"/>
      <c r="O465" s="197"/>
    </row>
    <row r="466" spans="1:15" hidden="1">
      <c r="A466" s="189" t="s">
        <v>137</v>
      </c>
      <c r="B466" s="189" t="s">
        <v>683</v>
      </c>
      <c r="C466" s="189" t="s">
        <v>684</v>
      </c>
      <c r="D466" s="189" t="s">
        <v>769</v>
      </c>
      <c r="E466" s="189" t="s">
        <v>772</v>
      </c>
      <c r="F466" s="189" t="s">
        <v>149</v>
      </c>
      <c r="G466" s="281">
        <v>28</v>
      </c>
      <c r="H466" s="282">
        <v>28</v>
      </c>
      <c r="I466" s="198" t="s">
        <v>112</v>
      </c>
      <c r="J466" s="250" t="s">
        <v>143</v>
      </c>
      <c r="K466" s="195" t="s">
        <v>687</v>
      </c>
      <c r="L466" s="197"/>
      <c r="M466" s="197"/>
      <c r="N466" s="197"/>
      <c r="O466" s="197"/>
    </row>
    <row r="467" spans="1:15" hidden="1">
      <c r="A467" s="189" t="s">
        <v>137</v>
      </c>
      <c r="B467" s="189" t="s">
        <v>683</v>
      </c>
      <c r="C467" s="189" t="s">
        <v>684</v>
      </c>
      <c r="D467" s="189" t="s">
        <v>769</v>
      </c>
      <c r="E467" s="189" t="s">
        <v>773</v>
      </c>
      <c r="F467" s="189" t="s">
        <v>142</v>
      </c>
      <c r="G467" s="281">
        <v>29.48</v>
      </c>
      <c r="H467" s="282">
        <v>29.48</v>
      </c>
      <c r="I467" s="198" t="s">
        <v>112</v>
      </c>
      <c r="J467" s="250" t="s">
        <v>143</v>
      </c>
      <c r="K467" s="195" t="s">
        <v>687</v>
      </c>
      <c r="L467" s="197"/>
      <c r="M467" s="197"/>
      <c r="N467" s="197"/>
      <c r="O467" s="197"/>
    </row>
    <row r="468" spans="1:15" hidden="1">
      <c r="A468" s="189" t="s">
        <v>137</v>
      </c>
      <c r="B468" s="189" t="s">
        <v>683</v>
      </c>
      <c r="C468" s="189" t="s">
        <v>684</v>
      </c>
      <c r="D468" s="189" t="s">
        <v>774</v>
      </c>
      <c r="E468" s="189" t="s">
        <v>775</v>
      </c>
      <c r="F468" s="189" t="s">
        <v>153</v>
      </c>
      <c r="G468" s="281">
        <v>29.48</v>
      </c>
      <c r="H468" s="282">
        <v>29.48</v>
      </c>
      <c r="I468" s="198" t="s">
        <v>112</v>
      </c>
      <c r="J468" s="250" t="s">
        <v>143</v>
      </c>
      <c r="K468" s="195" t="s">
        <v>687</v>
      </c>
      <c r="L468" s="197"/>
      <c r="M468" s="197"/>
      <c r="N468" s="197"/>
      <c r="O468" s="197"/>
    </row>
    <row r="469" spans="1:15" hidden="1">
      <c r="A469" s="189" t="s">
        <v>137</v>
      </c>
      <c r="B469" s="189" t="s">
        <v>683</v>
      </c>
      <c r="C469" s="189" t="s">
        <v>684</v>
      </c>
      <c r="D469" s="189" t="s">
        <v>774</v>
      </c>
      <c r="E469" s="189" t="s">
        <v>776</v>
      </c>
      <c r="F469" s="189" t="s">
        <v>146</v>
      </c>
      <c r="G469" s="281">
        <v>28</v>
      </c>
      <c r="H469" s="282">
        <v>28</v>
      </c>
      <c r="I469" s="198" t="s">
        <v>112</v>
      </c>
      <c r="J469" s="250" t="s">
        <v>143</v>
      </c>
      <c r="K469" s="195" t="s">
        <v>687</v>
      </c>
      <c r="L469" s="197"/>
      <c r="M469" s="197"/>
      <c r="N469" s="197"/>
      <c r="O469" s="197"/>
    </row>
    <row r="470" spans="1:15" hidden="1">
      <c r="A470" s="189" t="s">
        <v>137</v>
      </c>
      <c r="B470" s="189" t="s">
        <v>683</v>
      </c>
      <c r="C470" s="189" t="s">
        <v>684</v>
      </c>
      <c r="D470" s="189" t="s">
        <v>774</v>
      </c>
      <c r="E470" s="189" t="s">
        <v>777</v>
      </c>
      <c r="F470" s="189" t="s">
        <v>149</v>
      </c>
      <c r="G470" s="281">
        <v>35</v>
      </c>
      <c r="H470" s="282">
        <v>35</v>
      </c>
      <c r="I470" s="198" t="s">
        <v>112</v>
      </c>
      <c r="J470" s="250" t="s">
        <v>143</v>
      </c>
      <c r="K470" s="195" t="s">
        <v>687</v>
      </c>
      <c r="L470" s="197"/>
      <c r="M470" s="197"/>
      <c r="N470" s="197"/>
      <c r="O470" s="197"/>
    </row>
    <row r="471" spans="1:15" hidden="1">
      <c r="A471" s="189" t="s">
        <v>137</v>
      </c>
      <c r="B471" s="189" t="s">
        <v>683</v>
      </c>
      <c r="C471" s="189" t="s">
        <v>684</v>
      </c>
      <c r="D471" s="189" t="s">
        <v>774</v>
      </c>
      <c r="E471" s="189" t="s">
        <v>778</v>
      </c>
      <c r="F471" s="189" t="s">
        <v>142</v>
      </c>
      <c r="G471" s="281">
        <v>79.48</v>
      </c>
      <c r="H471" s="282">
        <v>79.48</v>
      </c>
      <c r="I471" s="198" t="s">
        <v>112</v>
      </c>
      <c r="J471" s="250" t="s">
        <v>143</v>
      </c>
      <c r="K471" s="195" t="s">
        <v>687</v>
      </c>
      <c r="L471" s="197"/>
      <c r="M471" s="197"/>
      <c r="N471" s="197"/>
      <c r="O471" s="197"/>
    </row>
    <row r="472" spans="1:15" hidden="1">
      <c r="A472" s="189" t="s">
        <v>137</v>
      </c>
      <c r="B472" s="189" t="s">
        <v>683</v>
      </c>
      <c r="C472" s="189" t="s">
        <v>684</v>
      </c>
      <c r="D472" s="189" t="s">
        <v>779</v>
      </c>
      <c r="E472" s="189" t="s">
        <v>780</v>
      </c>
      <c r="F472" s="189" t="s">
        <v>153</v>
      </c>
      <c r="G472" s="281">
        <v>7.37</v>
      </c>
      <c r="H472" s="282">
        <v>7.37</v>
      </c>
      <c r="I472" s="198" t="s">
        <v>112</v>
      </c>
      <c r="J472" s="250" t="s">
        <v>143</v>
      </c>
      <c r="K472" s="195" t="s">
        <v>687</v>
      </c>
      <c r="L472" s="197"/>
      <c r="M472" s="197"/>
      <c r="N472" s="197"/>
      <c r="O472" s="197"/>
    </row>
    <row r="473" spans="1:15" hidden="1">
      <c r="A473" s="189" t="s">
        <v>137</v>
      </c>
      <c r="B473" s="189" t="s">
        <v>683</v>
      </c>
      <c r="C473" s="189" t="s">
        <v>684</v>
      </c>
      <c r="D473" s="189" t="s">
        <v>779</v>
      </c>
      <c r="E473" s="189" t="s">
        <v>781</v>
      </c>
      <c r="F473" s="189" t="s">
        <v>146</v>
      </c>
      <c r="G473" s="281">
        <v>7</v>
      </c>
      <c r="H473" s="282">
        <v>7</v>
      </c>
      <c r="I473" s="198" t="s">
        <v>112</v>
      </c>
      <c r="J473" s="250" t="s">
        <v>143</v>
      </c>
      <c r="K473" s="195" t="s">
        <v>687</v>
      </c>
      <c r="L473" s="197"/>
      <c r="M473" s="197"/>
      <c r="N473" s="197"/>
      <c r="O473" s="197"/>
    </row>
    <row r="474" spans="1:15" hidden="1">
      <c r="A474" s="189" t="s">
        <v>137</v>
      </c>
      <c r="B474" s="189" t="s">
        <v>683</v>
      </c>
      <c r="C474" s="189" t="s">
        <v>684</v>
      </c>
      <c r="D474" s="189" t="s">
        <v>779</v>
      </c>
      <c r="E474" s="189" t="s">
        <v>782</v>
      </c>
      <c r="F474" s="189" t="s">
        <v>149</v>
      </c>
      <c r="G474" s="281">
        <v>7</v>
      </c>
      <c r="H474" s="282">
        <v>7</v>
      </c>
      <c r="I474" s="198" t="s">
        <v>112</v>
      </c>
      <c r="J474" s="250" t="s">
        <v>143</v>
      </c>
      <c r="K474" s="195" t="s">
        <v>687</v>
      </c>
      <c r="L474" s="197"/>
      <c r="M474" s="197"/>
      <c r="N474" s="197"/>
      <c r="O474" s="197"/>
    </row>
    <row r="475" spans="1:15" hidden="1">
      <c r="A475" s="189" t="s">
        <v>137</v>
      </c>
      <c r="B475" s="189" t="s">
        <v>683</v>
      </c>
      <c r="C475" s="189" t="s">
        <v>684</v>
      </c>
      <c r="D475" s="189" t="s">
        <v>779</v>
      </c>
      <c r="E475" s="189" t="s">
        <v>783</v>
      </c>
      <c r="F475" s="189" t="s">
        <v>142</v>
      </c>
      <c r="G475" s="281">
        <v>7.37</v>
      </c>
      <c r="H475" s="282">
        <v>7.37</v>
      </c>
      <c r="I475" s="198" t="s">
        <v>112</v>
      </c>
      <c r="J475" s="250" t="s">
        <v>143</v>
      </c>
      <c r="K475" s="195" t="s">
        <v>687</v>
      </c>
      <c r="L475" s="197"/>
      <c r="M475" s="197"/>
      <c r="N475" s="197"/>
      <c r="O475" s="197"/>
    </row>
    <row r="476" spans="1:15" hidden="1">
      <c r="A476" s="189" t="s">
        <v>137</v>
      </c>
      <c r="B476" s="189" t="s">
        <v>683</v>
      </c>
      <c r="C476" s="189" t="s">
        <v>684</v>
      </c>
      <c r="D476" s="189" t="s">
        <v>784</v>
      </c>
      <c r="E476" s="189" t="s">
        <v>785</v>
      </c>
      <c r="F476" s="189" t="s">
        <v>153</v>
      </c>
      <c r="G476" s="281">
        <v>22.11</v>
      </c>
      <c r="H476" s="282">
        <v>22.11</v>
      </c>
      <c r="I476" s="198" t="s">
        <v>112</v>
      </c>
      <c r="J476" s="250" t="s">
        <v>143</v>
      </c>
      <c r="K476" s="195" t="s">
        <v>687</v>
      </c>
      <c r="L476" s="197"/>
      <c r="M476" s="197"/>
      <c r="N476" s="197"/>
      <c r="O476" s="197"/>
    </row>
    <row r="477" spans="1:15" hidden="1">
      <c r="A477" s="189" t="s">
        <v>137</v>
      </c>
      <c r="B477" s="189" t="s">
        <v>683</v>
      </c>
      <c r="C477" s="189" t="s">
        <v>684</v>
      </c>
      <c r="D477" s="189" t="s">
        <v>784</v>
      </c>
      <c r="E477" s="189" t="s">
        <v>786</v>
      </c>
      <c r="F477" s="189" t="s">
        <v>146</v>
      </c>
      <c r="G477" s="281">
        <v>28</v>
      </c>
      <c r="H477" s="282">
        <v>28</v>
      </c>
      <c r="I477" s="198" t="s">
        <v>112</v>
      </c>
      <c r="J477" s="250" t="s">
        <v>143</v>
      </c>
      <c r="K477" s="195" t="s">
        <v>687</v>
      </c>
      <c r="L477" s="197"/>
      <c r="M477" s="197"/>
      <c r="N477" s="197"/>
      <c r="O477" s="197"/>
    </row>
    <row r="478" spans="1:15" hidden="1">
      <c r="A478" s="189" t="s">
        <v>137</v>
      </c>
      <c r="B478" s="189" t="s">
        <v>683</v>
      </c>
      <c r="C478" s="189" t="s">
        <v>684</v>
      </c>
      <c r="D478" s="189" t="s">
        <v>784</v>
      </c>
      <c r="E478" s="189" t="s">
        <v>787</v>
      </c>
      <c r="F478" s="189" t="s">
        <v>149</v>
      </c>
      <c r="G478" s="281">
        <v>21</v>
      </c>
      <c r="H478" s="282">
        <v>21</v>
      </c>
      <c r="I478" s="198" t="s">
        <v>112</v>
      </c>
      <c r="J478" s="250" t="s">
        <v>143</v>
      </c>
      <c r="K478" s="195" t="s">
        <v>687</v>
      </c>
      <c r="L478" s="197"/>
      <c r="M478" s="197"/>
      <c r="N478" s="197"/>
      <c r="O478" s="197"/>
    </row>
    <row r="479" spans="1:15" hidden="1">
      <c r="A479" s="189" t="s">
        <v>137</v>
      </c>
      <c r="B479" s="189" t="s">
        <v>683</v>
      </c>
      <c r="C479" s="189" t="s">
        <v>684</v>
      </c>
      <c r="D479" s="189" t="s">
        <v>784</v>
      </c>
      <c r="E479" s="189" t="s">
        <v>788</v>
      </c>
      <c r="F479" s="189" t="s">
        <v>142</v>
      </c>
      <c r="G479" s="281">
        <v>29.48</v>
      </c>
      <c r="H479" s="282">
        <v>29.48</v>
      </c>
      <c r="I479" s="198" t="s">
        <v>112</v>
      </c>
      <c r="J479" s="250" t="s">
        <v>143</v>
      </c>
      <c r="K479" s="195" t="s">
        <v>687</v>
      </c>
      <c r="L479" s="197"/>
      <c r="M479" s="197"/>
      <c r="N479" s="197"/>
      <c r="O479" s="197"/>
    </row>
    <row r="480" spans="1:15" hidden="1">
      <c r="A480" s="189" t="s">
        <v>137</v>
      </c>
      <c r="B480" s="189" t="s">
        <v>683</v>
      </c>
      <c r="C480" s="189" t="s">
        <v>684</v>
      </c>
      <c r="D480" s="189" t="s">
        <v>789</v>
      </c>
      <c r="E480" s="189" t="s">
        <v>790</v>
      </c>
      <c r="F480" s="189" t="s">
        <v>153</v>
      </c>
      <c r="G480" s="281">
        <v>66.33</v>
      </c>
      <c r="H480" s="282">
        <v>66.33</v>
      </c>
      <c r="I480" s="198" t="s">
        <v>112</v>
      </c>
      <c r="J480" s="250" t="s">
        <v>143</v>
      </c>
      <c r="K480" s="195" t="s">
        <v>687</v>
      </c>
      <c r="L480" s="197"/>
      <c r="M480" s="197"/>
      <c r="N480" s="197"/>
      <c r="O480" s="197"/>
    </row>
    <row r="481" spans="1:15" hidden="1">
      <c r="A481" s="189" t="s">
        <v>137</v>
      </c>
      <c r="B481" s="189" t="s">
        <v>683</v>
      </c>
      <c r="C481" s="189" t="s">
        <v>684</v>
      </c>
      <c r="D481" s="189" t="s">
        <v>789</v>
      </c>
      <c r="E481" s="189" t="s">
        <v>791</v>
      </c>
      <c r="F481" s="189" t="s">
        <v>146</v>
      </c>
      <c r="G481" s="281">
        <v>63</v>
      </c>
      <c r="H481" s="282">
        <v>63</v>
      </c>
      <c r="I481" s="198" t="s">
        <v>112</v>
      </c>
      <c r="J481" s="250" t="s">
        <v>143</v>
      </c>
      <c r="K481" s="195" t="s">
        <v>687</v>
      </c>
      <c r="L481" s="197"/>
      <c r="M481" s="197"/>
      <c r="N481" s="197"/>
      <c r="O481" s="197"/>
    </row>
    <row r="482" spans="1:15" hidden="1">
      <c r="A482" s="189" t="s">
        <v>137</v>
      </c>
      <c r="B482" s="189" t="s">
        <v>683</v>
      </c>
      <c r="C482" s="189" t="s">
        <v>684</v>
      </c>
      <c r="D482" s="189" t="s">
        <v>789</v>
      </c>
      <c r="E482" s="189" t="s">
        <v>792</v>
      </c>
      <c r="F482" s="189" t="s">
        <v>149</v>
      </c>
      <c r="G482" s="281">
        <v>113</v>
      </c>
      <c r="H482" s="282">
        <v>113</v>
      </c>
      <c r="I482" s="198" t="s">
        <v>112</v>
      </c>
      <c r="J482" s="250" t="s">
        <v>143</v>
      </c>
      <c r="K482" s="195" t="s">
        <v>687</v>
      </c>
      <c r="L482" s="197"/>
      <c r="M482" s="197"/>
      <c r="N482" s="197"/>
      <c r="O482" s="197"/>
    </row>
    <row r="483" spans="1:15" hidden="1">
      <c r="A483" s="189" t="s">
        <v>137</v>
      </c>
      <c r="B483" s="189" t="s">
        <v>683</v>
      </c>
      <c r="C483" s="189" t="s">
        <v>684</v>
      </c>
      <c r="D483" s="189" t="s">
        <v>789</v>
      </c>
      <c r="E483" s="189" t="s">
        <v>793</v>
      </c>
      <c r="F483" s="189" t="s">
        <v>142</v>
      </c>
      <c r="G483" s="281">
        <v>66.33</v>
      </c>
      <c r="H483" s="282">
        <v>66.33</v>
      </c>
      <c r="I483" s="198" t="s">
        <v>112</v>
      </c>
      <c r="J483" s="250" t="s">
        <v>143</v>
      </c>
      <c r="K483" s="195" t="s">
        <v>687</v>
      </c>
      <c r="L483" s="197"/>
      <c r="M483" s="197"/>
      <c r="N483" s="197"/>
      <c r="O483" s="197"/>
    </row>
    <row r="484" spans="1:15" hidden="1">
      <c r="A484" s="189" t="s">
        <v>137</v>
      </c>
      <c r="B484" s="189" t="s">
        <v>683</v>
      </c>
      <c r="C484" s="189" t="s">
        <v>684</v>
      </c>
      <c r="D484" s="189" t="s">
        <v>403</v>
      </c>
      <c r="E484" s="189" t="s">
        <v>794</v>
      </c>
      <c r="F484" s="189" t="s">
        <v>153</v>
      </c>
      <c r="G484" s="281">
        <v>110.55</v>
      </c>
      <c r="H484" s="282">
        <v>110.55</v>
      </c>
      <c r="I484" s="198" t="s">
        <v>112</v>
      </c>
      <c r="J484" s="250" t="s">
        <v>143</v>
      </c>
      <c r="K484" s="195" t="s">
        <v>687</v>
      </c>
      <c r="L484" s="197"/>
      <c r="M484" s="197"/>
      <c r="N484" s="197"/>
      <c r="O484" s="197"/>
    </row>
    <row r="485" spans="1:15" hidden="1">
      <c r="A485" s="189" t="s">
        <v>137</v>
      </c>
      <c r="B485" s="189" t="s">
        <v>683</v>
      </c>
      <c r="C485" s="189" t="s">
        <v>684</v>
      </c>
      <c r="D485" s="189" t="s">
        <v>403</v>
      </c>
      <c r="E485" s="189" t="s">
        <v>795</v>
      </c>
      <c r="F485" s="189" t="s">
        <v>146</v>
      </c>
      <c r="G485" s="281">
        <v>112</v>
      </c>
      <c r="H485" s="282">
        <v>112</v>
      </c>
      <c r="I485" s="198" t="s">
        <v>112</v>
      </c>
      <c r="J485" s="250" t="s">
        <v>143</v>
      </c>
      <c r="K485" s="195" t="s">
        <v>687</v>
      </c>
      <c r="L485" s="197"/>
      <c r="M485" s="197"/>
      <c r="N485" s="197"/>
      <c r="O485" s="197"/>
    </row>
    <row r="486" spans="1:15" hidden="1">
      <c r="A486" s="189" t="s">
        <v>137</v>
      </c>
      <c r="B486" s="189" t="s">
        <v>683</v>
      </c>
      <c r="C486" s="189" t="s">
        <v>684</v>
      </c>
      <c r="D486" s="189" t="s">
        <v>403</v>
      </c>
      <c r="E486" s="189" t="s">
        <v>796</v>
      </c>
      <c r="F486" s="189" t="s">
        <v>149</v>
      </c>
      <c r="G486" s="281">
        <v>105</v>
      </c>
      <c r="H486" s="282">
        <v>105</v>
      </c>
      <c r="I486" s="198" t="s">
        <v>112</v>
      </c>
      <c r="J486" s="250" t="s">
        <v>143</v>
      </c>
      <c r="K486" s="195" t="s">
        <v>687</v>
      </c>
      <c r="L486" s="197"/>
      <c r="M486" s="197"/>
      <c r="N486" s="197"/>
      <c r="O486" s="197"/>
    </row>
    <row r="487" spans="1:15" hidden="1">
      <c r="A487" s="189" t="s">
        <v>137</v>
      </c>
      <c r="B487" s="189" t="s">
        <v>683</v>
      </c>
      <c r="C487" s="189" t="s">
        <v>684</v>
      </c>
      <c r="D487" s="189" t="s">
        <v>403</v>
      </c>
      <c r="E487" s="189" t="s">
        <v>797</v>
      </c>
      <c r="F487" s="189" t="s">
        <v>142</v>
      </c>
      <c r="G487" s="281">
        <v>110.55</v>
      </c>
      <c r="H487" s="282">
        <v>110.55</v>
      </c>
      <c r="I487" s="198" t="s">
        <v>112</v>
      </c>
      <c r="J487" s="250" t="s">
        <v>143</v>
      </c>
      <c r="K487" s="195" t="s">
        <v>687</v>
      </c>
      <c r="L487" s="197"/>
      <c r="M487" s="197"/>
      <c r="N487" s="197"/>
      <c r="O487" s="197"/>
    </row>
    <row r="488" spans="1:15" hidden="1">
      <c r="A488" s="189" t="s">
        <v>137</v>
      </c>
      <c r="B488" s="189" t="s">
        <v>683</v>
      </c>
      <c r="C488" s="189" t="s">
        <v>684</v>
      </c>
      <c r="D488" s="189" t="s">
        <v>798</v>
      </c>
      <c r="E488" s="189" t="s">
        <v>799</v>
      </c>
      <c r="F488" s="189" t="s">
        <v>142</v>
      </c>
      <c r="G488" s="281">
        <v>36.85</v>
      </c>
      <c r="H488" s="282">
        <v>36.85</v>
      </c>
      <c r="I488" s="198" t="s">
        <v>112</v>
      </c>
      <c r="J488" s="250" t="s">
        <v>143</v>
      </c>
      <c r="K488" s="195" t="s">
        <v>687</v>
      </c>
      <c r="L488" s="197"/>
      <c r="M488" s="197"/>
      <c r="N488" s="197"/>
      <c r="O488" s="197"/>
    </row>
    <row r="489" spans="1:15" hidden="1">
      <c r="A489" s="189" t="s">
        <v>137</v>
      </c>
      <c r="B489" s="189" t="s">
        <v>683</v>
      </c>
      <c r="C489" s="189" t="s">
        <v>684</v>
      </c>
      <c r="D489" s="189" t="s">
        <v>425</v>
      </c>
      <c r="E489" s="189" t="s">
        <v>800</v>
      </c>
      <c r="F489" s="189" t="s">
        <v>153</v>
      </c>
      <c r="G489" s="281">
        <v>132.66</v>
      </c>
      <c r="H489" s="282">
        <v>132.66</v>
      </c>
      <c r="I489" s="198" t="s">
        <v>112</v>
      </c>
      <c r="J489" s="250" t="s">
        <v>143</v>
      </c>
      <c r="K489" s="195" t="s">
        <v>687</v>
      </c>
      <c r="L489" s="197"/>
      <c r="M489" s="197"/>
      <c r="N489" s="197"/>
      <c r="O489" s="197"/>
    </row>
    <row r="490" spans="1:15" hidden="1">
      <c r="A490" s="189" t="s">
        <v>137</v>
      </c>
      <c r="B490" s="189" t="s">
        <v>683</v>
      </c>
      <c r="C490" s="189" t="s">
        <v>684</v>
      </c>
      <c r="D490" s="189" t="s">
        <v>425</v>
      </c>
      <c r="E490" s="189" t="s">
        <v>801</v>
      </c>
      <c r="F490" s="189" t="s">
        <v>146</v>
      </c>
      <c r="G490" s="281">
        <v>133</v>
      </c>
      <c r="H490" s="282">
        <v>133</v>
      </c>
      <c r="I490" s="198" t="s">
        <v>112</v>
      </c>
      <c r="J490" s="250" t="s">
        <v>143</v>
      </c>
      <c r="K490" s="195" t="s">
        <v>687</v>
      </c>
      <c r="L490" s="197"/>
      <c r="M490" s="197"/>
      <c r="N490" s="197"/>
      <c r="O490" s="197"/>
    </row>
    <row r="491" spans="1:15" hidden="1">
      <c r="A491" s="189" t="s">
        <v>137</v>
      </c>
      <c r="B491" s="189" t="s">
        <v>683</v>
      </c>
      <c r="C491" s="189" t="s">
        <v>684</v>
      </c>
      <c r="D491" s="189" t="s">
        <v>425</v>
      </c>
      <c r="E491" s="189" t="s">
        <v>802</v>
      </c>
      <c r="F491" s="189" t="s">
        <v>149</v>
      </c>
      <c r="G491" s="281">
        <v>133</v>
      </c>
      <c r="H491" s="282">
        <v>133</v>
      </c>
      <c r="I491" s="198" t="s">
        <v>112</v>
      </c>
      <c r="J491" s="250" t="s">
        <v>143</v>
      </c>
      <c r="K491" s="195" t="s">
        <v>687</v>
      </c>
      <c r="L491" s="197"/>
      <c r="M491" s="197"/>
      <c r="N491" s="197"/>
      <c r="O491" s="197"/>
    </row>
    <row r="492" spans="1:15" hidden="1">
      <c r="A492" s="189" t="s">
        <v>137</v>
      </c>
      <c r="B492" s="189" t="s">
        <v>683</v>
      </c>
      <c r="C492" s="189" t="s">
        <v>684</v>
      </c>
      <c r="D492" s="189" t="s">
        <v>425</v>
      </c>
      <c r="E492" s="189" t="s">
        <v>803</v>
      </c>
      <c r="F492" s="189" t="s">
        <v>142</v>
      </c>
      <c r="G492" s="281">
        <v>140.03</v>
      </c>
      <c r="H492" s="282">
        <v>140.03</v>
      </c>
      <c r="I492" s="198" t="s">
        <v>112</v>
      </c>
      <c r="J492" s="250" t="s">
        <v>143</v>
      </c>
      <c r="K492" s="195" t="s">
        <v>687</v>
      </c>
      <c r="L492" s="197"/>
      <c r="M492" s="197"/>
      <c r="N492" s="197"/>
      <c r="O492" s="197"/>
    </row>
    <row r="493" spans="1:15" hidden="1">
      <c r="A493" s="189" t="s">
        <v>137</v>
      </c>
      <c r="B493" s="189" t="s">
        <v>683</v>
      </c>
      <c r="C493" s="189" t="s">
        <v>684</v>
      </c>
      <c r="D493" s="189" t="s">
        <v>598</v>
      </c>
      <c r="E493" s="189" t="s">
        <v>804</v>
      </c>
      <c r="F493" s="189" t="s">
        <v>153</v>
      </c>
      <c r="G493" s="281">
        <v>44.22</v>
      </c>
      <c r="H493" s="282">
        <v>44.22</v>
      </c>
      <c r="I493" s="198" t="s">
        <v>112</v>
      </c>
      <c r="J493" s="250" t="s">
        <v>143</v>
      </c>
      <c r="K493" s="195" t="s">
        <v>687</v>
      </c>
      <c r="L493" s="197"/>
      <c r="M493" s="197"/>
      <c r="N493" s="197"/>
      <c r="O493" s="197"/>
    </row>
    <row r="494" spans="1:15" hidden="1">
      <c r="A494" s="189" t="s">
        <v>137</v>
      </c>
      <c r="B494" s="189" t="s">
        <v>683</v>
      </c>
      <c r="C494" s="189" t="s">
        <v>684</v>
      </c>
      <c r="D494" s="189" t="s">
        <v>598</v>
      </c>
      <c r="E494" s="189" t="s">
        <v>805</v>
      </c>
      <c r="F494" s="189" t="s">
        <v>146</v>
      </c>
      <c r="G494" s="281">
        <v>42</v>
      </c>
      <c r="H494" s="282">
        <v>42</v>
      </c>
      <c r="I494" s="198" t="s">
        <v>112</v>
      </c>
      <c r="J494" s="250" t="s">
        <v>143</v>
      </c>
      <c r="K494" s="195" t="s">
        <v>687</v>
      </c>
      <c r="L494" s="197"/>
      <c r="M494" s="197"/>
      <c r="N494" s="197"/>
      <c r="O494" s="197"/>
    </row>
    <row r="495" spans="1:15" hidden="1">
      <c r="A495" s="189" t="s">
        <v>137</v>
      </c>
      <c r="B495" s="189" t="s">
        <v>683</v>
      </c>
      <c r="C495" s="189" t="s">
        <v>684</v>
      </c>
      <c r="D495" s="189" t="s">
        <v>598</v>
      </c>
      <c r="E495" s="189" t="s">
        <v>806</v>
      </c>
      <c r="F495" s="189" t="s">
        <v>149</v>
      </c>
      <c r="G495" s="281">
        <v>42</v>
      </c>
      <c r="H495" s="282">
        <v>42</v>
      </c>
      <c r="I495" s="198" t="s">
        <v>112</v>
      </c>
      <c r="J495" s="250" t="s">
        <v>143</v>
      </c>
      <c r="K495" s="195" t="s">
        <v>687</v>
      </c>
      <c r="L495" s="197"/>
      <c r="M495" s="197"/>
      <c r="N495" s="197"/>
      <c r="O495" s="197"/>
    </row>
    <row r="496" spans="1:15" hidden="1">
      <c r="A496" s="189" t="s">
        <v>137</v>
      </c>
      <c r="B496" s="189" t="s">
        <v>683</v>
      </c>
      <c r="C496" s="189" t="s">
        <v>684</v>
      </c>
      <c r="D496" s="189" t="s">
        <v>598</v>
      </c>
      <c r="E496" s="189" t="s">
        <v>807</v>
      </c>
      <c r="F496" s="189" t="s">
        <v>142</v>
      </c>
      <c r="G496" s="281">
        <v>94.22</v>
      </c>
      <c r="H496" s="282">
        <v>94.22</v>
      </c>
      <c r="I496" s="198" t="s">
        <v>112</v>
      </c>
      <c r="J496" s="250" t="s">
        <v>143</v>
      </c>
      <c r="K496" s="195" t="s">
        <v>687</v>
      </c>
      <c r="L496" s="197"/>
      <c r="M496" s="197"/>
      <c r="N496" s="197"/>
      <c r="O496" s="197"/>
    </row>
    <row r="497" spans="1:15" hidden="1">
      <c r="A497" s="189" t="s">
        <v>137</v>
      </c>
      <c r="B497" s="189" t="s">
        <v>683</v>
      </c>
      <c r="C497" s="189" t="s">
        <v>684</v>
      </c>
      <c r="D497" s="189" t="s">
        <v>808</v>
      </c>
      <c r="E497" s="189" t="s">
        <v>809</v>
      </c>
      <c r="F497" s="189" t="s">
        <v>153</v>
      </c>
      <c r="G497" s="281">
        <v>36.85</v>
      </c>
      <c r="H497" s="282">
        <v>36.85</v>
      </c>
      <c r="I497" s="198" t="s">
        <v>112</v>
      </c>
      <c r="J497" s="250" t="s">
        <v>143</v>
      </c>
      <c r="K497" s="195" t="s">
        <v>687</v>
      </c>
      <c r="L497" s="197"/>
      <c r="M497" s="197"/>
      <c r="N497" s="197"/>
      <c r="O497" s="197"/>
    </row>
    <row r="498" spans="1:15" hidden="1">
      <c r="A498" s="189" t="s">
        <v>137</v>
      </c>
      <c r="B498" s="189" t="s">
        <v>683</v>
      </c>
      <c r="C498" s="189" t="s">
        <v>684</v>
      </c>
      <c r="D498" s="189" t="s">
        <v>808</v>
      </c>
      <c r="E498" s="189" t="s">
        <v>810</v>
      </c>
      <c r="F498" s="189" t="s">
        <v>146</v>
      </c>
      <c r="G498" s="281">
        <v>85</v>
      </c>
      <c r="H498" s="282">
        <v>85</v>
      </c>
      <c r="I498" s="198" t="s">
        <v>112</v>
      </c>
      <c r="J498" s="250" t="s">
        <v>143</v>
      </c>
      <c r="K498" s="195" t="s">
        <v>687</v>
      </c>
      <c r="L498" s="197"/>
      <c r="M498" s="197"/>
      <c r="N498" s="197"/>
      <c r="O498" s="197"/>
    </row>
    <row r="499" spans="1:15" hidden="1">
      <c r="A499" s="189" t="s">
        <v>137</v>
      </c>
      <c r="B499" s="189" t="s">
        <v>683</v>
      </c>
      <c r="C499" s="189" t="s">
        <v>684</v>
      </c>
      <c r="D499" s="189" t="s">
        <v>808</v>
      </c>
      <c r="E499" s="189" t="s">
        <v>811</v>
      </c>
      <c r="F499" s="189" t="s">
        <v>149</v>
      </c>
      <c r="G499" s="281">
        <v>35</v>
      </c>
      <c r="H499" s="282">
        <v>35</v>
      </c>
      <c r="I499" s="198" t="s">
        <v>112</v>
      </c>
      <c r="J499" s="250" t="s">
        <v>143</v>
      </c>
      <c r="K499" s="195" t="s">
        <v>687</v>
      </c>
      <c r="L499" s="197"/>
      <c r="M499" s="197"/>
      <c r="N499" s="197"/>
      <c r="O499" s="197"/>
    </row>
    <row r="500" spans="1:15" hidden="1">
      <c r="A500" s="189" t="s">
        <v>137</v>
      </c>
      <c r="B500" s="189" t="s">
        <v>683</v>
      </c>
      <c r="C500" s="189" t="s">
        <v>684</v>
      </c>
      <c r="D500" s="189" t="s">
        <v>808</v>
      </c>
      <c r="E500" s="189" t="s">
        <v>812</v>
      </c>
      <c r="F500" s="189" t="s">
        <v>142</v>
      </c>
      <c r="G500" s="281">
        <v>36.85</v>
      </c>
      <c r="H500" s="282">
        <v>36.85</v>
      </c>
      <c r="I500" s="198" t="s">
        <v>112</v>
      </c>
      <c r="J500" s="250" t="s">
        <v>143</v>
      </c>
      <c r="K500" s="195" t="s">
        <v>687</v>
      </c>
      <c r="L500" s="197"/>
      <c r="M500" s="197"/>
      <c r="N500" s="197"/>
      <c r="O500" s="197"/>
    </row>
    <row r="501" spans="1:15" hidden="1">
      <c r="A501" s="189" t="s">
        <v>137</v>
      </c>
      <c r="B501" s="189" t="s">
        <v>683</v>
      </c>
      <c r="C501" s="189" t="s">
        <v>684</v>
      </c>
      <c r="D501" s="189" t="s">
        <v>813</v>
      </c>
      <c r="E501" s="189" t="s">
        <v>814</v>
      </c>
      <c r="F501" s="189" t="s">
        <v>142</v>
      </c>
      <c r="G501" s="281">
        <v>14.74</v>
      </c>
      <c r="H501" s="282">
        <v>14.74</v>
      </c>
      <c r="I501" s="198" t="s">
        <v>112</v>
      </c>
      <c r="J501" s="250" t="s">
        <v>143</v>
      </c>
      <c r="K501" s="195" t="s">
        <v>687</v>
      </c>
      <c r="L501" s="197"/>
      <c r="M501" s="197"/>
      <c r="N501" s="197"/>
      <c r="O501" s="197"/>
    </row>
    <row r="502" spans="1:15" hidden="1">
      <c r="A502" s="189" t="s">
        <v>137</v>
      </c>
      <c r="B502" s="189" t="s">
        <v>683</v>
      </c>
      <c r="C502" s="189" t="s">
        <v>684</v>
      </c>
      <c r="D502" s="189" t="s">
        <v>815</v>
      </c>
      <c r="E502" s="189" t="s">
        <v>816</v>
      </c>
      <c r="F502" s="189" t="s">
        <v>153</v>
      </c>
      <c r="G502" s="281">
        <v>14.74</v>
      </c>
      <c r="H502" s="282">
        <v>14.74</v>
      </c>
      <c r="I502" s="198" t="s">
        <v>112</v>
      </c>
      <c r="J502" s="250" t="s">
        <v>143</v>
      </c>
      <c r="K502" s="195" t="s">
        <v>687</v>
      </c>
      <c r="L502" s="197"/>
      <c r="M502" s="197"/>
      <c r="N502" s="197"/>
      <c r="O502" s="197"/>
    </row>
    <row r="503" spans="1:15" hidden="1">
      <c r="A503" s="189" t="s">
        <v>137</v>
      </c>
      <c r="B503" s="189" t="s">
        <v>683</v>
      </c>
      <c r="C503" s="189" t="s">
        <v>684</v>
      </c>
      <c r="D503" s="189" t="s">
        <v>817</v>
      </c>
      <c r="E503" s="189" t="s">
        <v>818</v>
      </c>
      <c r="F503" s="189" t="s">
        <v>142</v>
      </c>
      <c r="G503" s="281">
        <v>29.48</v>
      </c>
      <c r="H503" s="282">
        <v>29.48</v>
      </c>
      <c r="I503" s="198" t="s">
        <v>112</v>
      </c>
      <c r="J503" s="250" t="s">
        <v>143</v>
      </c>
      <c r="K503" s="195" t="s">
        <v>687</v>
      </c>
      <c r="L503" s="197"/>
      <c r="M503" s="197"/>
      <c r="N503" s="197"/>
      <c r="O503" s="197"/>
    </row>
    <row r="504" spans="1:15" hidden="1">
      <c r="A504" s="189" t="s">
        <v>137</v>
      </c>
      <c r="B504" s="189" t="s">
        <v>683</v>
      </c>
      <c r="C504" s="189" t="s">
        <v>684</v>
      </c>
      <c r="D504" s="189" t="s">
        <v>819</v>
      </c>
      <c r="E504" s="189" t="s">
        <v>820</v>
      </c>
      <c r="F504" s="189" t="s">
        <v>153</v>
      </c>
      <c r="G504" s="281">
        <v>36.85</v>
      </c>
      <c r="H504" s="282">
        <v>36.85</v>
      </c>
      <c r="I504" s="198" t="s">
        <v>112</v>
      </c>
      <c r="J504" s="250" t="s">
        <v>143</v>
      </c>
      <c r="K504" s="195" t="s">
        <v>687</v>
      </c>
      <c r="L504" s="197"/>
      <c r="M504" s="197"/>
      <c r="N504" s="197"/>
      <c r="O504" s="197"/>
    </row>
    <row r="505" spans="1:15" hidden="1">
      <c r="A505" s="189" t="s">
        <v>137</v>
      </c>
      <c r="B505" s="189" t="s">
        <v>683</v>
      </c>
      <c r="C505" s="189" t="s">
        <v>684</v>
      </c>
      <c r="D505" s="189" t="s">
        <v>819</v>
      </c>
      <c r="E505" s="189" t="s">
        <v>821</v>
      </c>
      <c r="F505" s="189" t="s">
        <v>146</v>
      </c>
      <c r="G505" s="281">
        <v>92</v>
      </c>
      <c r="H505" s="282">
        <v>92</v>
      </c>
      <c r="I505" s="198" t="s">
        <v>112</v>
      </c>
      <c r="J505" s="250" t="s">
        <v>143</v>
      </c>
      <c r="K505" s="195" t="s">
        <v>687</v>
      </c>
      <c r="L505" s="197"/>
      <c r="M505" s="197"/>
      <c r="N505" s="197"/>
      <c r="O505" s="197"/>
    </row>
    <row r="506" spans="1:15" hidden="1">
      <c r="A506" s="189" t="s">
        <v>137</v>
      </c>
      <c r="B506" s="189" t="s">
        <v>683</v>
      </c>
      <c r="C506" s="189" t="s">
        <v>684</v>
      </c>
      <c r="D506" s="189" t="s">
        <v>819</v>
      </c>
      <c r="E506" s="189" t="s">
        <v>822</v>
      </c>
      <c r="F506" s="189" t="s">
        <v>149</v>
      </c>
      <c r="G506" s="281">
        <v>35</v>
      </c>
      <c r="H506" s="282">
        <v>35</v>
      </c>
      <c r="I506" s="198" t="s">
        <v>112</v>
      </c>
      <c r="J506" s="250" t="s">
        <v>143</v>
      </c>
      <c r="K506" s="195" t="s">
        <v>687</v>
      </c>
      <c r="L506" s="197"/>
      <c r="M506" s="197"/>
      <c r="N506" s="197"/>
      <c r="O506" s="197"/>
    </row>
    <row r="507" spans="1:15" hidden="1">
      <c r="A507" s="189" t="s">
        <v>137</v>
      </c>
      <c r="B507" s="189" t="s">
        <v>683</v>
      </c>
      <c r="C507" s="189" t="s">
        <v>684</v>
      </c>
      <c r="D507" s="189" t="s">
        <v>819</v>
      </c>
      <c r="E507" s="189" t="s">
        <v>823</v>
      </c>
      <c r="F507" s="189" t="s">
        <v>142</v>
      </c>
      <c r="G507" s="281">
        <v>36.85</v>
      </c>
      <c r="H507" s="282">
        <v>36.85</v>
      </c>
      <c r="I507" s="198" t="s">
        <v>112</v>
      </c>
      <c r="J507" s="250" t="s">
        <v>143</v>
      </c>
      <c r="K507" s="195" t="s">
        <v>687</v>
      </c>
      <c r="L507" s="197"/>
      <c r="M507" s="197"/>
      <c r="N507" s="197"/>
      <c r="O507" s="197"/>
    </row>
    <row r="508" spans="1:15" hidden="1">
      <c r="A508" s="195" t="s">
        <v>137</v>
      </c>
      <c r="B508" s="195" t="s">
        <v>683</v>
      </c>
      <c r="C508" s="195" t="s">
        <v>684</v>
      </c>
      <c r="D508" s="195" t="s">
        <v>824</v>
      </c>
      <c r="E508" s="195" t="s">
        <v>825</v>
      </c>
      <c r="F508" s="195" t="s">
        <v>153</v>
      </c>
      <c r="G508" s="284">
        <v>22.11</v>
      </c>
      <c r="H508" s="285">
        <v>22.11</v>
      </c>
      <c r="I508" s="198" t="s">
        <v>112</v>
      </c>
      <c r="J508" s="250" t="s">
        <v>143</v>
      </c>
      <c r="K508" s="195" t="s">
        <v>687</v>
      </c>
      <c r="L508" s="197"/>
      <c r="M508" s="197"/>
      <c r="N508" s="197"/>
      <c r="O508" s="197"/>
    </row>
    <row r="509" spans="1:15" hidden="1">
      <c r="A509" s="195" t="s">
        <v>137</v>
      </c>
      <c r="B509" s="195" t="s">
        <v>683</v>
      </c>
      <c r="C509" s="195" t="s">
        <v>684</v>
      </c>
      <c r="D509" s="189" t="s">
        <v>824</v>
      </c>
      <c r="E509" s="195" t="s">
        <v>826</v>
      </c>
      <c r="F509" s="195" t="s">
        <v>146</v>
      </c>
      <c r="G509" s="284">
        <v>64</v>
      </c>
      <c r="H509" s="285">
        <v>64</v>
      </c>
      <c r="I509" s="198" t="s">
        <v>112</v>
      </c>
      <c r="J509" s="250" t="s">
        <v>143</v>
      </c>
      <c r="K509" s="195" t="s">
        <v>687</v>
      </c>
      <c r="L509" s="197"/>
      <c r="M509" s="197"/>
      <c r="N509" s="197"/>
      <c r="O509" s="197"/>
    </row>
    <row r="510" spans="1:15" hidden="1">
      <c r="A510" s="195" t="s">
        <v>137</v>
      </c>
      <c r="B510" s="195" t="s">
        <v>683</v>
      </c>
      <c r="C510" s="195" t="s">
        <v>684</v>
      </c>
      <c r="D510" s="189" t="s">
        <v>824</v>
      </c>
      <c r="E510" s="195" t="s">
        <v>827</v>
      </c>
      <c r="F510" s="195" t="s">
        <v>142</v>
      </c>
      <c r="G510" s="284">
        <v>72.11</v>
      </c>
      <c r="H510" s="285">
        <v>72.11</v>
      </c>
      <c r="I510" s="198" t="s">
        <v>112</v>
      </c>
      <c r="J510" s="250" t="s">
        <v>143</v>
      </c>
      <c r="K510" s="195" t="s">
        <v>687</v>
      </c>
      <c r="L510" s="197"/>
      <c r="M510" s="197"/>
      <c r="N510" s="197"/>
      <c r="O510" s="197"/>
    </row>
    <row r="511" spans="1:15" hidden="1">
      <c r="A511" s="195" t="s">
        <v>137</v>
      </c>
      <c r="B511" s="195" t="s">
        <v>683</v>
      </c>
      <c r="C511" s="195" t="s">
        <v>684</v>
      </c>
      <c r="D511" s="195" t="s">
        <v>828</v>
      </c>
      <c r="E511" s="195" t="s">
        <v>829</v>
      </c>
      <c r="F511" s="195" t="s">
        <v>153</v>
      </c>
      <c r="G511" s="284">
        <v>29.48</v>
      </c>
      <c r="H511" s="285">
        <v>29.48</v>
      </c>
      <c r="I511" s="198" t="s">
        <v>112</v>
      </c>
      <c r="J511" s="250" t="s">
        <v>143</v>
      </c>
      <c r="K511" s="195" t="s">
        <v>687</v>
      </c>
      <c r="L511" s="197"/>
      <c r="M511" s="197"/>
      <c r="N511" s="197"/>
      <c r="O511" s="197"/>
    </row>
    <row r="512" spans="1:15" hidden="1">
      <c r="A512" s="195" t="s">
        <v>137</v>
      </c>
      <c r="B512" s="195" t="s">
        <v>683</v>
      </c>
      <c r="C512" s="195" t="s">
        <v>684</v>
      </c>
      <c r="D512" s="195" t="s">
        <v>828</v>
      </c>
      <c r="E512" s="195" t="s">
        <v>830</v>
      </c>
      <c r="F512" s="195" t="s">
        <v>146</v>
      </c>
      <c r="G512" s="284">
        <v>28</v>
      </c>
      <c r="H512" s="285">
        <v>28</v>
      </c>
      <c r="I512" s="198" t="s">
        <v>112</v>
      </c>
      <c r="J512" s="250" t="s">
        <v>143</v>
      </c>
      <c r="K512" s="195" t="s">
        <v>687</v>
      </c>
      <c r="L512" s="197"/>
      <c r="M512" s="197"/>
      <c r="N512" s="197"/>
      <c r="O512" s="197"/>
    </row>
    <row r="513" spans="1:15" hidden="1">
      <c r="A513" s="195" t="s">
        <v>137</v>
      </c>
      <c r="B513" s="195" t="s">
        <v>683</v>
      </c>
      <c r="C513" s="195" t="s">
        <v>684</v>
      </c>
      <c r="D513" s="195" t="s">
        <v>828</v>
      </c>
      <c r="E513" s="195" t="s">
        <v>831</v>
      </c>
      <c r="F513" s="195" t="s">
        <v>149</v>
      </c>
      <c r="G513" s="284">
        <v>28</v>
      </c>
      <c r="H513" s="285">
        <v>28</v>
      </c>
      <c r="I513" s="198" t="s">
        <v>112</v>
      </c>
      <c r="J513" s="250" t="s">
        <v>143</v>
      </c>
      <c r="K513" s="195" t="s">
        <v>687</v>
      </c>
      <c r="L513" s="197"/>
      <c r="M513" s="197"/>
      <c r="N513" s="197"/>
      <c r="O513" s="197"/>
    </row>
    <row r="514" spans="1:15" hidden="1">
      <c r="A514" s="195" t="s">
        <v>137</v>
      </c>
      <c r="B514" s="195" t="s">
        <v>683</v>
      </c>
      <c r="C514" s="195" t="s">
        <v>684</v>
      </c>
      <c r="D514" s="195" t="s">
        <v>828</v>
      </c>
      <c r="E514" s="195" t="s">
        <v>832</v>
      </c>
      <c r="F514" s="195" t="s">
        <v>142</v>
      </c>
      <c r="G514" s="284">
        <v>129.47999999999999</v>
      </c>
      <c r="H514" s="285">
        <v>129.47999999999999</v>
      </c>
      <c r="I514" s="198" t="s">
        <v>112</v>
      </c>
      <c r="J514" s="250" t="s">
        <v>143</v>
      </c>
      <c r="K514" s="195" t="s">
        <v>687</v>
      </c>
      <c r="L514" s="197"/>
      <c r="M514" s="197"/>
      <c r="N514" s="197"/>
      <c r="O514" s="197"/>
    </row>
    <row r="515" spans="1:15" hidden="1">
      <c r="A515" s="195" t="s">
        <v>137</v>
      </c>
      <c r="B515" s="195" t="s">
        <v>683</v>
      </c>
      <c r="C515" s="195" t="s">
        <v>684</v>
      </c>
      <c r="D515" s="195" t="s">
        <v>410</v>
      </c>
      <c r="E515" s="195" t="s">
        <v>833</v>
      </c>
      <c r="F515" s="195" t="s">
        <v>153</v>
      </c>
      <c r="G515" s="284">
        <v>58.96</v>
      </c>
      <c r="H515" s="285">
        <v>58.96</v>
      </c>
      <c r="I515" s="198" t="s">
        <v>112</v>
      </c>
      <c r="J515" s="250" t="s">
        <v>143</v>
      </c>
      <c r="K515" s="195" t="s">
        <v>687</v>
      </c>
      <c r="L515" s="197"/>
      <c r="M515" s="197"/>
      <c r="N515" s="197"/>
      <c r="O515" s="197"/>
    </row>
    <row r="516" spans="1:15" hidden="1">
      <c r="A516" s="195" t="s">
        <v>137</v>
      </c>
      <c r="B516" s="195" t="s">
        <v>683</v>
      </c>
      <c r="C516" s="195" t="s">
        <v>684</v>
      </c>
      <c r="D516" s="195" t="s">
        <v>410</v>
      </c>
      <c r="E516" s="195" t="s">
        <v>834</v>
      </c>
      <c r="F516" s="195" t="s">
        <v>146</v>
      </c>
      <c r="G516" s="284">
        <v>56</v>
      </c>
      <c r="H516" s="285">
        <v>56</v>
      </c>
      <c r="I516" s="198" t="s">
        <v>112</v>
      </c>
      <c r="J516" s="250" t="s">
        <v>143</v>
      </c>
      <c r="K516" s="195" t="s">
        <v>687</v>
      </c>
      <c r="L516" s="197"/>
      <c r="M516" s="197"/>
      <c r="N516" s="197"/>
      <c r="O516" s="197"/>
    </row>
    <row r="517" spans="1:15" hidden="1">
      <c r="A517" s="195" t="s">
        <v>137</v>
      </c>
      <c r="B517" s="195" t="s">
        <v>683</v>
      </c>
      <c r="C517" s="195" t="s">
        <v>684</v>
      </c>
      <c r="D517" s="195" t="s">
        <v>410</v>
      </c>
      <c r="E517" s="195" t="s">
        <v>835</v>
      </c>
      <c r="F517" s="195" t="s">
        <v>149</v>
      </c>
      <c r="G517" s="284">
        <v>56</v>
      </c>
      <c r="H517" s="285">
        <v>56</v>
      </c>
      <c r="I517" s="198" t="s">
        <v>112</v>
      </c>
      <c r="J517" s="250" t="s">
        <v>143</v>
      </c>
      <c r="K517" s="195" t="s">
        <v>687</v>
      </c>
      <c r="L517" s="197"/>
      <c r="M517" s="197"/>
      <c r="N517" s="197"/>
      <c r="O517" s="197"/>
    </row>
    <row r="518" spans="1:15" hidden="1">
      <c r="A518" s="195" t="s">
        <v>137</v>
      </c>
      <c r="B518" s="195" t="s">
        <v>683</v>
      </c>
      <c r="C518" s="195" t="s">
        <v>684</v>
      </c>
      <c r="D518" s="195" t="s">
        <v>410</v>
      </c>
      <c r="E518" s="195" t="s">
        <v>836</v>
      </c>
      <c r="F518" s="195" t="s">
        <v>142</v>
      </c>
      <c r="G518" s="284">
        <v>108.96</v>
      </c>
      <c r="H518" s="285">
        <v>108.96</v>
      </c>
      <c r="I518" s="198" t="s">
        <v>112</v>
      </c>
      <c r="J518" s="250" t="s">
        <v>143</v>
      </c>
      <c r="K518" s="195" t="s">
        <v>687</v>
      </c>
      <c r="L518" s="197"/>
      <c r="M518" s="197"/>
      <c r="N518" s="197"/>
      <c r="O518" s="197"/>
    </row>
    <row r="519" spans="1:15" hidden="1">
      <c r="A519" s="195" t="s">
        <v>137</v>
      </c>
      <c r="B519" s="195" t="s">
        <v>683</v>
      </c>
      <c r="C519" s="195" t="s">
        <v>684</v>
      </c>
      <c r="D519" s="195" t="s">
        <v>837</v>
      </c>
      <c r="E519" s="195" t="s">
        <v>838</v>
      </c>
      <c r="F519" s="195" t="s">
        <v>153</v>
      </c>
      <c r="G519" s="284">
        <v>36.85</v>
      </c>
      <c r="H519" s="285">
        <v>36.85</v>
      </c>
      <c r="I519" s="198" t="s">
        <v>112</v>
      </c>
      <c r="J519" s="250" t="s">
        <v>143</v>
      </c>
      <c r="K519" s="195" t="s">
        <v>687</v>
      </c>
      <c r="L519" s="197"/>
      <c r="M519" s="197"/>
      <c r="N519" s="197"/>
      <c r="O519" s="197"/>
    </row>
    <row r="520" spans="1:15" hidden="1">
      <c r="A520" s="195" t="s">
        <v>137</v>
      </c>
      <c r="B520" s="195" t="s">
        <v>683</v>
      </c>
      <c r="C520" s="195" t="s">
        <v>684</v>
      </c>
      <c r="D520" s="195" t="s">
        <v>837</v>
      </c>
      <c r="E520" s="195" t="s">
        <v>839</v>
      </c>
      <c r="F520" s="195" t="s">
        <v>146</v>
      </c>
      <c r="G520" s="284">
        <v>35</v>
      </c>
      <c r="H520" s="285">
        <v>35</v>
      </c>
      <c r="I520" s="198" t="s">
        <v>112</v>
      </c>
      <c r="J520" s="250" t="s">
        <v>143</v>
      </c>
      <c r="K520" s="195" t="s">
        <v>687</v>
      </c>
      <c r="L520" s="197"/>
      <c r="M520" s="197"/>
      <c r="N520" s="197"/>
      <c r="O520" s="197"/>
    </row>
    <row r="521" spans="1:15" hidden="1">
      <c r="A521" s="195" t="s">
        <v>137</v>
      </c>
      <c r="B521" s="190" t="s">
        <v>683</v>
      </c>
      <c r="C521" s="191" t="s">
        <v>684</v>
      </c>
      <c r="D521" s="191" t="s">
        <v>837</v>
      </c>
      <c r="E521" s="191" t="s">
        <v>840</v>
      </c>
      <c r="F521" s="191" t="s">
        <v>149</v>
      </c>
      <c r="G521" s="286">
        <v>35</v>
      </c>
      <c r="H521" s="287">
        <v>35</v>
      </c>
      <c r="I521" s="198" t="s">
        <v>112</v>
      </c>
      <c r="J521" s="250" t="s">
        <v>143</v>
      </c>
      <c r="K521" s="195" t="s">
        <v>687</v>
      </c>
      <c r="L521" s="197"/>
      <c r="M521" s="197"/>
      <c r="N521" s="197"/>
      <c r="O521" s="197"/>
    </row>
    <row r="522" spans="1:15" hidden="1">
      <c r="A522" s="195" t="s">
        <v>137</v>
      </c>
      <c r="B522" s="190" t="s">
        <v>683</v>
      </c>
      <c r="C522" s="191" t="s">
        <v>684</v>
      </c>
      <c r="D522" s="191" t="s">
        <v>837</v>
      </c>
      <c r="E522" s="191" t="s">
        <v>841</v>
      </c>
      <c r="F522" s="191" t="s">
        <v>142</v>
      </c>
      <c r="G522" s="286">
        <v>86.85</v>
      </c>
      <c r="H522" s="287">
        <v>86.85</v>
      </c>
      <c r="I522" s="198" t="s">
        <v>112</v>
      </c>
      <c r="J522" s="250" t="s">
        <v>143</v>
      </c>
      <c r="K522" s="195" t="s">
        <v>687</v>
      </c>
      <c r="L522" s="197"/>
      <c r="M522" s="197"/>
      <c r="N522" s="197"/>
      <c r="O522" s="197"/>
    </row>
    <row r="523" spans="1:15" hidden="1">
      <c r="A523" s="195" t="s">
        <v>137</v>
      </c>
      <c r="B523" s="190" t="s">
        <v>683</v>
      </c>
      <c r="C523" s="191" t="s">
        <v>684</v>
      </c>
      <c r="D523" s="191" t="s">
        <v>842</v>
      </c>
      <c r="E523" s="191" t="s">
        <v>843</v>
      </c>
      <c r="F523" s="191" t="s">
        <v>153</v>
      </c>
      <c r="G523" s="286">
        <v>51.59</v>
      </c>
      <c r="H523" s="287">
        <v>51.59</v>
      </c>
      <c r="I523" s="198" t="s">
        <v>112</v>
      </c>
      <c r="J523" s="250" t="s">
        <v>143</v>
      </c>
      <c r="K523" s="195" t="s">
        <v>687</v>
      </c>
      <c r="L523" s="197"/>
      <c r="M523" s="197"/>
      <c r="N523" s="197"/>
      <c r="O523" s="197"/>
    </row>
    <row r="524" spans="1:15" hidden="1">
      <c r="A524" s="195" t="s">
        <v>137</v>
      </c>
      <c r="B524" s="190" t="s">
        <v>683</v>
      </c>
      <c r="C524" s="191" t="s">
        <v>684</v>
      </c>
      <c r="D524" s="191" t="s">
        <v>842</v>
      </c>
      <c r="E524" s="191" t="s">
        <v>844</v>
      </c>
      <c r="F524" s="191" t="s">
        <v>146</v>
      </c>
      <c r="G524" s="286">
        <v>49</v>
      </c>
      <c r="H524" s="287">
        <v>49</v>
      </c>
      <c r="I524" s="198" t="s">
        <v>112</v>
      </c>
      <c r="J524" s="250" t="s">
        <v>143</v>
      </c>
      <c r="K524" s="195" t="s">
        <v>687</v>
      </c>
      <c r="L524" s="197"/>
      <c r="M524" s="197"/>
      <c r="N524" s="197"/>
      <c r="O524" s="197"/>
    </row>
    <row r="525" spans="1:15" hidden="1">
      <c r="A525" s="195" t="s">
        <v>137</v>
      </c>
      <c r="B525" s="190" t="s">
        <v>683</v>
      </c>
      <c r="C525" s="191" t="s">
        <v>684</v>
      </c>
      <c r="D525" s="191" t="s">
        <v>842</v>
      </c>
      <c r="E525" s="191" t="s">
        <v>845</v>
      </c>
      <c r="F525" s="191" t="s">
        <v>149</v>
      </c>
      <c r="G525" s="286">
        <v>49</v>
      </c>
      <c r="H525" s="287">
        <v>49</v>
      </c>
      <c r="I525" s="198" t="s">
        <v>112</v>
      </c>
      <c r="J525" s="250" t="s">
        <v>143</v>
      </c>
      <c r="K525" s="195" t="s">
        <v>687</v>
      </c>
      <c r="L525" s="197"/>
      <c r="M525" s="197"/>
      <c r="N525" s="197"/>
      <c r="O525" s="197"/>
    </row>
    <row r="526" spans="1:15" hidden="1">
      <c r="A526" s="195" t="s">
        <v>137</v>
      </c>
      <c r="B526" s="190" t="s">
        <v>683</v>
      </c>
      <c r="C526" s="191" t="s">
        <v>684</v>
      </c>
      <c r="D526" s="191" t="s">
        <v>842</v>
      </c>
      <c r="E526" s="191" t="s">
        <v>846</v>
      </c>
      <c r="F526" s="191" t="s">
        <v>142</v>
      </c>
      <c r="G526" s="286">
        <v>51.59</v>
      </c>
      <c r="H526" s="287">
        <v>51.59</v>
      </c>
      <c r="I526" s="198" t="s">
        <v>112</v>
      </c>
      <c r="J526" s="250" t="s">
        <v>143</v>
      </c>
      <c r="K526" s="195" t="s">
        <v>687</v>
      </c>
      <c r="L526" s="197"/>
      <c r="M526" s="197"/>
      <c r="N526" s="197"/>
      <c r="O526" s="197"/>
    </row>
    <row r="527" spans="1:15" hidden="1">
      <c r="A527" s="195" t="s">
        <v>137</v>
      </c>
      <c r="B527" s="190" t="s">
        <v>683</v>
      </c>
      <c r="C527" s="191" t="s">
        <v>684</v>
      </c>
      <c r="D527" s="191" t="s">
        <v>338</v>
      </c>
      <c r="E527" s="191" t="s">
        <v>847</v>
      </c>
      <c r="F527" s="191" t="s">
        <v>153</v>
      </c>
      <c r="G527" s="286">
        <v>44.22</v>
      </c>
      <c r="H527" s="287">
        <v>44.22</v>
      </c>
      <c r="I527" s="198" t="s">
        <v>112</v>
      </c>
      <c r="J527" s="250" t="s">
        <v>143</v>
      </c>
      <c r="K527" s="195" t="s">
        <v>687</v>
      </c>
      <c r="L527" s="197"/>
      <c r="M527" s="197"/>
      <c r="N527" s="197"/>
      <c r="O527" s="197"/>
    </row>
    <row r="528" spans="1:15" hidden="1">
      <c r="A528" s="195" t="s">
        <v>137</v>
      </c>
      <c r="B528" s="190" t="s">
        <v>683</v>
      </c>
      <c r="C528" s="191" t="s">
        <v>684</v>
      </c>
      <c r="D528" s="191" t="s">
        <v>338</v>
      </c>
      <c r="E528" s="191" t="s">
        <v>848</v>
      </c>
      <c r="F528" s="189" t="s">
        <v>146</v>
      </c>
      <c r="G528" s="281">
        <v>42</v>
      </c>
      <c r="H528" s="287">
        <v>42</v>
      </c>
      <c r="I528" s="198" t="s">
        <v>112</v>
      </c>
      <c r="J528" s="250" t="s">
        <v>143</v>
      </c>
      <c r="K528" s="195" t="s">
        <v>687</v>
      </c>
      <c r="L528" s="197"/>
      <c r="M528" s="197"/>
      <c r="N528" s="197"/>
      <c r="O528" s="197"/>
    </row>
    <row r="529" spans="1:15" hidden="1">
      <c r="A529" s="195" t="s">
        <v>137</v>
      </c>
      <c r="B529" s="190" t="s">
        <v>683</v>
      </c>
      <c r="C529" s="191" t="s">
        <v>684</v>
      </c>
      <c r="D529" s="191" t="s">
        <v>338</v>
      </c>
      <c r="E529" s="191" t="s">
        <v>849</v>
      </c>
      <c r="F529" s="191" t="s">
        <v>149</v>
      </c>
      <c r="G529" s="286">
        <v>92</v>
      </c>
      <c r="H529" s="287">
        <v>92</v>
      </c>
      <c r="I529" s="198" t="s">
        <v>112</v>
      </c>
      <c r="J529" s="250" t="s">
        <v>143</v>
      </c>
      <c r="K529" s="195" t="s">
        <v>687</v>
      </c>
      <c r="L529" s="197"/>
      <c r="M529" s="197"/>
      <c r="N529" s="197"/>
      <c r="O529" s="197"/>
    </row>
    <row r="530" spans="1:15" hidden="1">
      <c r="A530" s="195" t="s">
        <v>137</v>
      </c>
      <c r="B530" s="190" t="s">
        <v>683</v>
      </c>
      <c r="C530" s="191" t="s">
        <v>684</v>
      </c>
      <c r="D530" s="191" t="s">
        <v>338</v>
      </c>
      <c r="E530" s="191" t="s">
        <v>850</v>
      </c>
      <c r="F530" s="189" t="s">
        <v>142</v>
      </c>
      <c r="G530" s="281">
        <v>44.22</v>
      </c>
      <c r="H530" s="287">
        <v>44.22</v>
      </c>
      <c r="I530" s="198" t="s">
        <v>112</v>
      </c>
      <c r="J530" s="250" t="s">
        <v>143</v>
      </c>
      <c r="K530" s="195" t="s">
        <v>687</v>
      </c>
      <c r="L530" s="197"/>
      <c r="M530" s="197"/>
      <c r="N530" s="197"/>
      <c r="O530" s="197"/>
    </row>
    <row r="531" spans="1:15" hidden="1">
      <c r="A531" s="195" t="s">
        <v>137</v>
      </c>
      <c r="B531" s="190" t="s">
        <v>683</v>
      </c>
      <c r="C531" s="191" t="s">
        <v>684</v>
      </c>
      <c r="D531" s="191" t="s">
        <v>851</v>
      </c>
      <c r="E531" s="191" t="s">
        <v>852</v>
      </c>
      <c r="F531" s="191" t="s">
        <v>153</v>
      </c>
      <c r="G531" s="286">
        <v>7.37</v>
      </c>
      <c r="H531" s="287">
        <v>7.37</v>
      </c>
      <c r="I531" s="198" t="s">
        <v>112</v>
      </c>
      <c r="J531" s="250" t="s">
        <v>143</v>
      </c>
      <c r="K531" s="195" t="s">
        <v>687</v>
      </c>
      <c r="L531" s="197"/>
      <c r="M531" s="197"/>
      <c r="N531" s="197"/>
      <c r="O531" s="197"/>
    </row>
    <row r="532" spans="1:15" hidden="1">
      <c r="A532" s="195" t="s">
        <v>137</v>
      </c>
      <c r="B532" s="189" t="s">
        <v>683</v>
      </c>
      <c r="C532" s="189" t="s">
        <v>684</v>
      </c>
      <c r="D532" s="189" t="s">
        <v>851</v>
      </c>
      <c r="E532" s="189" t="s">
        <v>853</v>
      </c>
      <c r="F532" s="189" t="s">
        <v>146</v>
      </c>
      <c r="G532" s="281">
        <v>7</v>
      </c>
      <c r="H532" s="282">
        <v>7</v>
      </c>
      <c r="I532" s="198" t="s">
        <v>112</v>
      </c>
      <c r="J532" s="250" t="s">
        <v>143</v>
      </c>
      <c r="K532" s="195" t="s">
        <v>687</v>
      </c>
      <c r="L532" s="197"/>
      <c r="M532" s="197"/>
      <c r="N532" s="197"/>
      <c r="O532" s="197"/>
    </row>
    <row r="533" spans="1:15" hidden="1">
      <c r="A533" s="195" t="s">
        <v>137</v>
      </c>
      <c r="B533" s="189" t="s">
        <v>683</v>
      </c>
      <c r="C533" s="189" t="s">
        <v>684</v>
      </c>
      <c r="D533" s="189" t="s">
        <v>851</v>
      </c>
      <c r="E533" s="189" t="s">
        <v>854</v>
      </c>
      <c r="F533" s="189" t="s">
        <v>149</v>
      </c>
      <c r="G533" s="281">
        <v>7</v>
      </c>
      <c r="H533" s="282">
        <v>7</v>
      </c>
      <c r="I533" s="198" t="s">
        <v>112</v>
      </c>
      <c r="J533" s="250" t="s">
        <v>143</v>
      </c>
      <c r="K533" s="195" t="s">
        <v>687</v>
      </c>
      <c r="L533" s="197"/>
      <c r="M533" s="197"/>
      <c r="N533" s="197"/>
      <c r="O533" s="197"/>
    </row>
    <row r="534" spans="1:15" hidden="1">
      <c r="A534" s="195" t="s">
        <v>137</v>
      </c>
      <c r="B534" s="189" t="s">
        <v>683</v>
      </c>
      <c r="C534" s="189" t="s">
        <v>684</v>
      </c>
      <c r="D534" s="189" t="s">
        <v>851</v>
      </c>
      <c r="E534" s="189" t="s">
        <v>855</v>
      </c>
      <c r="F534" s="189" t="s">
        <v>142</v>
      </c>
      <c r="G534" s="281">
        <v>107.37</v>
      </c>
      <c r="H534" s="282">
        <v>107.37</v>
      </c>
      <c r="I534" s="198" t="s">
        <v>112</v>
      </c>
      <c r="J534" s="250" t="s">
        <v>143</v>
      </c>
      <c r="K534" s="195" t="s">
        <v>687</v>
      </c>
      <c r="L534" s="197"/>
      <c r="M534" s="197"/>
      <c r="N534" s="197"/>
      <c r="O534" s="197"/>
    </row>
    <row r="535" spans="1:15" hidden="1">
      <c r="A535" s="195" t="s">
        <v>137</v>
      </c>
      <c r="B535" s="189" t="s">
        <v>683</v>
      </c>
      <c r="C535" s="189" t="s">
        <v>684</v>
      </c>
      <c r="D535" s="189" t="s">
        <v>856</v>
      </c>
      <c r="E535" s="189" t="s">
        <v>857</v>
      </c>
      <c r="F535" s="189" t="s">
        <v>153</v>
      </c>
      <c r="G535" s="281">
        <v>22.11</v>
      </c>
      <c r="H535" s="282">
        <v>22.11</v>
      </c>
      <c r="I535" s="198" t="s">
        <v>112</v>
      </c>
      <c r="J535" s="250" t="s">
        <v>143</v>
      </c>
      <c r="K535" s="195" t="s">
        <v>687</v>
      </c>
      <c r="L535" s="197"/>
      <c r="M535" s="197"/>
      <c r="N535" s="197"/>
      <c r="O535" s="197"/>
    </row>
    <row r="536" spans="1:15" hidden="1">
      <c r="A536" s="195" t="s">
        <v>137</v>
      </c>
      <c r="B536" s="189" t="s">
        <v>683</v>
      </c>
      <c r="C536" s="189" t="s">
        <v>684</v>
      </c>
      <c r="D536" s="189" t="s">
        <v>856</v>
      </c>
      <c r="E536" s="189" t="s">
        <v>858</v>
      </c>
      <c r="F536" s="189" t="s">
        <v>142</v>
      </c>
      <c r="G536" s="281">
        <v>22.11</v>
      </c>
      <c r="H536" s="282">
        <v>22.11</v>
      </c>
      <c r="I536" s="198" t="s">
        <v>112</v>
      </c>
      <c r="J536" s="250" t="s">
        <v>143</v>
      </c>
      <c r="K536" s="195" t="s">
        <v>687</v>
      </c>
      <c r="L536" s="197"/>
      <c r="M536" s="197"/>
      <c r="N536" s="197"/>
      <c r="O536" s="197"/>
    </row>
    <row r="537" spans="1:15" hidden="1">
      <c r="A537" s="195" t="s">
        <v>137</v>
      </c>
      <c r="B537" s="189" t="s">
        <v>683</v>
      </c>
      <c r="C537" s="189" t="s">
        <v>684</v>
      </c>
      <c r="D537" s="189" t="s">
        <v>859</v>
      </c>
      <c r="E537" s="189" t="s">
        <v>860</v>
      </c>
      <c r="F537" s="189" t="s">
        <v>153</v>
      </c>
      <c r="G537" s="281">
        <v>44.22</v>
      </c>
      <c r="H537" s="282">
        <v>44.22</v>
      </c>
      <c r="I537" s="198" t="s">
        <v>112</v>
      </c>
      <c r="J537" s="250" t="s">
        <v>143</v>
      </c>
      <c r="K537" s="195" t="s">
        <v>687</v>
      </c>
      <c r="L537" s="197"/>
      <c r="M537" s="197"/>
      <c r="N537" s="197"/>
      <c r="O537" s="197"/>
    </row>
    <row r="538" spans="1:15" hidden="1">
      <c r="A538" s="195" t="s">
        <v>137</v>
      </c>
      <c r="B538" s="189" t="s">
        <v>683</v>
      </c>
      <c r="C538" s="189" t="s">
        <v>684</v>
      </c>
      <c r="D538" s="189" t="s">
        <v>859</v>
      </c>
      <c r="E538" s="189" t="s">
        <v>861</v>
      </c>
      <c r="F538" s="189" t="s">
        <v>146</v>
      </c>
      <c r="G538" s="281">
        <v>42</v>
      </c>
      <c r="H538" s="282">
        <v>42</v>
      </c>
      <c r="I538" s="198" t="s">
        <v>112</v>
      </c>
      <c r="J538" s="250" t="s">
        <v>143</v>
      </c>
      <c r="K538" s="195" t="s">
        <v>687</v>
      </c>
      <c r="L538" s="197"/>
      <c r="M538" s="197"/>
      <c r="N538" s="197"/>
      <c r="O538" s="197"/>
    </row>
    <row r="539" spans="1:15" hidden="1">
      <c r="A539" s="195" t="s">
        <v>137</v>
      </c>
      <c r="B539" s="189" t="s">
        <v>683</v>
      </c>
      <c r="C539" s="189" t="s">
        <v>684</v>
      </c>
      <c r="D539" s="189" t="s">
        <v>859</v>
      </c>
      <c r="E539" s="189" t="s">
        <v>862</v>
      </c>
      <c r="F539" s="189" t="s">
        <v>149</v>
      </c>
      <c r="G539" s="281">
        <v>42</v>
      </c>
      <c r="H539" s="282">
        <v>42</v>
      </c>
      <c r="I539" s="198" t="s">
        <v>112</v>
      </c>
      <c r="J539" s="250" t="s">
        <v>143</v>
      </c>
      <c r="K539" s="195" t="s">
        <v>687</v>
      </c>
      <c r="L539" s="197"/>
      <c r="M539" s="197"/>
      <c r="N539" s="197"/>
      <c r="O539" s="197"/>
    </row>
    <row r="540" spans="1:15" hidden="1">
      <c r="A540" s="195" t="s">
        <v>137</v>
      </c>
      <c r="B540" s="189" t="s">
        <v>683</v>
      </c>
      <c r="C540" s="189" t="s">
        <v>684</v>
      </c>
      <c r="D540" s="189" t="s">
        <v>859</v>
      </c>
      <c r="E540" s="189" t="s">
        <v>863</v>
      </c>
      <c r="F540" s="189" t="s">
        <v>142</v>
      </c>
      <c r="G540" s="281">
        <v>94.22</v>
      </c>
      <c r="H540" s="282">
        <v>94.22</v>
      </c>
      <c r="I540" s="198" t="s">
        <v>112</v>
      </c>
      <c r="J540" s="250" t="s">
        <v>143</v>
      </c>
      <c r="K540" s="195" t="s">
        <v>687</v>
      </c>
      <c r="L540" s="197"/>
      <c r="M540" s="197"/>
      <c r="N540" s="197"/>
      <c r="O540" s="197"/>
    </row>
    <row r="541" spans="1:15" hidden="1">
      <c r="A541" s="195" t="s">
        <v>137</v>
      </c>
      <c r="B541" s="189" t="s">
        <v>683</v>
      </c>
      <c r="C541" s="189" t="s">
        <v>684</v>
      </c>
      <c r="D541" s="189" t="s">
        <v>864</v>
      </c>
      <c r="E541" s="189" t="s">
        <v>865</v>
      </c>
      <c r="F541" s="189" t="s">
        <v>153</v>
      </c>
      <c r="G541" s="281">
        <v>73.7</v>
      </c>
      <c r="H541" s="282">
        <v>73.7</v>
      </c>
      <c r="I541" s="198" t="s">
        <v>112</v>
      </c>
      <c r="J541" s="250" t="s">
        <v>143</v>
      </c>
      <c r="K541" s="195" t="s">
        <v>687</v>
      </c>
      <c r="L541" s="197"/>
      <c r="M541" s="197"/>
      <c r="N541" s="197"/>
      <c r="O541" s="197"/>
    </row>
    <row r="542" spans="1:15" hidden="1">
      <c r="A542" s="195" t="s">
        <v>137</v>
      </c>
      <c r="B542" s="189" t="s">
        <v>683</v>
      </c>
      <c r="C542" s="189" t="s">
        <v>684</v>
      </c>
      <c r="D542" s="189" t="s">
        <v>864</v>
      </c>
      <c r="E542" s="189" t="s">
        <v>866</v>
      </c>
      <c r="F542" s="189" t="s">
        <v>146</v>
      </c>
      <c r="G542" s="281">
        <v>120</v>
      </c>
      <c r="H542" s="282">
        <v>120</v>
      </c>
      <c r="I542" s="198" t="s">
        <v>112</v>
      </c>
      <c r="J542" s="250" t="s">
        <v>143</v>
      </c>
      <c r="K542" s="195" t="s">
        <v>687</v>
      </c>
      <c r="L542" s="197"/>
      <c r="M542" s="197"/>
      <c r="N542" s="197"/>
      <c r="O542" s="197"/>
    </row>
    <row r="543" spans="1:15" hidden="1">
      <c r="A543" s="195" t="s">
        <v>137</v>
      </c>
      <c r="B543" s="189" t="s">
        <v>683</v>
      </c>
      <c r="C543" s="189" t="s">
        <v>684</v>
      </c>
      <c r="D543" s="189" t="s">
        <v>864</v>
      </c>
      <c r="E543" s="189" t="s">
        <v>867</v>
      </c>
      <c r="F543" s="189" t="s">
        <v>149</v>
      </c>
      <c r="G543" s="281">
        <v>70</v>
      </c>
      <c r="H543" s="282">
        <v>70</v>
      </c>
      <c r="I543" s="198" t="s">
        <v>112</v>
      </c>
      <c r="J543" s="250" t="s">
        <v>143</v>
      </c>
      <c r="K543" s="195" t="s">
        <v>687</v>
      </c>
      <c r="L543" s="197"/>
      <c r="M543" s="197"/>
      <c r="N543" s="197"/>
      <c r="O543" s="197"/>
    </row>
    <row r="544" spans="1:15" hidden="1">
      <c r="A544" s="195" t="s">
        <v>137</v>
      </c>
      <c r="B544" s="189" t="s">
        <v>683</v>
      </c>
      <c r="C544" s="189" t="s">
        <v>684</v>
      </c>
      <c r="D544" s="189" t="s">
        <v>864</v>
      </c>
      <c r="E544" s="189" t="s">
        <v>868</v>
      </c>
      <c r="F544" s="189" t="s">
        <v>142</v>
      </c>
      <c r="G544" s="281">
        <v>73.7</v>
      </c>
      <c r="H544" s="282">
        <v>73.7</v>
      </c>
      <c r="I544" s="198" t="s">
        <v>112</v>
      </c>
      <c r="J544" s="250" t="s">
        <v>143</v>
      </c>
      <c r="K544" s="195" t="s">
        <v>687</v>
      </c>
      <c r="L544" s="197"/>
      <c r="M544" s="197"/>
      <c r="N544" s="197"/>
      <c r="O544" s="197"/>
    </row>
    <row r="545" spans="1:15" hidden="1">
      <c r="A545" s="195" t="s">
        <v>137</v>
      </c>
      <c r="B545" s="189" t="s">
        <v>683</v>
      </c>
      <c r="C545" s="189" t="s">
        <v>684</v>
      </c>
      <c r="D545" s="189" t="s">
        <v>869</v>
      </c>
      <c r="E545" s="189" t="s">
        <v>870</v>
      </c>
      <c r="F545" s="189" t="s">
        <v>153</v>
      </c>
      <c r="G545" s="281">
        <v>66.33</v>
      </c>
      <c r="H545" s="282">
        <v>66.33</v>
      </c>
      <c r="I545" s="198" t="s">
        <v>112</v>
      </c>
      <c r="J545" s="250" t="s">
        <v>143</v>
      </c>
      <c r="K545" s="195" t="s">
        <v>687</v>
      </c>
      <c r="L545" s="197"/>
      <c r="M545" s="197"/>
      <c r="N545" s="197"/>
      <c r="O545" s="197"/>
    </row>
    <row r="546" spans="1:15" hidden="1">
      <c r="A546" s="195" t="s">
        <v>137</v>
      </c>
      <c r="B546" s="189" t="s">
        <v>683</v>
      </c>
      <c r="C546" s="189" t="s">
        <v>684</v>
      </c>
      <c r="D546" s="189" t="s">
        <v>869</v>
      </c>
      <c r="E546" s="189" t="s">
        <v>871</v>
      </c>
      <c r="F546" s="189" t="s">
        <v>146</v>
      </c>
      <c r="G546" s="281">
        <v>70</v>
      </c>
      <c r="H546" s="282">
        <v>70</v>
      </c>
      <c r="I546" s="198" t="s">
        <v>112</v>
      </c>
      <c r="J546" s="250" t="s">
        <v>143</v>
      </c>
      <c r="K546" s="195" t="s">
        <v>687</v>
      </c>
      <c r="L546" s="197"/>
      <c r="M546" s="197"/>
      <c r="N546" s="197"/>
      <c r="O546" s="197"/>
    </row>
    <row r="547" spans="1:15" hidden="1">
      <c r="A547" s="195" t="s">
        <v>137</v>
      </c>
      <c r="B547" s="189" t="s">
        <v>683</v>
      </c>
      <c r="C547" s="189" t="s">
        <v>684</v>
      </c>
      <c r="D547" s="189" t="s">
        <v>869</v>
      </c>
      <c r="E547" s="189" t="s">
        <v>872</v>
      </c>
      <c r="F547" s="189" t="s">
        <v>149</v>
      </c>
      <c r="G547" s="281">
        <v>77</v>
      </c>
      <c r="H547" s="282">
        <v>77</v>
      </c>
      <c r="I547" s="198" t="s">
        <v>112</v>
      </c>
      <c r="J547" s="250" t="s">
        <v>143</v>
      </c>
      <c r="K547" s="195" t="s">
        <v>687</v>
      </c>
      <c r="L547" s="197"/>
      <c r="M547" s="197"/>
      <c r="N547" s="197"/>
      <c r="O547" s="197"/>
    </row>
    <row r="548" spans="1:15" hidden="1">
      <c r="A548" s="195" t="s">
        <v>137</v>
      </c>
      <c r="B548" s="189" t="s">
        <v>683</v>
      </c>
      <c r="C548" s="189" t="s">
        <v>684</v>
      </c>
      <c r="D548" s="189" t="s">
        <v>869</v>
      </c>
      <c r="E548" s="189" t="s">
        <v>873</v>
      </c>
      <c r="F548" s="189" t="s">
        <v>142</v>
      </c>
      <c r="G548" s="281">
        <v>73.7</v>
      </c>
      <c r="H548" s="282">
        <v>73.7</v>
      </c>
      <c r="I548" s="198" t="s">
        <v>112</v>
      </c>
      <c r="J548" s="250" t="s">
        <v>143</v>
      </c>
      <c r="K548" s="195" t="s">
        <v>687</v>
      </c>
      <c r="L548" s="197"/>
      <c r="M548" s="197"/>
      <c r="N548" s="197"/>
      <c r="O548" s="197"/>
    </row>
    <row r="549" spans="1:15" hidden="1">
      <c r="A549" s="195" t="s">
        <v>137</v>
      </c>
      <c r="B549" s="189" t="s">
        <v>683</v>
      </c>
      <c r="C549" s="189" t="s">
        <v>684</v>
      </c>
      <c r="D549" s="189" t="s">
        <v>874</v>
      </c>
      <c r="E549" s="189" t="s">
        <v>875</v>
      </c>
      <c r="F549" s="189" t="s">
        <v>153</v>
      </c>
      <c r="G549" s="281">
        <v>95.81</v>
      </c>
      <c r="H549" s="282">
        <v>95.81</v>
      </c>
      <c r="I549" s="198" t="s">
        <v>112</v>
      </c>
      <c r="J549" s="250" t="s">
        <v>143</v>
      </c>
      <c r="K549" s="195" t="s">
        <v>687</v>
      </c>
      <c r="L549" s="197"/>
      <c r="M549" s="197"/>
      <c r="N549" s="197"/>
      <c r="O549" s="197"/>
    </row>
    <row r="550" spans="1:15" hidden="1">
      <c r="A550" s="195" t="s">
        <v>137</v>
      </c>
      <c r="B550" s="189" t="s">
        <v>683</v>
      </c>
      <c r="C550" s="189" t="s">
        <v>684</v>
      </c>
      <c r="D550" s="189" t="s">
        <v>874</v>
      </c>
      <c r="E550" s="189" t="s">
        <v>876</v>
      </c>
      <c r="F550" s="189" t="s">
        <v>146</v>
      </c>
      <c r="G550" s="281">
        <v>84</v>
      </c>
      <c r="H550" s="282">
        <v>84</v>
      </c>
      <c r="I550" s="198" t="s">
        <v>112</v>
      </c>
      <c r="J550" s="250" t="s">
        <v>143</v>
      </c>
      <c r="K550" s="195" t="s">
        <v>687</v>
      </c>
      <c r="L550" s="197"/>
      <c r="M550" s="197"/>
      <c r="N550" s="197"/>
      <c r="O550" s="197"/>
    </row>
    <row r="551" spans="1:15" hidden="1">
      <c r="A551" s="195" t="s">
        <v>137</v>
      </c>
      <c r="B551" s="189" t="s">
        <v>683</v>
      </c>
      <c r="C551" s="189" t="s">
        <v>684</v>
      </c>
      <c r="D551" s="189" t="s">
        <v>874</v>
      </c>
      <c r="E551" s="189" t="s">
        <v>877</v>
      </c>
      <c r="F551" s="189" t="s">
        <v>149</v>
      </c>
      <c r="G551" s="281">
        <v>91</v>
      </c>
      <c r="H551" s="282">
        <v>91</v>
      </c>
      <c r="I551" s="198" t="s">
        <v>112</v>
      </c>
      <c r="J551" s="250" t="s">
        <v>143</v>
      </c>
      <c r="K551" s="195" t="s">
        <v>687</v>
      </c>
      <c r="L551" s="197"/>
      <c r="M551" s="197"/>
      <c r="N551" s="197"/>
      <c r="O551" s="197"/>
    </row>
    <row r="552" spans="1:15" hidden="1">
      <c r="A552" s="195" t="s">
        <v>137</v>
      </c>
      <c r="B552" s="189" t="s">
        <v>683</v>
      </c>
      <c r="C552" s="189" t="s">
        <v>684</v>
      </c>
      <c r="D552" s="189" t="s">
        <v>874</v>
      </c>
      <c r="E552" s="189" t="s">
        <v>878</v>
      </c>
      <c r="F552" s="189" t="s">
        <v>142</v>
      </c>
      <c r="G552" s="281">
        <v>95.81</v>
      </c>
      <c r="H552" s="282">
        <v>95.81</v>
      </c>
      <c r="I552" s="198" t="s">
        <v>112</v>
      </c>
      <c r="J552" s="250" t="s">
        <v>143</v>
      </c>
      <c r="K552" s="195" t="s">
        <v>687</v>
      </c>
      <c r="L552" s="197"/>
      <c r="M552" s="197"/>
      <c r="N552" s="197"/>
      <c r="O552" s="197"/>
    </row>
    <row r="553" spans="1:15" hidden="1">
      <c r="A553" s="195" t="s">
        <v>137</v>
      </c>
      <c r="B553" s="189" t="s">
        <v>683</v>
      </c>
      <c r="C553" s="189" t="s">
        <v>684</v>
      </c>
      <c r="D553" s="189" t="s">
        <v>413</v>
      </c>
      <c r="E553" s="189" t="s">
        <v>879</v>
      </c>
      <c r="F553" s="189" t="s">
        <v>153</v>
      </c>
      <c r="G553" s="281">
        <v>169.51</v>
      </c>
      <c r="H553" s="282">
        <v>169.51</v>
      </c>
      <c r="I553" s="198" t="s">
        <v>112</v>
      </c>
      <c r="J553" s="250" t="s">
        <v>143</v>
      </c>
      <c r="K553" s="195" t="s">
        <v>687</v>
      </c>
      <c r="L553" s="197"/>
      <c r="M553" s="197"/>
      <c r="N553" s="197"/>
      <c r="O553" s="197"/>
    </row>
    <row r="554" spans="1:15" hidden="1">
      <c r="A554" s="195" t="s">
        <v>137</v>
      </c>
      <c r="B554" s="189" t="s">
        <v>683</v>
      </c>
      <c r="C554" s="189" t="s">
        <v>684</v>
      </c>
      <c r="D554" s="189" t="s">
        <v>413</v>
      </c>
      <c r="E554" s="189" t="s">
        <v>880</v>
      </c>
      <c r="F554" s="189" t="s">
        <v>146</v>
      </c>
      <c r="G554" s="281">
        <v>154</v>
      </c>
      <c r="H554" s="282">
        <v>154</v>
      </c>
      <c r="I554" s="198" t="s">
        <v>112</v>
      </c>
      <c r="J554" s="250" t="s">
        <v>143</v>
      </c>
      <c r="K554" s="195" t="s">
        <v>687</v>
      </c>
      <c r="L554" s="197"/>
      <c r="M554" s="197"/>
      <c r="N554" s="197"/>
      <c r="O554" s="197"/>
    </row>
    <row r="555" spans="1:15" hidden="1">
      <c r="A555" s="195" t="s">
        <v>137</v>
      </c>
      <c r="B555" s="189" t="s">
        <v>683</v>
      </c>
      <c r="C555" s="189" t="s">
        <v>684</v>
      </c>
      <c r="D555" s="189" t="s">
        <v>413</v>
      </c>
      <c r="E555" s="189" t="s">
        <v>881</v>
      </c>
      <c r="F555" s="189" t="s">
        <v>149</v>
      </c>
      <c r="G555" s="281">
        <v>190</v>
      </c>
      <c r="H555" s="282">
        <v>190</v>
      </c>
      <c r="I555" s="198" t="s">
        <v>112</v>
      </c>
      <c r="J555" s="250" t="s">
        <v>143</v>
      </c>
      <c r="K555" s="195" t="s">
        <v>687</v>
      </c>
      <c r="L555" s="197"/>
      <c r="M555" s="197"/>
      <c r="N555" s="197"/>
      <c r="O555" s="197"/>
    </row>
    <row r="556" spans="1:15" hidden="1">
      <c r="A556" s="195" t="s">
        <v>137</v>
      </c>
      <c r="B556" s="189" t="s">
        <v>683</v>
      </c>
      <c r="C556" s="189" t="s">
        <v>684</v>
      </c>
      <c r="D556" s="189" t="s">
        <v>413</v>
      </c>
      <c r="E556" s="189" t="s">
        <v>882</v>
      </c>
      <c r="F556" s="189" t="s">
        <v>142</v>
      </c>
      <c r="G556" s="281">
        <v>204.77</v>
      </c>
      <c r="H556" s="282">
        <v>204.77</v>
      </c>
      <c r="I556" s="198" t="s">
        <v>112</v>
      </c>
      <c r="J556" s="250" t="s">
        <v>143</v>
      </c>
      <c r="K556" s="195" t="s">
        <v>687</v>
      </c>
      <c r="L556" s="197"/>
      <c r="M556" s="197"/>
      <c r="N556" s="197"/>
      <c r="O556" s="197"/>
    </row>
    <row r="557" spans="1:15" hidden="1">
      <c r="A557" s="195" t="s">
        <v>232</v>
      </c>
      <c r="B557" s="189" t="s">
        <v>138</v>
      </c>
      <c r="C557" s="189" t="s">
        <v>82</v>
      </c>
      <c r="D557" s="189" t="s">
        <v>883</v>
      </c>
      <c r="E557" s="223" t="s">
        <v>884</v>
      </c>
      <c r="F557" s="189" t="s">
        <v>153</v>
      </c>
      <c r="G557" s="258">
        <v>-60.49</v>
      </c>
      <c r="H557" s="260">
        <v>-60.49</v>
      </c>
      <c r="I557" s="195" t="s">
        <v>82</v>
      </c>
      <c r="J557" s="227" t="s">
        <v>143</v>
      </c>
      <c r="K557" s="188" t="s">
        <v>195</v>
      </c>
      <c r="L557" s="197"/>
      <c r="M557" s="197"/>
      <c r="N557" s="197"/>
      <c r="O557" s="197"/>
    </row>
    <row r="558" spans="1:15" hidden="1">
      <c r="A558" s="195" t="s">
        <v>137</v>
      </c>
      <c r="B558" s="189" t="s">
        <v>138</v>
      </c>
      <c r="C558" s="189" t="s">
        <v>82</v>
      </c>
      <c r="D558" s="189" t="s">
        <v>883</v>
      </c>
      <c r="E558" s="223" t="s">
        <v>885</v>
      </c>
      <c r="F558" s="189" t="s">
        <v>153</v>
      </c>
      <c r="G558" s="258">
        <v>-319.25</v>
      </c>
      <c r="H558" s="260">
        <v>-319.25</v>
      </c>
      <c r="I558" s="195" t="s">
        <v>82</v>
      </c>
      <c r="J558" s="227" t="s">
        <v>143</v>
      </c>
      <c r="K558" s="199" t="s">
        <v>195</v>
      </c>
      <c r="L558" s="197"/>
      <c r="M558" s="197"/>
      <c r="N558" s="197"/>
      <c r="O558" s="197"/>
    </row>
    <row r="559" spans="1:15" hidden="1">
      <c r="A559" s="195" t="s">
        <v>137</v>
      </c>
      <c r="B559" s="189" t="s">
        <v>138</v>
      </c>
      <c r="C559" s="189" t="s">
        <v>139</v>
      </c>
      <c r="D559" s="189" t="s">
        <v>140</v>
      </c>
      <c r="E559" s="189" t="s">
        <v>260</v>
      </c>
      <c r="F559" s="189" t="s">
        <v>261</v>
      </c>
      <c r="G559" s="258">
        <v>-50</v>
      </c>
      <c r="H559" s="260">
        <v>-50</v>
      </c>
      <c r="I559" s="198" t="s">
        <v>84</v>
      </c>
      <c r="J559" s="189" t="s">
        <v>143</v>
      </c>
      <c r="K559" s="199"/>
      <c r="L559" s="197"/>
      <c r="M559" s="197"/>
      <c r="N559" s="197"/>
      <c r="O559" s="197"/>
    </row>
    <row r="560" spans="1:15" hidden="1">
      <c r="A560" s="188" t="s">
        <v>243</v>
      </c>
      <c r="B560" s="189" t="s">
        <v>138</v>
      </c>
      <c r="C560" s="189" t="s">
        <v>648</v>
      </c>
      <c r="D560" s="189" t="s">
        <v>886</v>
      </c>
      <c r="E560" s="189" t="s">
        <v>650</v>
      </c>
      <c r="F560" s="189" t="s">
        <v>153</v>
      </c>
      <c r="G560" s="260">
        <v>-5000</v>
      </c>
      <c r="H560" s="260">
        <v>-5000</v>
      </c>
      <c r="I560" s="215" t="s">
        <v>100</v>
      </c>
      <c r="J560" s="279" t="s">
        <v>206</v>
      </c>
      <c r="K560" s="199"/>
      <c r="L560" s="197"/>
      <c r="M560" s="197"/>
      <c r="N560" s="197"/>
      <c r="O560" s="197"/>
    </row>
    <row r="561" spans="1:15" hidden="1">
      <c r="A561" s="195" t="s">
        <v>232</v>
      </c>
      <c r="B561" s="189" t="s">
        <v>138</v>
      </c>
      <c r="C561" s="189" t="s">
        <v>82</v>
      </c>
      <c r="D561" s="189" t="s">
        <v>883</v>
      </c>
      <c r="E561" s="223" t="s">
        <v>887</v>
      </c>
      <c r="F561" s="189" t="s">
        <v>146</v>
      </c>
      <c r="G561" s="258">
        <v>-60.49</v>
      </c>
      <c r="H561" s="260">
        <v>-60.49</v>
      </c>
      <c r="I561" s="198" t="s">
        <v>82</v>
      </c>
      <c r="J561" s="205" t="s">
        <v>143</v>
      </c>
      <c r="K561" s="199"/>
      <c r="L561" s="197"/>
      <c r="M561" s="197"/>
      <c r="N561" s="197"/>
      <c r="O561" s="197"/>
    </row>
    <row r="562" spans="1:15" hidden="1">
      <c r="A562" s="195" t="s">
        <v>137</v>
      </c>
      <c r="B562" s="189" t="s">
        <v>138</v>
      </c>
      <c r="C562" s="189" t="s">
        <v>82</v>
      </c>
      <c r="D562" s="189" t="s">
        <v>883</v>
      </c>
      <c r="E562" s="223" t="s">
        <v>888</v>
      </c>
      <c r="F562" s="189" t="s">
        <v>146</v>
      </c>
      <c r="G562" s="258">
        <v>-356.42</v>
      </c>
      <c r="H562" s="260">
        <v>-394.47</v>
      </c>
      <c r="I562" s="198" t="s">
        <v>82</v>
      </c>
      <c r="J562" s="205" t="s">
        <v>143</v>
      </c>
      <c r="K562" s="199"/>
      <c r="L562" s="197"/>
      <c r="M562" s="197"/>
      <c r="N562" s="197"/>
      <c r="O562" s="197"/>
    </row>
    <row r="563" spans="1:15" hidden="1">
      <c r="A563" s="188" t="s">
        <v>232</v>
      </c>
      <c r="B563" s="199" t="s">
        <v>138</v>
      </c>
      <c r="C563" s="199" t="s">
        <v>82</v>
      </c>
      <c r="D563" s="199" t="s">
        <v>883</v>
      </c>
      <c r="E563" s="205" t="s">
        <v>889</v>
      </c>
      <c r="F563" s="205" t="s">
        <v>149</v>
      </c>
      <c r="G563" s="225">
        <v>-60.49</v>
      </c>
      <c r="H563" s="226">
        <v>-60.49</v>
      </c>
      <c r="I563" s="198" t="s">
        <v>82</v>
      </c>
      <c r="J563" s="205" t="s">
        <v>143</v>
      </c>
      <c r="K563" s="199"/>
      <c r="L563" s="197"/>
      <c r="M563" s="197"/>
      <c r="N563" s="197"/>
      <c r="O563" s="197"/>
    </row>
    <row r="564" spans="1:15" hidden="1">
      <c r="A564" s="188" t="s">
        <v>137</v>
      </c>
      <c r="B564" s="199" t="s">
        <v>138</v>
      </c>
      <c r="C564" s="199" t="s">
        <v>82</v>
      </c>
      <c r="D564" s="199" t="s">
        <v>883</v>
      </c>
      <c r="E564" s="205" t="s">
        <v>890</v>
      </c>
      <c r="F564" s="205" t="s">
        <v>149</v>
      </c>
      <c r="G564" s="225">
        <v>-339.58</v>
      </c>
      <c r="H564" s="226">
        <v>-375.85</v>
      </c>
      <c r="I564" s="198" t="s">
        <v>82</v>
      </c>
      <c r="J564" s="205" t="s">
        <v>143</v>
      </c>
      <c r="K564" s="199"/>
      <c r="L564" s="197"/>
      <c r="M564" s="197"/>
      <c r="N564" s="197"/>
      <c r="O564" s="197"/>
    </row>
    <row r="565" spans="1:15" hidden="1">
      <c r="A565" s="188" t="s">
        <v>243</v>
      </c>
      <c r="B565" s="199" t="s">
        <v>138</v>
      </c>
      <c r="C565" s="199" t="s">
        <v>93</v>
      </c>
      <c r="D565" s="199" t="s">
        <v>383</v>
      </c>
      <c r="E565" s="199" t="s">
        <v>891</v>
      </c>
      <c r="F565" s="205" t="s">
        <v>265</v>
      </c>
      <c r="G565" s="226">
        <v>-1485.2</v>
      </c>
      <c r="H565" s="226">
        <v>-1485.2</v>
      </c>
      <c r="I565" s="198" t="s">
        <v>93</v>
      </c>
      <c r="J565" s="250" t="s">
        <v>164</v>
      </c>
      <c r="K565" s="199"/>
      <c r="L565" s="197"/>
      <c r="M565" s="197"/>
      <c r="N565" s="197"/>
      <c r="O565" s="197"/>
    </row>
    <row r="566" spans="1:15">
      <c r="A566" s="188" t="s">
        <v>243</v>
      </c>
      <c r="B566" s="288" t="s">
        <v>138</v>
      </c>
      <c r="C566" s="288" t="s">
        <v>93</v>
      </c>
      <c r="D566" s="288" t="s">
        <v>383</v>
      </c>
      <c r="E566" s="288" t="s">
        <v>891</v>
      </c>
      <c r="F566" s="267" t="s">
        <v>268</v>
      </c>
      <c r="G566" s="289">
        <v>-1485.2</v>
      </c>
      <c r="H566" s="289">
        <v>-1485.2</v>
      </c>
      <c r="I566" s="198" t="s">
        <v>93</v>
      </c>
      <c r="J566" s="250" t="s">
        <v>164</v>
      </c>
      <c r="K566" s="290"/>
      <c r="L566" s="197"/>
      <c r="M566" s="197"/>
      <c r="N566" s="197"/>
      <c r="O566" s="197"/>
    </row>
    <row r="567" spans="1:15" hidden="1">
      <c r="A567" s="188" t="s">
        <v>232</v>
      </c>
      <c r="B567" s="189" t="s">
        <v>138</v>
      </c>
      <c r="C567" s="189" t="s">
        <v>82</v>
      </c>
      <c r="D567" s="189" t="s">
        <v>883</v>
      </c>
      <c r="E567" s="223" t="s">
        <v>892</v>
      </c>
      <c r="F567" s="189" t="s">
        <v>142</v>
      </c>
      <c r="G567" s="258">
        <v>-60.49</v>
      </c>
      <c r="H567" s="260">
        <v>-60.49</v>
      </c>
      <c r="I567" s="188" t="s">
        <v>82</v>
      </c>
      <c r="J567" s="189" t="s">
        <v>143</v>
      </c>
      <c r="K567" s="189"/>
      <c r="L567" s="197"/>
      <c r="M567" s="197"/>
      <c r="N567" s="197"/>
      <c r="O567" s="197"/>
    </row>
    <row r="568" spans="1:15" hidden="1">
      <c r="A568" s="188" t="s">
        <v>137</v>
      </c>
      <c r="B568" s="189" t="s">
        <v>138</v>
      </c>
      <c r="C568" s="189" t="s">
        <v>82</v>
      </c>
      <c r="D568" s="189" t="s">
        <v>883</v>
      </c>
      <c r="E568" s="223" t="s">
        <v>893</v>
      </c>
      <c r="F568" s="189" t="s">
        <v>142</v>
      </c>
      <c r="G568" s="258">
        <v>-360.93</v>
      </c>
      <c r="H568" s="260">
        <v>-360.93</v>
      </c>
      <c r="I568" s="188" t="s">
        <v>82</v>
      </c>
      <c r="J568" s="189" t="s">
        <v>143</v>
      </c>
      <c r="K568" s="189"/>
      <c r="L568" s="197"/>
      <c r="M568" s="197"/>
      <c r="N568" s="197"/>
      <c r="O568" s="197"/>
    </row>
    <row r="569" spans="1:15" hidden="1">
      <c r="A569" s="188" t="s">
        <v>209</v>
      </c>
      <c r="B569" s="199" t="s">
        <v>683</v>
      </c>
      <c r="C569" s="199" t="s">
        <v>894</v>
      </c>
      <c r="D569" s="199" t="s">
        <v>160</v>
      </c>
      <c r="E569" s="205" t="s">
        <v>895</v>
      </c>
      <c r="F569" s="205" t="s">
        <v>149</v>
      </c>
      <c r="G569" s="291">
        <v>161.69999999999999</v>
      </c>
      <c r="H569" s="292">
        <v>161.69999999999999</v>
      </c>
      <c r="I569" s="198" t="s">
        <v>112</v>
      </c>
      <c r="J569" s="250" t="s">
        <v>143</v>
      </c>
      <c r="K569" s="199"/>
      <c r="L569" s="197"/>
      <c r="M569" s="197"/>
      <c r="N569" s="197"/>
      <c r="O569" s="197"/>
    </row>
    <row r="570" spans="1:15" hidden="1">
      <c r="A570" s="188" t="s">
        <v>209</v>
      </c>
      <c r="B570" s="199" t="s">
        <v>683</v>
      </c>
      <c r="C570" s="199" t="s">
        <v>894</v>
      </c>
      <c r="D570" s="199" t="s">
        <v>160</v>
      </c>
      <c r="E570" s="205" t="s">
        <v>895</v>
      </c>
      <c r="F570" s="205" t="s">
        <v>149</v>
      </c>
      <c r="G570" s="291">
        <v>1200.2</v>
      </c>
      <c r="H570" s="292">
        <v>1200.2</v>
      </c>
      <c r="I570" s="198" t="s">
        <v>112</v>
      </c>
      <c r="J570" s="250" t="s">
        <v>143</v>
      </c>
      <c r="K570" s="199"/>
      <c r="L570" s="197"/>
      <c r="M570" s="197"/>
      <c r="N570" s="197"/>
      <c r="O570" s="197"/>
    </row>
    <row r="571" spans="1:15" hidden="1">
      <c r="A571" s="188" t="s">
        <v>209</v>
      </c>
      <c r="B571" s="199" t="s">
        <v>683</v>
      </c>
      <c r="C571" s="199" t="s">
        <v>894</v>
      </c>
      <c r="D571" s="199" t="s">
        <v>160</v>
      </c>
      <c r="E571" s="205" t="s">
        <v>896</v>
      </c>
      <c r="F571" s="205" t="s">
        <v>149</v>
      </c>
      <c r="G571" s="291">
        <v>45.9</v>
      </c>
      <c r="H571" s="292">
        <v>45.9</v>
      </c>
      <c r="I571" s="198" t="s">
        <v>112</v>
      </c>
      <c r="J571" s="250" t="s">
        <v>206</v>
      </c>
      <c r="K571" s="199"/>
      <c r="L571" s="197"/>
      <c r="M571" s="197"/>
      <c r="N571" s="197"/>
      <c r="O571" s="197"/>
    </row>
    <row r="572" spans="1:15" ht="25.5" hidden="1">
      <c r="A572" s="188" t="s">
        <v>209</v>
      </c>
      <c r="B572" s="199" t="s">
        <v>683</v>
      </c>
      <c r="C572" s="199" t="s">
        <v>894</v>
      </c>
      <c r="D572" s="199" t="s">
        <v>160</v>
      </c>
      <c r="E572" s="205" t="s">
        <v>897</v>
      </c>
      <c r="F572" s="205" t="s">
        <v>149</v>
      </c>
      <c r="G572" s="291">
        <v>58</v>
      </c>
      <c r="H572" s="292">
        <v>58</v>
      </c>
      <c r="I572" s="198" t="s">
        <v>112</v>
      </c>
      <c r="J572" s="250" t="s">
        <v>206</v>
      </c>
      <c r="K572" s="199"/>
      <c r="L572" s="197"/>
      <c r="M572" s="197"/>
      <c r="N572" s="197"/>
      <c r="O572" s="197"/>
    </row>
    <row r="573" spans="1:15" hidden="1">
      <c r="A573" s="265" t="s">
        <v>232</v>
      </c>
      <c r="B573" s="261" t="s">
        <v>138</v>
      </c>
      <c r="C573" s="261" t="s">
        <v>491</v>
      </c>
      <c r="D573" s="261" t="s">
        <v>655</v>
      </c>
      <c r="E573" s="261" t="s">
        <v>656</v>
      </c>
      <c r="F573" s="261" t="s">
        <v>265</v>
      </c>
      <c r="G573" s="264">
        <v>-18.940000000000001</v>
      </c>
      <c r="H573" s="264">
        <v>-18.940000000000001</v>
      </c>
      <c r="I573" s="198" t="s">
        <v>107</v>
      </c>
      <c r="J573" s="280" t="s">
        <v>206</v>
      </c>
      <c r="K573" s="189"/>
      <c r="L573" s="197"/>
      <c r="M573" s="197"/>
      <c r="N573" s="197"/>
      <c r="O573" s="197"/>
    </row>
    <row r="574" spans="1:15" hidden="1">
      <c r="A574" s="195" t="s">
        <v>137</v>
      </c>
      <c r="B574" s="189" t="s">
        <v>683</v>
      </c>
      <c r="C574" s="189" t="s">
        <v>894</v>
      </c>
      <c r="D574" s="189" t="s">
        <v>764</v>
      </c>
      <c r="E574" s="223" t="s">
        <v>655</v>
      </c>
      <c r="F574" s="189" t="s">
        <v>146</v>
      </c>
      <c r="G574" s="281">
        <v>4538.6899999999996</v>
      </c>
      <c r="H574" s="282">
        <v>4538.6899999999996</v>
      </c>
      <c r="I574" s="198" t="s">
        <v>112</v>
      </c>
      <c r="J574" s="250" t="s">
        <v>206</v>
      </c>
      <c r="K574" s="199"/>
      <c r="L574" s="197"/>
      <c r="M574" s="197"/>
      <c r="N574" s="197"/>
      <c r="O574" s="197"/>
    </row>
    <row r="575" spans="1:15" hidden="1">
      <c r="A575" s="188" t="s">
        <v>137</v>
      </c>
      <c r="B575" s="199" t="s">
        <v>683</v>
      </c>
      <c r="C575" s="199" t="s">
        <v>894</v>
      </c>
      <c r="D575" s="199" t="s">
        <v>764</v>
      </c>
      <c r="E575" s="205" t="s">
        <v>655</v>
      </c>
      <c r="F575" s="205" t="s">
        <v>149</v>
      </c>
      <c r="G575" s="291">
        <v>4538.6899999999996</v>
      </c>
      <c r="H575" s="292">
        <v>4538.6899999999996</v>
      </c>
      <c r="I575" s="198" t="s">
        <v>112</v>
      </c>
      <c r="J575" s="250" t="s">
        <v>206</v>
      </c>
      <c r="K575" s="199"/>
      <c r="L575" s="197"/>
      <c r="M575" s="197"/>
      <c r="N575" s="197"/>
      <c r="O575" s="197"/>
    </row>
    <row r="576" spans="1:15" hidden="1">
      <c r="A576" s="188" t="s">
        <v>137</v>
      </c>
      <c r="B576" s="189" t="s">
        <v>683</v>
      </c>
      <c r="C576" s="189" t="s">
        <v>894</v>
      </c>
      <c r="D576" s="189" t="s">
        <v>764</v>
      </c>
      <c r="E576" s="223" t="s">
        <v>655</v>
      </c>
      <c r="F576" s="189" t="s">
        <v>142</v>
      </c>
      <c r="G576" s="281">
        <v>4538.6899999999996</v>
      </c>
      <c r="H576" s="282">
        <v>4538.6899999999996</v>
      </c>
      <c r="I576" s="188" t="s">
        <v>112</v>
      </c>
      <c r="J576" s="189" t="s">
        <v>206</v>
      </c>
      <c r="K576" s="189"/>
      <c r="L576" s="197"/>
      <c r="M576" s="197"/>
      <c r="N576" s="197"/>
      <c r="O576" s="197"/>
    </row>
    <row r="577" spans="1:15" hidden="1">
      <c r="A577" s="265" t="s">
        <v>137</v>
      </c>
      <c r="B577" s="261" t="s">
        <v>138</v>
      </c>
      <c r="C577" s="261" t="s">
        <v>491</v>
      </c>
      <c r="D577" s="261" t="s">
        <v>655</v>
      </c>
      <c r="E577" s="261" t="s">
        <v>656</v>
      </c>
      <c r="F577" s="261" t="s">
        <v>265</v>
      </c>
      <c r="G577" s="264">
        <v>-5.91</v>
      </c>
      <c r="H577" s="264">
        <v>-5.91</v>
      </c>
      <c r="I577" s="198" t="s">
        <v>107</v>
      </c>
      <c r="J577" s="280" t="s">
        <v>206</v>
      </c>
      <c r="K577" s="189"/>
      <c r="L577" s="197"/>
      <c r="M577" s="197"/>
      <c r="N577" s="197"/>
      <c r="O577" s="197"/>
    </row>
    <row r="578" spans="1:15" hidden="1">
      <c r="A578" s="195" t="s">
        <v>137</v>
      </c>
      <c r="B578" s="189" t="s">
        <v>683</v>
      </c>
      <c r="C578" s="189" t="s">
        <v>894</v>
      </c>
      <c r="D578" s="189" t="s">
        <v>869</v>
      </c>
      <c r="E578" s="223" t="s">
        <v>655</v>
      </c>
      <c r="F578" s="189" t="s">
        <v>146</v>
      </c>
      <c r="G578" s="281">
        <v>6703.22</v>
      </c>
      <c r="H578" s="282">
        <v>6703.22</v>
      </c>
      <c r="I578" s="198" t="s">
        <v>112</v>
      </c>
      <c r="J578" s="250" t="s">
        <v>206</v>
      </c>
      <c r="K578" s="199"/>
      <c r="L578" s="197"/>
      <c r="M578" s="197"/>
      <c r="N578" s="197"/>
      <c r="O578" s="197"/>
    </row>
    <row r="579" spans="1:15" hidden="1">
      <c r="A579" s="188" t="s">
        <v>137</v>
      </c>
      <c r="B579" s="199" t="s">
        <v>683</v>
      </c>
      <c r="C579" s="199" t="s">
        <v>894</v>
      </c>
      <c r="D579" s="199" t="s">
        <v>869</v>
      </c>
      <c r="E579" s="205" t="s">
        <v>655</v>
      </c>
      <c r="F579" s="205" t="s">
        <v>149</v>
      </c>
      <c r="G579" s="291">
        <v>6703.22</v>
      </c>
      <c r="H579" s="292">
        <v>6703.22</v>
      </c>
      <c r="I579" s="198" t="s">
        <v>112</v>
      </c>
      <c r="J579" s="250" t="s">
        <v>206</v>
      </c>
      <c r="K579" s="199"/>
      <c r="L579" s="197"/>
      <c r="M579" s="197"/>
      <c r="N579" s="197"/>
      <c r="O579" s="197"/>
    </row>
    <row r="580" spans="1:15" hidden="1">
      <c r="A580" s="188" t="s">
        <v>137</v>
      </c>
      <c r="B580" s="189" t="s">
        <v>683</v>
      </c>
      <c r="C580" s="189" t="s">
        <v>894</v>
      </c>
      <c r="D580" s="189" t="s">
        <v>869</v>
      </c>
      <c r="E580" s="223" t="s">
        <v>655</v>
      </c>
      <c r="F580" s="189" t="s">
        <v>142</v>
      </c>
      <c r="G580" s="281">
        <v>6703.22</v>
      </c>
      <c r="H580" s="282">
        <v>6703.22</v>
      </c>
      <c r="I580" s="188" t="s">
        <v>112</v>
      </c>
      <c r="J580" s="189" t="s">
        <v>206</v>
      </c>
      <c r="K580" s="189"/>
      <c r="L580" s="197"/>
      <c r="M580" s="197"/>
      <c r="N580" s="197"/>
      <c r="O580" s="197"/>
    </row>
    <row r="581" spans="1:15" hidden="1">
      <c r="A581" s="265" t="s">
        <v>137</v>
      </c>
      <c r="B581" s="261" t="s">
        <v>138</v>
      </c>
      <c r="C581" s="261" t="s">
        <v>491</v>
      </c>
      <c r="D581" s="261" t="s">
        <v>655</v>
      </c>
      <c r="E581" s="261" t="s">
        <v>656</v>
      </c>
      <c r="F581" s="261" t="s">
        <v>265</v>
      </c>
      <c r="G581" s="264">
        <v>-2.8</v>
      </c>
      <c r="H581" s="264">
        <v>-2.8</v>
      </c>
      <c r="I581" s="198" t="s">
        <v>107</v>
      </c>
      <c r="J581" s="280" t="s">
        <v>206</v>
      </c>
      <c r="K581" s="189"/>
      <c r="L581" s="197"/>
      <c r="M581" s="197"/>
      <c r="N581" s="197"/>
      <c r="O581" s="197"/>
    </row>
    <row r="582" spans="1:15" ht="76.5" hidden="1">
      <c r="A582" s="195" t="s">
        <v>137</v>
      </c>
      <c r="B582" s="189" t="s">
        <v>683</v>
      </c>
      <c r="C582" s="189" t="s">
        <v>898</v>
      </c>
      <c r="D582" s="189" t="s">
        <v>699</v>
      </c>
      <c r="E582" s="223" t="s">
        <v>899</v>
      </c>
      <c r="F582" s="189" t="s">
        <v>146</v>
      </c>
      <c r="G582" s="281">
        <v>847.44</v>
      </c>
      <c r="H582" s="282">
        <v>847.44</v>
      </c>
      <c r="I582" s="198" t="s">
        <v>112</v>
      </c>
      <c r="J582" s="198" t="s">
        <v>206</v>
      </c>
      <c r="K582" s="199"/>
      <c r="L582" s="197"/>
      <c r="M582" s="197"/>
      <c r="N582" s="197"/>
      <c r="O582" s="197"/>
    </row>
    <row r="583" spans="1:15" ht="76.5" hidden="1">
      <c r="A583" s="188" t="s">
        <v>209</v>
      </c>
      <c r="B583" s="199" t="s">
        <v>683</v>
      </c>
      <c r="C583" s="199" t="s">
        <v>898</v>
      </c>
      <c r="D583" s="199" t="s">
        <v>699</v>
      </c>
      <c r="E583" s="205" t="s">
        <v>899</v>
      </c>
      <c r="F583" s="205" t="s">
        <v>149</v>
      </c>
      <c r="G583" s="291">
        <v>913.59</v>
      </c>
      <c r="H583" s="292">
        <v>913.59</v>
      </c>
      <c r="I583" s="198" t="s">
        <v>112</v>
      </c>
      <c r="J583" s="198" t="s">
        <v>206</v>
      </c>
      <c r="K583" s="199"/>
      <c r="L583" s="197"/>
      <c r="M583" s="197"/>
      <c r="N583" s="197"/>
      <c r="O583" s="197"/>
    </row>
    <row r="584" spans="1:15" hidden="1">
      <c r="A584" s="265" t="s">
        <v>137</v>
      </c>
      <c r="B584" s="261" t="s">
        <v>138</v>
      </c>
      <c r="C584" s="261" t="s">
        <v>491</v>
      </c>
      <c r="D584" s="261" t="s">
        <v>655</v>
      </c>
      <c r="E584" s="261" t="s">
        <v>900</v>
      </c>
      <c r="F584" s="261" t="s">
        <v>265</v>
      </c>
      <c r="G584" s="264">
        <v>-0.14000000000000001</v>
      </c>
      <c r="H584" s="264">
        <v>-0.14000000000000001</v>
      </c>
      <c r="I584" s="198" t="s">
        <v>107</v>
      </c>
      <c r="J584" s="280" t="s">
        <v>206</v>
      </c>
      <c r="K584" s="189"/>
      <c r="L584" s="197"/>
      <c r="M584" s="197"/>
      <c r="N584" s="197"/>
      <c r="O584" s="197"/>
    </row>
    <row r="585" spans="1:15" ht="63.75" hidden="1">
      <c r="A585" s="195" t="s">
        <v>209</v>
      </c>
      <c r="B585" s="189" t="s">
        <v>683</v>
      </c>
      <c r="C585" s="189" t="s">
        <v>898</v>
      </c>
      <c r="D585" s="189" t="s">
        <v>869</v>
      </c>
      <c r="E585" s="223" t="s">
        <v>901</v>
      </c>
      <c r="F585" s="189" t="s">
        <v>146</v>
      </c>
      <c r="G585" s="281">
        <v>0.01</v>
      </c>
      <c r="H585" s="282">
        <v>0.01</v>
      </c>
      <c r="I585" s="198" t="s">
        <v>112</v>
      </c>
      <c r="J585" s="198" t="s">
        <v>206</v>
      </c>
      <c r="K585" s="199"/>
      <c r="L585" s="197"/>
      <c r="M585" s="197"/>
      <c r="N585" s="197"/>
      <c r="O585" s="197"/>
    </row>
    <row r="586" spans="1:15" ht="63.75" hidden="1">
      <c r="A586" s="188" t="s">
        <v>209</v>
      </c>
      <c r="B586" s="199" t="s">
        <v>683</v>
      </c>
      <c r="C586" s="199" t="s">
        <v>898</v>
      </c>
      <c r="D586" s="199" t="s">
        <v>869</v>
      </c>
      <c r="E586" s="205" t="s">
        <v>902</v>
      </c>
      <c r="F586" s="205" t="s">
        <v>149</v>
      </c>
      <c r="G586" s="291">
        <v>0.01</v>
      </c>
      <c r="H586" s="292">
        <v>0.01</v>
      </c>
      <c r="I586" s="198" t="s">
        <v>112</v>
      </c>
      <c r="J586" s="198" t="s">
        <v>206</v>
      </c>
      <c r="K586" s="199"/>
      <c r="L586" s="197"/>
      <c r="M586" s="197"/>
      <c r="N586" s="197"/>
      <c r="O586" s="197"/>
    </row>
    <row r="587" spans="1:15" ht="63.75" hidden="1">
      <c r="A587" s="188" t="s">
        <v>209</v>
      </c>
      <c r="B587" s="189" t="s">
        <v>683</v>
      </c>
      <c r="C587" s="189" t="s">
        <v>898</v>
      </c>
      <c r="D587" s="189" t="s">
        <v>869</v>
      </c>
      <c r="E587" s="223" t="s">
        <v>901</v>
      </c>
      <c r="F587" s="189" t="s">
        <v>142</v>
      </c>
      <c r="G587" s="281">
        <v>0.01</v>
      </c>
      <c r="H587" s="282">
        <v>0.01</v>
      </c>
      <c r="I587" s="188" t="s">
        <v>112</v>
      </c>
      <c r="J587" s="195" t="s">
        <v>206</v>
      </c>
      <c r="K587" s="189"/>
      <c r="L587" s="197"/>
      <c r="M587" s="197"/>
      <c r="N587" s="197"/>
      <c r="O587" s="197"/>
    </row>
    <row r="588" spans="1:15" ht="25.5" hidden="1">
      <c r="A588" s="195" t="s">
        <v>232</v>
      </c>
      <c r="B588" s="189" t="s">
        <v>138</v>
      </c>
      <c r="C588" s="189" t="s">
        <v>78</v>
      </c>
      <c r="D588" s="189" t="s">
        <v>903</v>
      </c>
      <c r="E588" s="223" t="s">
        <v>904</v>
      </c>
      <c r="F588" s="189" t="s">
        <v>153</v>
      </c>
      <c r="G588" s="258">
        <v>-18</v>
      </c>
      <c r="H588" s="260">
        <v>-18</v>
      </c>
      <c r="I588" s="195" t="s">
        <v>78</v>
      </c>
      <c r="J588" s="195" t="s">
        <v>143</v>
      </c>
      <c r="K588" s="188"/>
      <c r="L588" s="197"/>
      <c r="M588" s="197"/>
      <c r="N588" s="197"/>
      <c r="O588" s="197"/>
    </row>
    <row r="589" spans="1:15" hidden="1">
      <c r="A589" s="195" t="s">
        <v>232</v>
      </c>
      <c r="B589" s="189" t="s">
        <v>138</v>
      </c>
      <c r="C589" s="189" t="s">
        <v>78</v>
      </c>
      <c r="D589" s="189" t="s">
        <v>903</v>
      </c>
      <c r="E589" s="223" t="s">
        <v>905</v>
      </c>
      <c r="F589" s="189" t="s">
        <v>153</v>
      </c>
      <c r="G589" s="258">
        <v>-1314</v>
      </c>
      <c r="H589" s="260">
        <v>-1314</v>
      </c>
      <c r="I589" s="195" t="s">
        <v>78</v>
      </c>
      <c r="J589" s="195" t="s">
        <v>143</v>
      </c>
      <c r="K589" s="199"/>
      <c r="L589" s="197"/>
      <c r="M589" s="197"/>
      <c r="N589" s="197"/>
      <c r="O589" s="197"/>
    </row>
    <row r="590" spans="1:15" hidden="1">
      <c r="A590" s="195" t="s">
        <v>232</v>
      </c>
      <c r="B590" s="189" t="s">
        <v>138</v>
      </c>
      <c r="C590" s="189" t="s">
        <v>78</v>
      </c>
      <c r="D590" s="189" t="s">
        <v>903</v>
      </c>
      <c r="E590" s="223" t="s">
        <v>906</v>
      </c>
      <c r="F590" s="189" t="s">
        <v>153</v>
      </c>
      <c r="G590" s="258">
        <v>-1548</v>
      </c>
      <c r="H590" s="260">
        <v>-1548</v>
      </c>
      <c r="I590" s="195" t="s">
        <v>78</v>
      </c>
      <c r="J590" s="195" t="s">
        <v>143</v>
      </c>
      <c r="K590" s="188"/>
      <c r="L590" s="197"/>
      <c r="M590" s="197"/>
      <c r="N590" s="197"/>
      <c r="O590" s="197"/>
    </row>
    <row r="591" spans="1:15" ht="25.5" hidden="1">
      <c r="A591" s="195" t="s">
        <v>137</v>
      </c>
      <c r="B591" s="189" t="s">
        <v>138</v>
      </c>
      <c r="C591" s="189" t="s">
        <v>78</v>
      </c>
      <c r="D591" s="189" t="s">
        <v>903</v>
      </c>
      <c r="E591" s="223" t="s">
        <v>907</v>
      </c>
      <c r="F591" s="189" t="s">
        <v>153</v>
      </c>
      <c r="G591" s="258">
        <v>-2268</v>
      </c>
      <c r="H591" s="260">
        <v>-2268</v>
      </c>
      <c r="I591" s="195" t="s">
        <v>78</v>
      </c>
      <c r="J591" s="195" t="s">
        <v>143</v>
      </c>
      <c r="K591" s="199"/>
      <c r="L591" s="197"/>
      <c r="M591" s="197"/>
      <c r="N591" s="197"/>
      <c r="O591" s="197"/>
    </row>
    <row r="592" spans="1:15" ht="25.5" hidden="1">
      <c r="A592" s="195" t="s">
        <v>137</v>
      </c>
      <c r="B592" s="189" t="s">
        <v>138</v>
      </c>
      <c r="C592" s="189" t="s">
        <v>78</v>
      </c>
      <c r="D592" s="189" t="s">
        <v>903</v>
      </c>
      <c r="E592" s="223" t="s">
        <v>908</v>
      </c>
      <c r="F592" s="189" t="s">
        <v>153</v>
      </c>
      <c r="G592" s="258">
        <v>-36</v>
      </c>
      <c r="H592" s="260">
        <v>-36</v>
      </c>
      <c r="I592" s="195" t="s">
        <v>78</v>
      </c>
      <c r="J592" s="195" t="s">
        <v>143</v>
      </c>
      <c r="K592" s="199"/>
      <c r="L592" s="197"/>
      <c r="M592" s="197"/>
      <c r="N592" s="197"/>
      <c r="O592" s="197"/>
    </row>
    <row r="593" spans="1:15" ht="25.5" hidden="1">
      <c r="A593" s="195" t="s">
        <v>137</v>
      </c>
      <c r="B593" s="189" t="s">
        <v>138</v>
      </c>
      <c r="C593" s="189" t="s">
        <v>78</v>
      </c>
      <c r="D593" s="189" t="s">
        <v>903</v>
      </c>
      <c r="E593" s="223" t="s">
        <v>909</v>
      </c>
      <c r="F593" s="189" t="s">
        <v>153</v>
      </c>
      <c r="G593" s="258">
        <v>-2124</v>
      </c>
      <c r="H593" s="260">
        <v>-2124</v>
      </c>
      <c r="I593" s="195" t="s">
        <v>78</v>
      </c>
      <c r="J593" s="195" t="s">
        <v>143</v>
      </c>
      <c r="K593" s="199"/>
      <c r="L593" s="197"/>
      <c r="M593" s="197"/>
      <c r="N593" s="197"/>
      <c r="O593" s="197"/>
    </row>
    <row r="594" spans="1:15" hidden="1">
      <c r="A594" s="188" t="s">
        <v>232</v>
      </c>
      <c r="B594" s="189" t="s">
        <v>138</v>
      </c>
      <c r="C594" s="189" t="s">
        <v>78</v>
      </c>
      <c r="D594" s="189" t="s">
        <v>903</v>
      </c>
      <c r="E594" s="223" t="s">
        <v>910</v>
      </c>
      <c r="F594" s="189" t="s">
        <v>146</v>
      </c>
      <c r="G594" s="258">
        <v>-828</v>
      </c>
      <c r="H594" s="260">
        <v>-828</v>
      </c>
      <c r="I594" s="188" t="s">
        <v>78</v>
      </c>
      <c r="J594" s="195" t="s">
        <v>143</v>
      </c>
      <c r="K594" s="189"/>
      <c r="L594" s="197"/>
      <c r="M594" s="197"/>
      <c r="N594" s="197"/>
      <c r="O594" s="197"/>
    </row>
    <row r="595" spans="1:15" hidden="1">
      <c r="A595" s="195" t="s">
        <v>232</v>
      </c>
      <c r="B595" s="189" t="s">
        <v>138</v>
      </c>
      <c r="C595" s="189" t="s">
        <v>78</v>
      </c>
      <c r="D595" s="189" t="s">
        <v>903</v>
      </c>
      <c r="E595" s="223" t="s">
        <v>911</v>
      </c>
      <c r="F595" s="189" t="s">
        <v>146</v>
      </c>
      <c r="G595" s="258">
        <v>-1296</v>
      </c>
      <c r="H595" s="260">
        <v>-1296</v>
      </c>
      <c r="I595" s="198" t="s">
        <v>78</v>
      </c>
      <c r="J595" s="195" t="s">
        <v>143</v>
      </c>
      <c r="K595" s="199"/>
      <c r="L595" s="197"/>
      <c r="M595" s="197"/>
      <c r="N595" s="197"/>
      <c r="O595" s="197"/>
    </row>
    <row r="596" spans="1:15" ht="25.5" hidden="1">
      <c r="A596" s="195" t="s">
        <v>137</v>
      </c>
      <c r="B596" s="189" t="s">
        <v>138</v>
      </c>
      <c r="C596" s="189" t="s">
        <v>78</v>
      </c>
      <c r="D596" s="189" t="s">
        <v>903</v>
      </c>
      <c r="E596" s="223" t="s">
        <v>912</v>
      </c>
      <c r="F596" s="189" t="s">
        <v>146</v>
      </c>
      <c r="G596" s="258">
        <v>-2016</v>
      </c>
      <c r="H596" s="260">
        <v>-2016</v>
      </c>
      <c r="I596" s="198" t="s">
        <v>78</v>
      </c>
      <c r="J596" s="195" t="s">
        <v>143</v>
      </c>
      <c r="K596" s="199"/>
      <c r="L596" s="197"/>
      <c r="M596" s="197"/>
      <c r="N596" s="197"/>
      <c r="O596" s="197"/>
    </row>
    <row r="597" spans="1:15" ht="25.5" hidden="1">
      <c r="A597" s="188" t="s">
        <v>137</v>
      </c>
      <c r="B597" s="189" t="s">
        <v>138</v>
      </c>
      <c r="C597" s="189" t="s">
        <v>78</v>
      </c>
      <c r="D597" s="189" t="s">
        <v>903</v>
      </c>
      <c r="E597" s="223" t="s">
        <v>913</v>
      </c>
      <c r="F597" s="189" t="s">
        <v>146</v>
      </c>
      <c r="G597" s="258">
        <v>-1152</v>
      </c>
      <c r="H597" s="260">
        <v>-1152</v>
      </c>
      <c r="I597" s="188" t="s">
        <v>78</v>
      </c>
      <c r="J597" s="195" t="s">
        <v>143</v>
      </c>
      <c r="K597" s="189"/>
      <c r="L597" s="197"/>
      <c r="M597" s="197"/>
      <c r="N597" s="197"/>
      <c r="O597" s="197"/>
    </row>
    <row r="598" spans="1:15" hidden="1">
      <c r="A598" s="188" t="s">
        <v>232</v>
      </c>
      <c r="B598" s="199" t="s">
        <v>138</v>
      </c>
      <c r="C598" s="199" t="s">
        <v>78</v>
      </c>
      <c r="D598" s="199" t="s">
        <v>903</v>
      </c>
      <c r="E598" s="205" t="s">
        <v>914</v>
      </c>
      <c r="F598" s="205" t="s">
        <v>149</v>
      </c>
      <c r="G598" s="225">
        <v>-1602</v>
      </c>
      <c r="H598" s="226">
        <v>-1602</v>
      </c>
      <c r="I598" s="198" t="s">
        <v>78</v>
      </c>
      <c r="J598" s="198" t="s">
        <v>143</v>
      </c>
      <c r="K598" s="199"/>
      <c r="L598" s="197"/>
      <c r="M598" s="197"/>
      <c r="N598" s="197"/>
      <c r="O598" s="197"/>
    </row>
    <row r="599" spans="1:15" hidden="1">
      <c r="A599" s="188" t="s">
        <v>232</v>
      </c>
      <c r="B599" s="199" t="s">
        <v>138</v>
      </c>
      <c r="C599" s="199" t="s">
        <v>78</v>
      </c>
      <c r="D599" s="199" t="s">
        <v>903</v>
      </c>
      <c r="E599" s="205" t="s">
        <v>915</v>
      </c>
      <c r="F599" s="205" t="s">
        <v>149</v>
      </c>
      <c r="G599" s="225">
        <v>-1638</v>
      </c>
      <c r="H599" s="226">
        <v>-1638</v>
      </c>
      <c r="I599" s="198" t="s">
        <v>78</v>
      </c>
      <c r="J599" s="198" t="s">
        <v>143</v>
      </c>
      <c r="K599" s="188"/>
      <c r="L599" s="197"/>
      <c r="M599" s="197"/>
      <c r="N599" s="197"/>
      <c r="O599" s="197"/>
    </row>
    <row r="600" spans="1:15" hidden="1">
      <c r="A600" s="188" t="s">
        <v>137</v>
      </c>
      <c r="B600" s="199" t="s">
        <v>138</v>
      </c>
      <c r="C600" s="199" t="s">
        <v>78</v>
      </c>
      <c r="D600" s="199" t="s">
        <v>903</v>
      </c>
      <c r="E600" s="205" t="s">
        <v>916</v>
      </c>
      <c r="F600" s="205" t="s">
        <v>149</v>
      </c>
      <c r="G600" s="225">
        <v>-2286</v>
      </c>
      <c r="H600" s="226">
        <v>-2286</v>
      </c>
      <c r="I600" s="198" t="s">
        <v>78</v>
      </c>
      <c r="J600" s="198" t="s">
        <v>143</v>
      </c>
      <c r="K600" s="199"/>
      <c r="L600" s="197"/>
      <c r="M600" s="197"/>
      <c r="N600" s="197"/>
      <c r="O600" s="197"/>
    </row>
    <row r="601" spans="1:15" hidden="1">
      <c r="A601" s="188" t="s">
        <v>137</v>
      </c>
      <c r="B601" s="199" t="s">
        <v>138</v>
      </c>
      <c r="C601" s="199" t="s">
        <v>78</v>
      </c>
      <c r="D601" s="199" t="s">
        <v>903</v>
      </c>
      <c r="E601" s="205" t="s">
        <v>917</v>
      </c>
      <c r="F601" s="205" t="s">
        <v>149</v>
      </c>
      <c r="G601" s="225">
        <v>-1944</v>
      </c>
      <c r="H601" s="226">
        <v>-1944</v>
      </c>
      <c r="I601" s="198" t="s">
        <v>78</v>
      </c>
      <c r="J601" s="198" t="s">
        <v>143</v>
      </c>
      <c r="K601" s="199"/>
      <c r="L601" s="197"/>
      <c r="M601" s="197"/>
      <c r="N601" s="197"/>
      <c r="O601" s="197"/>
    </row>
    <row r="602" spans="1:15" hidden="1">
      <c r="A602" s="188" t="s">
        <v>232</v>
      </c>
      <c r="B602" s="189" t="s">
        <v>138</v>
      </c>
      <c r="C602" s="189" t="s">
        <v>78</v>
      </c>
      <c r="D602" s="189" t="s">
        <v>903</v>
      </c>
      <c r="E602" s="223" t="s">
        <v>918</v>
      </c>
      <c r="F602" s="189" t="s">
        <v>142</v>
      </c>
      <c r="G602" s="258">
        <v>-1926</v>
      </c>
      <c r="H602" s="260">
        <v>-1926</v>
      </c>
      <c r="I602" s="188" t="s">
        <v>78</v>
      </c>
      <c r="J602" s="195" t="s">
        <v>143</v>
      </c>
      <c r="K602" s="189"/>
      <c r="L602" s="197"/>
      <c r="M602" s="197"/>
      <c r="N602" s="197"/>
      <c r="O602" s="197"/>
    </row>
    <row r="603" spans="1:15" hidden="1">
      <c r="A603" s="188" t="s">
        <v>232</v>
      </c>
      <c r="B603" s="189" t="s">
        <v>138</v>
      </c>
      <c r="C603" s="189" t="s">
        <v>78</v>
      </c>
      <c r="D603" s="189" t="s">
        <v>903</v>
      </c>
      <c r="E603" s="223" t="s">
        <v>919</v>
      </c>
      <c r="F603" s="189" t="s">
        <v>142</v>
      </c>
      <c r="G603" s="258">
        <v>-1818</v>
      </c>
      <c r="H603" s="260">
        <v>-1818</v>
      </c>
      <c r="I603" s="188" t="s">
        <v>78</v>
      </c>
      <c r="J603" s="195" t="s">
        <v>143</v>
      </c>
      <c r="K603" s="189"/>
      <c r="L603" s="197"/>
      <c r="M603" s="197"/>
      <c r="N603" s="197"/>
      <c r="O603" s="197"/>
    </row>
    <row r="604" spans="1:15" ht="25.5" hidden="1">
      <c r="A604" s="188" t="s">
        <v>137</v>
      </c>
      <c r="B604" s="189" t="s">
        <v>138</v>
      </c>
      <c r="C604" s="189" t="s">
        <v>78</v>
      </c>
      <c r="D604" s="189" t="s">
        <v>903</v>
      </c>
      <c r="E604" s="223" t="s">
        <v>920</v>
      </c>
      <c r="F604" s="189" t="s">
        <v>142</v>
      </c>
      <c r="G604" s="258">
        <v>-2466</v>
      </c>
      <c r="H604" s="260">
        <v>-2466</v>
      </c>
      <c r="I604" s="215" t="s">
        <v>78</v>
      </c>
      <c r="J604" s="195" t="s">
        <v>143</v>
      </c>
      <c r="K604" s="189"/>
      <c r="L604" s="197"/>
      <c r="M604" s="197"/>
      <c r="N604" s="197"/>
      <c r="O604" s="197"/>
    </row>
    <row r="605" spans="1:15" ht="25.5" hidden="1">
      <c r="A605" s="188" t="s">
        <v>137</v>
      </c>
      <c r="B605" s="189" t="s">
        <v>138</v>
      </c>
      <c r="C605" s="189" t="s">
        <v>78</v>
      </c>
      <c r="D605" s="189" t="s">
        <v>903</v>
      </c>
      <c r="E605" s="223" t="s">
        <v>921</v>
      </c>
      <c r="F605" s="189" t="s">
        <v>142</v>
      </c>
      <c r="G605" s="258">
        <v>-1872</v>
      </c>
      <c r="H605" s="260">
        <v>-1872</v>
      </c>
      <c r="I605" s="188" t="s">
        <v>78</v>
      </c>
      <c r="J605" s="195" t="s">
        <v>143</v>
      </c>
      <c r="K605" s="293"/>
      <c r="L605" s="197"/>
      <c r="M605" s="197"/>
      <c r="N605" s="197"/>
      <c r="O605" s="197"/>
    </row>
    <row r="606" spans="1:15" ht="25.5" hidden="1">
      <c r="A606" s="195" t="s">
        <v>232</v>
      </c>
      <c r="B606" s="189" t="s">
        <v>138</v>
      </c>
      <c r="C606" s="189" t="s">
        <v>78</v>
      </c>
      <c r="D606" s="189" t="s">
        <v>922</v>
      </c>
      <c r="E606" s="223" t="s">
        <v>923</v>
      </c>
      <c r="F606" s="189" t="s">
        <v>153</v>
      </c>
      <c r="G606" s="258">
        <v>-2180.1</v>
      </c>
      <c r="H606" s="260">
        <v>-2180.1</v>
      </c>
      <c r="I606" s="195" t="s">
        <v>78</v>
      </c>
      <c r="J606" s="195" t="s">
        <v>143</v>
      </c>
      <c r="K606" s="199"/>
      <c r="L606" s="197"/>
      <c r="M606" s="197"/>
      <c r="N606" s="197"/>
      <c r="O606" s="197"/>
    </row>
    <row r="607" spans="1:15" ht="25.5" hidden="1">
      <c r="A607" s="195" t="s">
        <v>232</v>
      </c>
      <c r="B607" s="189" t="s">
        <v>138</v>
      </c>
      <c r="C607" s="189" t="s">
        <v>78</v>
      </c>
      <c r="D607" s="189" t="s">
        <v>922</v>
      </c>
      <c r="E607" s="223" t="s">
        <v>924</v>
      </c>
      <c r="F607" s="189" t="s">
        <v>153</v>
      </c>
      <c r="G607" s="258">
        <v>-1673.1</v>
      </c>
      <c r="H607" s="260">
        <v>-1673.1</v>
      </c>
      <c r="I607" s="195" t="s">
        <v>78</v>
      </c>
      <c r="J607" s="195" t="s">
        <v>143</v>
      </c>
      <c r="K607" s="199"/>
      <c r="L607" s="197"/>
      <c r="M607" s="197"/>
      <c r="N607" s="197"/>
      <c r="O607" s="197"/>
    </row>
    <row r="608" spans="1:15" ht="25.5" hidden="1">
      <c r="A608" s="195" t="s">
        <v>137</v>
      </c>
      <c r="B608" s="189" t="s">
        <v>138</v>
      </c>
      <c r="C608" s="189" t="s">
        <v>78</v>
      </c>
      <c r="D608" s="189" t="s">
        <v>922</v>
      </c>
      <c r="E608" s="223" t="s">
        <v>925</v>
      </c>
      <c r="F608" s="189" t="s">
        <v>153</v>
      </c>
      <c r="G608" s="258">
        <v>-2298.4</v>
      </c>
      <c r="H608" s="260">
        <v>-2298.4</v>
      </c>
      <c r="I608" s="195" t="s">
        <v>78</v>
      </c>
      <c r="J608" s="195" t="s">
        <v>143</v>
      </c>
      <c r="K608" s="199"/>
      <c r="L608" s="197"/>
      <c r="M608" s="197"/>
      <c r="N608" s="197"/>
      <c r="O608" s="197"/>
    </row>
    <row r="609" spans="1:15" ht="25.5" hidden="1">
      <c r="A609" s="195" t="s">
        <v>137</v>
      </c>
      <c r="B609" s="189" t="s">
        <v>138</v>
      </c>
      <c r="C609" s="189" t="s">
        <v>78</v>
      </c>
      <c r="D609" s="189" t="s">
        <v>922</v>
      </c>
      <c r="E609" s="223" t="s">
        <v>926</v>
      </c>
      <c r="F609" s="189" t="s">
        <v>153</v>
      </c>
      <c r="G609" s="258">
        <v>-2805.4</v>
      </c>
      <c r="H609" s="260">
        <v>-2805.4</v>
      </c>
      <c r="I609" s="195" t="s">
        <v>78</v>
      </c>
      <c r="J609" s="195" t="s">
        <v>143</v>
      </c>
      <c r="K609" s="188"/>
      <c r="L609" s="197"/>
      <c r="M609" s="197"/>
      <c r="N609" s="197"/>
      <c r="O609" s="197"/>
    </row>
    <row r="610" spans="1:15" ht="25.5" hidden="1">
      <c r="A610" s="188" t="s">
        <v>232</v>
      </c>
      <c r="B610" s="189" t="s">
        <v>138</v>
      </c>
      <c r="C610" s="189" t="s">
        <v>78</v>
      </c>
      <c r="D610" s="189" t="s">
        <v>922</v>
      </c>
      <c r="E610" s="223" t="s">
        <v>927</v>
      </c>
      <c r="F610" s="189" t="s">
        <v>146</v>
      </c>
      <c r="G610" s="258">
        <v>-1521</v>
      </c>
      <c r="H610" s="260">
        <v>-1521</v>
      </c>
      <c r="I610" s="188" t="s">
        <v>78</v>
      </c>
      <c r="J610" s="195" t="s">
        <v>143</v>
      </c>
      <c r="K610" s="195"/>
      <c r="L610" s="197"/>
      <c r="M610" s="197"/>
      <c r="N610" s="197"/>
      <c r="O610" s="197"/>
    </row>
    <row r="611" spans="1:15" ht="25.5" hidden="1">
      <c r="A611" s="195" t="s">
        <v>137</v>
      </c>
      <c r="B611" s="189" t="s">
        <v>138</v>
      </c>
      <c r="C611" s="189" t="s">
        <v>78</v>
      </c>
      <c r="D611" s="189" t="s">
        <v>922</v>
      </c>
      <c r="E611" s="223" t="s">
        <v>928</v>
      </c>
      <c r="F611" s="189" t="s">
        <v>146</v>
      </c>
      <c r="G611" s="258">
        <v>-2687.1</v>
      </c>
      <c r="H611" s="260">
        <v>-2687.1</v>
      </c>
      <c r="I611" s="198" t="s">
        <v>78</v>
      </c>
      <c r="J611" s="195" t="s">
        <v>143</v>
      </c>
      <c r="K611" s="199"/>
      <c r="L611" s="197"/>
      <c r="M611" s="197"/>
      <c r="N611" s="197"/>
      <c r="O611" s="197"/>
    </row>
    <row r="612" spans="1:15" hidden="1">
      <c r="A612" s="195" t="s">
        <v>137</v>
      </c>
      <c r="B612" s="189" t="s">
        <v>138</v>
      </c>
      <c r="C612" s="189" t="s">
        <v>78</v>
      </c>
      <c r="D612" s="189" t="s">
        <v>922</v>
      </c>
      <c r="E612" s="223" t="s">
        <v>929</v>
      </c>
      <c r="F612" s="189" t="s">
        <v>146</v>
      </c>
      <c r="G612" s="258">
        <v>-3751.8</v>
      </c>
      <c r="H612" s="260">
        <v>-3751.8</v>
      </c>
      <c r="I612" s="198" t="s">
        <v>78</v>
      </c>
      <c r="J612" s="195" t="s">
        <v>143</v>
      </c>
      <c r="K612" s="199"/>
      <c r="L612" s="197"/>
      <c r="M612" s="197"/>
      <c r="N612" s="197"/>
      <c r="O612" s="197"/>
    </row>
    <row r="613" spans="1:15" ht="25.5" hidden="1">
      <c r="A613" s="195" t="s">
        <v>232</v>
      </c>
      <c r="B613" s="189" t="s">
        <v>138</v>
      </c>
      <c r="C613" s="189" t="s">
        <v>78</v>
      </c>
      <c r="D613" s="189" t="s">
        <v>922</v>
      </c>
      <c r="E613" s="223" t="s">
        <v>930</v>
      </c>
      <c r="F613" s="189" t="s">
        <v>146</v>
      </c>
      <c r="G613" s="258">
        <v>-1537.9</v>
      </c>
      <c r="H613" s="260">
        <v>-1537.9</v>
      </c>
      <c r="I613" s="198" t="s">
        <v>78</v>
      </c>
      <c r="J613" s="195" t="s">
        <v>143</v>
      </c>
      <c r="K613" s="199"/>
      <c r="L613" s="197"/>
      <c r="M613" s="197"/>
      <c r="N613" s="197"/>
      <c r="O613" s="197"/>
    </row>
    <row r="614" spans="1:15" ht="25.5" hidden="1">
      <c r="A614" s="188" t="s">
        <v>137</v>
      </c>
      <c r="B614" s="189" t="s">
        <v>138</v>
      </c>
      <c r="C614" s="189" t="s">
        <v>78</v>
      </c>
      <c r="D614" s="189" t="s">
        <v>922</v>
      </c>
      <c r="E614" s="223" t="s">
        <v>931</v>
      </c>
      <c r="F614" s="189" t="s">
        <v>146</v>
      </c>
      <c r="G614" s="258">
        <v>-2230.8000000000002</v>
      </c>
      <c r="H614" s="260">
        <v>-2230.8000000000002</v>
      </c>
      <c r="I614" s="188" t="s">
        <v>78</v>
      </c>
      <c r="J614" s="195" t="s">
        <v>143</v>
      </c>
      <c r="K614" s="189"/>
      <c r="L614" s="197"/>
      <c r="M614" s="197"/>
      <c r="N614" s="197"/>
      <c r="O614" s="197"/>
    </row>
    <row r="615" spans="1:15" hidden="1">
      <c r="A615" s="188" t="s">
        <v>232</v>
      </c>
      <c r="B615" s="199" t="s">
        <v>138</v>
      </c>
      <c r="C615" s="199" t="s">
        <v>78</v>
      </c>
      <c r="D615" s="199" t="s">
        <v>922</v>
      </c>
      <c r="E615" s="205" t="s">
        <v>932</v>
      </c>
      <c r="F615" s="205" t="s">
        <v>149</v>
      </c>
      <c r="G615" s="225">
        <v>-2247.6999999999998</v>
      </c>
      <c r="H615" s="226">
        <v>-2247.6999999999998</v>
      </c>
      <c r="I615" s="198" t="s">
        <v>78</v>
      </c>
      <c r="J615" s="198" t="s">
        <v>143</v>
      </c>
      <c r="K615" s="294"/>
      <c r="L615" s="197"/>
      <c r="M615" s="197"/>
      <c r="N615" s="197"/>
      <c r="O615" s="197"/>
    </row>
    <row r="616" spans="1:15" hidden="1">
      <c r="A616" s="188" t="s">
        <v>232</v>
      </c>
      <c r="B616" s="199" t="s">
        <v>138</v>
      </c>
      <c r="C616" s="199" t="s">
        <v>78</v>
      </c>
      <c r="D616" s="199" t="s">
        <v>922</v>
      </c>
      <c r="E616" s="205" t="s">
        <v>933</v>
      </c>
      <c r="F616" s="205" t="s">
        <v>149</v>
      </c>
      <c r="G616" s="225">
        <v>-2484.3000000000002</v>
      </c>
      <c r="H616" s="226">
        <v>-2484.3000000000002</v>
      </c>
      <c r="I616" s="198" t="s">
        <v>78</v>
      </c>
      <c r="J616" s="198" t="s">
        <v>143</v>
      </c>
      <c r="K616" s="199"/>
      <c r="L616" s="197"/>
      <c r="M616" s="197"/>
      <c r="N616" s="197"/>
      <c r="O616" s="197"/>
    </row>
    <row r="617" spans="1:15" ht="25.5" hidden="1">
      <c r="A617" s="188" t="s">
        <v>137</v>
      </c>
      <c r="B617" s="199" t="s">
        <v>138</v>
      </c>
      <c r="C617" s="199" t="s">
        <v>78</v>
      </c>
      <c r="D617" s="199" t="s">
        <v>922</v>
      </c>
      <c r="E617" s="205" t="s">
        <v>934</v>
      </c>
      <c r="F617" s="205" t="s">
        <v>149</v>
      </c>
      <c r="G617" s="225">
        <v>-3227.9</v>
      </c>
      <c r="H617" s="226">
        <v>-3227.9</v>
      </c>
      <c r="I617" s="198" t="s">
        <v>78</v>
      </c>
      <c r="J617" s="198" t="s">
        <v>143</v>
      </c>
      <c r="K617" s="199"/>
      <c r="L617" s="197"/>
      <c r="M617" s="197"/>
      <c r="N617" s="197"/>
      <c r="O617" s="197"/>
    </row>
    <row r="618" spans="1:15" ht="25.5" hidden="1">
      <c r="A618" s="188" t="s">
        <v>232</v>
      </c>
      <c r="B618" s="189" t="s">
        <v>138</v>
      </c>
      <c r="C618" s="189" t="s">
        <v>78</v>
      </c>
      <c r="D618" s="189" t="s">
        <v>922</v>
      </c>
      <c r="E618" s="223" t="s">
        <v>935</v>
      </c>
      <c r="F618" s="189" t="s">
        <v>142</v>
      </c>
      <c r="G618" s="258">
        <v>-1909.7</v>
      </c>
      <c r="H618" s="260">
        <v>-1909.7</v>
      </c>
      <c r="I618" s="188" t="s">
        <v>78</v>
      </c>
      <c r="J618" s="195" t="s">
        <v>143</v>
      </c>
      <c r="K618" s="189"/>
      <c r="L618" s="197"/>
      <c r="M618" s="197"/>
      <c r="N618" s="197"/>
      <c r="O618" s="197"/>
    </row>
    <row r="619" spans="1:15" ht="25.5" hidden="1">
      <c r="A619" s="188" t="s">
        <v>232</v>
      </c>
      <c r="B619" s="189" t="s">
        <v>138</v>
      </c>
      <c r="C619" s="189" t="s">
        <v>78</v>
      </c>
      <c r="D619" s="189" t="s">
        <v>922</v>
      </c>
      <c r="E619" s="223" t="s">
        <v>936</v>
      </c>
      <c r="F619" s="189" t="s">
        <v>142</v>
      </c>
      <c r="G619" s="258">
        <v>-2028</v>
      </c>
      <c r="H619" s="260">
        <v>-2028</v>
      </c>
      <c r="I619" s="188" t="s">
        <v>78</v>
      </c>
      <c r="J619" s="195" t="s">
        <v>143</v>
      </c>
      <c r="K619" s="189"/>
      <c r="L619" s="197"/>
      <c r="M619" s="197"/>
      <c r="N619" s="197"/>
      <c r="O619" s="197"/>
    </row>
    <row r="620" spans="1:15" ht="25.5" hidden="1">
      <c r="A620" s="188" t="s">
        <v>137</v>
      </c>
      <c r="B620" s="189" t="s">
        <v>138</v>
      </c>
      <c r="C620" s="189" t="s">
        <v>78</v>
      </c>
      <c r="D620" s="189" t="s">
        <v>922</v>
      </c>
      <c r="E620" s="223" t="s">
        <v>937</v>
      </c>
      <c r="F620" s="189" t="s">
        <v>142</v>
      </c>
      <c r="G620" s="258">
        <v>-3177.2</v>
      </c>
      <c r="H620" s="260">
        <v>-3177.2</v>
      </c>
      <c r="I620" s="188" t="s">
        <v>78</v>
      </c>
      <c r="J620" s="195" t="s">
        <v>143</v>
      </c>
      <c r="K620" s="293"/>
      <c r="L620" s="197"/>
      <c r="M620" s="197"/>
      <c r="N620" s="197"/>
      <c r="O620" s="197"/>
    </row>
    <row r="621" spans="1:15" ht="25.5" hidden="1">
      <c r="A621" s="188" t="s">
        <v>137</v>
      </c>
      <c r="B621" s="189" t="s">
        <v>138</v>
      </c>
      <c r="C621" s="189" t="s">
        <v>78</v>
      </c>
      <c r="D621" s="189" t="s">
        <v>922</v>
      </c>
      <c r="E621" s="223" t="s">
        <v>938</v>
      </c>
      <c r="F621" s="189" t="s">
        <v>142</v>
      </c>
      <c r="G621" s="258">
        <v>-2974.4</v>
      </c>
      <c r="H621" s="260">
        <v>-2974.4</v>
      </c>
      <c r="I621" s="188" t="s">
        <v>78</v>
      </c>
      <c r="J621" s="195" t="s">
        <v>143</v>
      </c>
      <c r="K621" s="189"/>
      <c r="L621" s="197"/>
      <c r="M621" s="197"/>
      <c r="N621" s="197"/>
      <c r="O621" s="197"/>
    </row>
    <row r="622" spans="1:15" ht="25.5" hidden="1">
      <c r="A622" s="195" t="s">
        <v>137</v>
      </c>
      <c r="B622" s="189" t="s">
        <v>138</v>
      </c>
      <c r="C622" s="189" t="s">
        <v>939</v>
      </c>
      <c r="D622" s="189" t="s">
        <v>940</v>
      </c>
      <c r="E622" s="223" t="s">
        <v>941</v>
      </c>
      <c r="F622" s="189" t="s">
        <v>146</v>
      </c>
      <c r="G622" s="258">
        <v>-18</v>
      </c>
      <c r="H622" s="260">
        <v>-18</v>
      </c>
      <c r="I622" s="198" t="s">
        <v>78</v>
      </c>
      <c r="J622" s="198" t="s">
        <v>206</v>
      </c>
      <c r="K622" s="199"/>
      <c r="L622" s="197"/>
      <c r="M622" s="197"/>
      <c r="N622" s="197"/>
      <c r="O622" s="197"/>
    </row>
    <row r="623" spans="1:15" ht="25.5" hidden="1">
      <c r="A623" s="188" t="s">
        <v>243</v>
      </c>
      <c r="B623" s="189" t="s">
        <v>138</v>
      </c>
      <c r="C623" s="189" t="s">
        <v>93</v>
      </c>
      <c r="D623" s="189" t="s">
        <v>383</v>
      </c>
      <c r="E623" s="223" t="s">
        <v>942</v>
      </c>
      <c r="F623" s="189" t="s">
        <v>153</v>
      </c>
      <c r="G623" s="258">
        <v>-1428.8</v>
      </c>
      <c r="H623" s="260">
        <v>-1428.8</v>
      </c>
      <c r="I623" s="198" t="s">
        <v>93</v>
      </c>
      <c r="J623" s="257" t="s">
        <v>164</v>
      </c>
      <c r="K623" s="199"/>
      <c r="L623" s="197"/>
      <c r="M623" s="197"/>
      <c r="N623" s="197"/>
      <c r="O623" s="197"/>
    </row>
    <row r="624" spans="1:15" hidden="1">
      <c r="A624" s="188" t="s">
        <v>137</v>
      </c>
      <c r="B624" s="189" t="s">
        <v>683</v>
      </c>
      <c r="C624" s="189" t="s">
        <v>943</v>
      </c>
      <c r="D624" s="189" t="s">
        <v>492</v>
      </c>
      <c r="E624" s="223" t="s">
        <v>944</v>
      </c>
      <c r="F624" s="189" t="s">
        <v>146</v>
      </c>
      <c r="G624" s="281">
        <v>688.3</v>
      </c>
      <c r="H624" s="282">
        <v>688.3</v>
      </c>
      <c r="I624" s="198" t="s">
        <v>945</v>
      </c>
      <c r="J624" s="198" t="s">
        <v>206</v>
      </c>
      <c r="K624" s="199"/>
      <c r="L624" s="197"/>
      <c r="M624" s="197"/>
      <c r="N624" s="197"/>
      <c r="O624" s="197"/>
    </row>
    <row r="625" spans="1:15" hidden="1">
      <c r="A625" s="188" t="s">
        <v>137</v>
      </c>
      <c r="B625" s="189" t="s">
        <v>683</v>
      </c>
      <c r="C625" s="189" t="s">
        <v>943</v>
      </c>
      <c r="D625" s="189" t="s">
        <v>492</v>
      </c>
      <c r="E625" s="223" t="s">
        <v>944</v>
      </c>
      <c r="F625" s="189" t="s">
        <v>146</v>
      </c>
      <c r="G625" s="281">
        <v>84.4</v>
      </c>
      <c r="H625" s="282">
        <v>84.4</v>
      </c>
      <c r="I625" s="198" t="s">
        <v>945</v>
      </c>
      <c r="J625" s="198" t="s">
        <v>206</v>
      </c>
      <c r="K625" s="199"/>
      <c r="L625" s="197"/>
      <c r="M625" s="197"/>
      <c r="N625" s="197"/>
      <c r="O625" s="197"/>
    </row>
    <row r="626" spans="1:15" hidden="1">
      <c r="A626" s="188" t="s">
        <v>137</v>
      </c>
      <c r="B626" s="189" t="s">
        <v>683</v>
      </c>
      <c r="C626" s="189" t="s">
        <v>943</v>
      </c>
      <c r="D626" s="189" t="s">
        <v>492</v>
      </c>
      <c r="E626" s="223" t="s">
        <v>946</v>
      </c>
      <c r="F626" s="189" t="s">
        <v>146</v>
      </c>
      <c r="G626" s="281">
        <v>2.37</v>
      </c>
      <c r="H626" s="282">
        <v>2.37</v>
      </c>
      <c r="I626" s="198" t="s">
        <v>945</v>
      </c>
      <c r="J626" s="198" t="s">
        <v>206</v>
      </c>
      <c r="K626" s="199"/>
      <c r="L626" s="197"/>
      <c r="M626" s="197"/>
      <c r="N626" s="197"/>
      <c r="O626" s="197"/>
    </row>
    <row r="627" spans="1:15" hidden="1">
      <c r="A627" s="188" t="s">
        <v>232</v>
      </c>
      <c r="B627" s="189" t="s">
        <v>683</v>
      </c>
      <c r="C627" s="189" t="s">
        <v>943</v>
      </c>
      <c r="D627" s="189" t="s">
        <v>492</v>
      </c>
      <c r="E627" s="223" t="s">
        <v>655</v>
      </c>
      <c r="F627" s="189" t="s">
        <v>146</v>
      </c>
      <c r="G627" s="281">
        <v>0.01</v>
      </c>
      <c r="H627" s="282">
        <v>0.01</v>
      </c>
      <c r="I627" s="198" t="s">
        <v>945</v>
      </c>
      <c r="J627" s="198" t="s">
        <v>206</v>
      </c>
      <c r="K627" s="199"/>
      <c r="L627" s="197"/>
      <c r="M627" s="197"/>
      <c r="N627" s="197"/>
      <c r="O627" s="197"/>
    </row>
    <row r="628" spans="1:15" hidden="1">
      <c r="A628" s="188" t="s">
        <v>232</v>
      </c>
      <c r="B628" s="189" t="s">
        <v>683</v>
      </c>
      <c r="C628" s="189" t="s">
        <v>943</v>
      </c>
      <c r="D628" s="189" t="s">
        <v>492</v>
      </c>
      <c r="E628" s="223" t="s">
        <v>944</v>
      </c>
      <c r="F628" s="189" t="s">
        <v>146</v>
      </c>
      <c r="G628" s="281">
        <v>1657.82</v>
      </c>
      <c r="H628" s="282">
        <v>1657.82</v>
      </c>
      <c r="I628" s="198" t="s">
        <v>945</v>
      </c>
      <c r="J628" s="198" t="s">
        <v>206</v>
      </c>
      <c r="K628" s="188"/>
      <c r="L628" s="197"/>
      <c r="M628" s="197"/>
      <c r="N628" s="197"/>
      <c r="O628" s="197"/>
    </row>
    <row r="629" spans="1:15" hidden="1">
      <c r="A629" s="188" t="s">
        <v>137</v>
      </c>
      <c r="B629" s="189" t="s">
        <v>683</v>
      </c>
      <c r="C629" s="189" t="s">
        <v>943</v>
      </c>
      <c r="D629" s="189" t="s">
        <v>492</v>
      </c>
      <c r="E629" s="223" t="s">
        <v>947</v>
      </c>
      <c r="F629" s="189" t="s">
        <v>149</v>
      </c>
      <c r="G629" s="281">
        <v>41.2</v>
      </c>
      <c r="H629" s="282">
        <v>41.2</v>
      </c>
      <c r="I629" s="198" t="s">
        <v>945</v>
      </c>
      <c r="J629" s="198" t="s">
        <v>206</v>
      </c>
      <c r="K629" s="199"/>
      <c r="L629" s="197"/>
      <c r="M629" s="197"/>
      <c r="N629" s="197"/>
      <c r="O629" s="197"/>
    </row>
    <row r="630" spans="1:15" hidden="1">
      <c r="A630" s="188" t="s">
        <v>137</v>
      </c>
      <c r="B630" s="189" t="s">
        <v>683</v>
      </c>
      <c r="C630" s="189" t="s">
        <v>943</v>
      </c>
      <c r="D630" s="189" t="s">
        <v>492</v>
      </c>
      <c r="E630" s="223" t="s">
        <v>947</v>
      </c>
      <c r="F630" s="189" t="s">
        <v>149</v>
      </c>
      <c r="G630" s="281">
        <v>658.27</v>
      </c>
      <c r="H630" s="282">
        <v>658.27</v>
      </c>
      <c r="I630" s="198" t="s">
        <v>945</v>
      </c>
      <c r="J630" s="198" t="s">
        <v>206</v>
      </c>
      <c r="K630" s="199"/>
      <c r="L630" s="197"/>
      <c r="M630" s="197"/>
      <c r="N630" s="197"/>
      <c r="O630" s="197"/>
    </row>
    <row r="631" spans="1:15" hidden="1">
      <c r="A631" s="188" t="s">
        <v>137</v>
      </c>
      <c r="B631" s="189" t="s">
        <v>683</v>
      </c>
      <c r="C631" s="189" t="s">
        <v>943</v>
      </c>
      <c r="D631" s="189" t="s">
        <v>492</v>
      </c>
      <c r="E631" s="223" t="s">
        <v>948</v>
      </c>
      <c r="F631" s="189" t="s">
        <v>149</v>
      </c>
      <c r="G631" s="281">
        <v>14.76</v>
      </c>
      <c r="H631" s="282">
        <v>14.76</v>
      </c>
      <c r="I631" s="198" t="s">
        <v>945</v>
      </c>
      <c r="J631" s="198" t="s">
        <v>206</v>
      </c>
      <c r="K631" s="188"/>
      <c r="L631" s="197"/>
      <c r="M631" s="197"/>
      <c r="N631" s="197"/>
      <c r="O631" s="197"/>
    </row>
    <row r="632" spans="1:15" hidden="1">
      <c r="A632" s="188" t="s">
        <v>232</v>
      </c>
      <c r="B632" s="189" t="s">
        <v>683</v>
      </c>
      <c r="C632" s="189" t="s">
        <v>943</v>
      </c>
      <c r="D632" s="189" t="s">
        <v>492</v>
      </c>
      <c r="E632" s="223" t="s">
        <v>947</v>
      </c>
      <c r="F632" s="189" t="s">
        <v>149</v>
      </c>
      <c r="G632" s="281">
        <v>781.09</v>
      </c>
      <c r="H632" s="282">
        <v>781.09</v>
      </c>
      <c r="I632" s="198" t="s">
        <v>945</v>
      </c>
      <c r="J632" s="198" t="s">
        <v>206</v>
      </c>
      <c r="K632" s="294"/>
      <c r="L632" s="197"/>
      <c r="M632" s="197"/>
      <c r="N632" s="197"/>
      <c r="O632" s="197"/>
    </row>
    <row r="633" spans="1:15" hidden="1">
      <c r="A633" s="188" t="s">
        <v>232</v>
      </c>
      <c r="B633" s="189" t="s">
        <v>683</v>
      </c>
      <c r="C633" s="189" t="s">
        <v>943</v>
      </c>
      <c r="D633" s="189" t="s">
        <v>492</v>
      </c>
      <c r="E633" s="223" t="s">
        <v>655</v>
      </c>
      <c r="F633" s="189" t="s">
        <v>149</v>
      </c>
      <c r="G633" s="281">
        <v>0.02</v>
      </c>
      <c r="H633" s="282">
        <v>0.02</v>
      </c>
      <c r="I633" s="198" t="s">
        <v>945</v>
      </c>
      <c r="J633" s="198" t="s">
        <v>206</v>
      </c>
      <c r="K633" s="199"/>
      <c r="L633" s="197"/>
      <c r="M633" s="197"/>
      <c r="N633" s="197"/>
      <c r="O633" s="197"/>
    </row>
    <row r="634" spans="1:15" hidden="1">
      <c r="A634" s="188" t="s">
        <v>137</v>
      </c>
      <c r="B634" s="189" t="s">
        <v>683</v>
      </c>
      <c r="C634" s="189" t="s">
        <v>943</v>
      </c>
      <c r="D634" s="189" t="s">
        <v>492</v>
      </c>
      <c r="E634" s="223" t="s">
        <v>949</v>
      </c>
      <c r="F634" s="189" t="s">
        <v>142</v>
      </c>
      <c r="G634" s="281">
        <v>155.49</v>
      </c>
      <c r="H634" s="282">
        <v>155.49</v>
      </c>
      <c r="I634" s="198" t="s">
        <v>945</v>
      </c>
      <c r="J634" s="198" t="s">
        <v>206</v>
      </c>
      <c r="K634" s="199"/>
      <c r="L634" s="197"/>
      <c r="M634" s="197"/>
      <c r="N634" s="197"/>
      <c r="O634" s="197"/>
    </row>
    <row r="635" spans="1:15" hidden="1">
      <c r="A635" s="188" t="s">
        <v>137</v>
      </c>
      <c r="B635" s="189" t="s">
        <v>683</v>
      </c>
      <c r="C635" s="189" t="s">
        <v>943</v>
      </c>
      <c r="D635" s="189" t="s">
        <v>492</v>
      </c>
      <c r="E635" s="223" t="s">
        <v>950</v>
      </c>
      <c r="F635" s="189" t="s">
        <v>142</v>
      </c>
      <c r="G635" s="281">
        <v>4.03</v>
      </c>
      <c r="H635" s="282">
        <v>4.03</v>
      </c>
      <c r="I635" s="198" t="s">
        <v>945</v>
      </c>
      <c r="J635" s="198" t="s">
        <v>206</v>
      </c>
      <c r="K635" s="199"/>
      <c r="L635" s="197"/>
      <c r="M635" s="197"/>
      <c r="N635" s="197"/>
      <c r="O635" s="197"/>
    </row>
    <row r="636" spans="1:15" hidden="1">
      <c r="A636" s="188" t="s">
        <v>137</v>
      </c>
      <c r="B636" s="189" t="s">
        <v>683</v>
      </c>
      <c r="C636" s="189" t="s">
        <v>943</v>
      </c>
      <c r="D636" s="189" t="s">
        <v>492</v>
      </c>
      <c r="E636" s="223" t="s">
        <v>951</v>
      </c>
      <c r="F636" s="189" t="s">
        <v>142</v>
      </c>
      <c r="G636" s="281">
        <v>336.73</v>
      </c>
      <c r="H636" s="282">
        <v>336.73</v>
      </c>
      <c r="I636" s="198" t="s">
        <v>945</v>
      </c>
      <c r="J636" s="198" t="s">
        <v>206</v>
      </c>
      <c r="K636" s="199"/>
      <c r="L636" s="197"/>
      <c r="M636" s="197"/>
      <c r="N636" s="197"/>
      <c r="O636" s="197"/>
    </row>
    <row r="637" spans="1:15" hidden="1">
      <c r="A637" s="188" t="s">
        <v>232</v>
      </c>
      <c r="B637" s="189" t="s">
        <v>683</v>
      </c>
      <c r="C637" s="189" t="s">
        <v>943</v>
      </c>
      <c r="D637" s="189" t="s">
        <v>492</v>
      </c>
      <c r="E637" s="223" t="s">
        <v>949</v>
      </c>
      <c r="F637" s="189" t="s">
        <v>142</v>
      </c>
      <c r="G637" s="281">
        <v>2627.6</v>
      </c>
      <c r="H637" s="282">
        <v>2627.6</v>
      </c>
      <c r="I637" s="198" t="s">
        <v>945</v>
      </c>
      <c r="J637" s="198" t="s">
        <v>206</v>
      </c>
      <c r="K637" s="199"/>
      <c r="L637" s="197"/>
      <c r="M637" s="197"/>
      <c r="N637" s="197"/>
      <c r="O637" s="197"/>
    </row>
    <row r="638" spans="1:15" hidden="1">
      <c r="A638" s="195" t="s">
        <v>137</v>
      </c>
      <c r="B638" s="189" t="s">
        <v>138</v>
      </c>
      <c r="C638" s="189" t="s">
        <v>96</v>
      </c>
      <c r="D638" s="189" t="s">
        <v>952</v>
      </c>
      <c r="E638" s="223" t="s">
        <v>953</v>
      </c>
      <c r="F638" s="189" t="s">
        <v>153</v>
      </c>
      <c r="G638" s="258">
        <v>-243.76</v>
      </c>
      <c r="H638" s="260">
        <v>-243.76</v>
      </c>
      <c r="I638" s="195" t="s">
        <v>96</v>
      </c>
      <c r="J638" s="195" t="s">
        <v>192</v>
      </c>
      <c r="K638" s="199"/>
      <c r="L638" s="197"/>
      <c r="M638" s="197"/>
      <c r="N638" s="197"/>
      <c r="O638" s="197"/>
    </row>
    <row r="639" spans="1:15" hidden="1">
      <c r="A639" s="195" t="s">
        <v>137</v>
      </c>
      <c r="B639" s="189" t="s">
        <v>138</v>
      </c>
      <c r="C639" s="189" t="s">
        <v>96</v>
      </c>
      <c r="D639" s="189" t="s">
        <v>952</v>
      </c>
      <c r="E639" s="223" t="s">
        <v>954</v>
      </c>
      <c r="F639" s="189" t="s">
        <v>146</v>
      </c>
      <c r="G639" s="258">
        <v>-243.76</v>
      </c>
      <c r="H639" s="260">
        <v>-243.76</v>
      </c>
      <c r="I639" s="198" t="s">
        <v>96</v>
      </c>
      <c r="J639" s="195" t="s">
        <v>192</v>
      </c>
      <c r="K639" s="188"/>
      <c r="L639" s="197"/>
      <c r="M639" s="197"/>
      <c r="N639" s="197"/>
      <c r="O639" s="197"/>
    </row>
    <row r="640" spans="1:15" hidden="1">
      <c r="A640" s="188" t="s">
        <v>137</v>
      </c>
      <c r="B640" s="199" t="s">
        <v>138</v>
      </c>
      <c r="C640" s="199" t="s">
        <v>96</v>
      </c>
      <c r="D640" s="199" t="s">
        <v>952</v>
      </c>
      <c r="E640" s="205" t="s">
        <v>955</v>
      </c>
      <c r="F640" s="205" t="s">
        <v>149</v>
      </c>
      <c r="G640" s="225">
        <v>-243.76</v>
      </c>
      <c r="H640" s="226">
        <v>-243.76</v>
      </c>
      <c r="I640" s="198" t="s">
        <v>96</v>
      </c>
      <c r="J640" s="198" t="s">
        <v>192</v>
      </c>
      <c r="K640" s="199"/>
      <c r="L640" s="197"/>
      <c r="M640" s="197"/>
      <c r="N640" s="197"/>
      <c r="O640" s="197"/>
    </row>
    <row r="641" spans="1:15" hidden="1">
      <c r="A641" s="188" t="s">
        <v>137</v>
      </c>
      <c r="B641" s="189" t="s">
        <v>138</v>
      </c>
      <c r="C641" s="189" t="s">
        <v>96</v>
      </c>
      <c r="D641" s="189" t="s">
        <v>952</v>
      </c>
      <c r="E641" s="223" t="s">
        <v>956</v>
      </c>
      <c r="F641" s="189" t="s">
        <v>142</v>
      </c>
      <c r="G641" s="258">
        <v>-243.76</v>
      </c>
      <c r="H641" s="260">
        <v>-243.76</v>
      </c>
      <c r="I641" s="188" t="s">
        <v>96</v>
      </c>
      <c r="J641" s="195" t="s">
        <v>192</v>
      </c>
      <c r="K641" s="189"/>
      <c r="L641" s="197"/>
      <c r="M641" s="197"/>
      <c r="N641" s="197"/>
      <c r="O641" s="197"/>
    </row>
    <row r="642" spans="1:15" hidden="1">
      <c r="A642" s="195" t="s">
        <v>232</v>
      </c>
      <c r="B642" s="189" t="s">
        <v>138</v>
      </c>
      <c r="C642" s="189" t="s">
        <v>96</v>
      </c>
      <c r="D642" s="189" t="s">
        <v>957</v>
      </c>
      <c r="E642" s="223" t="s">
        <v>958</v>
      </c>
      <c r="F642" s="189" t="s">
        <v>153</v>
      </c>
      <c r="G642" s="258">
        <v>-192.48</v>
      </c>
      <c r="H642" s="260">
        <v>-192.48</v>
      </c>
      <c r="I642" s="195" t="s">
        <v>96</v>
      </c>
      <c r="J642" s="195" t="s">
        <v>164</v>
      </c>
      <c r="K642" s="199" t="s">
        <v>195</v>
      </c>
      <c r="L642" s="197"/>
      <c r="M642" s="197"/>
      <c r="N642" s="197"/>
      <c r="O642" s="197"/>
    </row>
    <row r="643" spans="1:15" hidden="1">
      <c r="A643" s="195" t="s">
        <v>232</v>
      </c>
      <c r="B643" s="189" t="s">
        <v>138</v>
      </c>
      <c r="C643" s="189" t="s">
        <v>96</v>
      </c>
      <c r="D643" s="189" t="s">
        <v>957</v>
      </c>
      <c r="E643" s="223" t="s">
        <v>959</v>
      </c>
      <c r="F643" s="189" t="s">
        <v>146</v>
      </c>
      <c r="G643" s="258">
        <v>-192.95</v>
      </c>
      <c r="H643" s="260">
        <v>-192.95</v>
      </c>
      <c r="I643" s="198" t="s">
        <v>96</v>
      </c>
      <c r="J643" s="198" t="s">
        <v>164</v>
      </c>
      <c r="K643" s="199"/>
      <c r="L643" s="197"/>
      <c r="M643" s="197"/>
      <c r="N643" s="197"/>
      <c r="O643" s="197"/>
    </row>
    <row r="644" spans="1:15" hidden="1">
      <c r="A644" s="188" t="s">
        <v>232</v>
      </c>
      <c r="B644" s="199" t="s">
        <v>138</v>
      </c>
      <c r="C644" s="199" t="s">
        <v>96</v>
      </c>
      <c r="D644" s="199" t="s">
        <v>957</v>
      </c>
      <c r="E644" s="205" t="s">
        <v>960</v>
      </c>
      <c r="F644" s="205" t="s">
        <v>149</v>
      </c>
      <c r="G644" s="225">
        <v>-75.62</v>
      </c>
      <c r="H644" s="226">
        <v>-75.62</v>
      </c>
      <c r="I644" s="198" t="s">
        <v>96</v>
      </c>
      <c r="J644" s="198" t="s">
        <v>164</v>
      </c>
      <c r="K644" s="199"/>
      <c r="L644" s="197"/>
      <c r="M644" s="197"/>
      <c r="N644" s="197"/>
      <c r="O644" s="197"/>
    </row>
    <row r="645" spans="1:15" hidden="1">
      <c r="A645" s="188" t="s">
        <v>232</v>
      </c>
      <c r="B645" s="189" t="s">
        <v>138</v>
      </c>
      <c r="C645" s="189" t="s">
        <v>96</v>
      </c>
      <c r="D645" s="189" t="s">
        <v>957</v>
      </c>
      <c r="E645" s="223" t="s">
        <v>961</v>
      </c>
      <c r="F645" s="189" t="s">
        <v>142</v>
      </c>
      <c r="G645" s="258">
        <v>-139.16</v>
      </c>
      <c r="H645" s="260">
        <v>-139.16</v>
      </c>
      <c r="I645" s="188" t="s">
        <v>96</v>
      </c>
      <c r="J645" s="198" t="s">
        <v>164</v>
      </c>
      <c r="K645" s="189"/>
      <c r="L645" s="197"/>
      <c r="M645" s="197"/>
      <c r="N645" s="197"/>
      <c r="O645" s="197"/>
    </row>
    <row r="646" spans="1:15" hidden="1">
      <c r="A646" s="188" t="s">
        <v>137</v>
      </c>
      <c r="B646" s="199" t="s">
        <v>138</v>
      </c>
      <c r="C646" s="199" t="s">
        <v>96</v>
      </c>
      <c r="D646" s="199" t="s">
        <v>962</v>
      </c>
      <c r="E646" s="205" t="s">
        <v>963</v>
      </c>
      <c r="F646" s="205" t="s">
        <v>149</v>
      </c>
      <c r="G646" s="225">
        <v>-1302.3499999999999</v>
      </c>
      <c r="H646" s="226">
        <v>-1302.3499999999999</v>
      </c>
      <c r="I646" s="198" t="s">
        <v>96</v>
      </c>
      <c r="J646" s="198" t="s">
        <v>964</v>
      </c>
      <c r="K646" s="199" t="s">
        <v>965</v>
      </c>
      <c r="L646" s="197"/>
      <c r="M646" s="197"/>
      <c r="N646" s="197"/>
      <c r="O646" s="197"/>
    </row>
    <row r="647" spans="1:15" hidden="1">
      <c r="A647" s="295" t="s">
        <v>137</v>
      </c>
      <c r="B647" s="296" t="s">
        <v>138</v>
      </c>
      <c r="C647" s="296" t="s">
        <v>96</v>
      </c>
      <c r="D647" s="296" t="s">
        <v>962</v>
      </c>
      <c r="E647" s="297" t="s">
        <v>966</v>
      </c>
      <c r="F647" s="296" t="s">
        <v>142</v>
      </c>
      <c r="G647" s="258">
        <v>-637.39</v>
      </c>
      <c r="H647" s="298">
        <v>-637.39</v>
      </c>
      <c r="I647" s="198" t="s">
        <v>96</v>
      </c>
      <c r="J647" s="295" t="s">
        <v>964</v>
      </c>
      <c r="K647" s="299" t="s">
        <v>967</v>
      </c>
      <c r="L647" s="197"/>
      <c r="M647" s="197"/>
      <c r="N647" s="197"/>
      <c r="O647" s="197"/>
    </row>
    <row r="648" spans="1:15" hidden="1">
      <c r="A648" s="188" t="s">
        <v>137</v>
      </c>
      <c r="B648" s="189" t="s">
        <v>138</v>
      </c>
      <c r="C648" s="189" t="s">
        <v>96</v>
      </c>
      <c r="D648" s="189" t="s">
        <v>962</v>
      </c>
      <c r="E648" s="223" t="s">
        <v>968</v>
      </c>
      <c r="F648" s="189" t="s">
        <v>142</v>
      </c>
      <c r="G648" s="258">
        <v>-637.39</v>
      </c>
      <c r="H648" s="260">
        <v>-637.39</v>
      </c>
      <c r="I648" s="188" t="s">
        <v>96</v>
      </c>
      <c r="J648" s="195" t="s">
        <v>964</v>
      </c>
      <c r="K648" s="189"/>
      <c r="L648" s="197"/>
      <c r="M648" s="197"/>
      <c r="N648" s="197"/>
      <c r="O648" s="197"/>
    </row>
    <row r="649" spans="1:15" hidden="1">
      <c r="A649" s="195" t="s">
        <v>232</v>
      </c>
      <c r="B649" s="189" t="s">
        <v>138</v>
      </c>
      <c r="C649" s="189" t="s">
        <v>96</v>
      </c>
      <c r="D649" s="189" t="s">
        <v>969</v>
      </c>
      <c r="E649" s="223" t="s">
        <v>970</v>
      </c>
      <c r="F649" s="189" t="s">
        <v>146</v>
      </c>
      <c r="G649" s="258">
        <v>-327</v>
      </c>
      <c r="H649" s="260">
        <v>-327</v>
      </c>
      <c r="I649" s="198" t="s">
        <v>96</v>
      </c>
      <c r="J649" s="198" t="s">
        <v>164</v>
      </c>
      <c r="K649" s="199"/>
      <c r="L649" s="197"/>
      <c r="M649" s="197"/>
      <c r="N649" s="197"/>
      <c r="O649" s="197"/>
    </row>
    <row r="650" spans="1:15" hidden="1">
      <c r="A650" s="188" t="s">
        <v>232</v>
      </c>
      <c r="B650" s="199" t="s">
        <v>138</v>
      </c>
      <c r="C650" s="199" t="s">
        <v>96</v>
      </c>
      <c r="D650" s="199" t="s">
        <v>969</v>
      </c>
      <c r="E650" s="205" t="s">
        <v>971</v>
      </c>
      <c r="F650" s="205" t="s">
        <v>149</v>
      </c>
      <c r="G650" s="225">
        <v>-173.33</v>
      </c>
      <c r="H650" s="226">
        <v>-173.33</v>
      </c>
      <c r="I650" s="198" t="s">
        <v>96</v>
      </c>
      <c r="J650" s="198" t="s">
        <v>164</v>
      </c>
      <c r="K650" s="199"/>
      <c r="L650" s="197"/>
      <c r="M650" s="197"/>
      <c r="N650" s="197"/>
      <c r="O650" s="197"/>
    </row>
    <row r="651" spans="1:15" hidden="1">
      <c r="A651" s="188" t="s">
        <v>232</v>
      </c>
      <c r="B651" s="189" t="s">
        <v>138</v>
      </c>
      <c r="C651" s="189" t="s">
        <v>96</v>
      </c>
      <c r="D651" s="189" t="s">
        <v>969</v>
      </c>
      <c r="E651" s="223" t="s">
        <v>972</v>
      </c>
      <c r="F651" s="189" t="s">
        <v>142</v>
      </c>
      <c r="G651" s="258">
        <v>-197.72</v>
      </c>
      <c r="H651" s="260">
        <v>-197.72</v>
      </c>
      <c r="I651" s="188" t="s">
        <v>96</v>
      </c>
      <c r="J651" s="198" t="s">
        <v>164</v>
      </c>
      <c r="K651" s="189"/>
      <c r="L651" s="197"/>
      <c r="M651" s="197"/>
      <c r="N651" s="197"/>
      <c r="O651" s="197"/>
    </row>
    <row r="652" spans="1:15" hidden="1">
      <c r="A652" s="195" t="s">
        <v>137</v>
      </c>
      <c r="B652" s="189" t="s">
        <v>138</v>
      </c>
      <c r="C652" s="189" t="s">
        <v>973</v>
      </c>
      <c r="D652" s="189" t="s">
        <v>974</v>
      </c>
      <c r="E652" s="223" t="s">
        <v>975</v>
      </c>
      <c r="F652" s="189" t="s">
        <v>153</v>
      </c>
      <c r="G652" s="258">
        <v>-1140.51</v>
      </c>
      <c r="H652" s="260">
        <v>-1140.51</v>
      </c>
      <c r="I652" s="195" t="s">
        <v>96</v>
      </c>
      <c r="J652" s="195" t="s">
        <v>964</v>
      </c>
      <c r="K652" s="199"/>
      <c r="L652" s="197"/>
      <c r="M652" s="197"/>
      <c r="N652" s="197"/>
      <c r="O652" s="197"/>
    </row>
    <row r="653" spans="1:15" hidden="1">
      <c r="A653" s="195" t="s">
        <v>137</v>
      </c>
      <c r="B653" s="189" t="s">
        <v>138</v>
      </c>
      <c r="C653" s="189" t="s">
        <v>96</v>
      </c>
      <c r="D653" s="189" t="s">
        <v>976</v>
      </c>
      <c r="E653" s="223" t="s">
        <v>977</v>
      </c>
      <c r="F653" s="189" t="s">
        <v>146</v>
      </c>
      <c r="G653" s="258">
        <v>-60.25</v>
      </c>
      <c r="H653" s="260">
        <v>-60.25</v>
      </c>
      <c r="I653" s="198" t="s">
        <v>96</v>
      </c>
      <c r="J653" s="198" t="s">
        <v>246</v>
      </c>
      <c r="K653" s="188"/>
      <c r="L653" s="197"/>
      <c r="M653" s="197"/>
      <c r="N653" s="197"/>
      <c r="O653" s="197"/>
    </row>
    <row r="654" spans="1:15" hidden="1">
      <c r="A654" s="188" t="s">
        <v>137</v>
      </c>
      <c r="B654" s="199" t="s">
        <v>138</v>
      </c>
      <c r="C654" s="199" t="s">
        <v>96</v>
      </c>
      <c r="D654" s="199" t="s">
        <v>976</v>
      </c>
      <c r="E654" s="205" t="s">
        <v>978</v>
      </c>
      <c r="F654" s="205" t="s">
        <v>149</v>
      </c>
      <c r="G654" s="225">
        <v>-60.25</v>
      </c>
      <c r="H654" s="226">
        <v>-60.25</v>
      </c>
      <c r="I654" s="198" t="s">
        <v>96</v>
      </c>
      <c r="J654" s="198" t="s">
        <v>246</v>
      </c>
      <c r="K654" s="188"/>
      <c r="L654" s="197"/>
      <c r="M654" s="197"/>
      <c r="N654" s="197"/>
      <c r="O654" s="197"/>
    </row>
    <row r="655" spans="1:15" hidden="1">
      <c r="A655" s="195" t="s">
        <v>137</v>
      </c>
      <c r="B655" s="189" t="s">
        <v>138</v>
      </c>
      <c r="C655" s="189" t="s">
        <v>973</v>
      </c>
      <c r="D655" s="189" t="s">
        <v>974</v>
      </c>
      <c r="E655" s="223" t="s">
        <v>979</v>
      </c>
      <c r="F655" s="189" t="s">
        <v>153</v>
      </c>
      <c r="G655" s="258">
        <v>-1029.3800000000001</v>
      </c>
      <c r="H655" s="260">
        <v>-1029.3800000000001</v>
      </c>
      <c r="I655" s="195" t="s">
        <v>96</v>
      </c>
      <c r="J655" s="195" t="s">
        <v>964</v>
      </c>
      <c r="K655" s="188"/>
      <c r="L655" s="197"/>
      <c r="M655" s="197"/>
      <c r="N655" s="197"/>
      <c r="O655" s="197"/>
    </row>
    <row r="656" spans="1:15" hidden="1">
      <c r="A656" s="188" t="s">
        <v>137</v>
      </c>
      <c r="B656" s="189" t="s">
        <v>138</v>
      </c>
      <c r="C656" s="189" t="s">
        <v>96</v>
      </c>
      <c r="D656" s="189" t="s">
        <v>976</v>
      </c>
      <c r="E656" s="223" t="s">
        <v>980</v>
      </c>
      <c r="F656" s="189" t="s">
        <v>142</v>
      </c>
      <c r="G656" s="258">
        <v>-60.25</v>
      </c>
      <c r="H656" s="260">
        <v>-60.25</v>
      </c>
      <c r="I656" s="188" t="s">
        <v>96</v>
      </c>
      <c r="J656" s="198" t="s">
        <v>246</v>
      </c>
      <c r="K656" s="196" t="s">
        <v>981</v>
      </c>
      <c r="L656" s="197"/>
      <c r="M656" s="197"/>
      <c r="N656" s="197"/>
      <c r="O656" s="197"/>
    </row>
    <row r="657" spans="1:15" hidden="1">
      <c r="A657" s="195" t="s">
        <v>137</v>
      </c>
      <c r="B657" s="189" t="s">
        <v>138</v>
      </c>
      <c r="C657" s="189" t="s">
        <v>973</v>
      </c>
      <c r="D657" s="189" t="s">
        <v>974</v>
      </c>
      <c r="E657" s="300" t="s">
        <v>982</v>
      </c>
      <c r="F657" s="189" t="s">
        <v>153</v>
      </c>
      <c r="G657" s="258">
        <v>-757.52</v>
      </c>
      <c r="H657" s="260">
        <v>-757.52</v>
      </c>
      <c r="I657" s="195" t="s">
        <v>96</v>
      </c>
      <c r="J657" s="195" t="s">
        <v>964</v>
      </c>
      <c r="K657" s="188"/>
      <c r="L657" s="197"/>
      <c r="M657" s="197"/>
      <c r="N657" s="197"/>
      <c r="O657" s="197"/>
    </row>
    <row r="658" spans="1:15" hidden="1">
      <c r="A658" s="195" t="s">
        <v>137</v>
      </c>
      <c r="B658" s="189" t="s">
        <v>138</v>
      </c>
      <c r="C658" s="189" t="s">
        <v>96</v>
      </c>
      <c r="D658" s="189" t="s">
        <v>983</v>
      </c>
      <c r="E658" s="223" t="s">
        <v>984</v>
      </c>
      <c r="F658" s="189" t="s">
        <v>146</v>
      </c>
      <c r="G658" s="258">
        <v>-335.27</v>
      </c>
      <c r="H658" s="260">
        <v>-335.27</v>
      </c>
      <c r="I658" s="198" t="s">
        <v>96</v>
      </c>
      <c r="J658" s="195" t="s">
        <v>162</v>
      </c>
      <c r="K658" s="188"/>
      <c r="L658" s="197"/>
      <c r="M658" s="197"/>
      <c r="N658" s="197"/>
      <c r="O658" s="197"/>
    </row>
    <row r="659" spans="1:15" hidden="1">
      <c r="A659" s="195" t="s">
        <v>137</v>
      </c>
      <c r="B659" s="189" t="s">
        <v>138</v>
      </c>
      <c r="C659" s="189" t="s">
        <v>96</v>
      </c>
      <c r="D659" s="189" t="s">
        <v>983</v>
      </c>
      <c r="E659" s="223" t="s">
        <v>985</v>
      </c>
      <c r="F659" s="189" t="s">
        <v>149</v>
      </c>
      <c r="G659" s="258">
        <v>-351.97</v>
      </c>
      <c r="H659" s="260">
        <v>-351.97</v>
      </c>
      <c r="I659" s="198" t="s">
        <v>96</v>
      </c>
      <c r="J659" s="195" t="s">
        <v>162</v>
      </c>
      <c r="K659" s="188"/>
      <c r="L659" s="197"/>
      <c r="M659" s="197"/>
      <c r="N659" s="197"/>
      <c r="O659" s="197"/>
    </row>
    <row r="660" spans="1:15" ht="25.5" hidden="1">
      <c r="A660" s="195" t="s">
        <v>232</v>
      </c>
      <c r="B660" s="189" t="s">
        <v>138</v>
      </c>
      <c r="C660" s="189" t="s">
        <v>973</v>
      </c>
      <c r="D660" s="189" t="s">
        <v>974</v>
      </c>
      <c r="E660" s="223" t="s">
        <v>986</v>
      </c>
      <c r="F660" s="189" t="s">
        <v>153</v>
      </c>
      <c r="G660" s="258">
        <v>-96.1</v>
      </c>
      <c r="H660" s="260">
        <v>-96.1</v>
      </c>
      <c r="I660" s="195" t="s">
        <v>96</v>
      </c>
      <c r="J660" s="195" t="s">
        <v>143</v>
      </c>
      <c r="K660" s="188"/>
      <c r="L660" s="197"/>
      <c r="M660" s="197"/>
      <c r="N660" s="197"/>
      <c r="O660" s="197"/>
    </row>
    <row r="661" spans="1:15" hidden="1">
      <c r="A661" s="195" t="s">
        <v>137</v>
      </c>
      <c r="B661" s="189" t="s">
        <v>138</v>
      </c>
      <c r="C661" s="189" t="s">
        <v>96</v>
      </c>
      <c r="D661" s="189" t="s">
        <v>987</v>
      </c>
      <c r="E661" s="223" t="s">
        <v>988</v>
      </c>
      <c r="F661" s="189" t="s">
        <v>146</v>
      </c>
      <c r="G661" s="258">
        <v>-199</v>
      </c>
      <c r="H661" s="260">
        <v>-199</v>
      </c>
      <c r="I661" s="198" t="s">
        <v>96</v>
      </c>
      <c r="J661" s="195" t="s">
        <v>422</v>
      </c>
      <c r="K661" s="188"/>
      <c r="L661" s="197"/>
      <c r="M661" s="197"/>
      <c r="N661" s="197"/>
      <c r="O661" s="197"/>
    </row>
    <row r="662" spans="1:15" hidden="1">
      <c r="A662" s="188" t="s">
        <v>137</v>
      </c>
      <c r="B662" s="199" t="s">
        <v>138</v>
      </c>
      <c r="C662" s="199" t="s">
        <v>96</v>
      </c>
      <c r="D662" s="199" t="s">
        <v>987</v>
      </c>
      <c r="E662" s="205" t="s">
        <v>989</v>
      </c>
      <c r="F662" s="205" t="s">
        <v>149</v>
      </c>
      <c r="G662" s="225">
        <v>-298</v>
      </c>
      <c r="H662" s="226">
        <v>-298</v>
      </c>
      <c r="I662" s="198" t="s">
        <v>96</v>
      </c>
      <c r="J662" s="198" t="s">
        <v>422</v>
      </c>
      <c r="K662" s="188"/>
      <c r="L662" s="197"/>
      <c r="M662" s="197"/>
      <c r="N662" s="197"/>
      <c r="O662" s="197"/>
    </row>
    <row r="663" spans="1:15" hidden="1">
      <c r="A663" s="188" t="s">
        <v>137</v>
      </c>
      <c r="B663" s="189" t="s">
        <v>138</v>
      </c>
      <c r="C663" s="189" t="s">
        <v>96</v>
      </c>
      <c r="D663" s="189" t="s">
        <v>987</v>
      </c>
      <c r="E663" s="223" t="s">
        <v>990</v>
      </c>
      <c r="F663" s="189" t="s">
        <v>142</v>
      </c>
      <c r="G663" s="258">
        <v>-269</v>
      </c>
      <c r="H663" s="260">
        <v>-269</v>
      </c>
      <c r="I663" s="188" t="s">
        <v>96</v>
      </c>
      <c r="J663" s="195" t="s">
        <v>422</v>
      </c>
      <c r="K663" s="195"/>
      <c r="L663" s="197"/>
      <c r="M663" s="197"/>
      <c r="N663" s="197"/>
      <c r="O663" s="197"/>
    </row>
    <row r="664" spans="1:15" hidden="1">
      <c r="A664" s="188" t="s">
        <v>137</v>
      </c>
      <c r="B664" s="189" t="s">
        <v>138</v>
      </c>
      <c r="C664" s="189" t="s">
        <v>973</v>
      </c>
      <c r="D664" s="256" t="s">
        <v>453</v>
      </c>
      <c r="E664" s="223" t="s">
        <v>991</v>
      </c>
      <c r="F664" s="189" t="s">
        <v>153</v>
      </c>
      <c r="G664" s="258">
        <v>-19.899999999999999</v>
      </c>
      <c r="H664" s="260">
        <v>-19.899999999999999</v>
      </c>
      <c r="I664" s="188" t="s">
        <v>96</v>
      </c>
      <c r="J664" s="195" t="s">
        <v>143</v>
      </c>
      <c r="K664" s="195" t="s">
        <v>992</v>
      </c>
      <c r="L664" s="197"/>
      <c r="M664" s="197"/>
      <c r="N664" s="197"/>
      <c r="O664" s="197"/>
    </row>
    <row r="665" spans="1:15" hidden="1">
      <c r="A665" s="195" t="s">
        <v>232</v>
      </c>
      <c r="B665" s="189" t="s">
        <v>138</v>
      </c>
      <c r="C665" s="189" t="s">
        <v>973</v>
      </c>
      <c r="D665" s="189" t="s">
        <v>993</v>
      </c>
      <c r="E665" s="223" t="s">
        <v>994</v>
      </c>
      <c r="F665" s="189" t="s">
        <v>153</v>
      </c>
      <c r="G665" s="258">
        <v>-289.89999999999998</v>
      </c>
      <c r="H665" s="260">
        <v>-289.89999999999998</v>
      </c>
      <c r="I665" s="195" t="s">
        <v>96</v>
      </c>
      <c r="J665" s="189" t="s">
        <v>159</v>
      </c>
      <c r="K665" s="188"/>
      <c r="L665" s="197"/>
      <c r="M665" s="197"/>
      <c r="N665" s="197"/>
      <c r="O665" s="197"/>
    </row>
    <row r="666" spans="1:15" hidden="1">
      <c r="A666" s="195" t="s">
        <v>232</v>
      </c>
      <c r="B666" s="189" t="s">
        <v>138</v>
      </c>
      <c r="C666" s="189" t="s">
        <v>96</v>
      </c>
      <c r="D666" s="189" t="s">
        <v>969</v>
      </c>
      <c r="E666" s="223" t="s">
        <v>995</v>
      </c>
      <c r="F666" s="189" t="s">
        <v>153</v>
      </c>
      <c r="G666" s="258">
        <v>-353.66</v>
      </c>
      <c r="H666" s="260">
        <v>-353.66</v>
      </c>
      <c r="I666" s="195" t="s">
        <v>96</v>
      </c>
      <c r="J666" s="195" t="s">
        <v>164</v>
      </c>
      <c r="K666" s="188" t="s">
        <v>195</v>
      </c>
      <c r="L666" s="197"/>
      <c r="M666" s="197"/>
      <c r="N666" s="197"/>
      <c r="O666" s="197"/>
    </row>
    <row r="667" spans="1:15" ht="25.5" hidden="1">
      <c r="A667" s="195" t="s">
        <v>137</v>
      </c>
      <c r="B667" s="189" t="s">
        <v>138</v>
      </c>
      <c r="C667" s="189" t="s">
        <v>96</v>
      </c>
      <c r="D667" s="189" t="s">
        <v>996</v>
      </c>
      <c r="E667" s="223" t="s">
        <v>997</v>
      </c>
      <c r="F667" s="189" t="s">
        <v>146</v>
      </c>
      <c r="G667" s="258">
        <v>-1505</v>
      </c>
      <c r="H667" s="260">
        <v>-1505</v>
      </c>
      <c r="I667" s="198" t="s">
        <v>96</v>
      </c>
      <c r="J667" s="195" t="s">
        <v>162</v>
      </c>
      <c r="K667" s="188"/>
      <c r="L667" s="197"/>
      <c r="M667" s="197"/>
      <c r="N667" s="197"/>
      <c r="O667" s="197"/>
    </row>
    <row r="668" spans="1:15" ht="25.5" hidden="1">
      <c r="A668" s="188" t="s">
        <v>137</v>
      </c>
      <c r="B668" s="199" t="s">
        <v>138</v>
      </c>
      <c r="C668" s="199" t="s">
        <v>96</v>
      </c>
      <c r="D668" s="199" t="s">
        <v>996</v>
      </c>
      <c r="E668" s="205" t="s">
        <v>998</v>
      </c>
      <c r="F668" s="205" t="s">
        <v>149</v>
      </c>
      <c r="G668" s="225">
        <v>-1505</v>
      </c>
      <c r="H668" s="226">
        <v>-1505</v>
      </c>
      <c r="I668" s="198" t="s">
        <v>96</v>
      </c>
      <c r="J668" s="198" t="s">
        <v>162</v>
      </c>
      <c r="K668" s="188"/>
      <c r="L668" s="197"/>
      <c r="M668" s="197"/>
      <c r="N668" s="197"/>
      <c r="O668" s="197"/>
    </row>
    <row r="669" spans="1:15" hidden="1">
      <c r="A669" s="195" t="s">
        <v>232</v>
      </c>
      <c r="B669" s="189" t="s">
        <v>138</v>
      </c>
      <c r="C669" s="189" t="s">
        <v>973</v>
      </c>
      <c r="D669" s="189" t="s">
        <v>999</v>
      </c>
      <c r="E669" s="223" t="s">
        <v>1000</v>
      </c>
      <c r="F669" s="189" t="s">
        <v>153</v>
      </c>
      <c r="G669" s="258">
        <v>-101.4</v>
      </c>
      <c r="H669" s="260">
        <v>-101.4</v>
      </c>
      <c r="I669" s="195" t="s">
        <v>96</v>
      </c>
      <c r="J669" s="195" t="s">
        <v>964</v>
      </c>
      <c r="K669" s="188"/>
      <c r="L669" s="197"/>
      <c r="M669" s="197"/>
      <c r="N669" s="197"/>
      <c r="O669" s="197"/>
    </row>
    <row r="670" spans="1:15" ht="25.5" hidden="1">
      <c r="A670" s="188" t="s">
        <v>137</v>
      </c>
      <c r="B670" s="189" t="s">
        <v>138</v>
      </c>
      <c r="C670" s="189" t="s">
        <v>96</v>
      </c>
      <c r="D670" s="189" t="s">
        <v>996</v>
      </c>
      <c r="E670" s="223" t="s">
        <v>1001</v>
      </c>
      <c r="F670" s="189" t="s">
        <v>142</v>
      </c>
      <c r="G670" s="258">
        <v>-1505</v>
      </c>
      <c r="H670" s="260">
        <v>-1505</v>
      </c>
      <c r="I670" s="188" t="s">
        <v>96</v>
      </c>
      <c r="J670" s="195" t="s">
        <v>162</v>
      </c>
      <c r="K670" s="196"/>
      <c r="L670" s="197"/>
      <c r="M670" s="197"/>
      <c r="N670" s="197"/>
      <c r="O670" s="197"/>
    </row>
    <row r="671" spans="1:15" ht="25.5" hidden="1">
      <c r="A671" s="188" t="s">
        <v>137</v>
      </c>
      <c r="B671" s="189" t="s">
        <v>138</v>
      </c>
      <c r="C671" s="189" t="s">
        <v>96</v>
      </c>
      <c r="D671" s="189" t="s">
        <v>996</v>
      </c>
      <c r="E671" s="223" t="s">
        <v>1002</v>
      </c>
      <c r="F671" s="189" t="s">
        <v>142</v>
      </c>
      <c r="G671" s="258">
        <v>-2.96</v>
      </c>
      <c r="H671" s="260">
        <v>-2.96</v>
      </c>
      <c r="I671" s="268" t="s">
        <v>110</v>
      </c>
      <c r="J671" s="195" t="s">
        <v>1003</v>
      </c>
      <c r="K671" s="195"/>
      <c r="L671" s="197"/>
      <c r="M671" s="197"/>
      <c r="N671" s="197"/>
      <c r="O671" s="197"/>
    </row>
    <row r="672" spans="1:15" hidden="1">
      <c r="A672" s="195" t="s">
        <v>137</v>
      </c>
      <c r="B672" s="189" t="s">
        <v>138</v>
      </c>
      <c r="C672" s="189" t="s">
        <v>973</v>
      </c>
      <c r="D672" s="189" t="s">
        <v>1004</v>
      </c>
      <c r="E672" s="223" t="s">
        <v>1005</v>
      </c>
      <c r="F672" s="189" t="s">
        <v>153</v>
      </c>
      <c r="G672" s="258">
        <v>-24.15</v>
      </c>
      <c r="H672" s="260">
        <v>-24.15</v>
      </c>
      <c r="I672" s="195" t="s">
        <v>96</v>
      </c>
      <c r="J672" s="195" t="s">
        <v>162</v>
      </c>
      <c r="K672" s="188"/>
      <c r="L672" s="197"/>
      <c r="M672" s="197"/>
      <c r="N672" s="197"/>
      <c r="O672" s="197"/>
    </row>
    <row r="673" spans="1:15" ht="38.25" hidden="1">
      <c r="A673" s="195" t="s">
        <v>137</v>
      </c>
      <c r="B673" s="189" t="s">
        <v>138</v>
      </c>
      <c r="C673" s="189" t="s">
        <v>96</v>
      </c>
      <c r="D673" s="189" t="s">
        <v>1006</v>
      </c>
      <c r="E673" s="223" t="s">
        <v>1007</v>
      </c>
      <c r="F673" s="189" t="s">
        <v>146</v>
      </c>
      <c r="G673" s="258">
        <v>-1400</v>
      </c>
      <c r="H673" s="260">
        <v>-1400</v>
      </c>
      <c r="I673" s="198" t="s">
        <v>96</v>
      </c>
      <c r="J673" s="195" t="s">
        <v>143</v>
      </c>
      <c r="K673" s="188"/>
      <c r="L673" s="197"/>
      <c r="M673" s="197"/>
      <c r="N673" s="197"/>
      <c r="O673" s="197"/>
    </row>
    <row r="674" spans="1:15" ht="38.25" hidden="1">
      <c r="A674" s="188" t="s">
        <v>137</v>
      </c>
      <c r="B674" s="199" t="s">
        <v>138</v>
      </c>
      <c r="C674" s="199" t="s">
        <v>96</v>
      </c>
      <c r="D674" s="199" t="s">
        <v>1006</v>
      </c>
      <c r="E674" s="205" t="s">
        <v>1008</v>
      </c>
      <c r="F674" s="205" t="s">
        <v>149</v>
      </c>
      <c r="G674" s="225">
        <v>-1400</v>
      </c>
      <c r="H674" s="226">
        <v>-1400</v>
      </c>
      <c r="I674" s="198" t="s">
        <v>96</v>
      </c>
      <c r="J674" s="198" t="s">
        <v>143</v>
      </c>
      <c r="K674" s="188"/>
      <c r="L674" s="197"/>
      <c r="M674" s="197"/>
      <c r="N674" s="197"/>
      <c r="O674" s="197"/>
    </row>
    <row r="675" spans="1:15" ht="38.25" hidden="1">
      <c r="A675" s="188" t="s">
        <v>137</v>
      </c>
      <c r="B675" s="189" t="s">
        <v>138</v>
      </c>
      <c r="C675" s="189" t="s">
        <v>96</v>
      </c>
      <c r="D675" s="189" t="s">
        <v>1006</v>
      </c>
      <c r="E675" s="223" t="s">
        <v>1009</v>
      </c>
      <c r="F675" s="189" t="s">
        <v>142</v>
      </c>
      <c r="G675" s="258">
        <v>-1400</v>
      </c>
      <c r="H675" s="260">
        <v>-1400</v>
      </c>
      <c r="I675" s="188" t="s">
        <v>96</v>
      </c>
      <c r="J675" s="195" t="s">
        <v>143</v>
      </c>
      <c r="K675" s="195"/>
      <c r="L675" s="197"/>
      <c r="M675" s="197"/>
      <c r="N675" s="197"/>
      <c r="O675" s="197"/>
    </row>
    <row r="676" spans="1:15" hidden="1">
      <c r="A676" s="195" t="s">
        <v>137</v>
      </c>
      <c r="B676" s="189" t="s">
        <v>138</v>
      </c>
      <c r="C676" s="189" t="s">
        <v>96</v>
      </c>
      <c r="D676" s="189" t="s">
        <v>976</v>
      </c>
      <c r="E676" s="223" t="s">
        <v>1010</v>
      </c>
      <c r="F676" s="189" t="s">
        <v>153</v>
      </c>
      <c r="G676" s="258">
        <v>-60.25</v>
      </c>
      <c r="H676" s="260">
        <v>-60.25</v>
      </c>
      <c r="I676" s="195" t="s">
        <v>96</v>
      </c>
      <c r="J676" s="198" t="s">
        <v>246</v>
      </c>
      <c r="K676" s="188"/>
      <c r="L676" s="197"/>
      <c r="M676" s="197"/>
      <c r="N676" s="197"/>
      <c r="O676" s="197"/>
    </row>
    <row r="677" spans="1:15" hidden="1">
      <c r="A677" s="195" t="s">
        <v>137</v>
      </c>
      <c r="B677" s="189" t="s">
        <v>138</v>
      </c>
      <c r="C677" s="189" t="s">
        <v>96</v>
      </c>
      <c r="D677" s="189" t="s">
        <v>1011</v>
      </c>
      <c r="E677" s="223" t="s">
        <v>1012</v>
      </c>
      <c r="F677" s="189" t="s">
        <v>146</v>
      </c>
      <c r="G677" s="258">
        <v>-2192.81</v>
      </c>
      <c r="H677" s="260">
        <v>-3204.05</v>
      </c>
      <c r="I677" s="198" t="s">
        <v>96</v>
      </c>
      <c r="J677" s="195" t="s">
        <v>192</v>
      </c>
      <c r="K677" s="301" t="s">
        <v>1013</v>
      </c>
      <c r="L677" s="197"/>
      <c r="M677" s="197"/>
      <c r="N677" s="197"/>
      <c r="O677" s="197"/>
    </row>
    <row r="678" spans="1:15" ht="51" hidden="1">
      <c r="A678" s="195" t="s">
        <v>137</v>
      </c>
      <c r="B678" s="189" t="s">
        <v>138</v>
      </c>
      <c r="C678" s="189" t="s">
        <v>96</v>
      </c>
      <c r="D678" s="189" t="s">
        <v>1011</v>
      </c>
      <c r="E678" s="223" t="s">
        <v>1014</v>
      </c>
      <c r="F678" s="189" t="s">
        <v>146</v>
      </c>
      <c r="G678" s="258">
        <v>0</v>
      </c>
      <c r="H678" s="260">
        <v>-2165.67</v>
      </c>
      <c r="I678" s="214" t="s">
        <v>96</v>
      </c>
      <c r="J678" s="195" t="s">
        <v>192</v>
      </c>
      <c r="K678" s="301" t="s">
        <v>1013</v>
      </c>
      <c r="L678" s="197"/>
      <c r="M678" s="197"/>
      <c r="N678" s="197"/>
      <c r="O678" s="197"/>
    </row>
    <row r="679" spans="1:15" ht="51" hidden="1">
      <c r="A679" s="188" t="s">
        <v>137</v>
      </c>
      <c r="B679" s="189" t="s">
        <v>138</v>
      </c>
      <c r="C679" s="189" t="s">
        <v>96</v>
      </c>
      <c r="D679" s="189" t="s">
        <v>1011</v>
      </c>
      <c r="E679" s="223" t="s">
        <v>1015</v>
      </c>
      <c r="F679" s="189" t="s">
        <v>142</v>
      </c>
      <c r="G679" s="258">
        <v>-3071.78</v>
      </c>
      <c r="H679" s="260">
        <v>-2016.69</v>
      </c>
      <c r="I679" s="188" t="s">
        <v>96</v>
      </c>
      <c r="J679" s="195" t="s">
        <v>192</v>
      </c>
      <c r="K679" s="302" t="s">
        <v>1013</v>
      </c>
      <c r="L679" s="197"/>
      <c r="M679" s="197"/>
      <c r="N679" s="197"/>
      <c r="O679" s="197"/>
    </row>
    <row r="680" spans="1:15" hidden="1">
      <c r="A680" s="265" t="s">
        <v>137</v>
      </c>
      <c r="B680" s="261" t="s">
        <v>138</v>
      </c>
      <c r="C680" s="261" t="s">
        <v>96</v>
      </c>
      <c r="D680" s="261" t="s">
        <v>1011</v>
      </c>
      <c r="E680" s="262" t="s">
        <v>1016</v>
      </c>
      <c r="F680" s="263" t="s">
        <v>142</v>
      </c>
      <c r="G680" s="258">
        <v>0</v>
      </c>
      <c r="H680" s="264">
        <v>-3204.05</v>
      </c>
      <c r="I680" s="265" t="s">
        <v>96</v>
      </c>
      <c r="J680" s="265" t="s">
        <v>192</v>
      </c>
      <c r="K680" s="302" t="s">
        <v>1013</v>
      </c>
      <c r="L680" s="197"/>
      <c r="M680" s="197"/>
      <c r="N680" s="197"/>
      <c r="O680" s="197"/>
    </row>
    <row r="681" spans="1:15" ht="25.5" hidden="1">
      <c r="A681" s="195" t="s">
        <v>232</v>
      </c>
      <c r="B681" s="189" t="s">
        <v>138</v>
      </c>
      <c r="C681" s="189" t="s">
        <v>973</v>
      </c>
      <c r="D681" s="189" t="s">
        <v>1017</v>
      </c>
      <c r="E681" s="223" t="s">
        <v>1018</v>
      </c>
      <c r="F681" s="189" t="s">
        <v>153</v>
      </c>
      <c r="G681" s="258">
        <v>-347</v>
      </c>
      <c r="H681" s="260">
        <v>-347</v>
      </c>
      <c r="I681" s="195" t="s">
        <v>96</v>
      </c>
      <c r="J681" s="195" t="s">
        <v>192</v>
      </c>
      <c r="K681" s="188"/>
      <c r="L681" s="197"/>
      <c r="M681" s="197"/>
      <c r="N681" s="197"/>
      <c r="O681" s="197"/>
    </row>
    <row r="682" spans="1:15" hidden="1">
      <c r="A682" s="195" t="s">
        <v>137</v>
      </c>
      <c r="B682" s="189" t="s">
        <v>138</v>
      </c>
      <c r="C682" s="189" t="s">
        <v>96</v>
      </c>
      <c r="D682" s="189" t="s">
        <v>1019</v>
      </c>
      <c r="E682" s="223" t="s">
        <v>1020</v>
      </c>
      <c r="F682" s="189" t="s">
        <v>146</v>
      </c>
      <c r="G682" s="258">
        <v>-119.9</v>
      </c>
      <c r="H682" s="260">
        <v>-119.9</v>
      </c>
      <c r="I682" s="198" t="s">
        <v>96</v>
      </c>
      <c r="J682" s="195" t="s">
        <v>422</v>
      </c>
      <c r="K682" s="188"/>
      <c r="L682" s="197"/>
      <c r="M682" s="197"/>
      <c r="N682" s="197"/>
      <c r="O682" s="197"/>
    </row>
    <row r="683" spans="1:15" hidden="1">
      <c r="A683" s="188" t="s">
        <v>137</v>
      </c>
      <c r="B683" s="199" t="s">
        <v>138</v>
      </c>
      <c r="C683" s="199" t="s">
        <v>96</v>
      </c>
      <c r="D683" s="199" t="s">
        <v>1019</v>
      </c>
      <c r="E683" s="205" t="s">
        <v>1021</v>
      </c>
      <c r="F683" s="205" t="s">
        <v>149</v>
      </c>
      <c r="G683" s="225">
        <v>-119.9</v>
      </c>
      <c r="H683" s="226">
        <v>-119.9</v>
      </c>
      <c r="I683" s="198" t="s">
        <v>96</v>
      </c>
      <c r="J683" s="195" t="s">
        <v>422</v>
      </c>
      <c r="K683" s="188"/>
      <c r="L683" s="197"/>
      <c r="M683" s="197"/>
      <c r="N683" s="197"/>
      <c r="O683" s="197"/>
    </row>
    <row r="684" spans="1:15" hidden="1">
      <c r="A684" s="188" t="s">
        <v>137</v>
      </c>
      <c r="B684" s="189" t="s">
        <v>138</v>
      </c>
      <c r="C684" s="189" t="s">
        <v>96</v>
      </c>
      <c r="D684" s="189" t="s">
        <v>1019</v>
      </c>
      <c r="E684" s="223" t="s">
        <v>1022</v>
      </c>
      <c r="F684" s="189" t="s">
        <v>142</v>
      </c>
      <c r="G684" s="258">
        <v>-119.9</v>
      </c>
      <c r="H684" s="260">
        <v>-119.9</v>
      </c>
      <c r="I684" s="188" t="s">
        <v>96</v>
      </c>
      <c r="J684" s="195" t="s">
        <v>422</v>
      </c>
      <c r="K684" s="196"/>
      <c r="L684" s="197"/>
      <c r="M684" s="197"/>
      <c r="N684" s="197"/>
      <c r="O684" s="197"/>
    </row>
    <row r="685" spans="1:15" hidden="1">
      <c r="A685" s="188" t="s">
        <v>243</v>
      </c>
      <c r="B685" s="189" t="s">
        <v>138</v>
      </c>
      <c r="C685" s="189" t="s">
        <v>93</v>
      </c>
      <c r="D685" s="189" t="s">
        <v>383</v>
      </c>
      <c r="E685" s="189" t="s">
        <v>942</v>
      </c>
      <c r="F685" s="189" t="s">
        <v>261</v>
      </c>
      <c r="G685" s="258">
        <v>-1428.8</v>
      </c>
      <c r="H685" s="260">
        <v>-1428.8</v>
      </c>
      <c r="I685" s="198" t="s">
        <v>93</v>
      </c>
      <c r="J685" s="195" t="s">
        <v>164</v>
      </c>
      <c r="K685" s="188"/>
      <c r="L685" s="197"/>
      <c r="M685" s="197"/>
      <c r="N685" s="197"/>
      <c r="O685" s="197"/>
    </row>
    <row r="686" spans="1:15" ht="25.5" hidden="1">
      <c r="A686" s="188" t="s">
        <v>243</v>
      </c>
      <c r="B686" s="199" t="s">
        <v>138</v>
      </c>
      <c r="C686" s="199" t="s">
        <v>93</v>
      </c>
      <c r="D686" s="199" t="s">
        <v>383</v>
      </c>
      <c r="E686" s="205" t="s">
        <v>942</v>
      </c>
      <c r="F686" s="205" t="s">
        <v>146</v>
      </c>
      <c r="G686" s="225">
        <v>-1410</v>
      </c>
      <c r="H686" s="226">
        <v>-1410</v>
      </c>
      <c r="I686" s="188" t="s">
        <v>93</v>
      </c>
      <c r="J686" s="198" t="s">
        <v>164</v>
      </c>
      <c r="K686" s="213"/>
      <c r="L686" s="197"/>
      <c r="M686" s="197"/>
      <c r="N686" s="197"/>
      <c r="O686" s="197"/>
    </row>
    <row r="687" spans="1:15" ht="25.5" hidden="1">
      <c r="A687" s="188" t="s">
        <v>243</v>
      </c>
      <c r="B687" s="199" t="s">
        <v>138</v>
      </c>
      <c r="C687" s="199" t="s">
        <v>93</v>
      </c>
      <c r="D687" s="199" t="s">
        <v>383</v>
      </c>
      <c r="E687" s="205" t="s">
        <v>942</v>
      </c>
      <c r="F687" s="205" t="s">
        <v>142</v>
      </c>
      <c r="G687" s="225">
        <v>-1391.2</v>
      </c>
      <c r="H687" s="226">
        <v>-1391.2</v>
      </c>
      <c r="I687" s="188" t="s">
        <v>93</v>
      </c>
      <c r="J687" s="198" t="s">
        <v>164</v>
      </c>
      <c r="K687" s="213"/>
      <c r="L687" s="197"/>
      <c r="M687" s="197"/>
      <c r="N687" s="197"/>
      <c r="O687" s="197"/>
    </row>
    <row r="688" spans="1:15" ht="25.5" hidden="1">
      <c r="A688" s="188" t="s">
        <v>243</v>
      </c>
      <c r="B688" s="199" t="s">
        <v>138</v>
      </c>
      <c r="C688" s="199" t="s">
        <v>93</v>
      </c>
      <c r="D688" s="199" t="s">
        <v>383</v>
      </c>
      <c r="E688" s="205" t="s">
        <v>1023</v>
      </c>
      <c r="F688" s="205" t="s">
        <v>149</v>
      </c>
      <c r="G688" s="225">
        <v>-1337.6</v>
      </c>
      <c r="H688" s="226">
        <v>-1337.6</v>
      </c>
      <c r="I688" s="198" t="s">
        <v>93</v>
      </c>
      <c r="J688" s="198" t="s">
        <v>164</v>
      </c>
      <c r="K688" s="188"/>
      <c r="L688" s="197"/>
      <c r="M688" s="197"/>
      <c r="N688" s="197"/>
      <c r="O688" s="197"/>
    </row>
    <row r="689" spans="1:15" hidden="1">
      <c r="A689" s="195" t="s">
        <v>137</v>
      </c>
      <c r="B689" s="189" t="s">
        <v>138</v>
      </c>
      <c r="C689" s="189" t="s">
        <v>973</v>
      </c>
      <c r="D689" s="189" t="s">
        <v>983</v>
      </c>
      <c r="E689" s="223" t="s">
        <v>1024</v>
      </c>
      <c r="F689" s="189" t="s">
        <v>153</v>
      </c>
      <c r="G689" s="258">
        <v>-198.44</v>
      </c>
      <c r="H689" s="260">
        <v>-198.44</v>
      </c>
      <c r="I689" s="195" t="s">
        <v>96</v>
      </c>
      <c r="J689" s="195" t="s">
        <v>162</v>
      </c>
      <c r="K689" s="188"/>
      <c r="L689" s="197"/>
      <c r="M689" s="197"/>
      <c r="N689" s="197"/>
      <c r="O689" s="197"/>
    </row>
    <row r="690" spans="1:15" hidden="1">
      <c r="A690" s="188" t="s">
        <v>137</v>
      </c>
      <c r="B690" s="199" t="s">
        <v>138</v>
      </c>
      <c r="C690" s="199" t="s">
        <v>96</v>
      </c>
      <c r="D690" s="199" t="s">
        <v>362</v>
      </c>
      <c r="E690" s="205" t="s">
        <v>1025</v>
      </c>
      <c r="F690" s="199" t="s">
        <v>146</v>
      </c>
      <c r="G690" s="258">
        <v>-399.99</v>
      </c>
      <c r="H690" s="266">
        <v>-399.99</v>
      </c>
      <c r="I690" s="198" t="s">
        <v>96</v>
      </c>
      <c r="J690" s="188" t="s">
        <v>143</v>
      </c>
      <c r="K690" s="188"/>
      <c r="L690" s="197"/>
      <c r="M690" s="197"/>
      <c r="N690" s="197"/>
      <c r="O690" s="197"/>
    </row>
    <row r="691" spans="1:15" hidden="1">
      <c r="A691" s="188" t="s">
        <v>137</v>
      </c>
      <c r="B691" s="199" t="s">
        <v>138</v>
      </c>
      <c r="C691" s="199" t="s">
        <v>96</v>
      </c>
      <c r="D691" s="199" t="s">
        <v>362</v>
      </c>
      <c r="E691" s="205" t="s">
        <v>1026</v>
      </c>
      <c r="F691" s="205" t="s">
        <v>149</v>
      </c>
      <c r="G691" s="225">
        <v>-399.99</v>
      </c>
      <c r="H691" s="226">
        <v>-399.99</v>
      </c>
      <c r="I691" s="198" t="s">
        <v>96</v>
      </c>
      <c r="J691" s="198" t="s">
        <v>143</v>
      </c>
      <c r="K691" s="188"/>
      <c r="L691" s="197"/>
      <c r="M691" s="197"/>
      <c r="N691" s="197"/>
      <c r="O691" s="197"/>
    </row>
    <row r="692" spans="1:15" hidden="1">
      <c r="A692" s="188" t="s">
        <v>137</v>
      </c>
      <c r="B692" s="189" t="s">
        <v>138</v>
      </c>
      <c r="C692" s="189" t="s">
        <v>96</v>
      </c>
      <c r="D692" s="189" t="s">
        <v>362</v>
      </c>
      <c r="E692" s="223" t="s">
        <v>1027</v>
      </c>
      <c r="F692" s="189" t="s">
        <v>142</v>
      </c>
      <c r="G692" s="258">
        <v>-399.99</v>
      </c>
      <c r="H692" s="260">
        <v>-399.99</v>
      </c>
      <c r="I692" s="188" t="s">
        <v>96</v>
      </c>
      <c r="J692" s="195" t="s">
        <v>143</v>
      </c>
      <c r="K692" s="196"/>
      <c r="L692" s="197"/>
      <c r="M692" s="197"/>
      <c r="N692" s="197"/>
      <c r="O692" s="197"/>
    </row>
    <row r="693" spans="1:15" ht="25.5" hidden="1">
      <c r="A693" s="188" t="s">
        <v>137</v>
      </c>
      <c r="B693" s="199" t="s">
        <v>138</v>
      </c>
      <c r="C693" s="199" t="s">
        <v>96</v>
      </c>
      <c r="D693" s="199" t="s">
        <v>1028</v>
      </c>
      <c r="E693" s="205" t="s">
        <v>1029</v>
      </c>
      <c r="F693" s="199" t="s">
        <v>146</v>
      </c>
      <c r="G693" s="258">
        <v>-12619.6</v>
      </c>
      <c r="H693" s="266">
        <v>-12619.6</v>
      </c>
      <c r="I693" s="198" t="s">
        <v>96</v>
      </c>
      <c r="J693" s="189" t="s">
        <v>316</v>
      </c>
      <c r="K693" s="188"/>
      <c r="L693" s="197"/>
      <c r="M693" s="197"/>
      <c r="N693" s="197"/>
      <c r="O693" s="197"/>
    </row>
    <row r="694" spans="1:15" ht="25.5" hidden="1">
      <c r="A694" s="188" t="s">
        <v>137</v>
      </c>
      <c r="B694" s="199" t="s">
        <v>138</v>
      </c>
      <c r="C694" s="199" t="s">
        <v>96</v>
      </c>
      <c r="D694" s="199" t="s">
        <v>1028</v>
      </c>
      <c r="E694" s="205" t="s">
        <v>1030</v>
      </c>
      <c r="F694" s="205" t="s">
        <v>149</v>
      </c>
      <c r="G694" s="225">
        <v>-12619.6</v>
      </c>
      <c r="H694" s="226">
        <v>-12619.6</v>
      </c>
      <c r="I694" s="198" t="s">
        <v>96</v>
      </c>
      <c r="J694" s="189" t="s">
        <v>316</v>
      </c>
      <c r="K694" s="188"/>
      <c r="L694" s="197"/>
      <c r="M694" s="197"/>
      <c r="N694" s="197"/>
      <c r="O694" s="197"/>
    </row>
    <row r="695" spans="1:15" ht="25.5" hidden="1">
      <c r="A695" s="188" t="s">
        <v>137</v>
      </c>
      <c r="B695" s="199" t="s">
        <v>138</v>
      </c>
      <c r="C695" s="199" t="s">
        <v>96</v>
      </c>
      <c r="D695" s="199" t="s">
        <v>1028</v>
      </c>
      <c r="E695" s="205" t="s">
        <v>1031</v>
      </c>
      <c r="F695" s="205" t="s">
        <v>149</v>
      </c>
      <c r="G695" s="225">
        <v>-12619.6</v>
      </c>
      <c r="H695" s="226">
        <v>-12619.6</v>
      </c>
      <c r="I695" s="198" t="s">
        <v>96</v>
      </c>
      <c r="J695" s="189" t="s">
        <v>316</v>
      </c>
      <c r="K695" s="188"/>
      <c r="L695" s="197"/>
      <c r="M695" s="197"/>
      <c r="N695" s="197"/>
      <c r="O695" s="197"/>
    </row>
    <row r="696" spans="1:15" ht="25.5" hidden="1">
      <c r="A696" s="188" t="s">
        <v>209</v>
      </c>
      <c r="B696" s="189" t="s">
        <v>138</v>
      </c>
      <c r="C696" s="189" t="s">
        <v>96</v>
      </c>
      <c r="D696" s="189" t="s">
        <v>1032</v>
      </c>
      <c r="E696" s="223" t="s">
        <v>1033</v>
      </c>
      <c r="F696" s="189" t="s">
        <v>142</v>
      </c>
      <c r="G696" s="258">
        <v>-180</v>
      </c>
      <c r="H696" s="260">
        <v>-180</v>
      </c>
      <c r="I696" s="188" t="s">
        <v>96</v>
      </c>
      <c r="J696" s="244" t="s">
        <v>470</v>
      </c>
      <c r="K696" s="195"/>
      <c r="L696" s="197"/>
      <c r="M696" s="197"/>
      <c r="N696" s="197"/>
      <c r="O696" s="197"/>
    </row>
    <row r="697" spans="1:15" ht="25.5" hidden="1">
      <c r="A697" s="195" t="s">
        <v>137</v>
      </c>
      <c r="B697" s="189" t="s">
        <v>138</v>
      </c>
      <c r="C697" s="189" t="s">
        <v>96</v>
      </c>
      <c r="D697" s="189" t="s">
        <v>1034</v>
      </c>
      <c r="E697" s="223" t="s">
        <v>1035</v>
      </c>
      <c r="F697" s="189" t="s">
        <v>146</v>
      </c>
      <c r="G697" s="258">
        <v>-450</v>
      </c>
      <c r="H697" s="260">
        <v>-450</v>
      </c>
      <c r="I697" s="198" t="s">
        <v>96</v>
      </c>
      <c r="J697" s="189" t="s">
        <v>159</v>
      </c>
      <c r="K697" s="188"/>
      <c r="L697" s="197"/>
      <c r="M697" s="197"/>
      <c r="N697" s="197"/>
      <c r="O697" s="197"/>
    </row>
    <row r="698" spans="1:15" ht="25.5" hidden="1">
      <c r="A698" s="188" t="s">
        <v>137</v>
      </c>
      <c r="B698" s="199" t="s">
        <v>138</v>
      </c>
      <c r="C698" s="199" t="s">
        <v>96</v>
      </c>
      <c r="D698" s="199" t="s">
        <v>1034</v>
      </c>
      <c r="E698" s="205" t="s">
        <v>1036</v>
      </c>
      <c r="F698" s="205" t="s">
        <v>149</v>
      </c>
      <c r="G698" s="225">
        <v>-450</v>
      </c>
      <c r="H698" s="226">
        <v>-450</v>
      </c>
      <c r="I698" s="198" t="s">
        <v>96</v>
      </c>
      <c r="J698" s="189" t="s">
        <v>159</v>
      </c>
      <c r="K698" s="188"/>
      <c r="L698" s="197"/>
      <c r="M698" s="197"/>
      <c r="N698" s="197"/>
      <c r="O698" s="197"/>
    </row>
    <row r="699" spans="1:15" ht="25.5" hidden="1">
      <c r="A699" s="188" t="s">
        <v>137</v>
      </c>
      <c r="B699" s="189" t="s">
        <v>138</v>
      </c>
      <c r="C699" s="189" t="s">
        <v>96</v>
      </c>
      <c r="D699" s="189" t="s">
        <v>1034</v>
      </c>
      <c r="E699" s="223" t="s">
        <v>1037</v>
      </c>
      <c r="F699" s="189" t="s">
        <v>142</v>
      </c>
      <c r="G699" s="258">
        <v>-450</v>
      </c>
      <c r="H699" s="260">
        <v>-450</v>
      </c>
      <c r="I699" s="188" t="s">
        <v>96</v>
      </c>
      <c r="J699" s="189" t="s">
        <v>159</v>
      </c>
      <c r="K699" s="195"/>
      <c r="L699" s="197"/>
      <c r="M699" s="197"/>
      <c r="N699" s="197"/>
      <c r="O699" s="197"/>
    </row>
    <row r="700" spans="1:15" hidden="1">
      <c r="A700" s="195" t="s">
        <v>137</v>
      </c>
      <c r="B700" s="189" t="s">
        <v>138</v>
      </c>
      <c r="C700" s="189" t="s">
        <v>96</v>
      </c>
      <c r="D700" s="189" t="s">
        <v>1038</v>
      </c>
      <c r="E700" s="223" t="s">
        <v>1039</v>
      </c>
      <c r="F700" s="189" t="s">
        <v>146</v>
      </c>
      <c r="G700" s="258">
        <v>-3219.53</v>
      </c>
      <c r="H700" s="260">
        <v>-3219.53</v>
      </c>
      <c r="I700" s="198" t="s">
        <v>96</v>
      </c>
      <c r="J700" s="234" t="s">
        <v>143</v>
      </c>
      <c r="K700" s="188"/>
      <c r="L700" s="197"/>
      <c r="M700" s="197"/>
      <c r="N700" s="197"/>
      <c r="O700" s="197"/>
    </row>
    <row r="701" spans="1:15" hidden="1">
      <c r="A701" s="195" t="s">
        <v>137</v>
      </c>
      <c r="B701" s="189" t="s">
        <v>138</v>
      </c>
      <c r="C701" s="189" t="s">
        <v>96</v>
      </c>
      <c r="D701" s="189" t="s">
        <v>1038</v>
      </c>
      <c r="E701" s="223" t="s">
        <v>1039</v>
      </c>
      <c r="F701" s="189" t="s">
        <v>146</v>
      </c>
      <c r="G701" s="258">
        <v>-95.13</v>
      </c>
      <c r="H701" s="260">
        <v>-95.13</v>
      </c>
      <c r="I701" s="198" t="s">
        <v>96</v>
      </c>
      <c r="J701" s="189" t="s">
        <v>316</v>
      </c>
      <c r="K701" s="188"/>
      <c r="L701" s="197"/>
      <c r="M701" s="197"/>
      <c r="N701" s="197"/>
      <c r="O701" s="197"/>
    </row>
    <row r="702" spans="1:15" hidden="1">
      <c r="A702" s="188" t="s">
        <v>137</v>
      </c>
      <c r="B702" s="199" t="s">
        <v>138</v>
      </c>
      <c r="C702" s="199" t="s">
        <v>96</v>
      </c>
      <c r="D702" s="199" t="s">
        <v>1038</v>
      </c>
      <c r="E702" s="205" t="s">
        <v>1040</v>
      </c>
      <c r="F702" s="205" t="s">
        <v>149</v>
      </c>
      <c r="G702" s="225">
        <v>-3219.53</v>
      </c>
      <c r="H702" s="226">
        <v>-3219.53</v>
      </c>
      <c r="I702" s="198" t="s">
        <v>96</v>
      </c>
      <c r="J702" s="234" t="s">
        <v>143</v>
      </c>
      <c r="K702" s="188"/>
      <c r="L702" s="197"/>
      <c r="M702" s="197"/>
      <c r="N702" s="197"/>
      <c r="O702" s="197"/>
    </row>
    <row r="703" spans="1:15" hidden="1">
      <c r="A703" s="188" t="s">
        <v>137</v>
      </c>
      <c r="B703" s="199" t="s">
        <v>138</v>
      </c>
      <c r="C703" s="199" t="s">
        <v>96</v>
      </c>
      <c r="D703" s="199" t="s">
        <v>1038</v>
      </c>
      <c r="E703" s="205" t="s">
        <v>1040</v>
      </c>
      <c r="F703" s="205" t="s">
        <v>149</v>
      </c>
      <c r="G703" s="225">
        <v>-95.13</v>
      </c>
      <c r="H703" s="226">
        <v>-95.13</v>
      </c>
      <c r="I703" s="198" t="s">
        <v>96</v>
      </c>
      <c r="J703" s="189" t="s">
        <v>316</v>
      </c>
      <c r="K703" s="188"/>
      <c r="L703" s="197"/>
      <c r="M703" s="197"/>
      <c r="N703" s="197"/>
      <c r="O703" s="197"/>
    </row>
    <row r="704" spans="1:15" hidden="1">
      <c r="A704" s="188" t="s">
        <v>137</v>
      </c>
      <c r="B704" s="189" t="s">
        <v>138</v>
      </c>
      <c r="C704" s="189" t="s">
        <v>96</v>
      </c>
      <c r="D704" s="189" t="s">
        <v>1038</v>
      </c>
      <c r="E704" s="223" t="s">
        <v>1041</v>
      </c>
      <c r="F704" s="189" t="s">
        <v>142</v>
      </c>
      <c r="G704" s="258">
        <v>-3219.53</v>
      </c>
      <c r="H704" s="260">
        <v>-3219.53</v>
      </c>
      <c r="I704" s="188" t="s">
        <v>96</v>
      </c>
      <c r="J704" s="195" t="s">
        <v>143</v>
      </c>
      <c r="K704" s="195"/>
      <c r="L704" s="197"/>
      <c r="M704" s="197"/>
      <c r="N704" s="197"/>
      <c r="O704" s="197"/>
    </row>
    <row r="705" spans="1:15" hidden="1">
      <c r="A705" s="188" t="s">
        <v>137</v>
      </c>
      <c r="B705" s="189" t="s">
        <v>138</v>
      </c>
      <c r="C705" s="189" t="s">
        <v>96</v>
      </c>
      <c r="D705" s="189" t="s">
        <v>1038</v>
      </c>
      <c r="E705" s="223" t="s">
        <v>1041</v>
      </c>
      <c r="F705" s="189" t="s">
        <v>142</v>
      </c>
      <c r="G705" s="258">
        <v>-95.13</v>
      </c>
      <c r="H705" s="260">
        <v>-95.13</v>
      </c>
      <c r="I705" s="188" t="s">
        <v>96</v>
      </c>
      <c r="J705" s="189" t="s">
        <v>316</v>
      </c>
      <c r="K705" s="195"/>
      <c r="L705" s="197"/>
      <c r="M705" s="197"/>
      <c r="N705" s="197"/>
      <c r="O705" s="197"/>
    </row>
    <row r="706" spans="1:15" hidden="1">
      <c r="A706" s="195" t="s">
        <v>232</v>
      </c>
      <c r="B706" s="189" t="s">
        <v>138</v>
      </c>
      <c r="C706" s="189" t="s">
        <v>973</v>
      </c>
      <c r="D706" s="189" t="s">
        <v>1042</v>
      </c>
      <c r="E706" s="223" t="s">
        <v>1043</v>
      </c>
      <c r="F706" s="189" t="s">
        <v>153</v>
      </c>
      <c r="G706" s="258">
        <v>-216.7</v>
      </c>
      <c r="H706" s="260">
        <v>-216.7</v>
      </c>
      <c r="I706" s="195" t="s">
        <v>96</v>
      </c>
      <c r="J706" s="195" t="s">
        <v>162</v>
      </c>
      <c r="K706" s="188"/>
      <c r="L706" s="197"/>
      <c r="M706" s="197"/>
      <c r="N706" s="197"/>
      <c r="O706" s="197"/>
    </row>
    <row r="707" spans="1:15" hidden="1">
      <c r="A707" s="195" t="s">
        <v>137</v>
      </c>
      <c r="B707" s="189" t="s">
        <v>138</v>
      </c>
      <c r="C707" s="189" t="s">
        <v>96</v>
      </c>
      <c r="D707" s="189" t="s">
        <v>1044</v>
      </c>
      <c r="E707" s="223" t="s">
        <v>1045</v>
      </c>
      <c r="F707" s="189" t="s">
        <v>146</v>
      </c>
      <c r="G707" s="258">
        <v>-2621.14</v>
      </c>
      <c r="H707" s="260">
        <v>-2621.14</v>
      </c>
      <c r="I707" s="198" t="s">
        <v>96</v>
      </c>
      <c r="J707" s="195" t="s">
        <v>476</v>
      </c>
      <c r="K707" s="213"/>
      <c r="L707" s="197"/>
      <c r="M707" s="197"/>
      <c r="N707" s="197"/>
      <c r="O707" s="197"/>
    </row>
    <row r="708" spans="1:15" hidden="1">
      <c r="A708" s="188" t="s">
        <v>137</v>
      </c>
      <c r="B708" s="199" t="s">
        <v>138</v>
      </c>
      <c r="C708" s="199" t="s">
        <v>96</v>
      </c>
      <c r="D708" s="199" t="s">
        <v>1044</v>
      </c>
      <c r="E708" s="205" t="s">
        <v>1046</v>
      </c>
      <c r="F708" s="205" t="s">
        <v>149</v>
      </c>
      <c r="G708" s="225">
        <v>-2621.14</v>
      </c>
      <c r="H708" s="226">
        <v>-2621.14</v>
      </c>
      <c r="I708" s="198" t="s">
        <v>96</v>
      </c>
      <c r="J708" s="198" t="s">
        <v>476</v>
      </c>
      <c r="K708" s="188"/>
      <c r="L708" s="197"/>
      <c r="M708" s="197"/>
      <c r="N708" s="197"/>
      <c r="O708" s="197"/>
    </row>
    <row r="709" spans="1:15" hidden="1">
      <c r="A709" s="195" t="s">
        <v>232</v>
      </c>
      <c r="B709" s="189" t="s">
        <v>138</v>
      </c>
      <c r="C709" s="189" t="s">
        <v>973</v>
      </c>
      <c r="D709" s="189" t="s">
        <v>1042</v>
      </c>
      <c r="E709" s="223" t="s">
        <v>1047</v>
      </c>
      <c r="F709" s="189" t="s">
        <v>153</v>
      </c>
      <c r="G709" s="258">
        <v>-58.2</v>
      </c>
      <c r="H709" s="260">
        <v>-58.2</v>
      </c>
      <c r="I709" s="195" t="s">
        <v>96</v>
      </c>
      <c r="J709" s="195" t="s">
        <v>964</v>
      </c>
      <c r="K709" s="188"/>
      <c r="L709" s="197"/>
      <c r="M709" s="197"/>
      <c r="N709" s="197"/>
      <c r="O709" s="197"/>
    </row>
    <row r="710" spans="1:15" hidden="1">
      <c r="A710" s="188" t="s">
        <v>137</v>
      </c>
      <c r="B710" s="189" t="s">
        <v>138</v>
      </c>
      <c r="C710" s="189" t="s">
        <v>96</v>
      </c>
      <c r="D710" s="189" t="s">
        <v>1044</v>
      </c>
      <c r="E710" s="223" t="s">
        <v>1048</v>
      </c>
      <c r="F710" s="189" t="s">
        <v>142</v>
      </c>
      <c r="G710" s="258">
        <v>-2621.14</v>
      </c>
      <c r="H710" s="260">
        <v>-2621.14</v>
      </c>
      <c r="I710" s="188" t="s">
        <v>96</v>
      </c>
      <c r="J710" s="195" t="s">
        <v>476</v>
      </c>
      <c r="K710" s="195"/>
      <c r="L710" s="197"/>
      <c r="M710" s="197"/>
      <c r="N710" s="197"/>
      <c r="O710" s="197"/>
    </row>
    <row r="711" spans="1:15" hidden="1">
      <c r="A711" s="195" t="s">
        <v>137</v>
      </c>
      <c r="B711" s="189" t="s">
        <v>138</v>
      </c>
      <c r="C711" s="189" t="s">
        <v>96</v>
      </c>
      <c r="D711" s="189" t="s">
        <v>1049</v>
      </c>
      <c r="E711" s="223" t="s">
        <v>1050</v>
      </c>
      <c r="F711" s="189" t="s">
        <v>146</v>
      </c>
      <c r="G711" s="258">
        <v>-864</v>
      </c>
      <c r="H711" s="260">
        <v>-864</v>
      </c>
      <c r="I711" s="198" t="s">
        <v>96</v>
      </c>
      <c r="J711" s="195" t="s">
        <v>162</v>
      </c>
      <c r="K711" s="188"/>
      <c r="L711" s="197"/>
      <c r="M711" s="197"/>
      <c r="N711" s="197"/>
      <c r="O711" s="197"/>
    </row>
    <row r="712" spans="1:15" ht="25.5" hidden="1">
      <c r="A712" s="195" t="s">
        <v>232</v>
      </c>
      <c r="B712" s="189" t="s">
        <v>138</v>
      </c>
      <c r="C712" s="189" t="s">
        <v>973</v>
      </c>
      <c r="D712" s="189" t="s">
        <v>1042</v>
      </c>
      <c r="E712" s="223" t="s">
        <v>1051</v>
      </c>
      <c r="F712" s="189" t="s">
        <v>153</v>
      </c>
      <c r="G712" s="258">
        <v>-56.37</v>
      </c>
      <c r="H712" s="260">
        <v>-56.37</v>
      </c>
      <c r="I712" s="195" t="s">
        <v>96</v>
      </c>
      <c r="J712" s="195" t="s">
        <v>964</v>
      </c>
      <c r="K712" s="188"/>
      <c r="L712" s="197"/>
      <c r="M712" s="197"/>
      <c r="N712" s="197"/>
      <c r="O712" s="197"/>
    </row>
    <row r="713" spans="1:15" hidden="1">
      <c r="A713" s="195" t="s">
        <v>232</v>
      </c>
      <c r="B713" s="189" t="s">
        <v>138</v>
      </c>
      <c r="C713" s="189" t="s">
        <v>973</v>
      </c>
      <c r="D713" s="189" t="s">
        <v>1042</v>
      </c>
      <c r="E713" s="223" t="s">
        <v>1052</v>
      </c>
      <c r="F713" s="189" t="s">
        <v>153</v>
      </c>
      <c r="G713" s="258">
        <v>-53.7</v>
      </c>
      <c r="H713" s="260">
        <v>-53.7</v>
      </c>
      <c r="I713" s="195" t="s">
        <v>96</v>
      </c>
      <c r="J713" s="195" t="s">
        <v>964</v>
      </c>
      <c r="K713" s="188"/>
      <c r="L713" s="197"/>
      <c r="M713" s="197"/>
      <c r="N713" s="197"/>
      <c r="O713" s="197"/>
    </row>
    <row r="714" spans="1:15" hidden="1">
      <c r="A714" s="195" t="s">
        <v>137</v>
      </c>
      <c r="B714" s="189" t="s">
        <v>138</v>
      </c>
      <c r="C714" s="189" t="s">
        <v>96</v>
      </c>
      <c r="D714" s="189" t="s">
        <v>1053</v>
      </c>
      <c r="E714" s="223" t="s">
        <v>1054</v>
      </c>
      <c r="F714" s="189" t="s">
        <v>146</v>
      </c>
      <c r="G714" s="258">
        <v>-35.9</v>
      </c>
      <c r="H714" s="260">
        <v>-35.9</v>
      </c>
      <c r="I714" s="198" t="s">
        <v>96</v>
      </c>
      <c r="J714" s="195" t="s">
        <v>422</v>
      </c>
      <c r="K714" s="213"/>
      <c r="L714" s="197"/>
      <c r="M714" s="197"/>
      <c r="N714" s="197"/>
      <c r="O714" s="197"/>
    </row>
    <row r="715" spans="1:15" hidden="1">
      <c r="A715" s="188" t="s">
        <v>137</v>
      </c>
      <c r="B715" s="199" t="s">
        <v>138</v>
      </c>
      <c r="C715" s="199" t="s">
        <v>96</v>
      </c>
      <c r="D715" s="199" t="s">
        <v>1053</v>
      </c>
      <c r="E715" s="205" t="s">
        <v>1055</v>
      </c>
      <c r="F715" s="205" t="s">
        <v>149</v>
      </c>
      <c r="G715" s="225">
        <v>-35.9</v>
      </c>
      <c r="H715" s="226">
        <v>-35.9</v>
      </c>
      <c r="I715" s="198" t="s">
        <v>96</v>
      </c>
      <c r="J715" s="198" t="s">
        <v>422</v>
      </c>
      <c r="K715" s="213" t="s">
        <v>965</v>
      </c>
      <c r="L715" s="197"/>
      <c r="M715" s="197"/>
      <c r="N715" s="197"/>
      <c r="O715" s="197"/>
    </row>
    <row r="716" spans="1:15" hidden="1">
      <c r="A716" s="195" t="s">
        <v>232</v>
      </c>
      <c r="B716" s="189" t="s">
        <v>138</v>
      </c>
      <c r="C716" s="189" t="s">
        <v>973</v>
      </c>
      <c r="D716" s="189" t="s">
        <v>1042</v>
      </c>
      <c r="E716" s="223" t="s">
        <v>1056</v>
      </c>
      <c r="F716" s="189" t="s">
        <v>153</v>
      </c>
      <c r="G716" s="258">
        <v>-36.31</v>
      </c>
      <c r="H716" s="260">
        <v>-36.31</v>
      </c>
      <c r="I716" s="195" t="s">
        <v>96</v>
      </c>
      <c r="J716" s="195" t="s">
        <v>162</v>
      </c>
      <c r="K716" s="188"/>
      <c r="L716" s="197"/>
      <c r="M716" s="197"/>
      <c r="N716" s="197"/>
      <c r="O716" s="197"/>
    </row>
    <row r="717" spans="1:15" hidden="1">
      <c r="A717" s="188" t="s">
        <v>137</v>
      </c>
      <c r="B717" s="189" t="s">
        <v>138</v>
      </c>
      <c r="C717" s="189" t="s">
        <v>96</v>
      </c>
      <c r="D717" s="189" t="s">
        <v>1053</v>
      </c>
      <c r="E717" s="223" t="s">
        <v>1057</v>
      </c>
      <c r="F717" s="189" t="s">
        <v>142</v>
      </c>
      <c r="G717" s="258">
        <v>-35.9</v>
      </c>
      <c r="H717" s="260">
        <v>-35.9</v>
      </c>
      <c r="I717" s="188" t="s">
        <v>96</v>
      </c>
      <c r="J717" s="195" t="s">
        <v>422</v>
      </c>
      <c r="K717" s="195"/>
      <c r="L717" s="197"/>
      <c r="M717" s="197"/>
      <c r="N717" s="197"/>
      <c r="O717" s="197"/>
    </row>
    <row r="718" spans="1:15" hidden="1">
      <c r="A718" s="195" t="s">
        <v>137</v>
      </c>
      <c r="B718" s="189" t="s">
        <v>138</v>
      </c>
      <c r="C718" s="189" t="s">
        <v>96</v>
      </c>
      <c r="D718" s="189" t="s">
        <v>987</v>
      </c>
      <c r="E718" s="223" t="s">
        <v>1058</v>
      </c>
      <c r="F718" s="189" t="s">
        <v>153</v>
      </c>
      <c r="G718" s="258">
        <v>-635.04999999999995</v>
      </c>
      <c r="H718" s="260">
        <v>-635.04999999999995</v>
      </c>
      <c r="I718" s="195" t="s">
        <v>96</v>
      </c>
      <c r="J718" s="195" t="s">
        <v>422</v>
      </c>
      <c r="K718" s="188" t="s">
        <v>195</v>
      </c>
      <c r="L718" s="197"/>
      <c r="M718" s="197"/>
      <c r="N718" s="197"/>
      <c r="O718" s="197"/>
    </row>
    <row r="719" spans="1:15" ht="38.25" hidden="1">
      <c r="A719" s="195" t="s">
        <v>137</v>
      </c>
      <c r="B719" s="189" t="s">
        <v>138</v>
      </c>
      <c r="C719" s="189" t="s">
        <v>96</v>
      </c>
      <c r="D719" s="189" t="s">
        <v>996</v>
      </c>
      <c r="E719" s="223" t="s">
        <v>1059</v>
      </c>
      <c r="F719" s="189" t="s">
        <v>153</v>
      </c>
      <c r="G719" s="258">
        <v>-73.5</v>
      </c>
      <c r="H719" s="260">
        <v>-73.5</v>
      </c>
      <c r="I719" s="268" t="s">
        <v>110</v>
      </c>
      <c r="J719" s="195" t="s">
        <v>1003</v>
      </c>
      <c r="K719" s="188"/>
      <c r="L719" s="197"/>
      <c r="M719" s="197"/>
      <c r="N719" s="197"/>
      <c r="O719" s="197"/>
    </row>
    <row r="720" spans="1:15" ht="38.25" hidden="1">
      <c r="A720" s="195" t="s">
        <v>137</v>
      </c>
      <c r="B720" s="189" t="s">
        <v>138</v>
      </c>
      <c r="C720" s="189" t="s">
        <v>96</v>
      </c>
      <c r="D720" s="189" t="s">
        <v>996</v>
      </c>
      <c r="E720" s="223" t="s">
        <v>1060</v>
      </c>
      <c r="F720" s="189" t="s">
        <v>153</v>
      </c>
      <c r="G720" s="258">
        <v>-59.71</v>
      </c>
      <c r="H720" s="260">
        <v>-59.71</v>
      </c>
      <c r="I720" s="268" t="s">
        <v>110</v>
      </c>
      <c r="J720" s="195" t="s">
        <v>1003</v>
      </c>
      <c r="K720" s="188"/>
      <c r="L720" s="197"/>
      <c r="M720" s="197"/>
      <c r="N720" s="197"/>
      <c r="O720" s="197"/>
    </row>
    <row r="721" spans="1:15" ht="25.5" hidden="1">
      <c r="A721" s="195" t="s">
        <v>137</v>
      </c>
      <c r="B721" s="189" t="s">
        <v>138</v>
      </c>
      <c r="C721" s="189" t="s">
        <v>96</v>
      </c>
      <c r="D721" s="189" t="s">
        <v>996</v>
      </c>
      <c r="E721" s="223" t="s">
        <v>1061</v>
      </c>
      <c r="F721" s="189" t="s">
        <v>153</v>
      </c>
      <c r="G721" s="258">
        <v>-1505</v>
      </c>
      <c r="H721" s="260">
        <v>-1505</v>
      </c>
      <c r="I721" s="195" t="s">
        <v>96</v>
      </c>
      <c r="J721" s="195" t="s">
        <v>162</v>
      </c>
      <c r="K721" s="188"/>
      <c r="L721" s="197"/>
      <c r="M721" s="197"/>
      <c r="N721" s="197"/>
      <c r="O721" s="197"/>
    </row>
    <row r="722" spans="1:15" ht="25.5" hidden="1">
      <c r="A722" s="188" t="s">
        <v>232</v>
      </c>
      <c r="B722" s="189" t="s">
        <v>138</v>
      </c>
      <c r="C722" s="189" t="s">
        <v>973</v>
      </c>
      <c r="D722" s="199" t="s">
        <v>974</v>
      </c>
      <c r="E722" s="223" t="s">
        <v>1062</v>
      </c>
      <c r="F722" s="189" t="s">
        <v>142</v>
      </c>
      <c r="G722" s="258">
        <v>-117.75</v>
      </c>
      <c r="H722" s="260">
        <v>-117.75</v>
      </c>
      <c r="I722" s="188" t="s">
        <v>96</v>
      </c>
      <c r="J722" s="195" t="s">
        <v>143</v>
      </c>
      <c r="K722" s="195"/>
      <c r="L722" s="197"/>
      <c r="M722" s="197"/>
      <c r="N722" s="197"/>
      <c r="O722" s="197"/>
    </row>
    <row r="723" spans="1:15" hidden="1">
      <c r="A723" s="188" t="s">
        <v>137</v>
      </c>
      <c r="B723" s="199" t="s">
        <v>138</v>
      </c>
      <c r="C723" s="199" t="s">
        <v>973</v>
      </c>
      <c r="D723" s="199" t="s">
        <v>962</v>
      </c>
      <c r="E723" s="205" t="s">
        <v>963</v>
      </c>
      <c r="F723" s="199" t="s">
        <v>146</v>
      </c>
      <c r="G723" s="258">
        <v>-1302.3499999999999</v>
      </c>
      <c r="H723" s="266">
        <v>-1302.3499999999999</v>
      </c>
      <c r="I723" s="188" t="s">
        <v>96</v>
      </c>
      <c r="J723" s="188" t="s">
        <v>964</v>
      </c>
      <c r="K723" s="213"/>
      <c r="L723" s="197"/>
      <c r="M723" s="197"/>
      <c r="N723" s="197"/>
      <c r="O723" s="197"/>
    </row>
    <row r="724" spans="1:15" ht="38.25" hidden="1">
      <c r="A724" s="188" t="s">
        <v>137</v>
      </c>
      <c r="B724" s="199" t="s">
        <v>138</v>
      </c>
      <c r="C724" s="199" t="s">
        <v>973</v>
      </c>
      <c r="D724" s="199" t="s">
        <v>962</v>
      </c>
      <c r="E724" s="205" t="s">
        <v>1063</v>
      </c>
      <c r="F724" s="205" t="s">
        <v>149</v>
      </c>
      <c r="G724" s="225">
        <v>-1158.05</v>
      </c>
      <c r="H724" s="226">
        <v>-1158.05</v>
      </c>
      <c r="I724" s="198" t="s">
        <v>96</v>
      </c>
      <c r="J724" s="198" t="s">
        <v>964</v>
      </c>
      <c r="K724" s="188"/>
      <c r="L724" s="197"/>
      <c r="M724" s="197"/>
      <c r="N724" s="197"/>
      <c r="O724" s="197"/>
    </row>
    <row r="725" spans="1:15" ht="38.25" hidden="1">
      <c r="A725" s="188" t="s">
        <v>137</v>
      </c>
      <c r="B725" s="199" t="s">
        <v>138</v>
      </c>
      <c r="C725" s="199" t="s">
        <v>973</v>
      </c>
      <c r="D725" s="199" t="s">
        <v>962</v>
      </c>
      <c r="E725" s="205" t="s">
        <v>1064</v>
      </c>
      <c r="F725" s="205" t="s">
        <v>149</v>
      </c>
      <c r="G725" s="225">
        <v>-443</v>
      </c>
      <c r="H725" s="226">
        <v>-443</v>
      </c>
      <c r="I725" s="214" t="s">
        <v>96</v>
      </c>
      <c r="J725" s="198" t="s">
        <v>964</v>
      </c>
      <c r="K725" s="188"/>
      <c r="L725" s="197"/>
      <c r="M725" s="197"/>
      <c r="N725" s="197"/>
      <c r="O725" s="197"/>
    </row>
    <row r="726" spans="1:15" ht="51" hidden="1">
      <c r="A726" s="188" t="s">
        <v>137</v>
      </c>
      <c r="B726" s="199" t="s">
        <v>138</v>
      </c>
      <c r="C726" s="199" t="s">
        <v>973</v>
      </c>
      <c r="D726" s="199" t="s">
        <v>962</v>
      </c>
      <c r="E726" s="205" t="s">
        <v>1065</v>
      </c>
      <c r="F726" s="205" t="s">
        <v>149</v>
      </c>
      <c r="G726" s="225">
        <v>-143.03</v>
      </c>
      <c r="H726" s="226">
        <v>-143.03</v>
      </c>
      <c r="I726" s="198" t="s">
        <v>96</v>
      </c>
      <c r="J726" s="198" t="s">
        <v>143</v>
      </c>
      <c r="K726" s="188"/>
      <c r="L726" s="197"/>
      <c r="M726" s="197"/>
      <c r="N726" s="197"/>
      <c r="O726" s="197"/>
    </row>
    <row r="727" spans="1:15" hidden="1">
      <c r="A727" s="188" t="s">
        <v>137</v>
      </c>
      <c r="B727" s="199" t="s">
        <v>138</v>
      </c>
      <c r="C727" s="199" t="s">
        <v>973</v>
      </c>
      <c r="D727" s="199" t="s">
        <v>962</v>
      </c>
      <c r="E727" s="205" t="s">
        <v>1066</v>
      </c>
      <c r="F727" s="199" t="s">
        <v>142</v>
      </c>
      <c r="G727" s="258">
        <v>-1271.8599999999999</v>
      </c>
      <c r="H727" s="266">
        <v>-1271.8599999999999</v>
      </c>
      <c r="I727" s="188" t="s">
        <v>96</v>
      </c>
      <c r="J727" s="188" t="s">
        <v>964</v>
      </c>
      <c r="K727" s="188"/>
      <c r="L727" s="197"/>
      <c r="M727" s="197"/>
      <c r="N727" s="197"/>
      <c r="O727" s="197"/>
    </row>
    <row r="728" spans="1:15" hidden="1">
      <c r="A728" s="188" t="s">
        <v>137</v>
      </c>
      <c r="B728" s="199" t="s">
        <v>138</v>
      </c>
      <c r="C728" s="199" t="s">
        <v>973</v>
      </c>
      <c r="D728" s="199" t="s">
        <v>962</v>
      </c>
      <c r="E728" s="205" t="s">
        <v>1067</v>
      </c>
      <c r="F728" s="199" t="s">
        <v>142</v>
      </c>
      <c r="G728" s="258">
        <v>-525.09</v>
      </c>
      <c r="H728" s="266">
        <v>-525.09</v>
      </c>
      <c r="I728" s="188" t="s">
        <v>96</v>
      </c>
      <c r="J728" s="188" t="s">
        <v>964</v>
      </c>
      <c r="K728" s="188"/>
      <c r="L728" s="197"/>
      <c r="M728" s="197"/>
      <c r="N728" s="197"/>
      <c r="O728" s="197"/>
    </row>
    <row r="729" spans="1:15" ht="25.5" hidden="1">
      <c r="A729" s="195" t="s">
        <v>232</v>
      </c>
      <c r="B729" s="189" t="s">
        <v>138</v>
      </c>
      <c r="C729" s="189" t="s">
        <v>973</v>
      </c>
      <c r="D729" s="189" t="s">
        <v>996</v>
      </c>
      <c r="E729" s="223" t="s">
        <v>1068</v>
      </c>
      <c r="F729" s="189" t="s">
        <v>153</v>
      </c>
      <c r="G729" s="258">
        <v>-92.41</v>
      </c>
      <c r="H729" s="260">
        <v>-92.41</v>
      </c>
      <c r="I729" s="195" t="s">
        <v>96</v>
      </c>
      <c r="J729" s="195" t="s">
        <v>192</v>
      </c>
      <c r="K729" s="213"/>
      <c r="L729" s="197"/>
      <c r="M729" s="197"/>
      <c r="N729" s="197"/>
      <c r="O729" s="197"/>
    </row>
    <row r="730" spans="1:15" hidden="1">
      <c r="A730" s="188" t="s">
        <v>137</v>
      </c>
      <c r="B730" s="199" t="s">
        <v>138</v>
      </c>
      <c r="C730" s="199" t="s">
        <v>973</v>
      </c>
      <c r="D730" s="303" t="s">
        <v>453</v>
      </c>
      <c r="E730" s="205" t="s">
        <v>1069</v>
      </c>
      <c r="F730" s="205" t="s">
        <v>149</v>
      </c>
      <c r="G730" s="225">
        <v>-19.899999999999999</v>
      </c>
      <c r="H730" s="226">
        <v>-19.899999999999999</v>
      </c>
      <c r="I730" s="198" t="s">
        <v>96</v>
      </c>
      <c r="J730" s="234" t="s">
        <v>143</v>
      </c>
      <c r="K730" s="188"/>
      <c r="L730" s="197"/>
      <c r="M730" s="197"/>
      <c r="N730" s="197"/>
      <c r="O730" s="197"/>
    </row>
    <row r="731" spans="1:15" hidden="1">
      <c r="A731" s="188" t="s">
        <v>137</v>
      </c>
      <c r="B731" s="199" t="s">
        <v>138</v>
      </c>
      <c r="C731" s="199" t="s">
        <v>973</v>
      </c>
      <c r="D731" s="303" t="s">
        <v>453</v>
      </c>
      <c r="E731" s="205" t="s">
        <v>991</v>
      </c>
      <c r="F731" s="199" t="s">
        <v>142</v>
      </c>
      <c r="G731" s="258">
        <v>-19.899999999999999</v>
      </c>
      <c r="H731" s="266">
        <v>-19.899999999999999</v>
      </c>
      <c r="I731" s="198" t="s">
        <v>96</v>
      </c>
      <c r="J731" s="188" t="s">
        <v>143</v>
      </c>
      <c r="K731" s="188"/>
      <c r="L731" s="197"/>
      <c r="M731" s="197"/>
      <c r="N731" s="197"/>
      <c r="O731" s="197"/>
    </row>
    <row r="732" spans="1:15" ht="38.25" hidden="1">
      <c r="A732" s="195" t="s">
        <v>137</v>
      </c>
      <c r="B732" s="189" t="s">
        <v>138</v>
      </c>
      <c r="C732" s="189" t="s">
        <v>96</v>
      </c>
      <c r="D732" s="189" t="s">
        <v>1006</v>
      </c>
      <c r="E732" s="223" t="s">
        <v>1070</v>
      </c>
      <c r="F732" s="189" t="s">
        <v>153</v>
      </c>
      <c r="G732" s="258">
        <v>-1400</v>
      </c>
      <c r="H732" s="260">
        <v>-1400</v>
      </c>
      <c r="I732" s="195" t="s">
        <v>96</v>
      </c>
      <c r="J732" s="195" t="s">
        <v>143</v>
      </c>
      <c r="K732" s="213"/>
      <c r="L732" s="197"/>
      <c r="M732" s="197"/>
      <c r="N732" s="197"/>
      <c r="O732" s="197"/>
    </row>
    <row r="733" spans="1:15" hidden="1">
      <c r="A733" s="188" t="s">
        <v>232</v>
      </c>
      <c r="B733" s="189" t="s">
        <v>138</v>
      </c>
      <c r="C733" s="189" t="s">
        <v>973</v>
      </c>
      <c r="D733" s="189" t="s">
        <v>993</v>
      </c>
      <c r="E733" s="223" t="s">
        <v>1071</v>
      </c>
      <c r="F733" s="189" t="s">
        <v>142</v>
      </c>
      <c r="G733" s="258">
        <v>-289.89999999999998</v>
      </c>
      <c r="H733" s="260">
        <v>-289.89999999999998</v>
      </c>
      <c r="I733" s="188" t="s">
        <v>96</v>
      </c>
      <c r="J733" s="189" t="s">
        <v>159</v>
      </c>
      <c r="K733" s="195" t="s">
        <v>981</v>
      </c>
      <c r="L733" s="197"/>
      <c r="M733" s="197"/>
      <c r="N733" s="197"/>
      <c r="O733" s="197"/>
    </row>
    <row r="734" spans="1:15" ht="51" hidden="1">
      <c r="A734" s="195" t="s">
        <v>137</v>
      </c>
      <c r="B734" s="189" t="s">
        <v>138</v>
      </c>
      <c r="C734" s="189" t="s">
        <v>96</v>
      </c>
      <c r="D734" s="189" t="s">
        <v>1011</v>
      </c>
      <c r="E734" s="223" t="s">
        <v>1072</v>
      </c>
      <c r="F734" s="189" t="s">
        <v>153</v>
      </c>
      <c r="G734" s="277">
        <v>-1975.18</v>
      </c>
      <c r="H734" s="260">
        <v>-3211.19</v>
      </c>
      <c r="I734" s="195" t="s">
        <v>96</v>
      </c>
      <c r="J734" s="195" t="s">
        <v>192</v>
      </c>
      <c r="K734" s="302" t="s">
        <v>1013</v>
      </c>
      <c r="L734" s="197"/>
      <c r="M734" s="197"/>
      <c r="N734" s="197"/>
      <c r="O734" s="197"/>
    </row>
    <row r="735" spans="1:15" hidden="1">
      <c r="A735" s="195" t="s">
        <v>232</v>
      </c>
      <c r="B735" s="189" t="s">
        <v>138</v>
      </c>
      <c r="C735" s="189" t="s">
        <v>973</v>
      </c>
      <c r="D735" s="189" t="s">
        <v>999</v>
      </c>
      <c r="E735" s="223" t="s">
        <v>1073</v>
      </c>
      <c r="F735" s="189" t="s">
        <v>146</v>
      </c>
      <c r="G735" s="258">
        <v>-105.52</v>
      </c>
      <c r="H735" s="260">
        <v>-105.52</v>
      </c>
      <c r="I735" s="198" t="s">
        <v>96</v>
      </c>
      <c r="J735" s="195" t="s">
        <v>964</v>
      </c>
      <c r="K735" s="188"/>
      <c r="L735" s="197"/>
      <c r="M735" s="197"/>
      <c r="N735" s="197"/>
      <c r="O735" s="197"/>
    </row>
    <row r="736" spans="1:15" hidden="1">
      <c r="A736" s="188" t="s">
        <v>232</v>
      </c>
      <c r="B736" s="199" t="s">
        <v>138</v>
      </c>
      <c r="C736" s="199" t="s">
        <v>973</v>
      </c>
      <c r="D736" s="199" t="s">
        <v>999</v>
      </c>
      <c r="E736" s="205" t="s">
        <v>1074</v>
      </c>
      <c r="F736" s="205" t="s">
        <v>149</v>
      </c>
      <c r="G736" s="225">
        <v>-105.52</v>
      </c>
      <c r="H736" s="226">
        <v>-105.52</v>
      </c>
      <c r="I736" s="198" t="s">
        <v>96</v>
      </c>
      <c r="J736" s="198" t="s">
        <v>964</v>
      </c>
      <c r="K736" s="213" t="s">
        <v>965</v>
      </c>
      <c r="L736" s="197"/>
      <c r="M736" s="197"/>
      <c r="N736" s="197"/>
      <c r="O736" s="197"/>
    </row>
    <row r="737" spans="1:15" hidden="1">
      <c r="A737" s="188" t="s">
        <v>232</v>
      </c>
      <c r="B737" s="189" t="s">
        <v>138</v>
      </c>
      <c r="C737" s="189" t="s">
        <v>973</v>
      </c>
      <c r="D737" s="189" t="s">
        <v>999</v>
      </c>
      <c r="E737" s="223" t="s">
        <v>1075</v>
      </c>
      <c r="F737" s="189" t="s">
        <v>142</v>
      </c>
      <c r="G737" s="258">
        <v>-122.62</v>
      </c>
      <c r="H737" s="260">
        <v>-122.62</v>
      </c>
      <c r="I737" s="188" t="s">
        <v>96</v>
      </c>
      <c r="J737" s="195" t="s">
        <v>964</v>
      </c>
      <c r="K737" s="195"/>
      <c r="L737" s="197"/>
      <c r="M737" s="197"/>
      <c r="N737" s="197"/>
      <c r="O737" s="197"/>
    </row>
    <row r="738" spans="1:15" ht="63.75" hidden="1">
      <c r="A738" s="195" t="s">
        <v>137</v>
      </c>
      <c r="B738" s="189" t="s">
        <v>138</v>
      </c>
      <c r="C738" s="189" t="s">
        <v>96</v>
      </c>
      <c r="D738" s="189" t="s">
        <v>1011</v>
      </c>
      <c r="E738" s="223" t="s">
        <v>1076</v>
      </c>
      <c r="F738" s="189" t="s">
        <v>153</v>
      </c>
      <c r="G738" s="258">
        <v>0</v>
      </c>
      <c r="H738" s="260">
        <v>-3204.05</v>
      </c>
      <c r="I738" s="195" t="s">
        <v>96</v>
      </c>
      <c r="J738" s="195" t="s">
        <v>192</v>
      </c>
      <c r="K738" s="302" t="s">
        <v>1013</v>
      </c>
      <c r="L738" s="197"/>
      <c r="M738" s="197"/>
      <c r="N738" s="197"/>
      <c r="O738" s="197"/>
    </row>
    <row r="739" spans="1:15" hidden="1">
      <c r="A739" s="195" t="s">
        <v>137</v>
      </c>
      <c r="B739" s="189" t="s">
        <v>138</v>
      </c>
      <c r="C739" s="189" t="s">
        <v>973</v>
      </c>
      <c r="D739" s="189" t="s">
        <v>1004</v>
      </c>
      <c r="E739" s="223" t="s">
        <v>1077</v>
      </c>
      <c r="F739" s="189" t="s">
        <v>146</v>
      </c>
      <c r="G739" s="258">
        <v>-24.25</v>
      </c>
      <c r="H739" s="260">
        <v>-24.25</v>
      </c>
      <c r="I739" s="198" t="s">
        <v>96</v>
      </c>
      <c r="J739" s="195" t="s">
        <v>162</v>
      </c>
      <c r="K739" s="188"/>
      <c r="L739" s="197"/>
      <c r="M739" s="197"/>
      <c r="N739" s="197"/>
      <c r="O739" s="197"/>
    </row>
    <row r="740" spans="1:15" hidden="1">
      <c r="A740" s="188" t="s">
        <v>137</v>
      </c>
      <c r="B740" s="199" t="s">
        <v>138</v>
      </c>
      <c r="C740" s="199" t="s">
        <v>973</v>
      </c>
      <c r="D740" s="199" t="s">
        <v>1004</v>
      </c>
      <c r="E740" s="205" t="s">
        <v>1077</v>
      </c>
      <c r="F740" s="205" t="s">
        <v>149</v>
      </c>
      <c r="G740" s="225">
        <v>-24.25</v>
      </c>
      <c r="H740" s="226">
        <v>-24.25</v>
      </c>
      <c r="I740" s="198" t="s">
        <v>96</v>
      </c>
      <c r="J740" s="198" t="s">
        <v>162</v>
      </c>
      <c r="K740" s="188" t="s">
        <v>965</v>
      </c>
      <c r="L740" s="197"/>
      <c r="M740" s="197"/>
      <c r="N740" s="197"/>
      <c r="O740" s="197"/>
    </row>
    <row r="741" spans="1:15" hidden="1">
      <c r="A741" s="188" t="s">
        <v>137</v>
      </c>
      <c r="B741" s="189" t="s">
        <v>138</v>
      </c>
      <c r="C741" s="189" t="s">
        <v>973</v>
      </c>
      <c r="D741" s="189" t="s">
        <v>1004</v>
      </c>
      <c r="E741" s="223" t="s">
        <v>1078</v>
      </c>
      <c r="F741" s="189" t="s">
        <v>142</v>
      </c>
      <c r="G741" s="258">
        <v>-24.15</v>
      </c>
      <c r="H741" s="260">
        <v>-24.15</v>
      </c>
      <c r="I741" s="188" t="s">
        <v>96</v>
      </c>
      <c r="J741" s="195" t="s">
        <v>162</v>
      </c>
      <c r="K741" s="195"/>
      <c r="L741" s="197"/>
      <c r="M741" s="197"/>
      <c r="N741" s="197"/>
      <c r="O741" s="197"/>
    </row>
    <row r="742" spans="1:15" ht="25.5" hidden="1">
      <c r="A742" s="195" t="s">
        <v>137</v>
      </c>
      <c r="B742" s="189" t="s">
        <v>138</v>
      </c>
      <c r="C742" s="189" t="s">
        <v>973</v>
      </c>
      <c r="D742" s="189" t="s">
        <v>319</v>
      </c>
      <c r="E742" s="223" t="s">
        <v>1079</v>
      </c>
      <c r="F742" s="189" t="s">
        <v>146</v>
      </c>
      <c r="G742" s="258">
        <v>-225.02</v>
      </c>
      <c r="H742" s="260">
        <v>-225.02</v>
      </c>
      <c r="I742" s="198" t="s">
        <v>96</v>
      </c>
      <c r="J742" s="195" t="s">
        <v>162</v>
      </c>
      <c r="K742" s="188"/>
      <c r="L742" s="197"/>
      <c r="M742" s="197"/>
      <c r="N742" s="197"/>
      <c r="O742" s="197"/>
    </row>
    <row r="743" spans="1:15" ht="25.5" hidden="1">
      <c r="A743" s="188" t="s">
        <v>137</v>
      </c>
      <c r="B743" s="199" t="s">
        <v>138</v>
      </c>
      <c r="C743" s="199" t="s">
        <v>973</v>
      </c>
      <c r="D743" s="199" t="s">
        <v>319</v>
      </c>
      <c r="E743" s="205" t="s">
        <v>1080</v>
      </c>
      <c r="F743" s="205" t="s">
        <v>149</v>
      </c>
      <c r="G743" s="225">
        <v>-1701.67</v>
      </c>
      <c r="H743" s="226">
        <v>-1701.67</v>
      </c>
      <c r="I743" s="198" t="s">
        <v>96</v>
      </c>
      <c r="J743" s="189" t="s">
        <v>316</v>
      </c>
      <c r="K743" s="188"/>
      <c r="L743" s="197"/>
      <c r="M743" s="197"/>
      <c r="N743" s="197"/>
      <c r="O743" s="197"/>
    </row>
    <row r="744" spans="1:15" ht="25.5" hidden="1">
      <c r="A744" s="188" t="s">
        <v>137</v>
      </c>
      <c r="B744" s="199" t="s">
        <v>138</v>
      </c>
      <c r="C744" s="199" t="s">
        <v>973</v>
      </c>
      <c r="D744" s="199" t="s">
        <v>319</v>
      </c>
      <c r="E744" s="205" t="s">
        <v>1081</v>
      </c>
      <c r="F744" s="205" t="s">
        <v>149</v>
      </c>
      <c r="G744" s="225">
        <v>-1004.02</v>
      </c>
      <c r="H744" s="226">
        <v>-1004.02</v>
      </c>
      <c r="I744" s="198" t="s">
        <v>96</v>
      </c>
      <c r="J744" s="198" t="s">
        <v>964</v>
      </c>
      <c r="K744" s="188"/>
      <c r="L744" s="197"/>
      <c r="M744" s="197"/>
      <c r="N744" s="197"/>
      <c r="O744" s="197"/>
    </row>
    <row r="745" spans="1:15" ht="25.5" hidden="1">
      <c r="A745" s="188" t="s">
        <v>137</v>
      </c>
      <c r="B745" s="199" t="s">
        <v>138</v>
      </c>
      <c r="C745" s="199" t="s">
        <v>973</v>
      </c>
      <c r="D745" s="199" t="s">
        <v>319</v>
      </c>
      <c r="E745" s="205" t="s">
        <v>1082</v>
      </c>
      <c r="F745" s="205" t="s">
        <v>149</v>
      </c>
      <c r="G745" s="225">
        <v>-362.18</v>
      </c>
      <c r="H745" s="226">
        <v>-362.18</v>
      </c>
      <c r="I745" s="198" t="s">
        <v>96</v>
      </c>
      <c r="J745" s="198" t="s">
        <v>162</v>
      </c>
      <c r="K745" s="188"/>
      <c r="L745" s="197"/>
      <c r="M745" s="197"/>
      <c r="N745" s="197"/>
      <c r="O745" s="197"/>
    </row>
    <row r="746" spans="1:15" ht="25.5" hidden="1">
      <c r="A746" s="188" t="s">
        <v>137</v>
      </c>
      <c r="B746" s="199" t="s">
        <v>138</v>
      </c>
      <c r="C746" s="199" t="s">
        <v>973</v>
      </c>
      <c r="D746" s="199" t="s">
        <v>319</v>
      </c>
      <c r="E746" s="205" t="s">
        <v>1083</v>
      </c>
      <c r="F746" s="205" t="s">
        <v>149</v>
      </c>
      <c r="G746" s="225">
        <v>-289.89999999999998</v>
      </c>
      <c r="H746" s="226">
        <v>-289.89999999999998</v>
      </c>
      <c r="I746" s="198" t="s">
        <v>96</v>
      </c>
      <c r="J746" s="189" t="s">
        <v>159</v>
      </c>
      <c r="K746" s="188"/>
      <c r="L746" s="197"/>
      <c r="M746" s="197"/>
      <c r="N746" s="197"/>
      <c r="O746" s="197"/>
    </row>
    <row r="747" spans="1:15" ht="25.5" hidden="1">
      <c r="A747" s="188" t="s">
        <v>137</v>
      </c>
      <c r="B747" s="199" t="s">
        <v>138</v>
      </c>
      <c r="C747" s="199" t="s">
        <v>973</v>
      </c>
      <c r="D747" s="199" t="s">
        <v>319</v>
      </c>
      <c r="E747" s="205" t="s">
        <v>1084</v>
      </c>
      <c r="F747" s="205" t="s">
        <v>149</v>
      </c>
      <c r="G747" s="225">
        <v>-230.59</v>
      </c>
      <c r="H747" s="226">
        <v>-230.59</v>
      </c>
      <c r="I747" s="198" t="s">
        <v>96</v>
      </c>
      <c r="J747" s="198" t="s">
        <v>162</v>
      </c>
      <c r="K747" s="188"/>
      <c r="L747" s="197"/>
      <c r="M747" s="197"/>
      <c r="N747" s="197"/>
      <c r="O747" s="197"/>
    </row>
    <row r="748" spans="1:15" ht="38.25" hidden="1">
      <c r="A748" s="188" t="s">
        <v>137</v>
      </c>
      <c r="B748" s="199" t="s">
        <v>138</v>
      </c>
      <c r="C748" s="199" t="s">
        <v>973</v>
      </c>
      <c r="D748" s="199" t="s">
        <v>319</v>
      </c>
      <c r="E748" s="205" t="s">
        <v>1085</v>
      </c>
      <c r="F748" s="205" t="s">
        <v>149</v>
      </c>
      <c r="G748" s="225">
        <v>-227.88</v>
      </c>
      <c r="H748" s="226">
        <v>-227.88</v>
      </c>
      <c r="I748" s="198" t="s">
        <v>96</v>
      </c>
      <c r="J748" s="257" t="s">
        <v>143</v>
      </c>
      <c r="K748" s="188"/>
      <c r="L748" s="197"/>
      <c r="M748" s="197"/>
      <c r="N748" s="197"/>
      <c r="O748" s="197"/>
    </row>
    <row r="749" spans="1:15" ht="38.25" hidden="1">
      <c r="A749" s="188" t="s">
        <v>137</v>
      </c>
      <c r="B749" s="199" t="s">
        <v>138</v>
      </c>
      <c r="C749" s="199" t="s">
        <v>973</v>
      </c>
      <c r="D749" s="199" t="s">
        <v>319</v>
      </c>
      <c r="E749" s="205" t="s">
        <v>1085</v>
      </c>
      <c r="F749" s="205" t="s">
        <v>149</v>
      </c>
      <c r="G749" s="225">
        <v>-227.88</v>
      </c>
      <c r="H749" s="226">
        <v>-227.88</v>
      </c>
      <c r="I749" s="198" t="s">
        <v>96</v>
      </c>
      <c r="J749" s="257" t="s">
        <v>169</v>
      </c>
      <c r="K749" s="188"/>
      <c r="L749" s="197"/>
      <c r="M749" s="197"/>
      <c r="N749" s="197"/>
      <c r="O749" s="197"/>
    </row>
    <row r="750" spans="1:15" ht="25.5" hidden="1">
      <c r="A750" s="188" t="s">
        <v>137</v>
      </c>
      <c r="B750" s="189" t="s">
        <v>138</v>
      </c>
      <c r="C750" s="189" t="s">
        <v>973</v>
      </c>
      <c r="D750" s="189" t="s">
        <v>319</v>
      </c>
      <c r="E750" s="223" t="s">
        <v>1086</v>
      </c>
      <c r="F750" s="189" t="s">
        <v>142</v>
      </c>
      <c r="G750" s="258">
        <v>-224.39</v>
      </c>
      <c r="H750" s="260">
        <v>-224.39</v>
      </c>
      <c r="I750" s="188" t="s">
        <v>96</v>
      </c>
      <c r="J750" s="195" t="s">
        <v>162</v>
      </c>
      <c r="K750" s="195"/>
      <c r="L750" s="197"/>
      <c r="M750" s="197"/>
      <c r="N750" s="197"/>
      <c r="O750" s="197"/>
    </row>
    <row r="751" spans="1:15" hidden="1">
      <c r="A751" s="188" t="s">
        <v>137</v>
      </c>
      <c r="B751" s="199" t="s">
        <v>138</v>
      </c>
      <c r="C751" s="199" t="s">
        <v>973</v>
      </c>
      <c r="D751" s="199" t="s">
        <v>1087</v>
      </c>
      <c r="E751" s="205" t="s">
        <v>1088</v>
      </c>
      <c r="F751" s="205" t="s">
        <v>149</v>
      </c>
      <c r="G751" s="225">
        <v>-1397.59</v>
      </c>
      <c r="H751" s="226">
        <v>-1397.59</v>
      </c>
      <c r="I751" s="198" t="s">
        <v>96</v>
      </c>
      <c r="J751" s="198" t="s">
        <v>169</v>
      </c>
      <c r="K751" s="213"/>
      <c r="L751" s="197"/>
      <c r="M751" s="197"/>
      <c r="N751" s="197"/>
      <c r="O751" s="197"/>
    </row>
    <row r="752" spans="1:15" hidden="1">
      <c r="A752" s="195" t="s">
        <v>137</v>
      </c>
      <c r="B752" s="189" t="s">
        <v>138</v>
      </c>
      <c r="C752" s="189" t="s">
        <v>96</v>
      </c>
      <c r="D752" s="189" t="s">
        <v>1019</v>
      </c>
      <c r="E752" s="223" t="s">
        <v>1089</v>
      </c>
      <c r="F752" s="189" t="s">
        <v>153</v>
      </c>
      <c r="G752" s="258">
        <v>-199.9</v>
      </c>
      <c r="H752" s="260">
        <v>-199.9</v>
      </c>
      <c r="I752" s="195" t="s">
        <v>96</v>
      </c>
      <c r="J752" s="195" t="s">
        <v>422</v>
      </c>
      <c r="K752" s="188"/>
      <c r="L752" s="197"/>
      <c r="M752" s="197"/>
      <c r="N752" s="197"/>
      <c r="O752" s="197"/>
    </row>
    <row r="753" spans="1:15" hidden="1">
      <c r="A753" s="188" t="s">
        <v>137</v>
      </c>
      <c r="B753" s="189" t="s">
        <v>138</v>
      </c>
      <c r="C753" s="189" t="s">
        <v>973</v>
      </c>
      <c r="D753" s="189" t="s">
        <v>983</v>
      </c>
      <c r="E753" s="223" t="s">
        <v>1090</v>
      </c>
      <c r="F753" s="189" t="s">
        <v>142</v>
      </c>
      <c r="G753" s="258">
        <v>-260.60000000000002</v>
      </c>
      <c r="H753" s="260">
        <v>-260.60000000000002</v>
      </c>
      <c r="I753" s="188" t="s">
        <v>96</v>
      </c>
      <c r="J753" s="195" t="s">
        <v>162</v>
      </c>
      <c r="K753" s="195" t="s">
        <v>981</v>
      </c>
      <c r="L753" s="197"/>
      <c r="M753" s="197"/>
      <c r="N753" s="197"/>
      <c r="O753" s="197"/>
    </row>
    <row r="754" spans="1:15" hidden="1">
      <c r="A754" s="195" t="s">
        <v>137</v>
      </c>
      <c r="B754" s="189" t="s">
        <v>138</v>
      </c>
      <c r="C754" s="189" t="s">
        <v>973</v>
      </c>
      <c r="D754" s="189" t="s">
        <v>1091</v>
      </c>
      <c r="E754" s="223" t="s">
        <v>1092</v>
      </c>
      <c r="F754" s="189" t="s">
        <v>153</v>
      </c>
      <c r="G754" s="258">
        <v>-1323.32</v>
      </c>
      <c r="H754" s="260">
        <v>-1323.32</v>
      </c>
      <c r="I754" s="195" t="s">
        <v>96</v>
      </c>
      <c r="J754" s="195" t="s">
        <v>422</v>
      </c>
      <c r="K754" s="213"/>
      <c r="L754" s="197"/>
      <c r="M754" s="197"/>
      <c r="N754" s="197"/>
      <c r="O754" s="197"/>
    </row>
    <row r="755" spans="1:15" hidden="1">
      <c r="A755" s="195" t="s">
        <v>137</v>
      </c>
      <c r="B755" s="189" t="s">
        <v>138</v>
      </c>
      <c r="C755" s="189" t="s">
        <v>973</v>
      </c>
      <c r="D755" s="189" t="s">
        <v>1093</v>
      </c>
      <c r="E755" s="223" t="s">
        <v>1094</v>
      </c>
      <c r="F755" s="189" t="s">
        <v>153</v>
      </c>
      <c r="G755" s="258">
        <v>-7319.88</v>
      </c>
      <c r="H755" s="260">
        <v>-7319.88</v>
      </c>
      <c r="I755" s="195" t="s">
        <v>96</v>
      </c>
      <c r="J755" s="195" t="s">
        <v>143</v>
      </c>
      <c r="K755" s="213"/>
      <c r="L755" s="197"/>
      <c r="M755" s="197"/>
      <c r="N755" s="197"/>
      <c r="O755" s="197"/>
    </row>
    <row r="756" spans="1:15" ht="25.5" hidden="1">
      <c r="A756" s="195" t="s">
        <v>137</v>
      </c>
      <c r="B756" s="189" t="s">
        <v>138</v>
      </c>
      <c r="C756" s="189" t="s">
        <v>973</v>
      </c>
      <c r="D756" s="189" t="s">
        <v>1095</v>
      </c>
      <c r="E756" s="223" t="s">
        <v>1096</v>
      </c>
      <c r="F756" s="189" t="s">
        <v>153</v>
      </c>
      <c r="G756" s="258">
        <v>-149.9</v>
      </c>
      <c r="H756" s="260">
        <v>-149.9</v>
      </c>
      <c r="I756" s="195" t="s">
        <v>96</v>
      </c>
      <c r="J756" s="195" t="s">
        <v>964</v>
      </c>
      <c r="K756" s="188"/>
      <c r="L756" s="197"/>
      <c r="M756" s="197"/>
      <c r="N756" s="197"/>
      <c r="O756" s="197"/>
    </row>
    <row r="757" spans="1:15" hidden="1">
      <c r="A757" s="195" t="s">
        <v>232</v>
      </c>
      <c r="B757" s="189" t="s">
        <v>138</v>
      </c>
      <c r="C757" s="189" t="s">
        <v>973</v>
      </c>
      <c r="D757" s="189" t="s">
        <v>1097</v>
      </c>
      <c r="E757" s="223" t="s">
        <v>1098</v>
      </c>
      <c r="F757" s="189" t="s">
        <v>153</v>
      </c>
      <c r="G757" s="258">
        <v>-27.76</v>
      </c>
      <c r="H757" s="260">
        <v>-27.76</v>
      </c>
      <c r="I757" s="195" t="s">
        <v>96</v>
      </c>
      <c r="J757" s="195" t="s">
        <v>206</v>
      </c>
      <c r="K757" s="188"/>
      <c r="L757" s="197"/>
      <c r="M757" s="197"/>
      <c r="N757" s="197"/>
      <c r="O757" s="197"/>
    </row>
    <row r="758" spans="1:15" hidden="1">
      <c r="A758" s="195" t="s">
        <v>232</v>
      </c>
      <c r="B758" s="189" t="s">
        <v>138</v>
      </c>
      <c r="C758" s="189" t="s">
        <v>973</v>
      </c>
      <c r="D758" s="189" t="s">
        <v>1097</v>
      </c>
      <c r="E758" s="223" t="s">
        <v>1099</v>
      </c>
      <c r="F758" s="189" t="s">
        <v>153</v>
      </c>
      <c r="G758" s="258">
        <v>-27.03</v>
      </c>
      <c r="H758" s="260">
        <v>-27.03</v>
      </c>
      <c r="I758" s="195" t="s">
        <v>96</v>
      </c>
      <c r="J758" s="195" t="s">
        <v>206</v>
      </c>
      <c r="K758" s="213"/>
      <c r="L758" s="197"/>
      <c r="M758" s="197"/>
      <c r="N758" s="197"/>
      <c r="O758" s="197"/>
    </row>
    <row r="759" spans="1:15" hidden="1">
      <c r="A759" s="195" t="s">
        <v>232</v>
      </c>
      <c r="B759" s="189" t="s">
        <v>138</v>
      </c>
      <c r="C759" s="189" t="s">
        <v>973</v>
      </c>
      <c r="D759" s="189" t="s">
        <v>1042</v>
      </c>
      <c r="E759" s="223" t="s">
        <v>1100</v>
      </c>
      <c r="F759" s="189" t="s">
        <v>146</v>
      </c>
      <c r="G759" s="258">
        <v>-225.45</v>
      </c>
      <c r="H759" s="260">
        <v>-225.45</v>
      </c>
      <c r="I759" s="198" t="s">
        <v>96</v>
      </c>
      <c r="J759" s="195" t="s">
        <v>162</v>
      </c>
      <c r="K759" s="188"/>
      <c r="L759" s="197"/>
      <c r="M759" s="197"/>
      <c r="N759" s="197"/>
      <c r="O759" s="197"/>
    </row>
    <row r="760" spans="1:15" ht="25.5" hidden="1">
      <c r="A760" s="195" t="s">
        <v>137</v>
      </c>
      <c r="B760" s="189" t="s">
        <v>138</v>
      </c>
      <c r="C760" s="189" t="s">
        <v>973</v>
      </c>
      <c r="D760" s="189" t="s">
        <v>671</v>
      </c>
      <c r="E760" s="223" t="s">
        <v>1101</v>
      </c>
      <c r="F760" s="189" t="s">
        <v>153</v>
      </c>
      <c r="G760" s="258">
        <v>-836.92</v>
      </c>
      <c r="H760" s="260">
        <v>-836.92</v>
      </c>
      <c r="I760" s="195" t="s">
        <v>96</v>
      </c>
      <c r="J760" s="195" t="s">
        <v>206</v>
      </c>
      <c r="K760" s="213"/>
      <c r="L760" s="197"/>
      <c r="M760" s="197"/>
      <c r="N760" s="197"/>
      <c r="O760" s="197"/>
    </row>
    <row r="761" spans="1:15" hidden="1">
      <c r="A761" s="195" t="s">
        <v>232</v>
      </c>
      <c r="B761" s="189" t="s">
        <v>138</v>
      </c>
      <c r="C761" s="189" t="s">
        <v>973</v>
      </c>
      <c r="D761" s="189" t="s">
        <v>1102</v>
      </c>
      <c r="E761" s="223" t="s">
        <v>1103</v>
      </c>
      <c r="F761" s="189" t="s">
        <v>153</v>
      </c>
      <c r="G761" s="258">
        <v>-1076.56</v>
      </c>
      <c r="H761" s="260">
        <v>-1076.56</v>
      </c>
      <c r="I761" s="195" t="s">
        <v>96</v>
      </c>
      <c r="J761" s="195" t="s">
        <v>162</v>
      </c>
      <c r="K761" s="213"/>
      <c r="L761" s="197"/>
      <c r="M761" s="197"/>
      <c r="N761" s="197"/>
      <c r="O761" s="197"/>
    </row>
    <row r="762" spans="1:15" hidden="1">
      <c r="A762" s="195" t="s">
        <v>232</v>
      </c>
      <c r="B762" s="189" t="s">
        <v>138</v>
      </c>
      <c r="C762" s="189" t="s">
        <v>973</v>
      </c>
      <c r="D762" s="189" t="s">
        <v>1104</v>
      </c>
      <c r="E762" s="223" t="s">
        <v>1105</v>
      </c>
      <c r="F762" s="189" t="s">
        <v>153</v>
      </c>
      <c r="G762" s="258">
        <v>-164</v>
      </c>
      <c r="H762" s="260">
        <v>-164</v>
      </c>
      <c r="I762" s="195" t="s">
        <v>96</v>
      </c>
      <c r="J762" s="195" t="s">
        <v>164</v>
      </c>
      <c r="K762" s="213"/>
      <c r="L762" s="197"/>
      <c r="M762" s="197"/>
      <c r="N762" s="197"/>
      <c r="O762" s="197"/>
    </row>
    <row r="763" spans="1:15" hidden="1">
      <c r="A763" s="188" t="s">
        <v>232</v>
      </c>
      <c r="B763" s="189" t="s">
        <v>138</v>
      </c>
      <c r="C763" s="189" t="s">
        <v>973</v>
      </c>
      <c r="D763" s="189" t="s">
        <v>1042</v>
      </c>
      <c r="E763" s="223" t="s">
        <v>1106</v>
      </c>
      <c r="F763" s="189" t="s">
        <v>142</v>
      </c>
      <c r="G763" s="258">
        <v>-218.38</v>
      </c>
      <c r="H763" s="260">
        <v>-218.38</v>
      </c>
      <c r="I763" s="188" t="s">
        <v>96</v>
      </c>
      <c r="J763" s="195" t="s">
        <v>162</v>
      </c>
      <c r="K763" s="188"/>
      <c r="L763" s="197"/>
      <c r="M763" s="197"/>
      <c r="N763" s="197"/>
      <c r="O763" s="197"/>
    </row>
    <row r="764" spans="1:15" hidden="1">
      <c r="A764" s="188" t="s">
        <v>232</v>
      </c>
      <c r="B764" s="189" t="s">
        <v>138</v>
      </c>
      <c r="C764" s="189" t="s">
        <v>973</v>
      </c>
      <c r="D764" s="189" t="s">
        <v>1042</v>
      </c>
      <c r="E764" s="223" t="s">
        <v>1107</v>
      </c>
      <c r="F764" s="189" t="s">
        <v>142</v>
      </c>
      <c r="G764" s="258">
        <v>-56.29</v>
      </c>
      <c r="H764" s="260">
        <v>-56.29</v>
      </c>
      <c r="I764" s="188" t="s">
        <v>96</v>
      </c>
      <c r="J764" s="195" t="s">
        <v>964</v>
      </c>
      <c r="K764" s="188"/>
      <c r="L764" s="197"/>
      <c r="M764" s="197"/>
      <c r="N764" s="197"/>
      <c r="O764" s="197"/>
    </row>
    <row r="765" spans="1:15" hidden="1">
      <c r="A765" s="195" t="s">
        <v>137</v>
      </c>
      <c r="B765" s="189" t="s">
        <v>138</v>
      </c>
      <c r="C765" s="189" t="s">
        <v>96</v>
      </c>
      <c r="D765" s="189" t="s">
        <v>362</v>
      </c>
      <c r="E765" s="223" t="s">
        <v>1108</v>
      </c>
      <c r="F765" s="189" t="s">
        <v>153</v>
      </c>
      <c r="G765" s="258">
        <v>-399.99</v>
      </c>
      <c r="H765" s="260">
        <v>-399.99</v>
      </c>
      <c r="I765" s="195" t="s">
        <v>96</v>
      </c>
      <c r="J765" s="195" t="s">
        <v>143</v>
      </c>
      <c r="K765" s="188" t="s">
        <v>195</v>
      </c>
      <c r="L765" s="197"/>
      <c r="M765" s="197"/>
      <c r="N765" s="197"/>
      <c r="O765" s="197"/>
    </row>
    <row r="766" spans="1:15" hidden="1">
      <c r="A766" s="188" t="s">
        <v>137</v>
      </c>
      <c r="B766" s="199" t="s">
        <v>138</v>
      </c>
      <c r="C766" s="199" t="s">
        <v>973</v>
      </c>
      <c r="D766" s="199" t="s">
        <v>1011</v>
      </c>
      <c r="E766" s="205" t="s">
        <v>1109</v>
      </c>
      <c r="F766" s="205" t="s">
        <v>149</v>
      </c>
      <c r="G766" s="225">
        <v>-2165.67</v>
      </c>
      <c r="H766" s="226">
        <v>-2294.4699999999998</v>
      </c>
      <c r="I766" s="198" t="s">
        <v>96</v>
      </c>
      <c r="J766" s="198" t="s">
        <v>192</v>
      </c>
      <c r="K766" s="302" t="s">
        <v>1013</v>
      </c>
      <c r="L766" s="197"/>
      <c r="M766" s="197"/>
      <c r="N766" s="197"/>
      <c r="O766" s="197"/>
    </row>
    <row r="767" spans="1:15" ht="25.5" hidden="1">
      <c r="A767" s="188" t="s">
        <v>232</v>
      </c>
      <c r="B767" s="199" t="s">
        <v>138</v>
      </c>
      <c r="C767" s="199" t="s">
        <v>973</v>
      </c>
      <c r="D767" s="199" t="s">
        <v>1110</v>
      </c>
      <c r="E767" s="205" t="s">
        <v>1111</v>
      </c>
      <c r="F767" s="199" t="s">
        <v>146</v>
      </c>
      <c r="G767" s="258">
        <v>-1412.58</v>
      </c>
      <c r="H767" s="266">
        <v>-1412.58</v>
      </c>
      <c r="I767" s="198" t="s">
        <v>96</v>
      </c>
      <c r="J767" s="188" t="s">
        <v>169</v>
      </c>
      <c r="K767" s="188" t="s">
        <v>146</v>
      </c>
      <c r="L767" s="197"/>
      <c r="M767" s="197"/>
      <c r="N767" s="197"/>
      <c r="O767" s="197"/>
    </row>
    <row r="768" spans="1:15" ht="25.5" hidden="1">
      <c r="A768" s="265" t="s">
        <v>232</v>
      </c>
      <c r="B768" s="261" t="s">
        <v>138</v>
      </c>
      <c r="C768" s="261" t="s">
        <v>973</v>
      </c>
      <c r="D768" s="261" t="s">
        <v>1110</v>
      </c>
      <c r="E768" s="262" t="s">
        <v>1111</v>
      </c>
      <c r="F768" s="263" t="s">
        <v>142</v>
      </c>
      <c r="G768" s="258">
        <v>-1412.58</v>
      </c>
      <c r="H768" s="264">
        <v>-1412.58</v>
      </c>
      <c r="I768" s="265" t="s">
        <v>96</v>
      </c>
      <c r="J768" s="265" t="s">
        <v>169</v>
      </c>
      <c r="K768" s="304"/>
      <c r="L768" s="197"/>
      <c r="M768" s="197"/>
      <c r="N768" s="197"/>
      <c r="O768" s="197"/>
    </row>
    <row r="769" spans="1:15" hidden="1">
      <c r="A769" s="195" t="s">
        <v>232</v>
      </c>
      <c r="B769" s="189" t="s">
        <v>138</v>
      </c>
      <c r="C769" s="189" t="s">
        <v>973</v>
      </c>
      <c r="D769" s="189" t="s">
        <v>1112</v>
      </c>
      <c r="E769" s="223" t="s">
        <v>1113</v>
      </c>
      <c r="F769" s="189" t="s">
        <v>153</v>
      </c>
      <c r="G769" s="258">
        <v>-332.57</v>
      </c>
      <c r="H769" s="260">
        <v>-332.57</v>
      </c>
      <c r="I769" s="195" t="s">
        <v>96</v>
      </c>
      <c r="J769" s="195" t="s">
        <v>162</v>
      </c>
      <c r="K769" s="188"/>
      <c r="L769" s="197"/>
      <c r="M769" s="197"/>
      <c r="N769" s="197"/>
      <c r="O769" s="197"/>
    </row>
    <row r="770" spans="1:15" hidden="1">
      <c r="A770" s="188" t="s">
        <v>137</v>
      </c>
      <c r="B770" s="199" t="s">
        <v>138</v>
      </c>
      <c r="C770" s="199" t="s">
        <v>973</v>
      </c>
      <c r="D770" s="199" t="s">
        <v>1093</v>
      </c>
      <c r="E770" s="205" t="s">
        <v>1114</v>
      </c>
      <c r="F770" s="199" t="s">
        <v>146</v>
      </c>
      <c r="G770" s="258">
        <v>-739.99</v>
      </c>
      <c r="H770" s="266">
        <v>-739.99</v>
      </c>
      <c r="I770" s="198" t="s">
        <v>96</v>
      </c>
      <c r="J770" s="188" t="s">
        <v>143</v>
      </c>
      <c r="K770" s="188"/>
      <c r="L770" s="197"/>
      <c r="M770" s="197"/>
      <c r="N770" s="197"/>
      <c r="O770" s="197"/>
    </row>
    <row r="771" spans="1:15" hidden="1">
      <c r="A771" s="188" t="s">
        <v>137</v>
      </c>
      <c r="B771" s="199" t="s">
        <v>138</v>
      </c>
      <c r="C771" s="199" t="s">
        <v>973</v>
      </c>
      <c r="D771" s="199" t="s">
        <v>1093</v>
      </c>
      <c r="E771" s="205" t="s">
        <v>1115</v>
      </c>
      <c r="F771" s="205" t="s">
        <v>149</v>
      </c>
      <c r="G771" s="225">
        <v>-739.99</v>
      </c>
      <c r="H771" s="226">
        <v>-739.99</v>
      </c>
      <c r="I771" s="198" t="s">
        <v>96</v>
      </c>
      <c r="J771" s="198" t="s">
        <v>143</v>
      </c>
      <c r="K771" s="188"/>
      <c r="L771" s="197"/>
      <c r="M771" s="197"/>
      <c r="N771" s="197"/>
      <c r="O771" s="197"/>
    </row>
    <row r="772" spans="1:15" hidden="1">
      <c r="A772" s="188" t="s">
        <v>137</v>
      </c>
      <c r="B772" s="189" t="s">
        <v>138</v>
      </c>
      <c r="C772" s="189" t="s">
        <v>973</v>
      </c>
      <c r="D772" s="189" t="s">
        <v>1093</v>
      </c>
      <c r="E772" s="223" t="s">
        <v>1116</v>
      </c>
      <c r="F772" s="189" t="s">
        <v>142</v>
      </c>
      <c r="G772" s="258">
        <v>-739.99</v>
      </c>
      <c r="H772" s="260">
        <v>-739.99</v>
      </c>
      <c r="I772" s="188" t="s">
        <v>96</v>
      </c>
      <c r="J772" s="195" t="s">
        <v>143</v>
      </c>
      <c r="K772" s="188"/>
      <c r="L772" s="197"/>
      <c r="M772" s="197"/>
      <c r="N772" s="197"/>
      <c r="O772" s="197"/>
    </row>
    <row r="773" spans="1:15" ht="25.5" hidden="1">
      <c r="A773" s="195" t="s">
        <v>232</v>
      </c>
      <c r="B773" s="189" t="s">
        <v>138</v>
      </c>
      <c r="C773" s="189" t="s">
        <v>973</v>
      </c>
      <c r="D773" s="189" t="s">
        <v>1117</v>
      </c>
      <c r="E773" s="223" t="s">
        <v>1118</v>
      </c>
      <c r="F773" s="189" t="s">
        <v>153</v>
      </c>
      <c r="G773" s="258">
        <v>-162.6</v>
      </c>
      <c r="H773" s="260">
        <v>-162.6</v>
      </c>
      <c r="I773" s="195" t="s">
        <v>96</v>
      </c>
      <c r="J773" s="195" t="s">
        <v>169</v>
      </c>
      <c r="K773" s="188"/>
      <c r="L773" s="197"/>
      <c r="M773" s="197"/>
      <c r="N773" s="197"/>
      <c r="O773" s="197"/>
    </row>
    <row r="774" spans="1:15" hidden="1">
      <c r="A774" s="188" t="s">
        <v>232</v>
      </c>
      <c r="B774" s="199" t="s">
        <v>138</v>
      </c>
      <c r="C774" s="199" t="s">
        <v>973</v>
      </c>
      <c r="D774" s="199" t="s">
        <v>1097</v>
      </c>
      <c r="E774" s="205" t="s">
        <v>1119</v>
      </c>
      <c r="F774" s="199" t="s">
        <v>146</v>
      </c>
      <c r="G774" s="258">
        <v>-144.52000000000001</v>
      </c>
      <c r="H774" s="266">
        <v>-144.52000000000001</v>
      </c>
      <c r="I774" s="198" t="s">
        <v>96</v>
      </c>
      <c r="J774" s="188" t="s">
        <v>206</v>
      </c>
      <c r="K774" s="188"/>
      <c r="L774" s="197"/>
      <c r="M774" s="197"/>
      <c r="N774" s="197"/>
      <c r="O774" s="197"/>
    </row>
    <row r="775" spans="1:15" hidden="1">
      <c r="A775" s="188" t="s">
        <v>232</v>
      </c>
      <c r="B775" s="189" t="s">
        <v>138</v>
      </c>
      <c r="C775" s="189" t="s">
        <v>973</v>
      </c>
      <c r="D775" s="189" t="s">
        <v>1097</v>
      </c>
      <c r="E775" s="223" t="s">
        <v>1120</v>
      </c>
      <c r="F775" s="189" t="s">
        <v>142</v>
      </c>
      <c r="G775" s="258">
        <v>-139.47999999999999</v>
      </c>
      <c r="H775" s="260">
        <v>-139.47999999999999</v>
      </c>
      <c r="I775" s="188" t="s">
        <v>96</v>
      </c>
      <c r="J775" s="195" t="s">
        <v>277</v>
      </c>
      <c r="K775" s="213"/>
      <c r="L775" s="197"/>
      <c r="M775" s="197"/>
      <c r="N775" s="197"/>
      <c r="O775" s="197"/>
    </row>
    <row r="776" spans="1:15" ht="25.5" hidden="1">
      <c r="A776" s="188" t="s">
        <v>137</v>
      </c>
      <c r="B776" s="199" t="s">
        <v>138</v>
      </c>
      <c r="C776" s="199" t="s">
        <v>973</v>
      </c>
      <c r="D776" s="199" t="s">
        <v>1121</v>
      </c>
      <c r="E776" s="205" t="s">
        <v>1122</v>
      </c>
      <c r="F776" s="205" t="s">
        <v>149</v>
      </c>
      <c r="G776" s="225">
        <v>-325.04000000000002</v>
      </c>
      <c r="H776" s="226">
        <v>-325.04000000000002</v>
      </c>
      <c r="I776" s="198" t="s">
        <v>96</v>
      </c>
      <c r="J776" s="279" t="s">
        <v>206</v>
      </c>
      <c r="K776" s="213"/>
      <c r="L776" s="197"/>
      <c r="M776" s="197"/>
      <c r="N776" s="197"/>
      <c r="O776" s="197"/>
    </row>
    <row r="777" spans="1:15" hidden="1">
      <c r="A777" s="188" t="s">
        <v>137</v>
      </c>
      <c r="B777" s="189" t="s">
        <v>138</v>
      </c>
      <c r="C777" s="189" t="s">
        <v>973</v>
      </c>
      <c r="D777" s="189" t="s">
        <v>1121</v>
      </c>
      <c r="E777" s="223" t="s">
        <v>1123</v>
      </c>
      <c r="F777" s="189" t="s">
        <v>142</v>
      </c>
      <c r="G777" s="258">
        <v>-1002.01</v>
      </c>
      <c r="H777" s="260">
        <v>-1002.01</v>
      </c>
      <c r="I777" s="188" t="s">
        <v>96</v>
      </c>
      <c r="J777" s="195" t="s">
        <v>277</v>
      </c>
      <c r="K777" s="188"/>
      <c r="L777" s="197"/>
      <c r="M777" s="197"/>
      <c r="N777" s="197"/>
      <c r="O777" s="197"/>
    </row>
    <row r="778" spans="1:15" ht="25.5" hidden="1">
      <c r="A778" s="195" t="s">
        <v>232</v>
      </c>
      <c r="B778" s="189" t="s">
        <v>138</v>
      </c>
      <c r="C778" s="189" t="s">
        <v>973</v>
      </c>
      <c r="D778" s="189" t="s">
        <v>1117</v>
      </c>
      <c r="E778" s="223" t="s">
        <v>1118</v>
      </c>
      <c r="F778" s="189" t="s">
        <v>153</v>
      </c>
      <c r="G778" s="258">
        <v>-162.6</v>
      </c>
      <c r="H778" s="260">
        <v>-162.6</v>
      </c>
      <c r="I778" s="195" t="s">
        <v>96</v>
      </c>
      <c r="J778" s="195" t="s">
        <v>143</v>
      </c>
      <c r="K778" s="188"/>
      <c r="L778" s="197"/>
      <c r="M778" s="197"/>
      <c r="N778" s="197"/>
      <c r="O778" s="197"/>
    </row>
    <row r="779" spans="1:15" hidden="1">
      <c r="A779" s="195" t="s">
        <v>232</v>
      </c>
      <c r="B779" s="189" t="s">
        <v>138</v>
      </c>
      <c r="C779" s="189" t="s">
        <v>973</v>
      </c>
      <c r="D779" s="189" t="s">
        <v>1124</v>
      </c>
      <c r="E779" s="223" t="s">
        <v>1125</v>
      </c>
      <c r="F779" s="189" t="s">
        <v>153</v>
      </c>
      <c r="G779" s="258">
        <v>-60.27</v>
      </c>
      <c r="H779" s="260">
        <v>-60.27</v>
      </c>
      <c r="I779" s="195" t="s">
        <v>96</v>
      </c>
      <c r="J779" s="195" t="s">
        <v>422</v>
      </c>
      <c r="K779" s="188"/>
      <c r="L779" s="197"/>
      <c r="M779" s="197"/>
      <c r="N779" s="197"/>
      <c r="O779" s="197"/>
    </row>
    <row r="780" spans="1:15" hidden="1">
      <c r="A780" s="188" t="s">
        <v>232</v>
      </c>
      <c r="B780" s="199" t="s">
        <v>138</v>
      </c>
      <c r="C780" s="199" t="s">
        <v>973</v>
      </c>
      <c r="D780" s="199" t="s">
        <v>1104</v>
      </c>
      <c r="E780" s="205" t="s">
        <v>1126</v>
      </c>
      <c r="F780" s="199" t="s">
        <v>146</v>
      </c>
      <c r="G780" s="258">
        <v>-165.72</v>
      </c>
      <c r="H780" s="266">
        <v>-165.72</v>
      </c>
      <c r="I780" s="198" t="s">
        <v>96</v>
      </c>
      <c r="J780" s="188" t="s">
        <v>169</v>
      </c>
      <c r="K780" s="188"/>
      <c r="L780" s="197"/>
      <c r="M780" s="197"/>
      <c r="N780" s="197"/>
      <c r="O780" s="197"/>
    </row>
    <row r="781" spans="1:15" hidden="1">
      <c r="A781" s="188" t="s">
        <v>232</v>
      </c>
      <c r="B781" s="199" t="s">
        <v>138</v>
      </c>
      <c r="C781" s="199" t="s">
        <v>973</v>
      </c>
      <c r="D781" s="199" t="s">
        <v>1104</v>
      </c>
      <c r="E781" s="205" t="s">
        <v>1127</v>
      </c>
      <c r="F781" s="205" t="s">
        <v>149</v>
      </c>
      <c r="G781" s="225">
        <v>-165.72</v>
      </c>
      <c r="H781" s="226">
        <v>-165.72</v>
      </c>
      <c r="I781" s="198" t="s">
        <v>96</v>
      </c>
      <c r="J781" s="198" t="s">
        <v>169</v>
      </c>
      <c r="K781" s="188" t="s">
        <v>965</v>
      </c>
      <c r="L781" s="197"/>
      <c r="M781" s="197"/>
      <c r="N781" s="197"/>
      <c r="O781" s="197"/>
    </row>
    <row r="782" spans="1:15" ht="25.5" hidden="1">
      <c r="A782" s="195" t="s">
        <v>232</v>
      </c>
      <c r="B782" s="189" t="s">
        <v>138</v>
      </c>
      <c r="C782" s="189" t="s">
        <v>96</v>
      </c>
      <c r="D782" s="189" t="s">
        <v>1032</v>
      </c>
      <c r="E782" s="223" t="s">
        <v>1033</v>
      </c>
      <c r="F782" s="189" t="s">
        <v>153</v>
      </c>
      <c r="G782" s="258">
        <v>-180</v>
      </c>
      <c r="H782" s="260">
        <v>-180</v>
      </c>
      <c r="I782" s="195" t="s">
        <v>96</v>
      </c>
      <c r="J782" s="195" t="s">
        <v>277</v>
      </c>
      <c r="K782" s="188"/>
      <c r="L782" s="197"/>
      <c r="M782" s="197"/>
      <c r="N782" s="197"/>
      <c r="O782" s="197"/>
    </row>
    <row r="783" spans="1:15" hidden="1">
      <c r="A783" s="188" t="s">
        <v>232</v>
      </c>
      <c r="B783" s="189" t="s">
        <v>138</v>
      </c>
      <c r="C783" s="189" t="s">
        <v>973</v>
      </c>
      <c r="D783" s="189" t="s">
        <v>1104</v>
      </c>
      <c r="E783" s="223" t="s">
        <v>1128</v>
      </c>
      <c r="F783" s="189" t="s">
        <v>142</v>
      </c>
      <c r="G783" s="258">
        <v>-163.21</v>
      </c>
      <c r="H783" s="260">
        <v>-163.21</v>
      </c>
      <c r="I783" s="188" t="s">
        <v>96</v>
      </c>
      <c r="J783" s="195" t="s">
        <v>169</v>
      </c>
      <c r="K783" s="188"/>
      <c r="L783" s="197"/>
      <c r="M783" s="197"/>
      <c r="N783" s="197"/>
      <c r="O783" s="197"/>
    </row>
    <row r="784" spans="1:15" ht="25.5" hidden="1">
      <c r="A784" s="188" t="s">
        <v>137</v>
      </c>
      <c r="B784" s="189" t="s">
        <v>138</v>
      </c>
      <c r="C784" s="189" t="s">
        <v>973</v>
      </c>
      <c r="D784" s="189" t="s">
        <v>1129</v>
      </c>
      <c r="E784" s="223" t="s">
        <v>1130</v>
      </c>
      <c r="F784" s="189" t="s">
        <v>142</v>
      </c>
      <c r="G784" s="258">
        <v>-40</v>
      </c>
      <c r="H784" s="260">
        <v>-40</v>
      </c>
      <c r="I784" s="268" t="s">
        <v>110</v>
      </c>
      <c r="J784" s="195" t="s">
        <v>1003</v>
      </c>
      <c r="K784" s="213"/>
      <c r="L784" s="197"/>
      <c r="M784" s="197"/>
      <c r="N784" s="197"/>
      <c r="O784" s="197"/>
    </row>
    <row r="785" spans="1:15" ht="25.5" hidden="1">
      <c r="A785" s="195" t="s">
        <v>232</v>
      </c>
      <c r="B785" s="189" t="s">
        <v>138</v>
      </c>
      <c r="C785" s="189" t="s">
        <v>973</v>
      </c>
      <c r="D785" s="189" t="s">
        <v>1131</v>
      </c>
      <c r="E785" s="223" t="s">
        <v>1132</v>
      </c>
      <c r="F785" s="189" t="s">
        <v>153</v>
      </c>
      <c r="G785" s="258">
        <v>-299</v>
      </c>
      <c r="H785" s="260">
        <v>-299</v>
      </c>
      <c r="I785" s="195" t="s">
        <v>96</v>
      </c>
      <c r="J785" s="195" t="s">
        <v>192</v>
      </c>
      <c r="K785" s="188"/>
      <c r="L785" s="197"/>
      <c r="M785" s="197"/>
      <c r="N785" s="197"/>
      <c r="O785" s="197"/>
    </row>
    <row r="786" spans="1:15" ht="25.5" hidden="1">
      <c r="A786" s="188" t="s">
        <v>232</v>
      </c>
      <c r="B786" s="199" t="s">
        <v>138</v>
      </c>
      <c r="C786" s="199" t="s">
        <v>973</v>
      </c>
      <c r="D786" s="199" t="s">
        <v>1112</v>
      </c>
      <c r="E786" s="205" t="s">
        <v>1133</v>
      </c>
      <c r="F786" s="199" t="s">
        <v>146</v>
      </c>
      <c r="G786" s="258">
        <v>-337.78</v>
      </c>
      <c r="H786" s="266">
        <v>-337.78</v>
      </c>
      <c r="I786" s="198" t="s">
        <v>96</v>
      </c>
      <c r="J786" s="188" t="s">
        <v>162</v>
      </c>
      <c r="K786" s="197" t="s">
        <v>146</v>
      </c>
      <c r="L786" s="197"/>
      <c r="M786" s="197"/>
      <c r="N786" s="197"/>
      <c r="O786" s="197"/>
    </row>
    <row r="787" spans="1:15" ht="25.5" hidden="1">
      <c r="A787" s="195" t="s">
        <v>232</v>
      </c>
      <c r="B787" s="189" t="s">
        <v>138</v>
      </c>
      <c r="C787" s="189" t="s">
        <v>973</v>
      </c>
      <c r="D787" s="189" t="s">
        <v>1134</v>
      </c>
      <c r="E787" s="223" t="s">
        <v>1135</v>
      </c>
      <c r="F787" s="189" t="s">
        <v>153</v>
      </c>
      <c r="G787" s="258">
        <v>-742.16</v>
      </c>
      <c r="H787" s="260">
        <v>-742.16</v>
      </c>
      <c r="I787" s="195" t="s">
        <v>96</v>
      </c>
      <c r="J787" s="195" t="s">
        <v>964</v>
      </c>
      <c r="K787" s="188"/>
      <c r="L787" s="197"/>
      <c r="M787" s="197"/>
      <c r="N787" s="197"/>
      <c r="O787" s="197"/>
    </row>
    <row r="788" spans="1:15" ht="25.5" hidden="1">
      <c r="A788" s="188" t="s">
        <v>232</v>
      </c>
      <c r="B788" s="189" t="s">
        <v>138</v>
      </c>
      <c r="C788" s="189" t="s">
        <v>973</v>
      </c>
      <c r="D788" s="189" t="s">
        <v>1112</v>
      </c>
      <c r="E788" s="223" t="s">
        <v>1133</v>
      </c>
      <c r="F788" s="189" t="s">
        <v>142</v>
      </c>
      <c r="G788" s="258">
        <v>-337.78</v>
      </c>
      <c r="H788" s="260">
        <v>-337.78</v>
      </c>
      <c r="I788" s="188" t="s">
        <v>96</v>
      </c>
      <c r="J788" s="195" t="s">
        <v>162</v>
      </c>
      <c r="K788" s="188"/>
      <c r="L788" s="197"/>
      <c r="M788" s="197"/>
      <c r="N788" s="197"/>
      <c r="O788" s="197"/>
    </row>
    <row r="789" spans="1:15" ht="25.5" hidden="1">
      <c r="A789" s="195" t="s">
        <v>137</v>
      </c>
      <c r="B789" s="189" t="s">
        <v>138</v>
      </c>
      <c r="C789" s="189" t="s">
        <v>96</v>
      </c>
      <c r="D789" s="189" t="s">
        <v>1034</v>
      </c>
      <c r="E789" s="223" t="s">
        <v>1136</v>
      </c>
      <c r="F789" s="189" t="s">
        <v>153</v>
      </c>
      <c r="G789" s="258">
        <v>-473.85</v>
      </c>
      <c r="H789" s="260">
        <v>-450</v>
      </c>
      <c r="I789" s="195" t="s">
        <v>96</v>
      </c>
      <c r="J789" s="189" t="s">
        <v>159</v>
      </c>
      <c r="K789" s="188"/>
      <c r="L789" s="197"/>
      <c r="M789" s="197"/>
      <c r="N789" s="197"/>
      <c r="O789" s="197"/>
    </row>
    <row r="790" spans="1:15" hidden="1">
      <c r="A790" s="195" t="s">
        <v>137</v>
      </c>
      <c r="B790" s="189" t="s">
        <v>138</v>
      </c>
      <c r="C790" s="189" t="s">
        <v>96</v>
      </c>
      <c r="D790" s="189" t="s">
        <v>1038</v>
      </c>
      <c r="E790" s="223" t="s">
        <v>1137</v>
      </c>
      <c r="F790" s="189" t="s">
        <v>153</v>
      </c>
      <c r="G790" s="258">
        <v>-3219.53</v>
      </c>
      <c r="H790" s="260">
        <v>-3219.53</v>
      </c>
      <c r="I790" s="195" t="s">
        <v>96</v>
      </c>
      <c r="J790" s="227" t="s">
        <v>143</v>
      </c>
      <c r="K790" s="213"/>
      <c r="L790" s="197"/>
      <c r="M790" s="197"/>
      <c r="N790" s="197"/>
      <c r="O790" s="197"/>
    </row>
    <row r="791" spans="1:15" ht="25.5" hidden="1">
      <c r="A791" s="188" t="s">
        <v>232</v>
      </c>
      <c r="B791" s="199" t="s">
        <v>138</v>
      </c>
      <c r="C791" s="199" t="s">
        <v>973</v>
      </c>
      <c r="D791" s="189" t="s">
        <v>1117</v>
      </c>
      <c r="E791" s="205" t="s">
        <v>1138</v>
      </c>
      <c r="F791" s="199" t="s">
        <v>146</v>
      </c>
      <c r="G791" s="258">
        <v>-332.76</v>
      </c>
      <c r="H791" s="266">
        <v>-332.76</v>
      </c>
      <c r="I791" s="198" t="s">
        <v>96</v>
      </c>
      <c r="J791" s="188" t="s">
        <v>143</v>
      </c>
      <c r="K791" s="188"/>
      <c r="L791" s="197"/>
      <c r="M791" s="197"/>
      <c r="N791" s="197"/>
      <c r="O791" s="197"/>
    </row>
    <row r="792" spans="1:15" ht="25.5" hidden="1">
      <c r="A792" s="188" t="s">
        <v>232</v>
      </c>
      <c r="B792" s="199" t="s">
        <v>138</v>
      </c>
      <c r="C792" s="199" t="s">
        <v>973</v>
      </c>
      <c r="D792" s="189" t="s">
        <v>1117</v>
      </c>
      <c r="E792" s="205" t="s">
        <v>1138</v>
      </c>
      <c r="F792" s="199" t="s">
        <v>146</v>
      </c>
      <c r="G792" s="258">
        <v>-332.76</v>
      </c>
      <c r="H792" s="266">
        <v>-332.76</v>
      </c>
      <c r="I792" s="198" t="s">
        <v>96</v>
      </c>
      <c r="J792" s="188" t="s">
        <v>169</v>
      </c>
      <c r="K792" s="188"/>
      <c r="L792" s="197"/>
      <c r="M792" s="197"/>
      <c r="N792" s="197"/>
      <c r="O792" s="197"/>
    </row>
    <row r="793" spans="1:15" hidden="1">
      <c r="A793" s="195" t="s">
        <v>137</v>
      </c>
      <c r="B793" s="189" t="s">
        <v>138</v>
      </c>
      <c r="C793" s="189" t="s">
        <v>96</v>
      </c>
      <c r="D793" s="189" t="s">
        <v>1038</v>
      </c>
      <c r="E793" s="223" t="s">
        <v>1137</v>
      </c>
      <c r="F793" s="189" t="s">
        <v>153</v>
      </c>
      <c r="G793" s="258">
        <v>-95.13</v>
      </c>
      <c r="H793" s="260">
        <v>-95.13</v>
      </c>
      <c r="I793" s="195" t="s">
        <v>96</v>
      </c>
      <c r="J793" s="189" t="s">
        <v>316</v>
      </c>
      <c r="K793" s="188"/>
      <c r="L793" s="197"/>
      <c r="M793" s="197"/>
      <c r="N793" s="197"/>
      <c r="O793" s="197"/>
    </row>
    <row r="794" spans="1:15" hidden="1">
      <c r="A794" s="195" t="s">
        <v>232</v>
      </c>
      <c r="B794" s="189" t="s">
        <v>138</v>
      </c>
      <c r="C794" s="189" t="s">
        <v>973</v>
      </c>
      <c r="D794" s="189" t="s">
        <v>1139</v>
      </c>
      <c r="E794" s="223" t="s">
        <v>1140</v>
      </c>
      <c r="F794" s="189" t="s">
        <v>153</v>
      </c>
      <c r="G794" s="258">
        <v>-56.17</v>
      </c>
      <c r="H794" s="260">
        <v>-56.17</v>
      </c>
      <c r="I794" s="195" t="s">
        <v>96</v>
      </c>
      <c r="J794" s="195" t="s">
        <v>422</v>
      </c>
      <c r="K794" s="188"/>
      <c r="L794" s="197"/>
      <c r="M794" s="197"/>
      <c r="N794" s="197"/>
      <c r="O794" s="197"/>
    </row>
    <row r="795" spans="1:15" ht="25.5" hidden="1">
      <c r="A795" s="188" t="s">
        <v>232</v>
      </c>
      <c r="B795" s="189" t="s">
        <v>138</v>
      </c>
      <c r="C795" s="189" t="s">
        <v>973</v>
      </c>
      <c r="D795" s="189" t="s">
        <v>1117</v>
      </c>
      <c r="E795" s="223" t="s">
        <v>1141</v>
      </c>
      <c r="F795" s="189" t="s">
        <v>142</v>
      </c>
      <c r="G795" s="258">
        <v>-323.63</v>
      </c>
      <c r="H795" s="260">
        <v>-323.63</v>
      </c>
      <c r="I795" s="188" t="s">
        <v>96</v>
      </c>
      <c r="J795" s="195" t="s">
        <v>169</v>
      </c>
      <c r="K795" s="188"/>
      <c r="L795" s="197"/>
      <c r="M795" s="197"/>
      <c r="N795" s="197"/>
      <c r="O795" s="197"/>
    </row>
    <row r="796" spans="1:15" ht="25.5" hidden="1">
      <c r="A796" s="188" t="s">
        <v>232</v>
      </c>
      <c r="B796" s="189" t="s">
        <v>138</v>
      </c>
      <c r="C796" s="189" t="s">
        <v>973</v>
      </c>
      <c r="D796" s="189" t="s">
        <v>1117</v>
      </c>
      <c r="E796" s="223" t="s">
        <v>1141</v>
      </c>
      <c r="F796" s="189" t="s">
        <v>142</v>
      </c>
      <c r="G796" s="258">
        <v>-323.63</v>
      </c>
      <c r="H796" s="260">
        <v>-323.63</v>
      </c>
      <c r="I796" s="188" t="s">
        <v>96</v>
      </c>
      <c r="J796" s="195" t="s">
        <v>143</v>
      </c>
      <c r="K796" s="188"/>
      <c r="L796" s="197"/>
      <c r="M796" s="197"/>
      <c r="N796" s="197"/>
      <c r="O796" s="197"/>
    </row>
    <row r="797" spans="1:15" hidden="1">
      <c r="A797" s="195" t="s">
        <v>137</v>
      </c>
      <c r="B797" s="189" t="s">
        <v>138</v>
      </c>
      <c r="C797" s="189" t="s">
        <v>96</v>
      </c>
      <c r="D797" s="189" t="s">
        <v>1044</v>
      </c>
      <c r="E797" s="223" t="s">
        <v>1142</v>
      </c>
      <c r="F797" s="189" t="s">
        <v>153</v>
      </c>
      <c r="G797" s="258">
        <v>-2621.14</v>
      </c>
      <c r="H797" s="260">
        <v>-2621.14</v>
      </c>
      <c r="I797" s="195" t="s">
        <v>96</v>
      </c>
      <c r="J797" s="195" t="s">
        <v>476</v>
      </c>
      <c r="K797" s="188"/>
      <c r="L797" s="197"/>
      <c r="M797" s="197"/>
      <c r="N797" s="197"/>
      <c r="O797" s="197"/>
    </row>
    <row r="798" spans="1:15" hidden="1">
      <c r="A798" s="188" t="s">
        <v>137</v>
      </c>
      <c r="B798" s="199" t="s">
        <v>138</v>
      </c>
      <c r="C798" s="199" t="s">
        <v>973</v>
      </c>
      <c r="D798" s="199" t="s">
        <v>1124</v>
      </c>
      <c r="E798" s="205" t="s">
        <v>1143</v>
      </c>
      <c r="F798" s="199" t="s">
        <v>146</v>
      </c>
      <c r="G798" s="258">
        <v>-61.41</v>
      </c>
      <c r="H798" s="266">
        <v>-61.41</v>
      </c>
      <c r="I798" s="198" t="s">
        <v>96</v>
      </c>
      <c r="J798" s="188" t="s">
        <v>422</v>
      </c>
      <c r="K798" s="188"/>
      <c r="L798" s="197"/>
      <c r="M798" s="197"/>
      <c r="N798" s="197"/>
      <c r="O798" s="197"/>
    </row>
    <row r="799" spans="1:15" hidden="1">
      <c r="A799" s="188" t="s">
        <v>137</v>
      </c>
      <c r="B799" s="199" t="s">
        <v>138</v>
      </c>
      <c r="C799" s="199" t="s">
        <v>973</v>
      </c>
      <c r="D799" s="199" t="s">
        <v>1124</v>
      </c>
      <c r="E799" s="205" t="s">
        <v>1143</v>
      </c>
      <c r="F799" s="205" t="s">
        <v>149</v>
      </c>
      <c r="G799" s="225">
        <v>-61.41</v>
      </c>
      <c r="H799" s="226">
        <v>-61.41</v>
      </c>
      <c r="I799" s="198" t="s">
        <v>96</v>
      </c>
      <c r="J799" s="198" t="s">
        <v>422</v>
      </c>
      <c r="K799" s="188" t="s">
        <v>965</v>
      </c>
      <c r="L799" s="197"/>
      <c r="M799" s="197"/>
      <c r="N799" s="197"/>
      <c r="O799" s="197"/>
    </row>
    <row r="800" spans="1:15" hidden="1">
      <c r="A800" s="188" t="s">
        <v>232</v>
      </c>
      <c r="B800" s="189" t="s">
        <v>138</v>
      </c>
      <c r="C800" s="189" t="s">
        <v>973</v>
      </c>
      <c r="D800" s="189" t="s">
        <v>1124</v>
      </c>
      <c r="E800" s="223" t="s">
        <v>1144</v>
      </c>
      <c r="F800" s="189" t="s">
        <v>142</v>
      </c>
      <c r="G800" s="258">
        <v>-59.66</v>
      </c>
      <c r="H800" s="260">
        <v>-59.66</v>
      </c>
      <c r="I800" s="188" t="s">
        <v>96</v>
      </c>
      <c r="J800" s="195" t="s">
        <v>422</v>
      </c>
      <c r="K800" s="188"/>
      <c r="L800" s="197"/>
      <c r="M800" s="197"/>
      <c r="N800" s="197"/>
      <c r="O800" s="197"/>
    </row>
    <row r="801" spans="1:15" ht="38.25" hidden="1">
      <c r="A801" s="188" t="s">
        <v>137</v>
      </c>
      <c r="B801" s="189" t="s">
        <v>138</v>
      </c>
      <c r="C801" s="189" t="s">
        <v>96</v>
      </c>
      <c r="D801" s="189" t="s">
        <v>996</v>
      </c>
      <c r="E801" s="223" t="s">
        <v>1145</v>
      </c>
      <c r="F801" s="189" t="s">
        <v>261</v>
      </c>
      <c r="G801" s="277">
        <v>-138.72999999999999</v>
      </c>
      <c r="H801" s="305">
        <v>-138.72999999999999</v>
      </c>
      <c r="I801" s="268" t="s">
        <v>110</v>
      </c>
      <c r="J801" s="195" t="s">
        <v>1003</v>
      </c>
      <c r="K801" s="213"/>
      <c r="L801" s="197"/>
      <c r="M801" s="197"/>
      <c r="N801" s="197"/>
      <c r="O801" s="197"/>
    </row>
    <row r="802" spans="1:15" ht="25.5" hidden="1">
      <c r="A802" s="195" t="s">
        <v>209</v>
      </c>
      <c r="B802" s="189" t="s">
        <v>138</v>
      </c>
      <c r="C802" s="189" t="s">
        <v>96</v>
      </c>
      <c r="D802" s="189" t="s">
        <v>1146</v>
      </c>
      <c r="E802" s="223" t="s">
        <v>1147</v>
      </c>
      <c r="F802" s="189" t="s">
        <v>153</v>
      </c>
      <c r="G802" s="258">
        <v>-1631.52</v>
      </c>
      <c r="H802" s="260">
        <v>-1631.52</v>
      </c>
      <c r="I802" s="268" t="s">
        <v>110</v>
      </c>
      <c r="J802" s="195" t="s">
        <v>1003</v>
      </c>
      <c r="K802" s="188"/>
      <c r="L802" s="197"/>
      <c r="M802" s="197"/>
      <c r="N802" s="197"/>
      <c r="O802" s="197"/>
    </row>
    <row r="803" spans="1:15" ht="25.5" hidden="1">
      <c r="A803" s="195" t="s">
        <v>232</v>
      </c>
      <c r="B803" s="189" t="s">
        <v>138</v>
      </c>
      <c r="C803" s="189" t="s">
        <v>973</v>
      </c>
      <c r="D803" s="189" t="s">
        <v>1148</v>
      </c>
      <c r="E803" s="223" t="s">
        <v>1149</v>
      </c>
      <c r="F803" s="189" t="s">
        <v>153</v>
      </c>
      <c r="G803" s="258">
        <v>-335.82</v>
      </c>
      <c r="H803" s="260">
        <v>-335.82</v>
      </c>
      <c r="I803" s="195" t="s">
        <v>96</v>
      </c>
      <c r="J803" s="195" t="s">
        <v>162</v>
      </c>
      <c r="K803" s="188"/>
      <c r="L803" s="197"/>
      <c r="M803" s="197"/>
      <c r="N803" s="197"/>
      <c r="O803" s="197"/>
    </row>
    <row r="804" spans="1:15" hidden="1">
      <c r="A804" s="188" t="s">
        <v>232</v>
      </c>
      <c r="B804" s="199" t="s">
        <v>138</v>
      </c>
      <c r="C804" s="199" t="s">
        <v>973</v>
      </c>
      <c r="D804" s="199" t="s">
        <v>1134</v>
      </c>
      <c r="E804" s="205" t="s">
        <v>1150</v>
      </c>
      <c r="F804" s="199" t="s">
        <v>146</v>
      </c>
      <c r="G804" s="258">
        <v>-946.79</v>
      </c>
      <c r="H804" s="266">
        <v>-946.79</v>
      </c>
      <c r="I804" s="198" t="s">
        <v>96</v>
      </c>
      <c r="J804" s="188" t="s">
        <v>964</v>
      </c>
      <c r="K804" s="188" t="s">
        <v>146</v>
      </c>
      <c r="L804" s="197"/>
      <c r="M804" s="197"/>
      <c r="N804" s="197"/>
      <c r="O804" s="197"/>
    </row>
    <row r="805" spans="1:15" hidden="1">
      <c r="A805" s="188" t="s">
        <v>232</v>
      </c>
      <c r="B805" s="189" t="s">
        <v>138</v>
      </c>
      <c r="C805" s="189" t="s">
        <v>973</v>
      </c>
      <c r="D805" s="189" t="s">
        <v>1134</v>
      </c>
      <c r="E805" s="223" t="s">
        <v>1150</v>
      </c>
      <c r="F805" s="189" t="s">
        <v>142</v>
      </c>
      <c r="G805" s="258">
        <v>-946.79</v>
      </c>
      <c r="H805" s="260">
        <v>-946.79</v>
      </c>
      <c r="I805" s="188" t="s">
        <v>96</v>
      </c>
      <c r="J805" s="195" t="s">
        <v>964</v>
      </c>
      <c r="K805" s="188"/>
      <c r="L805" s="197"/>
      <c r="M805" s="197"/>
      <c r="N805" s="197"/>
      <c r="O805" s="197"/>
    </row>
    <row r="806" spans="1:15" hidden="1">
      <c r="A806" s="189" t="s">
        <v>232</v>
      </c>
      <c r="B806" s="189" t="s">
        <v>138</v>
      </c>
      <c r="C806" s="189" t="s">
        <v>973</v>
      </c>
      <c r="D806" s="189" t="s">
        <v>1134</v>
      </c>
      <c r="E806" s="223" t="s">
        <v>1151</v>
      </c>
      <c r="F806" s="261" t="s">
        <v>142</v>
      </c>
      <c r="G806" s="258">
        <v>-762.2</v>
      </c>
      <c r="H806" s="260">
        <v>-762.2</v>
      </c>
      <c r="I806" s="195" t="s">
        <v>96</v>
      </c>
      <c r="J806" s="195" t="s">
        <v>964</v>
      </c>
      <c r="K806" s="199"/>
      <c r="L806" s="197"/>
      <c r="M806" s="197"/>
      <c r="N806" s="197"/>
      <c r="O806" s="197"/>
    </row>
    <row r="807" spans="1:15" hidden="1">
      <c r="A807" s="189" t="s">
        <v>137</v>
      </c>
      <c r="B807" s="189" t="s">
        <v>138</v>
      </c>
      <c r="C807" s="189" t="s">
        <v>96</v>
      </c>
      <c r="D807" s="189" t="s">
        <v>1053</v>
      </c>
      <c r="E807" s="223" t="s">
        <v>1152</v>
      </c>
      <c r="F807" s="189" t="s">
        <v>153</v>
      </c>
      <c r="G807" s="258">
        <v>-35.9</v>
      </c>
      <c r="H807" s="260">
        <v>-35.9</v>
      </c>
      <c r="I807" s="195" t="s">
        <v>96</v>
      </c>
      <c r="J807" s="195" t="s">
        <v>422</v>
      </c>
      <c r="K807" s="199"/>
      <c r="L807" s="197"/>
      <c r="M807" s="197"/>
      <c r="N807" s="197"/>
      <c r="O807" s="197"/>
    </row>
    <row r="808" spans="1:15" ht="25.5" hidden="1">
      <c r="A808" s="189" t="s">
        <v>232</v>
      </c>
      <c r="B808" s="189" t="s">
        <v>138</v>
      </c>
      <c r="C808" s="189" t="s">
        <v>973</v>
      </c>
      <c r="D808" s="189" t="s">
        <v>1153</v>
      </c>
      <c r="E808" s="223" t="s">
        <v>1154</v>
      </c>
      <c r="F808" s="189" t="s">
        <v>153</v>
      </c>
      <c r="G808" s="258">
        <v>-569.25</v>
      </c>
      <c r="H808" s="260">
        <v>-569.25</v>
      </c>
      <c r="I808" s="195" t="s">
        <v>96</v>
      </c>
      <c r="J808" s="195" t="s">
        <v>277</v>
      </c>
      <c r="K808" s="199"/>
      <c r="L808" s="197"/>
      <c r="M808" s="197"/>
      <c r="N808" s="197"/>
      <c r="O808" s="197"/>
    </row>
    <row r="809" spans="1:15" ht="25.5" hidden="1">
      <c r="A809" s="189" t="s">
        <v>232</v>
      </c>
      <c r="B809" s="189" t="s">
        <v>138</v>
      </c>
      <c r="C809" s="189" t="s">
        <v>973</v>
      </c>
      <c r="D809" s="189" t="s">
        <v>1153</v>
      </c>
      <c r="E809" s="223" t="s">
        <v>1155</v>
      </c>
      <c r="F809" s="189" t="s">
        <v>153</v>
      </c>
      <c r="G809" s="258">
        <v>-109.57</v>
      </c>
      <c r="H809" s="260">
        <v>-109.57</v>
      </c>
      <c r="I809" s="195" t="s">
        <v>96</v>
      </c>
      <c r="J809" s="195" t="s">
        <v>162</v>
      </c>
      <c r="K809" s="199"/>
      <c r="L809" s="197"/>
      <c r="M809" s="197"/>
      <c r="N809" s="197"/>
      <c r="O809" s="197"/>
    </row>
    <row r="810" spans="1:15" hidden="1">
      <c r="A810" s="189" t="s">
        <v>232</v>
      </c>
      <c r="B810" s="189" t="s">
        <v>138</v>
      </c>
      <c r="C810" s="189" t="s">
        <v>973</v>
      </c>
      <c r="D810" s="256" t="s">
        <v>1156</v>
      </c>
      <c r="E810" s="223" t="s">
        <v>1157</v>
      </c>
      <c r="F810" s="189" t="s">
        <v>153</v>
      </c>
      <c r="G810" s="258">
        <v>-95.91</v>
      </c>
      <c r="H810" s="260">
        <v>-95.91</v>
      </c>
      <c r="I810" s="195" t="s">
        <v>96</v>
      </c>
      <c r="J810" s="195" t="s">
        <v>143</v>
      </c>
      <c r="K810" s="199"/>
      <c r="L810" s="197"/>
      <c r="M810" s="197"/>
      <c r="N810" s="197"/>
      <c r="O810" s="197"/>
    </row>
    <row r="811" spans="1:15" hidden="1">
      <c r="A811" s="199" t="s">
        <v>232</v>
      </c>
      <c r="B811" s="199" t="s">
        <v>138</v>
      </c>
      <c r="C811" s="199" t="s">
        <v>973</v>
      </c>
      <c r="D811" s="303" t="s">
        <v>1156</v>
      </c>
      <c r="E811" s="205" t="s">
        <v>1158</v>
      </c>
      <c r="F811" s="205" t="s">
        <v>149</v>
      </c>
      <c r="G811" s="225">
        <v>-100.74</v>
      </c>
      <c r="H811" s="226">
        <v>-100.74</v>
      </c>
      <c r="I811" s="198" t="s">
        <v>96</v>
      </c>
      <c r="J811" s="198" t="s">
        <v>162</v>
      </c>
      <c r="K811" s="199" t="s">
        <v>965</v>
      </c>
      <c r="L811" s="197"/>
      <c r="M811" s="197"/>
      <c r="N811" s="197"/>
      <c r="O811" s="197"/>
    </row>
    <row r="812" spans="1:15" hidden="1">
      <c r="A812" s="189" t="s">
        <v>137</v>
      </c>
      <c r="B812" s="189" t="s">
        <v>138</v>
      </c>
      <c r="C812" s="189" t="s">
        <v>106</v>
      </c>
      <c r="D812" s="189" t="s">
        <v>1159</v>
      </c>
      <c r="E812" s="223" t="s">
        <v>1160</v>
      </c>
      <c r="F812" s="189" t="s">
        <v>146</v>
      </c>
      <c r="G812" s="258">
        <v>-48.76</v>
      </c>
      <c r="H812" s="260">
        <v>-48.76</v>
      </c>
      <c r="I812" s="198" t="s">
        <v>106</v>
      </c>
      <c r="J812" s="198" t="s">
        <v>164</v>
      </c>
      <c r="K812" s="294"/>
      <c r="L812" s="197"/>
      <c r="M812" s="197"/>
      <c r="N812" s="197"/>
      <c r="O812" s="197"/>
    </row>
    <row r="813" spans="1:15" ht="25.5" hidden="1">
      <c r="A813" s="199" t="s">
        <v>137</v>
      </c>
      <c r="B813" s="189" t="s">
        <v>138</v>
      </c>
      <c r="C813" s="189" t="s">
        <v>106</v>
      </c>
      <c r="D813" s="189" t="s">
        <v>1159</v>
      </c>
      <c r="E813" s="223" t="s">
        <v>1161</v>
      </c>
      <c r="F813" s="189" t="s">
        <v>142</v>
      </c>
      <c r="G813" s="258">
        <v>-21.46</v>
      </c>
      <c r="H813" s="260">
        <v>-21.46</v>
      </c>
      <c r="I813" s="188" t="s">
        <v>106</v>
      </c>
      <c r="J813" s="198" t="s">
        <v>164</v>
      </c>
      <c r="K813" s="199"/>
      <c r="L813" s="197"/>
      <c r="M813" s="197"/>
      <c r="N813" s="197"/>
      <c r="O813" s="197"/>
    </row>
    <row r="814" spans="1:15" hidden="1">
      <c r="A814" s="189" t="s">
        <v>137</v>
      </c>
      <c r="B814" s="189" t="s">
        <v>138</v>
      </c>
      <c r="C814" s="189" t="s">
        <v>106</v>
      </c>
      <c r="D814" s="189" t="s">
        <v>1162</v>
      </c>
      <c r="E814" s="223" t="s">
        <v>1163</v>
      </c>
      <c r="F814" s="189" t="s">
        <v>146</v>
      </c>
      <c r="G814" s="258">
        <v>-166.6</v>
      </c>
      <c r="H814" s="260">
        <v>-166.6</v>
      </c>
      <c r="I814" s="198" t="s">
        <v>106</v>
      </c>
      <c r="J814" s="198" t="s">
        <v>164</v>
      </c>
      <c r="K814" s="199"/>
      <c r="L814" s="197"/>
      <c r="M814" s="197"/>
      <c r="N814" s="197"/>
      <c r="O814" s="197"/>
    </row>
    <row r="815" spans="1:15" hidden="1">
      <c r="A815" s="199" t="s">
        <v>137</v>
      </c>
      <c r="B815" s="189" t="s">
        <v>138</v>
      </c>
      <c r="C815" s="189" t="s">
        <v>106</v>
      </c>
      <c r="D815" s="189" t="s">
        <v>1162</v>
      </c>
      <c r="E815" s="223" t="s">
        <v>1163</v>
      </c>
      <c r="F815" s="189" t="s">
        <v>142</v>
      </c>
      <c r="G815" s="258">
        <v>-166.6</v>
      </c>
      <c r="H815" s="260">
        <v>-166.6</v>
      </c>
      <c r="I815" s="188" t="s">
        <v>106</v>
      </c>
      <c r="J815" s="198" t="s">
        <v>164</v>
      </c>
      <c r="K815" s="199"/>
      <c r="L815" s="197"/>
      <c r="M815" s="197"/>
      <c r="N815" s="197"/>
      <c r="O815" s="197"/>
    </row>
    <row r="816" spans="1:15" hidden="1">
      <c r="A816" s="189" t="s">
        <v>137</v>
      </c>
      <c r="B816" s="189" t="s">
        <v>138</v>
      </c>
      <c r="C816" s="189" t="s">
        <v>91</v>
      </c>
      <c r="D816" s="189" t="s">
        <v>1164</v>
      </c>
      <c r="E816" s="223" t="s">
        <v>1165</v>
      </c>
      <c r="F816" s="189" t="s">
        <v>153</v>
      </c>
      <c r="G816" s="258">
        <v>-370</v>
      </c>
      <c r="H816" s="260">
        <v>-370</v>
      </c>
      <c r="I816" s="195" t="s">
        <v>91</v>
      </c>
      <c r="J816" s="227" t="s">
        <v>246</v>
      </c>
      <c r="K816" s="199"/>
      <c r="L816" s="197"/>
      <c r="M816" s="197"/>
      <c r="N816" s="197"/>
      <c r="O816" s="197"/>
    </row>
    <row r="817" spans="1:15" ht="51" hidden="1">
      <c r="A817" s="189" t="s">
        <v>232</v>
      </c>
      <c r="B817" s="189" t="s">
        <v>138</v>
      </c>
      <c r="C817" s="189" t="s">
        <v>106</v>
      </c>
      <c r="D817" s="189" t="s">
        <v>655</v>
      </c>
      <c r="E817" s="223" t="s">
        <v>1166</v>
      </c>
      <c r="F817" s="189" t="s">
        <v>153</v>
      </c>
      <c r="G817" s="258">
        <v>-0.5</v>
      </c>
      <c r="H817" s="260">
        <v>-0.5</v>
      </c>
      <c r="I817" s="195" t="s">
        <v>106</v>
      </c>
      <c r="J817" s="227" t="s">
        <v>164</v>
      </c>
      <c r="K817" s="199"/>
      <c r="L817" s="197"/>
      <c r="M817" s="197"/>
      <c r="N817" s="197"/>
      <c r="O817" s="197"/>
    </row>
    <row r="818" spans="1:15" ht="51" hidden="1">
      <c r="A818" s="189" t="s">
        <v>232</v>
      </c>
      <c r="B818" s="189" t="s">
        <v>138</v>
      </c>
      <c r="C818" s="189" t="s">
        <v>106</v>
      </c>
      <c r="D818" s="189" t="s">
        <v>655</v>
      </c>
      <c r="E818" s="223" t="s">
        <v>1167</v>
      </c>
      <c r="F818" s="189" t="s">
        <v>153</v>
      </c>
      <c r="G818" s="258">
        <v>-0.5</v>
      </c>
      <c r="H818" s="260">
        <v>-0.5</v>
      </c>
      <c r="I818" s="195" t="s">
        <v>106</v>
      </c>
      <c r="J818" s="227" t="s">
        <v>164</v>
      </c>
      <c r="K818" s="199"/>
      <c r="L818" s="197"/>
      <c r="M818" s="197"/>
      <c r="N818" s="197"/>
      <c r="O818" s="197"/>
    </row>
    <row r="819" spans="1:15" ht="51" hidden="1">
      <c r="A819" s="189" t="s">
        <v>232</v>
      </c>
      <c r="B819" s="189" t="s">
        <v>138</v>
      </c>
      <c r="C819" s="189" t="s">
        <v>106</v>
      </c>
      <c r="D819" s="189" t="s">
        <v>655</v>
      </c>
      <c r="E819" s="223" t="s">
        <v>1168</v>
      </c>
      <c r="F819" s="189" t="s">
        <v>153</v>
      </c>
      <c r="G819" s="258">
        <v>-0.5</v>
      </c>
      <c r="H819" s="260">
        <v>-0.5</v>
      </c>
      <c r="I819" s="195" t="s">
        <v>106</v>
      </c>
      <c r="J819" s="227" t="s">
        <v>164</v>
      </c>
      <c r="K819" s="199"/>
      <c r="L819" s="197"/>
      <c r="M819" s="197"/>
      <c r="N819" s="197"/>
      <c r="O819" s="197"/>
    </row>
    <row r="820" spans="1:15" ht="51" hidden="1">
      <c r="A820" s="189" t="s">
        <v>232</v>
      </c>
      <c r="B820" s="189" t="s">
        <v>138</v>
      </c>
      <c r="C820" s="189" t="s">
        <v>106</v>
      </c>
      <c r="D820" s="189" t="s">
        <v>655</v>
      </c>
      <c r="E820" s="223" t="s">
        <v>1169</v>
      </c>
      <c r="F820" s="189" t="s">
        <v>153</v>
      </c>
      <c r="G820" s="258">
        <v>-0.5</v>
      </c>
      <c r="H820" s="260">
        <v>-0.5</v>
      </c>
      <c r="I820" s="195" t="s">
        <v>106</v>
      </c>
      <c r="J820" s="227" t="s">
        <v>164</v>
      </c>
      <c r="K820" s="199"/>
      <c r="L820" s="197"/>
      <c r="M820" s="197"/>
      <c r="N820" s="197"/>
      <c r="O820" s="197"/>
    </row>
    <row r="821" spans="1:15" ht="51" hidden="1">
      <c r="A821" s="189" t="s">
        <v>232</v>
      </c>
      <c r="B821" s="189" t="s">
        <v>138</v>
      </c>
      <c r="C821" s="189" t="s">
        <v>106</v>
      </c>
      <c r="D821" s="189" t="s">
        <v>655</v>
      </c>
      <c r="E821" s="223" t="s">
        <v>1170</v>
      </c>
      <c r="F821" s="189" t="s">
        <v>153</v>
      </c>
      <c r="G821" s="258">
        <v>-0.5</v>
      </c>
      <c r="H821" s="260">
        <v>-0.5</v>
      </c>
      <c r="I821" s="195" t="s">
        <v>106</v>
      </c>
      <c r="J821" s="227" t="s">
        <v>164</v>
      </c>
      <c r="K821" s="199"/>
      <c r="L821" s="197"/>
      <c r="M821" s="197"/>
      <c r="N821" s="197"/>
      <c r="O821" s="197"/>
    </row>
    <row r="822" spans="1:15" ht="25.5" hidden="1">
      <c r="A822" s="189" t="s">
        <v>137</v>
      </c>
      <c r="B822" s="189" t="s">
        <v>138</v>
      </c>
      <c r="C822" s="189" t="s">
        <v>570</v>
      </c>
      <c r="D822" s="189" t="s">
        <v>278</v>
      </c>
      <c r="E822" s="223" t="s">
        <v>1171</v>
      </c>
      <c r="F822" s="189" t="s">
        <v>153</v>
      </c>
      <c r="G822" s="258">
        <v>-500</v>
      </c>
      <c r="H822" s="260">
        <v>-500</v>
      </c>
      <c r="I822" s="195" t="s">
        <v>61</v>
      </c>
      <c r="J822" s="227" t="s">
        <v>206</v>
      </c>
      <c r="K822" s="199"/>
      <c r="L822" s="197"/>
      <c r="M822" s="197"/>
      <c r="N822" s="197"/>
      <c r="O822" s="197"/>
    </row>
    <row r="823" spans="1:15" ht="51" hidden="1">
      <c r="A823" s="189" t="s">
        <v>232</v>
      </c>
      <c r="B823" s="189" t="s">
        <v>138</v>
      </c>
      <c r="C823" s="189" t="s">
        <v>106</v>
      </c>
      <c r="D823" s="189" t="s">
        <v>655</v>
      </c>
      <c r="E823" s="223" t="s">
        <v>1172</v>
      </c>
      <c r="F823" s="189" t="s">
        <v>153</v>
      </c>
      <c r="G823" s="258">
        <v>-0.5</v>
      </c>
      <c r="H823" s="260">
        <v>-0.5</v>
      </c>
      <c r="I823" s="195" t="s">
        <v>106</v>
      </c>
      <c r="J823" s="227" t="s">
        <v>164</v>
      </c>
      <c r="K823" s="199"/>
      <c r="L823" s="197"/>
      <c r="M823" s="197"/>
      <c r="N823" s="197"/>
      <c r="O823" s="197"/>
    </row>
    <row r="824" spans="1:15" ht="51" hidden="1">
      <c r="A824" s="189" t="s">
        <v>232</v>
      </c>
      <c r="B824" s="189" t="s">
        <v>138</v>
      </c>
      <c r="C824" s="189" t="s">
        <v>106</v>
      </c>
      <c r="D824" s="189" t="s">
        <v>655</v>
      </c>
      <c r="E824" s="223" t="s">
        <v>1173</v>
      </c>
      <c r="F824" s="189" t="s">
        <v>153</v>
      </c>
      <c r="G824" s="258">
        <v>-0.5</v>
      </c>
      <c r="H824" s="260">
        <v>-0.5</v>
      </c>
      <c r="I824" s="195" t="s">
        <v>106</v>
      </c>
      <c r="J824" s="227" t="s">
        <v>164</v>
      </c>
      <c r="K824" s="199"/>
      <c r="L824" s="197"/>
      <c r="M824" s="197"/>
      <c r="N824" s="197"/>
      <c r="O824" s="197"/>
    </row>
    <row r="825" spans="1:15" ht="51" hidden="1">
      <c r="A825" s="189" t="s">
        <v>232</v>
      </c>
      <c r="B825" s="189" t="s">
        <v>138</v>
      </c>
      <c r="C825" s="189" t="s">
        <v>106</v>
      </c>
      <c r="D825" s="189" t="s">
        <v>655</v>
      </c>
      <c r="E825" s="223" t="s">
        <v>1174</v>
      </c>
      <c r="F825" s="189" t="s">
        <v>153</v>
      </c>
      <c r="G825" s="258">
        <v>-0.5</v>
      </c>
      <c r="H825" s="260">
        <v>-0.5</v>
      </c>
      <c r="I825" s="195" t="s">
        <v>106</v>
      </c>
      <c r="J825" s="227" t="s">
        <v>164</v>
      </c>
      <c r="K825" s="199"/>
      <c r="L825" s="197"/>
      <c r="M825" s="197"/>
      <c r="N825" s="197"/>
      <c r="O825" s="197"/>
    </row>
    <row r="826" spans="1:15" hidden="1">
      <c r="A826" s="189" t="s">
        <v>137</v>
      </c>
      <c r="B826" s="189" t="s">
        <v>138</v>
      </c>
      <c r="C826" s="189" t="s">
        <v>652</v>
      </c>
      <c r="D826" s="189" t="s">
        <v>160</v>
      </c>
      <c r="E826" s="223" t="s">
        <v>1175</v>
      </c>
      <c r="F826" s="189" t="s">
        <v>153</v>
      </c>
      <c r="G826" s="258">
        <v>-120</v>
      </c>
      <c r="H826" s="260">
        <v>-120</v>
      </c>
      <c r="I826" s="195" t="s">
        <v>97</v>
      </c>
      <c r="J826" s="227" t="s">
        <v>246</v>
      </c>
      <c r="K826" s="199"/>
      <c r="L826" s="197"/>
      <c r="M826" s="197"/>
      <c r="N826" s="197"/>
      <c r="O826" s="197"/>
    </row>
    <row r="827" spans="1:15" ht="51" hidden="1">
      <c r="A827" s="189" t="s">
        <v>232</v>
      </c>
      <c r="B827" s="189" t="s">
        <v>138</v>
      </c>
      <c r="C827" s="189" t="s">
        <v>106</v>
      </c>
      <c r="D827" s="189" t="s">
        <v>655</v>
      </c>
      <c r="E827" s="223" t="s">
        <v>1176</v>
      </c>
      <c r="F827" s="189" t="s">
        <v>153</v>
      </c>
      <c r="G827" s="258">
        <v>-0.5</v>
      </c>
      <c r="H827" s="260">
        <v>-0.5</v>
      </c>
      <c r="I827" s="195" t="s">
        <v>106</v>
      </c>
      <c r="J827" s="227" t="s">
        <v>164</v>
      </c>
      <c r="K827" s="199"/>
      <c r="L827" s="197"/>
      <c r="M827" s="197"/>
      <c r="N827" s="197"/>
      <c r="O827" s="197"/>
    </row>
    <row r="828" spans="1:15" ht="51" hidden="1">
      <c r="A828" s="189" t="s">
        <v>232</v>
      </c>
      <c r="B828" s="189" t="s">
        <v>138</v>
      </c>
      <c r="C828" s="189" t="s">
        <v>106</v>
      </c>
      <c r="D828" s="189" t="s">
        <v>655</v>
      </c>
      <c r="E828" s="223" t="s">
        <v>1177</v>
      </c>
      <c r="F828" s="189" t="s">
        <v>153</v>
      </c>
      <c r="G828" s="258">
        <v>-0.5</v>
      </c>
      <c r="H828" s="260">
        <v>-0.5</v>
      </c>
      <c r="I828" s="195" t="s">
        <v>106</v>
      </c>
      <c r="J828" s="227" t="s">
        <v>164</v>
      </c>
      <c r="K828" s="199"/>
      <c r="L828" s="197"/>
      <c r="M828" s="197"/>
      <c r="N828" s="197"/>
      <c r="O828" s="197"/>
    </row>
    <row r="829" spans="1:15">
      <c r="A829" s="199" t="s">
        <v>137</v>
      </c>
      <c r="B829" s="199" t="s">
        <v>138</v>
      </c>
      <c r="C829" s="199" t="s">
        <v>652</v>
      </c>
      <c r="D829" s="199" t="s">
        <v>1178</v>
      </c>
      <c r="E829" s="199" t="s">
        <v>1179</v>
      </c>
      <c r="F829" s="205" t="s">
        <v>268</v>
      </c>
      <c r="G829" s="226">
        <v>-120</v>
      </c>
      <c r="H829" s="226">
        <v>-120</v>
      </c>
      <c r="I829" s="257" t="s">
        <v>97</v>
      </c>
      <c r="J829" s="227" t="s">
        <v>246</v>
      </c>
      <c r="K829" s="199"/>
      <c r="L829" s="197"/>
      <c r="M829" s="197"/>
      <c r="N829" s="197"/>
      <c r="O829" s="197"/>
    </row>
    <row r="830" spans="1:15" ht="51" hidden="1">
      <c r="A830" s="189" t="s">
        <v>232</v>
      </c>
      <c r="B830" s="189" t="s">
        <v>138</v>
      </c>
      <c r="C830" s="189" t="s">
        <v>106</v>
      </c>
      <c r="D830" s="189" t="s">
        <v>655</v>
      </c>
      <c r="E830" s="223" t="s">
        <v>1180</v>
      </c>
      <c r="F830" s="189" t="s">
        <v>153</v>
      </c>
      <c r="G830" s="258">
        <v>-0.5</v>
      </c>
      <c r="H830" s="260">
        <v>-0.5</v>
      </c>
      <c r="I830" s="195" t="s">
        <v>106</v>
      </c>
      <c r="J830" s="227" t="s">
        <v>164</v>
      </c>
      <c r="K830" s="294"/>
      <c r="L830" s="197"/>
      <c r="M830" s="197"/>
      <c r="N830" s="197"/>
      <c r="O830" s="197"/>
    </row>
    <row r="831" spans="1:15" ht="51" hidden="1">
      <c r="A831" s="189" t="s">
        <v>232</v>
      </c>
      <c r="B831" s="189" t="s">
        <v>138</v>
      </c>
      <c r="C831" s="189" t="s">
        <v>106</v>
      </c>
      <c r="D831" s="189" t="s">
        <v>655</v>
      </c>
      <c r="E831" s="223" t="s">
        <v>1181</v>
      </c>
      <c r="F831" s="189" t="s">
        <v>153</v>
      </c>
      <c r="G831" s="258">
        <v>-0.5</v>
      </c>
      <c r="H831" s="260">
        <v>-0.5</v>
      </c>
      <c r="I831" s="195" t="s">
        <v>106</v>
      </c>
      <c r="J831" s="227" t="s">
        <v>164</v>
      </c>
      <c r="K831" s="294"/>
      <c r="L831" s="197"/>
      <c r="M831" s="197"/>
      <c r="N831" s="197"/>
      <c r="O831" s="197"/>
    </row>
    <row r="832" spans="1:15" ht="51" hidden="1">
      <c r="A832" s="189" t="s">
        <v>232</v>
      </c>
      <c r="B832" s="189" t="s">
        <v>138</v>
      </c>
      <c r="C832" s="189" t="s">
        <v>106</v>
      </c>
      <c r="D832" s="189" t="s">
        <v>655</v>
      </c>
      <c r="E832" s="223" t="s">
        <v>1182</v>
      </c>
      <c r="F832" s="189" t="s">
        <v>153</v>
      </c>
      <c r="G832" s="258">
        <v>-0.5</v>
      </c>
      <c r="H832" s="260">
        <v>-0.5</v>
      </c>
      <c r="I832" s="195" t="s">
        <v>106</v>
      </c>
      <c r="J832" s="227" t="s">
        <v>164</v>
      </c>
      <c r="K832" s="199"/>
      <c r="L832" s="197"/>
      <c r="M832" s="197"/>
      <c r="N832" s="197"/>
      <c r="O832" s="197"/>
    </row>
    <row r="833" spans="1:15" ht="51" hidden="1">
      <c r="A833" s="189" t="s">
        <v>232</v>
      </c>
      <c r="B833" s="189" t="s">
        <v>138</v>
      </c>
      <c r="C833" s="189" t="s">
        <v>106</v>
      </c>
      <c r="D833" s="189" t="s">
        <v>655</v>
      </c>
      <c r="E833" s="223" t="s">
        <v>1183</v>
      </c>
      <c r="F833" s="189" t="s">
        <v>153</v>
      </c>
      <c r="G833" s="258">
        <v>-3.99</v>
      </c>
      <c r="H833" s="260">
        <v>-3.99</v>
      </c>
      <c r="I833" s="195" t="s">
        <v>106</v>
      </c>
      <c r="J833" s="227" t="s">
        <v>164</v>
      </c>
      <c r="K833" s="199"/>
      <c r="L833" s="197"/>
      <c r="M833" s="197"/>
      <c r="N833" s="197"/>
      <c r="O833" s="197"/>
    </row>
    <row r="834" spans="1:15" hidden="1">
      <c r="A834" s="189" t="s">
        <v>137</v>
      </c>
      <c r="B834" s="189" t="s">
        <v>138</v>
      </c>
      <c r="C834" s="189" t="s">
        <v>82</v>
      </c>
      <c r="D834" s="189" t="s">
        <v>883</v>
      </c>
      <c r="E834" s="189" t="s">
        <v>1184</v>
      </c>
      <c r="F834" s="189" t="s">
        <v>265</v>
      </c>
      <c r="G834" s="260">
        <v>-215.58</v>
      </c>
      <c r="H834" s="260">
        <v>-215.58</v>
      </c>
      <c r="I834" s="198" t="s">
        <v>82</v>
      </c>
      <c r="J834" s="227" t="s">
        <v>246</v>
      </c>
      <c r="K834" s="189"/>
      <c r="L834" s="197"/>
      <c r="M834" s="197"/>
      <c r="N834" s="197"/>
      <c r="O834" s="197"/>
    </row>
    <row r="835" spans="1:15" ht="51" hidden="1">
      <c r="A835" s="189" t="s">
        <v>232</v>
      </c>
      <c r="B835" s="189" t="s">
        <v>138</v>
      </c>
      <c r="C835" s="189" t="s">
        <v>106</v>
      </c>
      <c r="D835" s="189" t="s">
        <v>655</v>
      </c>
      <c r="E835" s="223" t="s">
        <v>1185</v>
      </c>
      <c r="F835" s="189" t="s">
        <v>153</v>
      </c>
      <c r="G835" s="258">
        <v>-0.5</v>
      </c>
      <c r="H835" s="260">
        <v>-0.5</v>
      </c>
      <c r="I835" s="195" t="s">
        <v>106</v>
      </c>
      <c r="J835" s="227" t="s">
        <v>164</v>
      </c>
      <c r="K835" s="199"/>
      <c r="L835" s="197"/>
      <c r="M835" s="197"/>
      <c r="N835" s="197"/>
      <c r="O835" s="197"/>
    </row>
    <row r="836" spans="1:15" ht="51" hidden="1">
      <c r="A836" s="189" t="s">
        <v>232</v>
      </c>
      <c r="B836" s="189" t="s">
        <v>138</v>
      </c>
      <c r="C836" s="189" t="s">
        <v>106</v>
      </c>
      <c r="D836" s="189" t="s">
        <v>655</v>
      </c>
      <c r="E836" s="223" t="s">
        <v>1186</v>
      </c>
      <c r="F836" s="189" t="s">
        <v>153</v>
      </c>
      <c r="G836" s="258">
        <v>-0.5</v>
      </c>
      <c r="H836" s="260">
        <v>-0.5</v>
      </c>
      <c r="I836" s="195" t="s">
        <v>106</v>
      </c>
      <c r="J836" s="227" t="s">
        <v>164</v>
      </c>
      <c r="K836" s="199"/>
      <c r="L836" s="197"/>
      <c r="M836" s="197"/>
      <c r="N836" s="197"/>
      <c r="O836" s="197"/>
    </row>
    <row r="837" spans="1:15" ht="51" hidden="1">
      <c r="A837" s="189" t="s">
        <v>232</v>
      </c>
      <c r="B837" s="189" t="s">
        <v>138</v>
      </c>
      <c r="C837" s="189" t="s">
        <v>106</v>
      </c>
      <c r="D837" s="189" t="s">
        <v>655</v>
      </c>
      <c r="E837" s="223" t="s">
        <v>1187</v>
      </c>
      <c r="F837" s="189" t="s">
        <v>153</v>
      </c>
      <c r="G837" s="258">
        <v>-0.5</v>
      </c>
      <c r="H837" s="260">
        <v>-0.5</v>
      </c>
      <c r="I837" s="195" t="s">
        <v>106</v>
      </c>
      <c r="J837" s="227" t="s">
        <v>164</v>
      </c>
      <c r="K837" s="199"/>
      <c r="L837" s="197"/>
      <c r="M837" s="197"/>
      <c r="N837" s="197"/>
      <c r="O837" s="197"/>
    </row>
    <row r="838" spans="1:15" hidden="1">
      <c r="A838" s="189" t="s">
        <v>137</v>
      </c>
      <c r="B838" s="189" t="s">
        <v>683</v>
      </c>
      <c r="C838" s="189" t="s">
        <v>894</v>
      </c>
      <c r="D838" s="189" t="s">
        <v>764</v>
      </c>
      <c r="E838" s="223" t="s">
        <v>655</v>
      </c>
      <c r="F838" s="189" t="s">
        <v>153</v>
      </c>
      <c r="G838" s="281">
        <v>4538.6899999999996</v>
      </c>
      <c r="H838" s="282">
        <v>4538.6899999999996</v>
      </c>
      <c r="I838" s="195" t="s">
        <v>112</v>
      </c>
      <c r="J838" s="227" t="s">
        <v>143</v>
      </c>
      <c r="K838" s="199"/>
      <c r="L838" s="197"/>
      <c r="M838" s="197"/>
      <c r="N838" s="197"/>
      <c r="O838" s="197"/>
    </row>
    <row r="839" spans="1:15" ht="51" hidden="1">
      <c r="A839" s="189" t="s">
        <v>137</v>
      </c>
      <c r="B839" s="189" t="s">
        <v>138</v>
      </c>
      <c r="C839" s="189" t="s">
        <v>106</v>
      </c>
      <c r="D839" s="189" t="s">
        <v>655</v>
      </c>
      <c r="E839" s="223" t="s">
        <v>1188</v>
      </c>
      <c r="F839" s="189" t="s">
        <v>153</v>
      </c>
      <c r="G839" s="258">
        <v>-0.5</v>
      </c>
      <c r="H839" s="260">
        <v>-0.5</v>
      </c>
      <c r="I839" s="195" t="s">
        <v>106</v>
      </c>
      <c r="J839" s="195" t="s">
        <v>164</v>
      </c>
      <c r="K839" s="199"/>
      <c r="L839" s="197"/>
      <c r="M839" s="197"/>
      <c r="N839" s="197"/>
      <c r="O839" s="197"/>
    </row>
    <row r="840" spans="1:15" ht="51" hidden="1">
      <c r="A840" s="189" t="s">
        <v>137</v>
      </c>
      <c r="B840" s="189" t="s">
        <v>138</v>
      </c>
      <c r="C840" s="189" t="s">
        <v>106</v>
      </c>
      <c r="D840" s="189" t="s">
        <v>655</v>
      </c>
      <c r="E840" s="223" t="s">
        <v>1189</v>
      </c>
      <c r="F840" s="189" t="s">
        <v>153</v>
      </c>
      <c r="G840" s="258">
        <v>-0.5</v>
      </c>
      <c r="H840" s="260">
        <v>-0.5</v>
      </c>
      <c r="I840" s="195" t="s">
        <v>106</v>
      </c>
      <c r="J840" s="195" t="s">
        <v>164</v>
      </c>
      <c r="K840" s="199"/>
      <c r="L840" s="197"/>
      <c r="M840" s="197"/>
      <c r="N840" s="197"/>
      <c r="O840" s="197"/>
    </row>
    <row r="841" spans="1:15" ht="51" hidden="1">
      <c r="A841" s="189" t="s">
        <v>137</v>
      </c>
      <c r="B841" s="189" t="s">
        <v>138</v>
      </c>
      <c r="C841" s="189" t="s">
        <v>106</v>
      </c>
      <c r="D841" s="189" t="s">
        <v>655</v>
      </c>
      <c r="E841" s="223" t="s">
        <v>1190</v>
      </c>
      <c r="F841" s="189" t="s">
        <v>153</v>
      </c>
      <c r="G841" s="258">
        <v>-0.5</v>
      </c>
      <c r="H841" s="260">
        <v>-0.5</v>
      </c>
      <c r="I841" s="195" t="s">
        <v>106</v>
      </c>
      <c r="J841" s="195" t="s">
        <v>164</v>
      </c>
      <c r="K841" s="199"/>
      <c r="L841" s="197"/>
      <c r="M841" s="197"/>
      <c r="N841" s="197"/>
      <c r="O841" s="197"/>
    </row>
    <row r="842" spans="1:15" ht="51" hidden="1">
      <c r="A842" s="189" t="s">
        <v>137</v>
      </c>
      <c r="B842" s="189" t="s">
        <v>138</v>
      </c>
      <c r="C842" s="189" t="s">
        <v>106</v>
      </c>
      <c r="D842" s="189" t="s">
        <v>655</v>
      </c>
      <c r="E842" s="223" t="s">
        <v>1191</v>
      </c>
      <c r="F842" s="189" t="s">
        <v>153</v>
      </c>
      <c r="G842" s="258">
        <v>-0.5</v>
      </c>
      <c r="H842" s="260">
        <v>-0.5</v>
      </c>
      <c r="I842" s="195" t="s">
        <v>106</v>
      </c>
      <c r="J842" s="195" t="s">
        <v>164</v>
      </c>
      <c r="K842" s="199"/>
      <c r="L842" s="197"/>
      <c r="M842" s="197"/>
      <c r="N842" s="197"/>
      <c r="O842" s="197"/>
    </row>
    <row r="843" spans="1:15" ht="51" hidden="1">
      <c r="A843" s="189" t="s">
        <v>137</v>
      </c>
      <c r="B843" s="189" t="s">
        <v>138</v>
      </c>
      <c r="C843" s="189" t="s">
        <v>106</v>
      </c>
      <c r="D843" s="189" t="s">
        <v>655</v>
      </c>
      <c r="E843" s="223" t="s">
        <v>1192</v>
      </c>
      <c r="F843" s="189" t="s">
        <v>153</v>
      </c>
      <c r="G843" s="258">
        <v>-0.5</v>
      </c>
      <c r="H843" s="260">
        <v>-0.5</v>
      </c>
      <c r="I843" s="195" t="s">
        <v>106</v>
      </c>
      <c r="J843" s="195" t="s">
        <v>164</v>
      </c>
      <c r="K843" s="199"/>
      <c r="L843" s="197"/>
      <c r="M843" s="197"/>
      <c r="N843" s="197"/>
      <c r="O843" s="197"/>
    </row>
    <row r="844" spans="1:15" ht="51" hidden="1">
      <c r="A844" s="189" t="s">
        <v>137</v>
      </c>
      <c r="B844" s="189" t="s">
        <v>138</v>
      </c>
      <c r="C844" s="189" t="s">
        <v>106</v>
      </c>
      <c r="D844" s="189" t="s">
        <v>655</v>
      </c>
      <c r="E844" s="223" t="s">
        <v>1193</v>
      </c>
      <c r="F844" s="189" t="s">
        <v>153</v>
      </c>
      <c r="G844" s="258">
        <v>-0.5</v>
      </c>
      <c r="H844" s="260">
        <v>-0.5</v>
      </c>
      <c r="I844" s="195" t="s">
        <v>106</v>
      </c>
      <c r="J844" s="195" t="s">
        <v>164</v>
      </c>
      <c r="K844" s="294"/>
      <c r="L844" s="197"/>
      <c r="M844" s="197"/>
      <c r="N844" s="197"/>
      <c r="O844" s="197"/>
    </row>
    <row r="845" spans="1:15" ht="51" hidden="1">
      <c r="A845" s="189" t="s">
        <v>137</v>
      </c>
      <c r="B845" s="189" t="s">
        <v>138</v>
      </c>
      <c r="C845" s="189" t="s">
        <v>106</v>
      </c>
      <c r="D845" s="189" t="s">
        <v>655</v>
      </c>
      <c r="E845" s="223" t="s">
        <v>1194</v>
      </c>
      <c r="F845" s="189" t="s">
        <v>153</v>
      </c>
      <c r="G845" s="258">
        <v>-0.5</v>
      </c>
      <c r="H845" s="260">
        <v>-0.5</v>
      </c>
      <c r="I845" s="195" t="s">
        <v>106</v>
      </c>
      <c r="J845" s="195" t="s">
        <v>164</v>
      </c>
      <c r="K845" s="294"/>
      <c r="L845" s="197"/>
      <c r="M845" s="197"/>
      <c r="N845" s="197"/>
      <c r="O845" s="197"/>
    </row>
    <row r="846" spans="1:15" ht="25.5" hidden="1">
      <c r="A846" s="189" t="s">
        <v>137</v>
      </c>
      <c r="B846" s="189" t="s">
        <v>138</v>
      </c>
      <c r="C846" s="189" t="s">
        <v>106</v>
      </c>
      <c r="D846" s="189" t="s">
        <v>655</v>
      </c>
      <c r="E846" s="223" t="s">
        <v>1195</v>
      </c>
      <c r="F846" s="189" t="s">
        <v>153</v>
      </c>
      <c r="G846" s="258">
        <v>-1.99</v>
      </c>
      <c r="H846" s="260">
        <v>-1.99</v>
      </c>
      <c r="I846" s="195" t="s">
        <v>106</v>
      </c>
      <c r="J846" s="195" t="s">
        <v>164</v>
      </c>
      <c r="K846" s="199"/>
      <c r="L846" s="197"/>
      <c r="M846" s="197"/>
      <c r="N846" s="197"/>
      <c r="O846" s="197"/>
    </row>
    <row r="847" spans="1:15" ht="51" hidden="1">
      <c r="A847" s="189" t="s">
        <v>137</v>
      </c>
      <c r="B847" s="189" t="s">
        <v>138</v>
      </c>
      <c r="C847" s="189" t="s">
        <v>106</v>
      </c>
      <c r="D847" s="189" t="s">
        <v>655</v>
      </c>
      <c r="E847" s="223" t="s">
        <v>1196</v>
      </c>
      <c r="F847" s="189" t="s">
        <v>153</v>
      </c>
      <c r="G847" s="258">
        <v>-0.5</v>
      </c>
      <c r="H847" s="260">
        <v>-0.5</v>
      </c>
      <c r="I847" s="195" t="s">
        <v>106</v>
      </c>
      <c r="J847" s="195" t="s">
        <v>164</v>
      </c>
      <c r="K847" s="199"/>
      <c r="L847" s="197"/>
      <c r="M847" s="197"/>
      <c r="N847" s="197"/>
      <c r="O847" s="197"/>
    </row>
    <row r="848" spans="1:15" ht="38.25" hidden="1">
      <c r="A848" s="189" t="s">
        <v>137</v>
      </c>
      <c r="B848" s="189" t="s">
        <v>138</v>
      </c>
      <c r="C848" s="189" t="s">
        <v>106</v>
      </c>
      <c r="D848" s="189" t="s">
        <v>655</v>
      </c>
      <c r="E848" s="223" t="s">
        <v>1197</v>
      </c>
      <c r="F848" s="189" t="s">
        <v>153</v>
      </c>
      <c r="G848" s="258">
        <v>-1.99</v>
      </c>
      <c r="H848" s="260">
        <v>-1.99</v>
      </c>
      <c r="I848" s="195" t="s">
        <v>106</v>
      </c>
      <c r="J848" s="195" t="s">
        <v>164</v>
      </c>
      <c r="K848" s="294"/>
      <c r="L848" s="197"/>
      <c r="M848" s="197"/>
      <c r="N848" s="197"/>
      <c r="O848" s="197"/>
    </row>
    <row r="849" spans="1:15" ht="51" hidden="1">
      <c r="A849" s="189" t="s">
        <v>137</v>
      </c>
      <c r="B849" s="189" t="s">
        <v>138</v>
      </c>
      <c r="C849" s="189" t="s">
        <v>106</v>
      </c>
      <c r="D849" s="189" t="s">
        <v>655</v>
      </c>
      <c r="E849" s="223" t="s">
        <v>1198</v>
      </c>
      <c r="F849" s="189" t="s">
        <v>153</v>
      </c>
      <c r="G849" s="258">
        <v>-0.5</v>
      </c>
      <c r="H849" s="260">
        <v>-0.5</v>
      </c>
      <c r="I849" s="195" t="s">
        <v>106</v>
      </c>
      <c r="J849" s="195" t="s">
        <v>164</v>
      </c>
      <c r="K849" s="199"/>
      <c r="L849" s="197"/>
      <c r="M849" s="197"/>
      <c r="N849" s="197"/>
      <c r="O849" s="197"/>
    </row>
    <row r="850" spans="1:15" ht="38.25" hidden="1">
      <c r="A850" s="189" t="s">
        <v>137</v>
      </c>
      <c r="B850" s="189" t="s">
        <v>138</v>
      </c>
      <c r="C850" s="189" t="s">
        <v>106</v>
      </c>
      <c r="D850" s="189" t="s">
        <v>655</v>
      </c>
      <c r="E850" s="223" t="s">
        <v>1199</v>
      </c>
      <c r="F850" s="189" t="s">
        <v>153</v>
      </c>
      <c r="G850" s="258">
        <v>-1.99</v>
      </c>
      <c r="H850" s="260">
        <v>-1.99</v>
      </c>
      <c r="I850" s="195" t="s">
        <v>106</v>
      </c>
      <c r="J850" s="195" t="s">
        <v>164</v>
      </c>
      <c r="K850" s="199"/>
      <c r="L850" s="197"/>
      <c r="M850" s="197"/>
      <c r="N850" s="197"/>
      <c r="O850" s="197"/>
    </row>
    <row r="851" spans="1:15" ht="51" hidden="1">
      <c r="A851" s="189" t="s">
        <v>137</v>
      </c>
      <c r="B851" s="189" t="s">
        <v>138</v>
      </c>
      <c r="C851" s="189" t="s">
        <v>106</v>
      </c>
      <c r="D851" s="189" t="s">
        <v>655</v>
      </c>
      <c r="E851" s="223" t="s">
        <v>1200</v>
      </c>
      <c r="F851" s="189" t="s">
        <v>153</v>
      </c>
      <c r="G851" s="258">
        <v>-0.5</v>
      </c>
      <c r="H851" s="260">
        <v>-0.5</v>
      </c>
      <c r="I851" s="195" t="s">
        <v>106</v>
      </c>
      <c r="J851" s="195" t="s">
        <v>164</v>
      </c>
      <c r="K851" s="199"/>
      <c r="L851" s="197"/>
      <c r="M851" s="197"/>
      <c r="N851" s="197"/>
      <c r="O851" s="197"/>
    </row>
    <row r="852" spans="1:15" ht="51" hidden="1">
      <c r="A852" s="189" t="s">
        <v>137</v>
      </c>
      <c r="B852" s="189" t="s">
        <v>138</v>
      </c>
      <c r="C852" s="189" t="s">
        <v>106</v>
      </c>
      <c r="D852" s="189" t="s">
        <v>655</v>
      </c>
      <c r="E852" s="223" t="s">
        <v>1201</v>
      </c>
      <c r="F852" s="189" t="s">
        <v>153</v>
      </c>
      <c r="G852" s="258">
        <v>-0.5</v>
      </c>
      <c r="H852" s="260">
        <v>-0.5</v>
      </c>
      <c r="I852" s="195" t="s">
        <v>106</v>
      </c>
      <c r="J852" s="195" t="s">
        <v>164</v>
      </c>
      <c r="K852" s="199"/>
      <c r="L852" s="197"/>
      <c r="M852" s="197"/>
      <c r="N852" s="197"/>
      <c r="O852" s="197"/>
    </row>
    <row r="853" spans="1:15" hidden="1">
      <c r="A853" s="189" t="s">
        <v>209</v>
      </c>
      <c r="B853" s="189" t="s">
        <v>683</v>
      </c>
      <c r="C853" s="189" t="s">
        <v>894</v>
      </c>
      <c r="D853" s="189" t="s">
        <v>869</v>
      </c>
      <c r="E853" s="223" t="s">
        <v>1202</v>
      </c>
      <c r="F853" s="189" t="s">
        <v>153</v>
      </c>
      <c r="G853" s="281">
        <v>6703.22</v>
      </c>
      <c r="H853" s="282">
        <v>6703.22</v>
      </c>
      <c r="I853" s="195" t="s">
        <v>112</v>
      </c>
      <c r="J853" s="227" t="s">
        <v>206</v>
      </c>
      <c r="K853" s="199" t="s">
        <v>195</v>
      </c>
      <c r="L853" s="197"/>
      <c r="M853" s="197"/>
      <c r="N853" s="197"/>
      <c r="O853" s="197"/>
    </row>
    <row r="854" spans="1:15" ht="25.5" hidden="1">
      <c r="A854" s="189" t="s">
        <v>209</v>
      </c>
      <c r="B854" s="189" t="s">
        <v>683</v>
      </c>
      <c r="C854" s="189" t="s">
        <v>894</v>
      </c>
      <c r="D854" s="189" t="s">
        <v>1203</v>
      </c>
      <c r="E854" s="223" t="s">
        <v>1204</v>
      </c>
      <c r="F854" s="189" t="s">
        <v>153</v>
      </c>
      <c r="G854" s="281">
        <v>2021.86</v>
      </c>
      <c r="H854" s="282">
        <v>2021.86</v>
      </c>
      <c r="I854" s="195" t="s">
        <v>112</v>
      </c>
      <c r="J854" s="227" t="s">
        <v>206</v>
      </c>
      <c r="K854" s="199"/>
      <c r="L854" s="197"/>
      <c r="M854" s="197"/>
      <c r="N854" s="197"/>
      <c r="O854" s="197"/>
    </row>
    <row r="855" spans="1:15" ht="63.75" hidden="1">
      <c r="A855" s="189" t="s">
        <v>209</v>
      </c>
      <c r="B855" s="189" t="s">
        <v>683</v>
      </c>
      <c r="C855" s="189" t="s">
        <v>898</v>
      </c>
      <c r="D855" s="189" t="s">
        <v>869</v>
      </c>
      <c r="E855" s="223" t="s">
        <v>901</v>
      </c>
      <c r="F855" s="189" t="s">
        <v>153</v>
      </c>
      <c r="G855" s="281">
        <v>0.01</v>
      </c>
      <c r="H855" s="282">
        <v>0.01</v>
      </c>
      <c r="I855" s="195" t="s">
        <v>112</v>
      </c>
      <c r="J855" s="227" t="s">
        <v>206</v>
      </c>
      <c r="K855" s="199" t="s">
        <v>195</v>
      </c>
      <c r="L855" s="197"/>
      <c r="M855" s="197"/>
      <c r="N855" s="197"/>
      <c r="O855" s="197"/>
    </row>
    <row r="856" spans="1:15" hidden="1">
      <c r="A856" s="189" t="s">
        <v>209</v>
      </c>
      <c r="B856" s="189" t="s">
        <v>683</v>
      </c>
      <c r="C856" s="189" t="s">
        <v>894</v>
      </c>
      <c r="D856" s="189" t="s">
        <v>869</v>
      </c>
      <c r="E856" s="189" t="s">
        <v>1202</v>
      </c>
      <c r="F856" s="189" t="s">
        <v>265</v>
      </c>
      <c r="G856" s="282">
        <v>6703.22</v>
      </c>
      <c r="H856" s="282">
        <v>6703.22</v>
      </c>
      <c r="I856" s="198" t="s">
        <v>112</v>
      </c>
      <c r="J856" s="227" t="s">
        <v>206</v>
      </c>
      <c r="K856" s="189"/>
      <c r="L856" s="197"/>
      <c r="M856" s="197"/>
      <c r="N856" s="197"/>
      <c r="O856" s="197"/>
    </row>
    <row r="857" spans="1:15" hidden="1">
      <c r="A857" s="189" t="s">
        <v>209</v>
      </c>
      <c r="B857" s="189" t="s">
        <v>683</v>
      </c>
      <c r="C857" s="189" t="s">
        <v>898</v>
      </c>
      <c r="D857" s="189" t="s">
        <v>869</v>
      </c>
      <c r="E857" s="189" t="s">
        <v>901</v>
      </c>
      <c r="F857" s="189" t="s">
        <v>265</v>
      </c>
      <c r="G857" s="282">
        <v>0.01</v>
      </c>
      <c r="H857" s="282">
        <v>0.01</v>
      </c>
      <c r="I857" s="198" t="s">
        <v>112</v>
      </c>
      <c r="J857" s="227" t="s">
        <v>206</v>
      </c>
      <c r="K857" s="189"/>
      <c r="L857" s="197"/>
      <c r="M857" s="197"/>
      <c r="N857" s="197"/>
      <c r="O857" s="197"/>
    </row>
    <row r="858" spans="1:15" hidden="1">
      <c r="A858" s="199" t="s">
        <v>209</v>
      </c>
      <c r="B858" s="199" t="s">
        <v>683</v>
      </c>
      <c r="C858" s="199" t="s">
        <v>898</v>
      </c>
      <c r="D858" s="199" t="s">
        <v>869</v>
      </c>
      <c r="E858" s="199" t="s">
        <v>902</v>
      </c>
      <c r="F858" s="205" t="s">
        <v>265</v>
      </c>
      <c r="G858" s="292">
        <v>0.01</v>
      </c>
      <c r="H858" s="292">
        <v>0.01</v>
      </c>
      <c r="I858" s="257" t="s">
        <v>112</v>
      </c>
      <c r="J858" s="227" t="s">
        <v>206</v>
      </c>
      <c r="K858" s="199"/>
      <c r="L858" s="197"/>
      <c r="M858" s="197"/>
      <c r="N858" s="197"/>
      <c r="O858" s="197"/>
    </row>
    <row r="859" spans="1:15" ht="51" hidden="1">
      <c r="A859" s="189" t="s">
        <v>137</v>
      </c>
      <c r="B859" s="189" t="s">
        <v>138</v>
      </c>
      <c r="C859" s="189" t="s">
        <v>106</v>
      </c>
      <c r="D859" s="189" t="s">
        <v>655</v>
      </c>
      <c r="E859" s="223" t="s">
        <v>1205</v>
      </c>
      <c r="F859" s="189" t="s">
        <v>153</v>
      </c>
      <c r="G859" s="258">
        <v>-0.5</v>
      </c>
      <c r="H859" s="260">
        <v>-0.5</v>
      </c>
      <c r="I859" s="195" t="s">
        <v>106</v>
      </c>
      <c r="J859" s="195" t="s">
        <v>164</v>
      </c>
      <c r="K859" s="199"/>
      <c r="L859" s="197"/>
      <c r="M859" s="197"/>
      <c r="N859" s="197"/>
      <c r="O859" s="197"/>
    </row>
    <row r="860" spans="1:15" ht="51" hidden="1">
      <c r="A860" s="189" t="s">
        <v>137</v>
      </c>
      <c r="B860" s="189" t="s">
        <v>138</v>
      </c>
      <c r="C860" s="189" t="s">
        <v>106</v>
      </c>
      <c r="D860" s="189" t="s">
        <v>655</v>
      </c>
      <c r="E860" s="223" t="s">
        <v>1206</v>
      </c>
      <c r="F860" s="189" t="s">
        <v>153</v>
      </c>
      <c r="G860" s="258">
        <v>-0.5</v>
      </c>
      <c r="H860" s="260">
        <v>-0.5</v>
      </c>
      <c r="I860" s="195" t="s">
        <v>106</v>
      </c>
      <c r="J860" s="195" t="s">
        <v>164</v>
      </c>
      <c r="K860" s="199"/>
      <c r="L860" s="197"/>
      <c r="M860" s="197"/>
      <c r="N860" s="197"/>
      <c r="O860" s="197"/>
    </row>
    <row r="861" spans="1:15" ht="51" hidden="1">
      <c r="A861" s="189" t="s">
        <v>137</v>
      </c>
      <c r="B861" s="189" t="s">
        <v>138</v>
      </c>
      <c r="C861" s="189" t="s">
        <v>106</v>
      </c>
      <c r="D861" s="189" t="s">
        <v>655</v>
      </c>
      <c r="E861" s="223" t="s">
        <v>1207</v>
      </c>
      <c r="F861" s="189" t="s">
        <v>153</v>
      </c>
      <c r="G861" s="258">
        <v>-0.5</v>
      </c>
      <c r="H861" s="260">
        <v>-0.5</v>
      </c>
      <c r="I861" s="195" t="s">
        <v>106</v>
      </c>
      <c r="J861" s="195" t="s">
        <v>164</v>
      </c>
      <c r="K861" s="199"/>
      <c r="L861" s="197"/>
      <c r="M861" s="197"/>
      <c r="N861" s="197"/>
      <c r="O861" s="197"/>
    </row>
    <row r="862" spans="1:15" ht="51" hidden="1">
      <c r="A862" s="189" t="s">
        <v>137</v>
      </c>
      <c r="B862" s="189" t="s">
        <v>138</v>
      </c>
      <c r="C862" s="189" t="s">
        <v>106</v>
      </c>
      <c r="D862" s="189" t="s">
        <v>655</v>
      </c>
      <c r="E862" s="223" t="s">
        <v>1208</v>
      </c>
      <c r="F862" s="189" t="s">
        <v>153</v>
      </c>
      <c r="G862" s="258">
        <v>-0.5</v>
      </c>
      <c r="H862" s="260">
        <v>-0.5</v>
      </c>
      <c r="I862" s="195" t="s">
        <v>106</v>
      </c>
      <c r="J862" s="195" t="s">
        <v>164</v>
      </c>
      <c r="K862" s="199"/>
      <c r="L862" s="197"/>
      <c r="M862" s="197"/>
      <c r="N862" s="197"/>
      <c r="O862" s="197"/>
    </row>
    <row r="863" spans="1:15" ht="51" hidden="1">
      <c r="A863" s="189" t="s">
        <v>137</v>
      </c>
      <c r="B863" s="189" t="s">
        <v>138</v>
      </c>
      <c r="C863" s="189" t="s">
        <v>106</v>
      </c>
      <c r="D863" s="189" t="s">
        <v>655</v>
      </c>
      <c r="E863" s="223" t="s">
        <v>1209</v>
      </c>
      <c r="F863" s="189" t="s">
        <v>153</v>
      </c>
      <c r="G863" s="258">
        <v>-0.5</v>
      </c>
      <c r="H863" s="260">
        <v>-0.5</v>
      </c>
      <c r="I863" s="195" t="s">
        <v>106</v>
      </c>
      <c r="J863" s="195" t="s">
        <v>164</v>
      </c>
      <c r="K863" s="199"/>
      <c r="L863" s="197"/>
      <c r="M863" s="197"/>
      <c r="N863" s="197"/>
      <c r="O863" s="197"/>
    </row>
    <row r="864" spans="1:15" ht="51" hidden="1">
      <c r="A864" s="189" t="s">
        <v>137</v>
      </c>
      <c r="B864" s="189" t="s">
        <v>138</v>
      </c>
      <c r="C864" s="189" t="s">
        <v>106</v>
      </c>
      <c r="D864" s="189" t="s">
        <v>655</v>
      </c>
      <c r="E864" s="223" t="s">
        <v>1210</v>
      </c>
      <c r="F864" s="189" t="s">
        <v>153</v>
      </c>
      <c r="G864" s="258">
        <v>-0.5</v>
      </c>
      <c r="H864" s="260">
        <v>-0.5</v>
      </c>
      <c r="I864" s="195" t="s">
        <v>106</v>
      </c>
      <c r="J864" s="195" t="s">
        <v>164</v>
      </c>
      <c r="K864" s="199"/>
      <c r="L864" s="197"/>
      <c r="M864" s="197"/>
      <c r="N864" s="197"/>
      <c r="O864" s="197"/>
    </row>
    <row r="865" spans="1:15" ht="51" hidden="1">
      <c r="A865" s="189" t="s">
        <v>137</v>
      </c>
      <c r="B865" s="189" t="s">
        <v>138</v>
      </c>
      <c r="C865" s="189" t="s">
        <v>106</v>
      </c>
      <c r="D865" s="189" t="s">
        <v>655</v>
      </c>
      <c r="E865" s="223" t="s">
        <v>1211</v>
      </c>
      <c r="F865" s="189" t="s">
        <v>153</v>
      </c>
      <c r="G865" s="258">
        <v>-0.5</v>
      </c>
      <c r="H865" s="260">
        <v>-0.5</v>
      </c>
      <c r="I865" s="195" t="s">
        <v>106</v>
      </c>
      <c r="J865" s="195" t="s">
        <v>164</v>
      </c>
      <c r="K865" s="199"/>
      <c r="L865" s="197"/>
      <c r="M865" s="197"/>
      <c r="N865" s="197"/>
      <c r="O865" s="197"/>
    </row>
    <row r="866" spans="1:15" ht="51" hidden="1">
      <c r="A866" s="189" t="s">
        <v>137</v>
      </c>
      <c r="B866" s="189" t="s">
        <v>138</v>
      </c>
      <c r="C866" s="189" t="s">
        <v>106</v>
      </c>
      <c r="D866" s="189" t="s">
        <v>655</v>
      </c>
      <c r="E866" s="223" t="s">
        <v>1212</v>
      </c>
      <c r="F866" s="189" t="s">
        <v>153</v>
      </c>
      <c r="G866" s="258">
        <v>-0.5</v>
      </c>
      <c r="H866" s="260">
        <v>-0.5</v>
      </c>
      <c r="I866" s="195" t="s">
        <v>106</v>
      </c>
      <c r="J866" s="195" t="s">
        <v>164</v>
      </c>
      <c r="K866" s="199"/>
      <c r="L866" s="197"/>
      <c r="M866" s="197"/>
      <c r="N866" s="197"/>
      <c r="O866" s="197"/>
    </row>
    <row r="867" spans="1:15" ht="51" hidden="1">
      <c r="A867" s="189" t="s">
        <v>137</v>
      </c>
      <c r="B867" s="189" t="s">
        <v>138</v>
      </c>
      <c r="C867" s="189" t="s">
        <v>106</v>
      </c>
      <c r="D867" s="189" t="s">
        <v>655</v>
      </c>
      <c r="E867" s="223" t="s">
        <v>1213</v>
      </c>
      <c r="F867" s="189" t="s">
        <v>153</v>
      </c>
      <c r="G867" s="258">
        <v>-0.5</v>
      </c>
      <c r="H867" s="260">
        <v>-0.5</v>
      </c>
      <c r="I867" s="195" t="s">
        <v>106</v>
      </c>
      <c r="J867" s="195" t="s">
        <v>164</v>
      </c>
      <c r="K867" s="199"/>
      <c r="L867" s="197"/>
      <c r="M867" s="197"/>
      <c r="N867" s="197"/>
      <c r="O867" s="197"/>
    </row>
    <row r="868" spans="1:15" ht="51" hidden="1">
      <c r="A868" s="189" t="s">
        <v>137</v>
      </c>
      <c r="B868" s="189" t="s">
        <v>138</v>
      </c>
      <c r="C868" s="189" t="s">
        <v>106</v>
      </c>
      <c r="D868" s="189" t="s">
        <v>655</v>
      </c>
      <c r="E868" s="223" t="s">
        <v>1214</v>
      </c>
      <c r="F868" s="189" t="s">
        <v>153</v>
      </c>
      <c r="G868" s="258">
        <v>-0.5</v>
      </c>
      <c r="H868" s="260">
        <v>-0.5</v>
      </c>
      <c r="I868" s="195" t="s">
        <v>106</v>
      </c>
      <c r="J868" s="195" t="s">
        <v>164</v>
      </c>
      <c r="K868" s="199"/>
      <c r="L868" s="197"/>
      <c r="M868" s="197"/>
      <c r="N868" s="197"/>
      <c r="O868" s="197"/>
    </row>
    <row r="869" spans="1:15" ht="51" hidden="1">
      <c r="A869" s="189" t="s">
        <v>137</v>
      </c>
      <c r="B869" s="189" t="s">
        <v>138</v>
      </c>
      <c r="C869" s="189" t="s">
        <v>106</v>
      </c>
      <c r="D869" s="189" t="s">
        <v>655</v>
      </c>
      <c r="E869" s="223" t="s">
        <v>1215</v>
      </c>
      <c r="F869" s="189" t="s">
        <v>153</v>
      </c>
      <c r="G869" s="258">
        <v>-0.5</v>
      </c>
      <c r="H869" s="260">
        <v>-0.5</v>
      </c>
      <c r="I869" s="195" t="s">
        <v>106</v>
      </c>
      <c r="J869" s="195" t="s">
        <v>164</v>
      </c>
      <c r="K869" s="199"/>
      <c r="L869" s="197"/>
      <c r="M869" s="197"/>
      <c r="N869" s="197"/>
      <c r="O869" s="197"/>
    </row>
    <row r="870" spans="1:15" ht="51" hidden="1">
      <c r="A870" s="189" t="s">
        <v>137</v>
      </c>
      <c r="B870" s="189" t="s">
        <v>138</v>
      </c>
      <c r="C870" s="189" t="s">
        <v>106</v>
      </c>
      <c r="D870" s="189" t="s">
        <v>655</v>
      </c>
      <c r="E870" s="223" t="s">
        <v>1216</v>
      </c>
      <c r="F870" s="189" t="s">
        <v>153</v>
      </c>
      <c r="G870" s="258">
        <v>-0.5</v>
      </c>
      <c r="H870" s="260">
        <v>-0.5</v>
      </c>
      <c r="I870" s="195" t="s">
        <v>106</v>
      </c>
      <c r="J870" s="195" t="s">
        <v>164</v>
      </c>
      <c r="K870" s="199"/>
      <c r="L870" s="197"/>
      <c r="M870" s="197"/>
      <c r="N870" s="197"/>
      <c r="O870" s="197"/>
    </row>
    <row r="871" spans="1:15" ht="51" hidden="1">
      <c r="A871" s="189" t="s">
        <v>137</v>
      </c>
      <c r="B871" s="189" t="s">
        <v>138</v>
      </c>
      <c r="C871" s="189" t="s">
        <v>106</v>
      </c>
      <c r="D871" s="189" t="s">
        <v>655</v>
      </c>
      <c r="E871" s="223" t="s">
        <v>1217</v>
      </c>
      <c r="F871" s="189" t="s">
        <v>153</v>
      </c>
      <c r="G871" s="258">
        <v>-0.5</v>
      </c>
      <c r="H871" s="260">
        <v>-0.5</v>
      </c>
      <c r="I871" s="195" t="s">
        <v>106</v>
      </c>
      <c r="J871" s="195" t="s">
        <v>164</v>
      </c>
      <c r="K871" s="199"/>
      <c r="L871" s="197"/>
      <c r="M871" s="197"/>
      <c r="N871" s="197"/>
      <c r="O871" s="197"/>
    </row>
    <row r="872" spans="1:15" ht="51" hidden="1">
      <c r="A872" s="189" t="s">
        <v>137</v>
      </c>
      <c r="B872" s="189" t="s">
        <v>138</v>
      </c>
      <c r="C872" s="189" t="s">
        <v>106</v>
      </c>
      <c r="D872" s="189" t="s">
        <v>655</v>
      </c>
      <c r="E872" s="223" t="s">
        <v>1218</v>
      </c>
      <c r="F872" s="189" t="s">
        <v>153</v>
      </c>
      <c r="G872" s="258">
        <v>-0.5</v>
      </c>
      <c r="H872" s="260">
        <v>-0.5</v>
      </c>
      <c r="I872" s="195" t="s">
        <v>106</v>
      </c>
      <c r="J872" s="195" t="s">
        <v>164</v>
      </c>
      <c r="K872" s="199"/>
      <c r="L872" s="197"/>
      <c r="M872" s="197"/>
      <c r="N872" s="197"/>
      <c r="O872" s="197"/>
    </row>
    <row r="873" spans="1:15" ht="51" hidden="1">
      <c r="A873" s="189" t="s">
        <v>137</v>
      </c>
      <c r="B873" s="189" t="s">
        <v>138</v>
      </c>
      <c r="C873" s="189" t="s">
        <v>106</v>
      </c>
      <c r="D873" s="189" t="s">
        <v>655</v>
      </c>
      <c r="E873" s="223" t="s">
        <v>1219</v>
      </c>
      <c r="F873" s="189" t="s">
        <v>153</v>
      </c>
      <c r="G873" s="258">
        <v>-0.5</v>
      </c>
      <c r="H873" s="260">
        <v>-0.5</v>
      </c>
      <c r="I873" s="195" t="s">
        <v>106</v>
      </c>
      <c r="J873" s="195" t="s">
        <v>164</v>
      </c>
      <c r="K873" s="199"/>
      <c r="L873" s="197"/>
      <c r="M873" s="197"/>
      <c r="N873" s="197"/>
      <c r="O873" s="197"/>
    </row>
    <row r="874" spans="1:15" ht="51" hidden="1">
      <c r="A874" s="189" t="s">
        <v>137</v>
      </c>
      <c r="B874" s="189" t="s">
        <v>138</v>
      </c>
      <c r="C874" s="189" t="s">
        <v>106</v>
      </c>
      <c r="D874" s="189" t="s">
        <v>655</v>
      </c>
      <c r="E874" s="223" t="s">
        <v>1220</v>
      </c>
      <c r="F874" s="189" t="s">
        <v>153</v>
      </c>
      <c r="G874" s="258">
        <v>-0.5</v>
      </c>
      <c r="H874" s="260">
        <v>-0.5</v>
      </c>
      <c r="I874" s="195" t="s">
        <v>106</v>
      </c>
      <c r="J874" s="195" t="s">
        <v>164</v>
      </c>
      <c r="K874" s="199"/>
      <c r="L874" s="197"/>
      <c r="M874" s="197"/>
      <c r="N874" s="197"/>
      <c r="O874" s="197"/>
    </row>
    <row r="875" spans="1:15" ht="51" hidden="1">
      <c r="A875" s="189" t="s">
        <v>137</v>
      </c>
      <c r="B875" s="189" t="s">
        <v>138</v>
      </c>
      <c r="C875" s="189" t="s">
        <v>106</v>
      </c>
      <c r="D875" s="189" t="s">
        <v>655</v>
      </c>
      <c r="E875" s="223" t="s">
        <v>1221</v>
      </c>
      <c r="F875" s="189" t="s">
        <v>153</v>
      </c>
      <c r="G875" s="258">
        <v>-0.5</v>
      </c>
      <c r="H875" s="260">
        <v>-0.5</v>
      </c>
      <c r="I875" s="195" t="s">
        <v>106</v>
      </c>
      <c r="J875" s="195" t="s">
        <v>164</v>
      </c>
      <c r="K875" s="199"/>
      <c r="L875" s="197"/>
      <c r="M875" s="197"/>
      <c r="N875" s="197"/>
      <c r="O875" s="197"/>
    </row>
    <row r="876" spans="1:15" ht="51" hidden="1">
      <c r="A876" s="189" t="s">
        <v>137</v>
      </c>
      <c r="B876" s="189" t="s">
        <v>138</v>
      </c>
      <c r="C876" s="189" t="s">
        <v>106</v>
      </c>
      <c r="D876" s="189" t="s">
        <v>655</v>
      </c>
      <c r="E876" s="223" t="s">
        <v>1222</v>
      </c>
      <c r="F876" s="189" t="s">
        <v>153</v>
      </c>
      <c r="G876" s="258">
        <v>-0.5</v>
      </c>
      <c r="H876" s="260">
        <v>-0.5</v>
      </c>
      <c r="I876" s="195" t="s">
        <v>106</v>
      </c>
      <c r="J876" s="195" t="s">
        <v>164</v>
      </c>
      <c r="K876" s="199"/>
      <c r="L876" s="197"/>
      <c r="M876" s="197"/>
      <c r="N876" s="197"/>
      <c r="O876" s="197"/>
    </row>
    <row r="877" spans="1:15" ht="51" hidden="1">
      <c r="A877" s="189" t="s">
        <v>137</v>
      </c>
      <c r="B877" s="189" t="s">
        <v>138</v>
      </c>
      <c r="C877" s="189" t="s">
        <v>106</v>
      </c>
      <c r="D877" s="189" t="s">
        <v>655</v>
      </c>
      <c r="E877" s="223" t="s">
        <v>1223</v>
      </c>
      <c r="F877" s="189" t="s">
        <v>153</v>
      </c>
      <c r="G877" s="258">
        <v>-0.5</v>
      </c>
      <c r="H877" s="260">
        <v>-0.5</v>
      </c>
      <c r="I877" s="195" t="s">
        <v>106</v>
      </c>
      <c r="J877" s="195" t="s">
        <v>164</v>
      </c>
      <c r="K877" s="199"/>
      <c r="L877" s="197"/>
      <c r="M877" s="197"/>
      <c r="N877" s="197"/>
      <c r="O877" s="197"/>
    </row>
    <row r="878" spans="1:15" ht="51" hidden="1">
      <c r="A878" s="189" t="s">
        <v>137</v>
      </c>
      <c r="B878" s="189" t="s">
        <v>138</v>
      </c>
      <c r="C878" s="189" t="s">
        <v>106</v>
      </c>
      <c r="D878" s="189" t="s">
        <v>655</v>
      </c>
      <c r="E878" s="223" t="s">
        <v>1224</v>
      </c>
      <c r="F878" s="189" t="s">
        <v>153</v>
      </c>
      <c r="G878" s="258">
        <v>-0.5</v>
      </c>
      <c r="H878" s="260">
        <v>-0.5</v>
      </c>
      <c r="I878" s="195" t="s">
        <v>106</v>
      </c>
      <c r="J878" s="195" t="s">
        <v>164</v>
      </c>
      <c r="K878" s="199"/>
      <c r="L878" s="197"/>
      <c r="M878" s="197"/>
      <c r="N878" s="197"/>
      <c r="O878" s="197"/>
    </row>
    <row r="879" spans="1:15" ht="51" hidden="1">
      <c r="A879" s="189" t="s">
        <v>137</v>
      </c>
      <c r="B879" s="189" t="s">
        <v>138</v>
      </c>
      <c r="C879" s="189" t="s">
        <v>106</v>
      </c>
      <c r="D879" s="189" t="s">
        <v>655</v>
      </c>
      <c r="E879" s="223" t="s">
        <v>1225</v>
      </c>
      <c r="F879" s="189" t="s">
        <v>153</v>
      </c>
      <c r="G879" s="258">
        <v>-0.5</v>
      </c>
      <c r="H879" s="260">
        <v>-0.5</v>
      </c>
      <c r="I879" s="195" t="s">
        <v>106</v>
      </c>
      <c r="J879" s="195" t="s">
        <v>164</v>
      </c>
      <c r="K879" s="199"/>
      <c r="L879" s="197"/>
      <c r="M879" s="197"/>
      <c r="N879" s="197"/>
      <c r="O879" s="197"/>
    </row>
    <row r="880" spans="1:15" ht="51" hidden="1">
      <c r="A880" s="189" t="s">
        <v>137</v>
      </c>
      <c r="B880" s="189" t="s">
        <v>138</v>
      </c>
      <c r="C880" s="189" t="s">
        <v>106</v>
      </c>
      <c r="D880" s="189" t="s">
        <v>655</v>
      </c>
      <c r="E880" s="223" t="s">
        <v>1226</v>
      </c>
      <c r="F880" s="189" t="s">
        <v>153</v>
      </c>
      <c r="G880" s="258">
        <v>-0.5</v>
      </c>
      <c r="H880" s="260">
        <v>-0.5</v>
      </c>
      <c r="I880" s="195" t="s">
        <v>106</v>
      </c>
      <c r="J880" s="195" t="s">
        <v>164</v>
      </c>
      <c r="K880" s="199"/>
      <c r="L880" s="197"/>
      <c r="M880" s="197"/>
      <c r="N880" s="197"/>
      <c r="O880" s="197"/>
    </row>
    <row r="881" spans="1:15" ht="51" hidden="1">
      <c r="A881" s="189" t="s">
        <v>137</v>
      </c>
      <c r="B881" s="189" t="s">
        <v>138</v>
      </c>
      <c r="C881" s="189" t="s">
        <v>106</v>
      </c>
      <c r="D881" s="189" t="s">
        <v>655</v>
      </c>
      <c r="E881" s="223" t="s">
        <v>1227</v>
      </c>
      <c r="F881" s="189" t="s">
        <v>153</v>
      </c>
      <c r="G881" s="258">
        <v>-0.5</v>
      </c>
      <c r="H881" s="260">
        <v>-0.5</v>
      </c>
      <c r="I881" s="195" t="s">
        <v>106</v>
      </c>
      <c r="J881" s="195" t="s">
        <v>164</v>
      </c>
      <c r="K881" s="294"/>
      <c r="L881" s="197"/>
      <c r="M881" s="197"/>
      <c r="N881" s="197"/>
      <c r="O881" s="197"/>
    </row>
    <row r="882" spans="1:15" ht="51" hidden="1">
      <c r="A882" s="189" t="s">
        <v>137</v>
      </c>
      <c r="B882" s="189" t="s">
        <v>138</v>
      </c>
      <c r="C882" s="189" t="s">
        <v>106</v>
      </c>
      <c r="D882" s="189" t="s">
        <v>655</v>
      </c>
      <c r="E882" s="223" t="s">
        <v>1228</v>
      </c>
      <c r="F882" s="189" t="s">
        <v>153</v>
      </c>
      <c r="G882" s="258">
        <v>-0.5</v>
      </c>
      <c r="H882" s="260">
        <v>-0.5</v>
      </c>
      <c r="I882" s="195" t="s">
        <v>106</v>
      </c>
      <c r="J882" s="195" t="s">
        <v>164</v>
      </c>
      <c r="K882" s="294"/>
      <c r="L882" s="197"/>
      <c r="M882" s="197"/>
      <c r="N882" s="197"/>
      <c r="O882" s="197"/>
    </row>
    <row r="883" spans="1:15" ht="51" hidden="1">
      <c r="A883" s="189" t="s">
        <v>137</v>
      </c>
      <c r="B883" s="189" t="s">
        <v>138</v>
      </c>
      <c r="C883" s="189" t="s">
        <v>106</v>
      </c>
      <c r="D883" s="189" t="s">
        <v>655</v>
      </c>
      <c r="E883" s="223" t="s">
        <v>1229</v>
      </c>
      <c r="F883" s="189" t="s">
        <v>153</v>
      </c>
      <c r="G883" s="258">
        <v>-0.5</v>
      </c>
      <c r="H883" s="260">
        <v>-0.5</v>
      </c>
      <c r="I883" s="195" t="s">
        <v>106</v>
      </c>
      <c r="J883" s="195" t="s">
        <v>164</v>
      </c>
      <c r="K883" s="199"/>
      <c r="L883" s="197"/>
      <c r="M883" s="197"/>
      <c r="N883" s="197"/>
      <c r="O883" s="197"/>
    </row>
    <row r="884" spans="1:15" ht="51" hidden="1">
      <c r="A884" s="189" t="s">
        <v>137</v>
      </c>
      <c r="B884" s="189" t="s">
        <v>138</v>
      </c>
      <c r="C884" s="189" t="s">
        <v>106</v>
      </c>
      <c r="D884" s="189" t="s">
        <v>655</v>
      </c>
      <c r="E884" s="223" t="s">
        <v>1230</v>
      </c>
      <c r="F884" s="189" t="s">
        <v>153</v>
      </c>
      <c r="G884" s="258">
        <v>-0.5</v>
      </c>
      <c r="H884" s="260">
        <v>-0.5</v>
      </c>
      <c r="I884" s="195" t="s">
        <v>106</v>
      </c>
      <c r="J884" s="195" t="s">
        <v>164</v>
      </c>
      <c r="K884" s="199"/>
      <c r="L884" s="197"/>
      <c r="M884" s="197"/>
      <c r="N884" s="197"/>
      <c r="O884" s="197"/>
    </row>
    <row r="885" spans="1:15" ht="51" hidden="1">
      <c r="A885" s="189" t="s">
        <v>137</v>
      </c>
      <c r="B885" s="189" t="s">
        <v>138</v>
      </c>
      <c r="C885" s="189" t="s">
        <v>106</v>
      </c>
      <c r="D885" s="189" t="s">
        <v>655</v>
      </c>
      <c r="E885" s="223" t="s">
        <v>1231</v>
      </c>
      <c r="F885" s="189" t="s">
        <v>153</v>
      </c>
      <c r="G885" s="258">
        <v>-0.5</v>
      </c>
      <c r="H885" s="260">
        <v>-0.5</v>
      </c>
      <c r="I885" s="195" t="s">
        <v>106</v>
      </c>
      <c r="J885" s="195" t="s">
        <v>164</v>
      </c>
      <c r="K885" s="199"/>
      <c r="L885" s="197"/>
      <c r="M885" s="197"/>
      <c r="N885" s="197"/>
      <c r="O885" s="197"/>
    </row>
    <row r="886" spans="1:15" ht="51" hidden="1">
      <c r="A886" s="189" t="s">
        <v>137</v>
      </c>
      <c r="B886" s="189" t="s">
        <v>138</v>
      </c>
      <c r="C886" s="189" t="s">
        <v>106</v>
      </c>
      <c r="D886" s="189" t="s">
        <v>655</v>
      </c>
      <c r="E886" s="223" t="s">
        <v>1232</v>
      </c>
      <c r="F886" s="189" t="s">
        <v>153</v>
      </c>
      <c r="G886" s="258">
        <v>-0.5</v>
      </c>
      <c r="H886" s="260">
        <v>-0.5</v>
      </c>
      <c r="I886" s="195" t="s">
        <v>106</v>
      </c>
      <c r="J886" s="195" t="s">
        <v>164</v>
      </c>
      <c r="K886" s="199"/>
      <c r="L886" s="197"/>
      <c r="M886" s="197"/>
      <c r="N886" s="197"/>
      <c r="O886" s="197"/>
    </row>
    <row r="887" spans="1:15" ht="51" hidden="1">
      <c r="A887" s="189" t="s">
        <v>137</v>
      </c>
      <c r="B887" s="189" t="s">
        <v>138</v>
      </c>
      <c r="C887" s="189" t="s">
        <v>106</v>
      </c>
      <c r="D887" s="189" t="s">
        <v>655</v>
      </c>
      <c r="E887" s="223" t="s">
        <v>1233</v>
      </c>
      <c r="F887" s="189" t="s">
        <v>153</v>
      </c>
      <c r="G887" s="258">
        <v>-0.5</v>
      </c>
      <c r="H887" s="260">
        <v>-0.5</v>
      </c>
      <c r="I887" s="195" t="s">
        <v>106</v>
      </c>
      <c r="J887" s="195" t="s">
        <v>164</v>
      </c>
      <c r="K887" s="199"/>
      <c r="L887" s="197"/>
      <c r="M887" s="197"/>
      <c r="N887" s="197"/>
      <c r="O887" s="197"/>
    </row>
    <row r="888" spans="1:15" ht="38.25" hidden="1">
      <c r="A888" s="189" t="s">
        <v>137</v>
      </c>
      <c r="B888" s="189" t="s">
        <v>138</v>
      </c>
      <c r="C888" s="189" t="s">
        <v>106</v>
      </c>
      <c r="D888" s="189" t="s">
        <v>655</v>
      </c>
      <c r="E888" s="223" t="s">
        <v>1234</v>
      </c>
      <c r="F888" s="189" t="s">
        <v>153</v>
      </c>
      <c r="G888" s="258">
        <v>-1.99</v>
      </c>
      <c r="H888" s="260">
        <v>-1.99</v>
      </c>
      <c r="I888" s="195" t="s">
        <v>106</v>
      </c>
      <c r="J888" s="195" t="s">
        <v>164</v>
      </c>
      <c r="K888" s="199"/>
      <c r="L888" s="197"/>
      <c r="M888" s="197"/>
      <c r="N888" s="197"/>
      <c r="O888" s="197"/>
    </row>
    <row r="889" spans="1:15" ht="51" hidden="1">
      <c r="A889" s="189" t="s">
        <v>137</v>
      </c>
      <c r="B889" s="189" t="s">
        <v>138</v>
      </c>
      <c r="C889" s="189" t="s">
        <v>106</v>
      </c>
      <c r="D889" s="189" t="s">
        <v>655</v>
      </c>
      <c r="E889" s="223" t="s">
        <v>1235</v>
      </c>
      <c r="F889" s="189" t="s">
        <v>153</v>
      </c>
      <c r="G889" s="258">
        <v>-0.5</v>
      </c>
      <c r="H889" s="260">
        <v>-0.5</v>
      </c>
      <c r="I889" s="195" t="s">
        <v>106</v>
      </c>
      <c r="J889" s="195" t="s">
        <v>164</v>
      </c>
      <c r="K889" s="199"/>
      <c r="L889" s="197"/>
      <c r="M889" s="197"/>
      <c r="N889" s="197"/>
      <c r="O889" s="197"/>
    </row>
    <row r="890" spans="1:15" ht="51" hidden="1">
      <c r="A890" s="189" t="s">
        <v>137</v>
      </c>
      <c r="B890" s="189" t="s">
        <v>138</v>
      </c>
      <c r="C890" s="189" t="s">
        <v>106</v>
      </c>
      <c r="D890" s="189" t="s">
        <v>655</v>
      </c>
      <c r="E890" s="223" t="s">
        <v>1236</v>
      </c>
      <c r="F890" s="189" t="s">
        <v>153</v>
      </c>
      <c r="G890" s="258">
        <v>-0.5</v>
      </c>
      <c r="H890" s="260">
        <v>-0.5</v>
      </c>
      <c r="I890" s="195" t="s">
        <v>106</v>
      </c>
      <c r="J890" s="195" t="s">
        <v>164</v>
      </c>
      <c r="K890" s="294"/>
      <c r="L890" s="197"/>
      <c r="M890" s="197"/>
      <c r="N890" s="197"/>
      <c r="O890" s="197"/>
    </row>
    <row r="891" spans="1:15" ht="51" hidden="1">
      <c r="A891" s="189" t="s">
        <v>137</v>
      </c>
      <c r="B891" s="189" t="s">
        <v>138</v>
      </c>
      <c r="C891" s="189" t="s">
        <v>106</v>
      </c>
      <c r="D891" s="189" t="s">
        <v>655</v>
      </c>
      <c r="E891" s="223" t="s">
        <v>1237</v>
      </c>
      <c r="F891" s="189" t="s">
        <v>153</v>
      </c>
      <c r="G891" s="258">
        <v>-0.5</v>
      </c>
      <c r="H891" s="260">
        <v>-0.5</v>
      </c>
      <c r="I891" s="195" t="s">
        <v>106</v>
      </c>
      <c r="J891" s="195" t="s">
        <v>164</v>
      </c>
      <c r="K891" s="294"/>
      <c r="L891" s="197"/>
      <c r="M891" s="197"/>
      <c r="N891" s="197"/>
      <c r="O891" s="197"/>
    </row>
    <row r="892" spans="1:15" ht="51" hidden="1">
      <c r="A892" s="189" t="s">
        <v>137</v>
      </c>
      <c r="B892" s="189" t="s">
        <v>138</v>
      </c>
      <c r="C892" s="189" t="s">
        <v>106</v>
      </c>
      <c r="D892" s="189" t="s">
        <v>655</v>
      </c>
      <c r="E892" s="223" t="s">
        <v>1238</v>
      </c>
      <c r="F892" s="189" t="s">
        <v>153</v>
      </c>
      <c r="G892" s="258">
        <v>-0.5</v>
      </c>
      <c r="H892" s="260">
        <v>-0.5</v>
      </c>
      <c r="I892" s="195" t="s">
        <v>106</v>
      </c>
      <c r="J892" s="195" t="s">
        <v>164</v>
      </c>
      <c r="K892" s="199"/>
      <c r="L892" s="197"/>
      <c r="M892" s="197"/>
      <c r="N892" s="197"/>
      <c r="O892" s="197"/>
    </row>
    <row r="893" spans="1:15" ht="51" hidden="1">
      <c r="A893" s="189" t="s">
        <v>137</v>
      </c>
      <c r="B893" s="189" t="s">
        <v>138</v>
      </c>
      <c r="C893" s="189" t="s">
        <v>106</v>
      </c>
      <c r="D893" s="189" t="s">
        <v>655</v>
      </c>
      <c r="E893" s="223" t="s">
        <v>1239</v>
      </c>
      <c r="F893" s="189" t="s">
        <v>153</v>
      </c>
      <c r="G893" s="258">
        <v>-0.5</v>
      </c>
      <c r="H893" s="260">
        <v>-0.5</v>
      </c>
      <c r="I893" s="195" t="s">
        <v>106</v>
      </c>
      <c r="J893" s="195" t="s">
        <v>164</v>
      </c>
      <c r="K893" s="294"/>
      <c r="L893" s="197"/>
      <c r="M893" s="197"/>
      <c r="N893" s="197"/>
      <c r="O893" s="197"/>
    </row>
    <row r="894" spans="1:15" ht="51" hidden="1">
      <c r="A894" s="189" t="s">
        <v>137</v>
      </c>
      <c r="B894" s="189" t="s">
        <v>138</v>
      </c>
      <c r="C894" s="189" t="s">
        <v>106</v>
      </c>
      <c r="D894" s="189" t="s">
        <v>655</v>
      </c>
      <c r="E894" s="223" t="s">
        <v>1240</v>
      </c>
      <c r="F894" s="189" t="s">
        <v>153</v>
      </c>
      <c r="G894" s="258">
        <v>-0.5</v>
      </c>
      <c r="H894" s="260">
        <v>-0.5</v>
      </c>
      <c r="I894" s="195" t="s">
        <v>106</v>
      </c>
      <c r="J894" s="195" t="s">
        <v>164</v>
      </c>
      <c r="K894" s="199"/>
      <c r="L894" s="197"/>
      <c r="M894" s="197"/>
      <c r="N894" s="197"/>
      <c r="O894" s="197"/>
    </row>
    <row r="895" spans="1:15" ht="51" hidden="1">
      <c r="A895" s="189" t="s">
        <v>137</v>
      </c>
      <c r="B895" s="189" t="s">
        <v>138</v>
      </c>
      <c r="C895" s="189" t="s">
        <v>106</v>
      </c>
      <c r="D895" s="189" t="s">
        <v>655</v>
      </c>
      <c r="E895" s="223" t="s">
        <v>1241</v>
      </c>
      <c r="F895" s="189" t="s">
        <v>153</v>
      </c>
      <c r="G895" s="258">
        <v>-0.5</v>
      </c>
      <c r="H895" s="260">
        <v>-0.5</v>
      </c>
      <c r="I895" s="195" t="s">
        <v>106</v>
      </c>
      <c r="J895" s="195" t="s">
        <v>164</v>
      </c>
      <c r="K895" s="199"/>
      <c r="L895" s="197"/>
      <c r="M895" s="197"/>
      <c r="N895" s="197"/>
      <c r="O895" s="197"/>
    </row>
    <row r="896" spans="1:15" ht="51" hidden="1">
      <c r="A896" s="189" t="s">
        <v>137</v>
      </c>
      <c r="B896" s="189" t="s">
        <v>138</v>
      </c>
      <c r="C896" s="189" t="s">
        <v>106</v>
      </c>
      <c r="D896" s="189" t="s">
        <v>655</v>
      </c>
      <c r="E896" s="223" t="s">
        <v>1242</v>
      </c>
      <c r="F896" s="189" t="s">
        <v>153</v>
      </c>
      <c r="G896" s="258">
        <v>-3.99</v>
      </c>
      <c r="H896" s="260">
        <v>-3.99</v>
      </c>
      <c r="I896" s="195" t="s">
        <v>106</v>
      </c>
      <c r="J896" s="195" t="s">
        <v>164</v>
      </c>
      <c r="K896" s="199"/>
      <c r="L896" s="197"/>
      <c r="M896" s="197"/>
      <c r="N896" s="197"/>
      <c r="O896" s="197"/>
    </row>
    <row r="897" spans="1:15" ht="51" hidden="1">
      <c r="A897" s="189" t="s">
        <v>137</v>
      </c>
      <c r="B897" s="189" t="s">
        <v>138</v>
      </c>
      <c r="C897" s="189" t="s">
        <v>106</v>
      </c>
      <c r="D897" s="189" t="s">
        <v>655</v>
      </c>
      <c r="E897" s="223" t="s">
        <v>1243</v>
      </c>
      <c r="F897" s="189" t="s">
        <v>153</v>
      </c>
      <c r="G897" s="258">
        <v>-0.5</v>
      </c>
      <c r="H897" s="260">
        <v>-0.5</v>
      </c>
      <c r="I897" s="195" t="s">
        <v>106</v>
      </c>
      <c r="J897" s="195" t="s">
        <v>164</v>
      </c>
      <c r="K897" s="199"/>
      <c r="L897" s="197"/>
      <c r="M897" s="197"/>
      <c r="N897" s="197"/>
      <c r="O897" s="197"/>
    </row>
    <row r="898" spans="1:15" ht="51" hidden="1">
      <c r="A898" s="189" t="s">
        <v>137</v>
      </c>
      <c r="B898" s="189" t="s">
        <v>138</v>
      </c>
      <c r="C898" s="189" t="s">
        <v>106</v>
      </c>
      <c r="D898" s="189" t="s">
        <v>655</v>
      </c>
      <c r="E898" s="223" t="s">
        <v>1244</v>
      </c>
      <c r="F898" s="189" t="s">
        <v>153</v>
      </c>
      <c r="G898" s="258">
        <v>-0.5</v>
      </c>
      <c r="H898" s="260">
        <v>-0.5</v>
      </c>
      <c r="I898" s="195" t="s">
        <v>106</v>
      </c>
      <c r="J898" s="195" t="s">
        <v>164</v>
      </c>
      <c r="K898" s="199"/>
      <c r="L898" s="197"/>
      <c r="M898" s="197"/>
      <c r="N898" s="197"/>
      <c r="O898" s="197"/>
    </row>
    <row r="899" spans="1:15" ht="51" hidden="1">
      <c r="A899" s="189" t="s">
        <v>137</v>
      </c>
      <c r="B899" s="189" t="s">
        <v>138</v>
      </c>
      <c r="C899" s="189" t="s">
        <v>106</v>
      </c>
      <c r="D899" s="189" t="s">
        <v>655</v>
      </c>
      <c r="E899" s="223" t="s">
        <v>1245</v>
      </c>
      <c r="F899" s="189" t="s">
        <v>153</v>
      </c>
      <c r="G899" s="258">
        <v>-0.5</v>
      </c>
      <c r="H899" s="260">
        <v>-0.5</v>
      </c>
      <c r="I899" s="195" t="s">
        <v>106</v>
      </c>
      <c r="J899" s="195" t="s">
        <v>164</v>
      </c>
      <c r="K899" s="199"/>
      <c r="L899" s="197"/>
      <c r="M899" s="197"/>
      <c r="N899" s="197"/>
      <c r="O899" s="197"/>
    </row>
    <row r="900" spans="1:15">
      <c r="A900" s="279" t="s">
        <v>232</v>
      </c>
      <c r="B900" s="279" t="s">
        <v>683</v>
      </c>
      <c r="C900" s="279" t="s">
        <v>894</v>
      </c>
      <c r="D900" s="279" t="s">
        <v>1246</v>
      </c>
      <c r="E900" s="279" t="s">
        <v>1247</v>
      </c>
      <c r="F900" s="267" t="s">
        <v>268</v>
      </c>
      <c r="G900" s="306">
        <v>8344.2199999999993</v>
      </c>
      <c r="H900" s="306">
        <v>8344.2199999999993</v>
      </c>
      <c r="I900" s="257" t="s">
        <v>112</v>
      </c>
      <c r="J900" s="227" t="s">
        <v>206</v>
      </c>
      <c r="K900" s="199"/>
      <c r="L900" s="197"/>
      <c r="M900" s="197"/>
      <c r="N900" s="197"/>
      <c r="O900" s="197"/>
    </row>
    <row r="901" spans="1:15" ht="51" hidden="1">
      <c r="A901" s="189" t="s">
        <v>137</v>
      </c>
      <c r="B901" s="189" t="s">
        <v>138</v>
      </c>
      <c r="C901" s="189" t="s">
        <v>106</v>
      </c>
      <c r="D901" s="189" t="s">
        <v>655</v>
      </c>
      <c r="E901" s="223" t="s">
        <v>1248</v>
      </c>
      <c r="F901" s="189" t="s">
        <v>153</v>
      </c>
      <c r="G901" s="258">
        <v>-0.5</v>
      </c>
      <c r="H901" s="260">
        <v>-0.5</v>
      </c>
      <c r="I901" s="195" t="s">
        <v>106</v>
      </c>
      <c r="J901" s="195" t="s">
        <v>164</v>
      </c>
      <c r="K901" s="199"/>
      <c r="L901" s="197"/>
      <c r="M901" s="197"/>
      <c r="N901" s="197"/>
      <c r="O901" s="197"/>
    </row>
    <row r="902" spans="1:15" ht="51" hidden="1">
      <c r="A902" s="189" t="s">
        <v>137</v>
      </c>
      <c r="B902" s="189" t="s">
        <v>138</v>
      </c>
      <c r="C902" s="189" t="s">
        <v>106</v>
      </c>
      <c r="D902" s="189" t="s">
        <v>655</v>
      </c>
      <c r="E902" s="223" t="s">
        <v>1249</v>
      </c>
      <c r="F902" s="189" t="s">
        <v>153</v>
      </c>
      <c r="G902" s="258">
        <v>-0.5</v>
      </c>
      <c r="H902" s="260">
        <v>-0.5</v>
      </c>
      <c r="I902" s="195" t="s">
        <v>106</v>
      </c>
      <c r="J902" s="195" t="s">
        <v>164</v>
      </c>
      <c r="K902" s="199"/>
      <c r="L902" s="197"/>
      <c r="M902" s="197"/>
      <c r="N902" s="197"/>
      <c r="O902" s="197"/>
    </row>
    <row r="903" spans="1:15">
      <c r="A903" s="199" t="s">
        <v>209</v>
      </c>
      <c r="B903" s="199" t="s">
        <v>683</v>
      </c>
      <c r="C903" s="199" t="s">
        <v>894</v>
      </c>
      <c r="D903" s="199" t="s">
        <v>769</v>
      </c>
      <c r="E903" s="199" t="s">
        <v>1202</v>
      </c>
      <c r="F903" s="205" t="s">
        <v>268</v>
      </c>
      <c r="G903" s="292">
        <v>6703.22</v>
      </c>
      <c r="H903" s="292">
        <v>6703.22</v>
      </c>
      <c r="I903" s="257" t="s">
        <v>112</v>
      </c>
      <c r="J903" s="227" t="s">
        <v>206</v>
      </c>
      <c r="K903" s="199"/>
      <c r="L903" s="197"/>
      <c r="M903" s="197"/>
      <c r="N903" s="197"/>
      <c r="O903" s="197"/>
    </row>
    <row r="904" spans="1:15" ht="51" hidden="1">
      <c r="A904" s="189" t="s">
        <v>137</v>
      </c>
      <c r="B904" s="189" t="s">
        <v>138</v>
      </c>
      <c r="C904" s="189" t="s">
        <v>106</v>
      </c>
      <c r="D904" s="189" t="s">
        <v>655</v>
      </c>
      <c r="E904" s="223" t="s">
        <v>1250</v>
      </c>
      <c r="F904" s="189" t="s">
        <v>153</v>
      </c>
      <c r="G904" s="258">
        <v>-0.5</v>
      </c>
      <c r="H904" s="260">
        <v>-0.5</v>
      </c>
      <c r="I904" s="195" t="s">
        <v>106</v>
      </c>
      <c r="J904" s="195" t="s">
        <v>164</v>
      </c>
      <c r="K904" s="199"/>
      <c r="L904" s="197"/>
      <c r="M904" s="197"/>
      <c r="N904" s="197"/>
      <c r="O904" s="197"/>
    </row>
    <row r="905" spans="1:15" ht="51" hidden="1">
      <c r="A905" s="189" t="s">
        <v>137</v>
      </c>
      <c r="B905" s="189" t="s">
        <v>138</v>
      </c>
      <c r="C905" s="189" t="s">
        <v>106</v>
      </c>
      <c r="D905" s="189" t="s">
        <v>655</v>
      </c>
      <c r="E905" s="223" t="s">
        <v>1251</v>
      </c>
      <c r="F905" s="189" t="s">
        <v>153</v>
      </c>
      <c r="G905" s="258">
        <v>-0.5</v>
      </c>
      <c r="H905" s="260">
        <v>-0.5</v>
      </c>
      <c r="I905" s="195" t="s">
        <v>106</v>
      </c>
      <c r="J905" s="195" t="s">
        <v>164</v>
      </c>
      <c r="K905" s="199"/>
      <c r="L905" s="197"/>
      <c r="M905" s="197"/>
      <c r="N905" s="197"/>
      <c r="O905" s="197"/>
    </row>
    <row r="906" spans="1:15" ht="51" hidden="1">
      <c r="A906" s="189" t="s">
        <v>137</v>
      </c>
      <c r="B906" s="189" t="s">
        <v>138</v>
      </c>
      <c r="C906" s="189" t="s">
        <v>106</v>
      </c>
      <c r="D906" s="189" t="s">
        <v>655</v>
      </c>
      <c r="E906" s="223" t="s">
        <v>1252</v>
      </c>
      <c r="F906" s="189" t="s">
        <v>153</v>
      </c>
      <c r="G906" s="258">
        <v>-0.5</v>
      </c>
      <c r="H906" s="260">
        <v>-0.5</v>
      </c>
      <c r="I906" s="195" t="s">
        <v>106</v>
      </c>
      <c r="J906" s="195" t="s">
        <v>164</v>
      </c>
      <c r="K906" s="199"/>
      <c r="L906" s="197"/>
      <c r="M906" s="197"/>
      <c r="N906" s="197"/>
      <c r="O906" s="197"/>
    </row>
    <row r="907" spans="1:15" ht="51" hidden="1">
      <c r="A907" s="189" t="s">
        <v>137</v>
      </c>
      <c r="B907" s="189" t="s">
        <v>138</v>
      </c>
      <c r="C907" s="189" t="s">
        <v>106</v>
      </c>
      <c r="D907" s="189" t="s">
        <v>655</v>
      </c>
      <c r="E907" s="223" t="s">
        <v>1253</v>
      </c>
      <c r="F907" s="189" t="s">
        <v>153</v>
      </c>
      <c r="G907" s="258">
        <v>-0.5</v>
      </c>
      <c r="H907" s="260">
        <v>-0.5</v>
      </c>
      <c r="I907" s="195" t="s">
        <v>106</v>
      </c>
      <c r="J907" s="195" t="s">
        <v>164</v>
      </c>
      <c r="K907" s="199"/>
      <c r="L907" s="197"/>
      <c r="M907" s="197"/>
      <c r="N907" s="197"/>
      <c r="O907" s="197"/>
    </row>
    <row r="908" spans="1:15" ht="51" hidden="1">
      <c r="A908" s="189" t="s">
        <v>137</v>
      </c>
      <c r="B908" s="189" t="s">
        <v>138</v>
      </c>
      <c r="C908" s="189" t="s">
        <v>106</v>
      </c>
      <c r="D908" s="189" t="s">
        <v>655</v>
      </c>
      <c r="E908" s="223" t="s">
        <v>1254</v>
      </c>
      <c r="F908" s="189" t="s">
        <v>153</v>
      </c>
      <c r="G908" s="258">
        <v>-0.5</v>
      </c>
      <c r="H908" s="260">
        <v>-0.5</v>
      </c>
      <c r="I908" s="195" t="s">
        <v>106</v>
      </c>
      <c r="J908" s="195" t="s">
        <v>164</v>
      </c>
      <c r="K908" s="199"/>
      <c r="L908" s="197"/>
      <c r="M908" s="197"/>
      <c r="N908" s="197"/>
      <c r="O908" s="197"/>
    </row>
    <row r="909" spans="1:15" ht="51" hidden="1">
      <c r="A909" s="189" t="s">
        <v>137</v>
      </c>
      <c r="B909" s="189" t="s">
        <v>138</v>
      </c>
      <c r="C909" s="189" t="s">
        <v>106</v>
      </c>
      <c r="D909" s="189" t="s">
        <v>655</v>
      </c>
      <c r="E909" s="223" t="s">
        <v>1255</v>
      </c>
      <c r="F909" s="189" t="s">
        <v>153</v>
      </c>
      <c r="G909" s="258">
        <v>-0.5</v>
      </c>
      <c r="H909" s="260">
        <v>-0.5</v>
      </c>
      <c r="I909" s="195" t="s">
        <v>106</v>
      </c>
      <c r="J909" s="195" t="s">
        <v>164</v>
      </c>
      <c r="K909" s="199"/>
      <c r="L909" s="197"/>
      <c r="M909" s="197"/>
      <c r="N909" s="197"/>
      <c r="O909" s="197"/>
    </row>
    <row r="910" spans="1:15" ht="51" hidden="1">
      <c r="A910" s="189" t="s">
        <v>137</v>
      </c>
      <c r="B910" s="189" t="s">
        <v>138</v>
      </c>
      <c r="C910" s="189" t="s">
        <v>106</v>
      </c>
      <c r="D910" s="189" t="s">
        <v>655</v>
      </c>
      <c r="E910" s="223" t="s">
        <v>1256</v>
      </c>
      <c r="F910" s="189" t="s">
        <v>153</v>
      </c>
      <c r="G910" s="258">
        <v>-0.5</v>
      </c>
      <c r="H910" s="260">
        <v>-0.5</v>
      </c>
      <c r="I910" s="195" t="s">
        <v>106</v>
      </c>
      <c r="J910" s="195" t="s">
        <v>164</v>
      </c>
      <c r="K910" s="199"/>
      <c r="L910" s="197"/>
      <c r="M910" s="197"/>
      <c r="N910" s="197"/>
      <c r="O910" s="197"/>
    </row>
    <row r="911" spans="1:15" ht="51" hidden="1">
      <c r="A911" s="189" t="s">
        <v>137</v>
      </c>
      <c r="B911" s="189" t="s">
        <v>138</v>
      </c>
      <c r="C911" s="189" t="s">
        <v>106</v>
      </c>
      <c r="D911" s="189" t="s">
        <v>655</v>
      </c>
      <c r="E911" s="223" t="s">
        <v>1257</v>
      </c>
      <c r="F911" s="189" t="s">
        <v>153</v>
      </c>
      <c r="G911" s="258">
        <v>-0.5</v>
      </c>
      <c r="H911" s="260">
        <v>-0.5</v>
      </c>
      <c r="I911" s="195" t="s">
        <v>106</v>
      </c>
      <c r="J911" s="195" t="s">
        <v>164</v>
      </c>
      <c r="K911" s="294"/>
      <c r="L911" s="197"/>
      <c r="M911" s="197"/>
      <c r="N911" s="197"/>
      <c r="O911" s="197"/>
    </row>
    <row r="912" spans="1:15" hidden="1">
      <c r="A912" s="199" t="s">
        <v>243</v>
      </c>
      <c r="B912" s="189" t="s">
        <v>138</v>
      </c>
      <c r="C912" s="189" t="s">
        <v>491</v>
      </c>
      <c r="D912" s="189" t="s">
        <v>655</v>
      </c>
      <c r="E912" s="189" t="s">
        <v>1258</v>
      </c>
      <c r="F912" s="189" t="s">
        <v>261</v>
      </c>
      <c r="G912" s="260">
        <v>-2.17</v>
      </c>
      <c r="H912" s="260">
        <v>-2.17</v>
      </c>
      <c r="I912" s="215" t="s">
        <v>107</v>
      </c>
      <c r="J912" s="195" t="s">
        <v>164</v>
      </c>
      <c r="K912" s="199"/>
      <c r="L912" s="197"/>
      <c r="M912" s="197"/>
      <c r="N912" s="197"/>
      <c r="O912" s="197"/>
    </row>
    <row r="913" spans="1:15" hidden="1">
      <c r="A913" s="199" t="s">
        <v>243</v>
      </c>
      <c r="B913" s="189" t="s">
        <v>138</v>
      </c>
      <c r="C913" s="189" t="s">
        <v>491</v>
      </c>
      <c r="D913" s="189" t="s">
        <v>655</v>
      </c>
      <c r="E913" s="189" t="s">
        <v>1259</v>
      </c>
      <c r="F913" s="189" t="s">
        <v>153</v>
      </c>
      <c r="G913" s="260">
        <v>-0.93</v>
      </c>
      <c r="H913" s="260">
        <v>-0.93</v>
      </c>
      <c r="I913" s="215" t="s">
        <v>107</v>
      </c>
      <c r="J913" s="257" t="s">
        <v>164</v>
      </c>
      <c r="K913" s="199"/>
      <c r="L913" s="197"/>
      <c r="M913" s="197"/>
      <c r="N913" s="197"/>
      <c r="O913" s="197"/>
    </row>
    <row r="914" spans="1:15" hidden="1">
      <c r="A914" s="199" t="s">
        <v>243</v>
      </c>
      <c r="B914" s="199" t="s">
        <v>138</v>
      </c>
      <c r="C914" s="199" t="s">
        <v>491</v>
      </c>
      <c r="D914" s="199" t="s">
        <v>492</v>
      </c>
      <c r="E914" s="205" t="s">
        <v>493</v>
      </c>
      <c r="F914" s="205" t="s">
        <v>142</v>
      </c>
      <c r="G914" s="225">
        <v>-28.79</v>
      </c>
      <c r="H914" s="226">
        <v>-28.79</v>
      </c>
      <c r="I914" s="198" t="s">
        <v>107</v>
      </c>
      <c r="J914" s="198" t="s">
        <v>164</v>
      </c>
      <c r="K914" s="199"/>
      <c r="L914" s="197"/>
      <c r="M914" s="197"/>
      <c r="N914" s="197"/>
      <c r="O914" s="197"/>
    </row>
    <row r="915" spans="1:15" hidden="1">
      <c r="A915" s="189" t="s">
        <v>137</v>
      </c>
      <c r="B915" s="189" t="s">
        <v>138</v>
      </c>
      <c r="C915" s="189" t="s">
        <v>139</v>
      </c>
      <c r="D915" s="189" t="s">
        <v>1260</v>
      </c>
      <c r="E915" s="189" t="s">
        <v>1261</v>
      </c>
      <c r="F915" s="189" t="s">
        <v>261</v>
      </c>
      <c r="G915" s="258">
        <v>-250</v>
      </c>
      <c r="H915" s="260">
        <v>-250</v>
      </c>
      <c r="I915" s="198" t="s">
        <v>84</v>
      </c>
      <c r="J915" s="195" t="s">
        <v>192</v>
      </c>
      <c r="K915" s="199"/>
      <c r="L915" s="197"/>
      <c r="M915" s="197"/>
      <c r="N915" s="197"/>
      <c r="O915" s="197"/>
    </row>
    <row r="916" spans="1:15" hidden="1">
      <c r="A916" s="199" t="s">
        <v>243</v>
      </c>
      <c r="B916" s="199" t="s">
        <v>138</v>
      </c>
      <c r="C916" s="199" t="s">
        <v>491</v>
      </c>
      <c r="D916" s="199" t="s">
        <v>492</v>
      </c>
      <c r="E916" s="205" t="s">
        <v>498</v>
      </c>
      <c r="F916" s="205" t="s">
        <v>149</v>
      </c>
      <c r="G916" s="225">
        <v>-6.02</v>
      </c>
      <c r="H916" s="226">
        <v>-6.02</v>
      </c>
      <c r="I916" s="198" t="s">
        <v>107</v>
      </c>
      <c r="J916" s="198" t="s">
        <v>164</v>
      </c>
      <c r="K916" s="294"/>
      <c r="L916" s="197"/>
      <c r="M916" s="197"/>
      <c r="N916" s="197"/>
      <c r="O916" s="197"/>
    </row>
    <row r="917" spans="1:15" ht="51" hidden="1">
      <c r="A917" s="189" t="s">
        <v>137</v>
      </c>
      <c r="B917" s="189" t="s">
        <v>138</v>
      </c>
      <c r="C917" s="189" t="s">
        <v>106</v>
      </c>
      <c r="D917" s="189" t="s">
        <v>492</v>
      </c>
      <c r="E917" s="223" t="s">
        <v>1262</v>
      </c>
      <c r="F917" s="189" t="s">
        <v>146</v>
      </c>
      <c r="G917" s="258">
        <v>-3.99</v>
      </c>
      <c r="H917" s="260">
        <v>-3.99</v>
      </c>
      <c r="I917" s="198" t="s">
        <v>106</v>
      </c>
      <c r="J917" s="198" t="s">
        <v>164</v>
      </c>
      <c r="K917" s="199"/>
      <c r="L917" s="197"/>
      <c r="M917" s="197"/>
      <c r="N917" s="197"/>
      <c r="O917" s="197"/>
    </row>
    <row r="918" spans="1:15" ht="51" hidden="1">
      <c r="A918" s="189" t="s">
        <v>137</v>
      </c>
      <c r="B918" s="189" t="s">
        <v>138</v>
      </c>
      <c r="C918" s="189" t="s">
        <v>106</v>
      </c>
      <c r="D918" s="189" t="s">
        <v>492</v>
      </c>
      <c r="E918" s="223" t="s">
        <v>1263</v>
      </c>
      <c r="F918" s="189" t="s">
        <v>146</v>
      </c>
      <c r="G918" s="258">
        <v>-1.99</v>
      </c>
      <c r="H918" s="260">
        <v>-1.99</v>
      </c>
      <c r="I918" s="198" t="s">
        <v>106</v>
      </c>
      <c r="J918" s="198" t="s">
        <v>164</v>
      </c>
      <c r="K918" s="199"/>
      <c r="L918" s="197"/>
      <c r="M918" s="197"/>
      <c r="N918" s="197"/>
      <c r="O918" s="197"/>
    </row>
    <row r="919" spans="1:15" ht="51" hidden="1">
      <c r="A919" s="189" t="s">
        <v>137</v>
      </c>
      <c r="B919" s="189" t="s">
        <v>138</v>
      </c>
      <c r="C919" s="189" t="s">
        <v>106</v>
      </c>
      <c r="D919" s="189" t="s">
        <v>492</v>
      </c>
      <c r="E919" s="223" t="s">
        <v>1264</v>
      </c>
      <c r="F919" s="189" t="s">
        <v>146</v>
      </c>
      <c r="G919" s="258">
        <v>-1.99</v>
      </c>
      <c r="H919" s="260">
        <v>-1.99</v>
      </c>
      <c r="I919" s="198" t="s">
        <v>106</v>
      </c>
      <c r="J919" s="198" t="s">
        <v>164</v>
      </c>
      <c r="K919" s="199"/>
      <c r="L919" s="197"/>
      <c r="M919" s="197"/>
      <c r="N919" s="197"/>
      <c r="O919" s="197"/>
    </row>
    <row r="920" spans="1:15" ht="51" hidden="1">
      <c r="A920" s="189" t="s">
        <v>137</v>
      </c>
      <c r="B920" s="189" t="s">
        <v>138</v>
      </c>
      <c r="C920" s="189" t="s">
        <v>106</v>
      </c>
      <c r="D920" s="189" t="s">
        <v>492</v>
      </c>
      <c r="E920" s="223" t="s">
        <v>1265</v>
      </c>
      <c r="F920" s="189" t="s">
        <v>146</v>
      </c>
      <c r="G920" s="258">
        <v>-0.5</v>
      </c>
      <c r="H920" s="260">
        <v>-0.5</v>
      </c>
      <c r="I920" s="198" t="s">
        <v>106</v>
      </c>
      <c r="J920" s="198" t="s">
        <v>164</v>
      </c>
      <c r="K920" s="199"/>
      <c r="L920" s="197"/>
      <c r="M920" s="197"/>
      <c r="N920" s="197"/>
      <c r="O920" s="197"/>
    </row>
    <row r="921" spans="1:15" ht="51" hidden="1">
      <c r="A921" s="189" t="s">
        <v>137</v>
      </c>
      <c r="B921" s="189" t="s">
        <v>138</v>
      </c>
      <c r="C921" s="189" t="s">
        <v>106</v>
      </c>
      <c r="D921" s="189" t="s">
        <v>492</v>
      </c>
      <c r="E921" s="223" t="s">
        <v>1266</v>
      </c>
      <c r="F921" s="189" t="s">
        <v>146</v>
      </c>
      <c r="G921" s="258">
        <v>-0.5</v>
      </c>
      <c r="H921" s="260">
        <v>-0.5</v>
      </c>
      <c r="I921" s="198" t="s">
        <v>106</v>
      </c>
      <c r="J921" s="198" t="s">
        <v>164</v>
      </c>
      <c r="K921" s="199"/>
      <c r="L921" s="197"/>
      <c r="M921" s="197"/>
      <c r="N921" s="197"/>
      <c r="O921" s="197"/>
    </row>
    <row r="922" spans="1:15" ht="51" hidden="1">
      <c r="A922" s="189" t="s">
        <v>137</v>
      </c>
      <c r="B922" s="189" t="s">
        <v>138</v>
      </c>
      <c r="C922" s="189" t="s">
        <v>106</v>
      </c>
      <c r="D922" s="189" t="s">
        <v>492</v>
      </c>
      <c r="E922" s="223" t="s">
        <v>1267</v>
      </c>
      <c r="F922" s="189" t="s">
        <v>146</v>
      </c>
      <c r="G922" s="258">
        <v>-0.5</v>
      </c>
      <c r="H922" s="260">
        <v>-0.5</v>
      </c>
      <c r="I922" s="198" t="s">
        <v>106</v>
      </c>
      <c r="J922" s="198" t="s">
        <v>164</v>
      </c>
      <c r="K922" s="294"/>
      <c r="L922" s="197"/>
      <c r="M922" s="197"/>
      <c r="N922" s="197"/>
      <c r="O922" s="197"/>
    </row>
    <row r="923" spans="1:15" ht="51" hidden="1">
      <c r="A923" s="189" t="s">
        <v>232</v>
      </c>
      <c r="B923" s="189" t="s">
        <v>138</v>
      </c>
      <c r="C923" s="189" t="s">
        <v>106</v>
      </c>
      <c r="D923" s="189" t="s">
        <v>492</v>
      </c>
      <c r="E923" s="223" t="s">
        <v>1268</v>
      </c>
      <c r="F923" s="189" t="s">
        <v>146</v>
      </c>
      <c r="G923" s="258">
        <v>-3.99</v>
      </c>
      <c r="H923" s="260">
        <v>-3.99</v>
      </c>
      <c r="I923" s="198" t="s">
        <v>106</v>
      </c>
      <c r="J923" s="198" t="s">
        <v>164</v>
      </c>
      <c r="K923" s="294"/>
      <c r="L923" s="197"/>
      <c r="M923" s="197"/>
      <c r="N923" s="197"/>
      <c r="O923" s="197"/>
    </row>
    <row r="924" spans="1:15" ht="51" hidden="1">
      <c r="A924" s="189" t="s">
        <v>137</v>
      </c>
      <c r="B924" s="189" t="s">
        <v>138</v>
      </c>
      <c r="C924" s="189" t="s">
        <v>106</v>
      </c>
      <c r="D924" s="189" t="s">
        <v>492</v>
      </c>
      <c r="E924" s="223" t="s">
        <v>1269</v>
      </c>
      <c r="F924" s="189" t="s">
        <v>146</v>
      </c>
      <c r="G924" s="258">
        <v>-0.5</v>
      </c>
      <c r="H924" s="260">
        <v>-0.5</v>
      </c>
      <c r="I924" s="198" t="s">
        <v>106</v>
      </c>
      <c r="J924" s="198" t="s">
        <v>164</v>
      </c>
      <c r="K924" s="294"/>
      <c r="L924" s="197"/>
      <c r="M924" s="197"/>
      <c r="N924" s="197"/>
      <c r="O924" s="197"/>
    </row>
    <row r="925" spans="1:15" ht="51" hidden="1">
      <c r="A925" s="195" t="s">
        <v>137</v>
      </c>
      <c r="B925" s="190" t="s">
        <v>138</v>
      </c>
      <c r="C925" s="191" t="s">
        <v>106</v>
      </c>
      <c r="D925" s="191" t="s">
        <v>492</v>
      </c>
      <c r="E925" s="192" t="s">
        <v>1270</v>
      </c>
      <c r="F925" s="191" t="s">
        <v>146</v>
      </c>
      <c r="G925" s="193">
        <v>-0.5</v>
      </c>
      <c r="H925" s="194">
        <v>-0.5</v>
      </c>
      <c r="I925" s="198" t="s">
        <v>106</v>
      </c>
      <c r="J925" s="198" t="s">
        <v>164</v>
      </c>
      <c r="K925" s="188"/>
      <c r="L925" s="197"/>
      <c r="M925" s="197"/>
      <c r="N925" s="197"/>
      <c r="O925" s="197"/>
    </row>
    <row r="926" spans="1:15" ht="51" hidden="1">
      <c r="A926" s="195" t="s">
        <v>137</v>
      </c>
      <c r="B926" s="190" t="s">
        <v>138</v>
      </c>
      <c r="C926" s="191" t="s">
        <v>106</v>
      </c>
      <c r="D926" s="191" t="s">
        <v>492</v>
      </c>
      <c r="E926" s="192" t="s">
        <v>1271</v>
      </c>
      <c r="F926" s="191" t="s">
        <v>146</v>
      </c>
      <c r="G926" s="193">
        <v>-0.5</v>
      </c>
      <c r="H926" s="194">
        <v>-0.5</v>
      </c>
      <c r="I926" s="198" t="s">
        <v>106</v>
      </c>
      <c r="J926" s="198" t="s">
        <v>164</v>
      </c>
      <c r="K926" s="188"/>
      <c r="L926" s="197"/>
      <c r="M926" s="197"/>
      <c r="N926" s="197"/>
      <c r="O926" s="197"/>
    </row>
    <row r="927" spans="1:15" ht="51" hidden="1">
      <c r="A927" s="195" t="s">
        <v>137</v>
      </c>
      <c r="B927" s="190" t="s">
        <v>138</v>
      </c>
      <c r="C927" s="191" t="s">
        <v>106</v>
      </c>
      <c r="D927" s="191" t="s">
        <v>492</v>
      </c>
      <c r="E927" s="192" t="s">
        <v>1272</v>
      </c>
      <c r="F927" s="191" t="s">
        <v>146</v>
      </c>
      <c r="G927" s="193">
        <v>-0.5</v>
      </c>
      <c r="H927" s="194">
        <v>-0.5</v>
      </c>
      <c r="I927" s="198" t="s">
        <v>106</v>
      </c>
      <c r="J927" s="198" t="s">
        <v>164</v>
      </c>
      <c r="K927" s="188"/>
      <c r="L927" s="197"/>
      <c r="M927" s="197"/>
      <c r="N927" s="197"/>
      <c r="O927" s="197"/>
    </row>
    <row r="928" spans="1:15" ht="51" hidden="1">
      <c r="A928" s="195" t="s">
        <v>232</v>
      </c>
      <c r="B928" s="190" t="s">
        <v>138</v>
      </c>
      <c r="C928" s="191" t="s">
        <v>106</v>
      </c>
      <c r="D928" s="191" t="s">
        <v>492</v>
      </c>
      <c r="E928" s="192" t="s">
        <v>1273</v>
      </c>
      <c r="F928" s="191" t="s">
        <v>146</v>
      </c>
      <c r="G928" s="193">
        <v>-0.5</v>
      </c>
      <c r="H928" s="194">
        <v>-0.5</v>
      </c>
      <c r="I928" s="198" t="s">
        <v>106</v>
      </c>
      <c r="J928" s="198" t="s">
        <v>164</v>
      </c>
      <c r="K928" s="188"/>
      <c r="L928" s="197"/>
      <c r="M928" s="197"/>
      <c r="N928" s="197"/>
      <c r="O928" s="197"/>
    </row>
    <row r="929" spans="1:15" ht="51" hidden="1">
      <c r="A929" s="195" t="s">
        <v>137</v>
      </c>
      <c r="B929" s="190" t="s">
        <v>138</v>
      </c>
      <c r="C929" s="191" t="s">
        <v>106</v>
      </c>
      <c r="D929" s="191" t="s">
        <v>492</v>
      </c>
      <c r="E929" s="192" t="s">
        <v>1274</v>
      </c>
      <c r="F929" s="191" t="s">
        <v>146</v>
      </c>
      <c r="G929" s="193">
        <v>-0.5</v>
      </c>
      <c r="H929" s="194">
        <v>-0.5</v>
      </c>
      <c r="I929" s="198" t="s">
        <v>106</v>
      </c>
      <c r="J929" s="198" t="s">
        <v>164</v>
      </c>
      <c r="K929" s="188"/>
      <c r="L929" s="197"/>
      <c r="M929" s="197"/>
      <c r="N929" s="197"/>
      <c r="O929" s="197"/>
    </row>
    <row r="930" spans="1:15" ht="51" hidden="1">
      <c r="A930" s="195" t="s">
        <v>137</v>
      </c>
      <c r="B930" s="190" t="s">
        <v>138</v>
      </c>
      <c r="C930" s="191" t="s">
        <v>106</v>
      </c>
      <c r="D930" s="191" t="s">
        <v>492</v>
      </c>
      <c r="E930" s="192" t="s">
        <v>1275</v>
      </c>
      <c r="F930" s="191" t="s">
        <v>146</v>
      </c>
      <c r="G930" s="193">
        <v>-0.5</v>
      </c>
      <c r="H930" s="194">
        <v>-0.5</v>
      </c>
      <c r="I930" s="198" t="s">
        <v>106</v>
      </c>
      <c r="J930" s="198" t="s">
        <v>164</v>
      </c>
      <c r="K930" s="188"/>
      <c r="L930" s="197"/>
      <c r="M930" s="197"/>
      <c r="N930" s="197"/>
      <c r="O930" s="197"/>
    </row>
    <row r="931" spans="1:15" ht="51" hidden="1">
      <c r="A931" s="195" t="s">
        <v>137</v>
      </c>
      <c r="B931" s="190" t="s">
        <v>138</v>
      </c>
      <c r="C931" s="191" t="s">
        <v>106</v>
      </c>
      <c r="D931" s="191" t="s">
        <v>492</v>
      </c>
      <c r="E931" s="192" t="s">
        <v>1276</v>
      </c>
      <c r="F931" s="191" t="s">
        <v>146</v>
      </c>
      <c r="G931" s="193">
        <v>-0.5</v>
      </c>
      <c r="H931" s="194">
        <v>-0.5</v>
      </c>
      <c r="I931" s="198" t="s">
        <v>106</v>
      </c>
      <c r="J931" s="198" t="s">
        <v>164</v>
      </c>
      <c r="K931" s="213"/>
      <c r="L931" s="197"/>
      <c r="M931" s="197"/>
      <c r="N931" s="197"/>
      <c r="O931" s="197"/>
    </row>
    <row r="932" spans="1:15" ht="51" hidden="1">
      <c r="A932" s="195" t="s">
        <v>137</v>
      </c>
      <c r="B932" s="190" t="s">
        <v>138</v>
      </c>
      <c r="C932" s="191" t="s">
        <v>106</v>
      </c>
      <c r="D932" s="191" t="s">
        <v>492</v>
      </c>
      <c r="E932" s="192" t="s">
        <v>1277</v>
      </c>
      <c r="F932" s="191" t="s">
        <v>146</v>
      </c>
      <c r="G932" s="193">
        <v>-0.5</v>
      </c>
      <c r="H932" s="194">
        <v>-0.5</v>
      </c>
      <c r="I932" s="198" t="s">
        <v>106</v>
      </c>
      <c r="J932" s="198" t="s">
        <v>164</v>
      </c>
      <c r="K932" s="213"/>
      <c r="L932" s="197"/>
      <c r="M932" s="197"/>
      <c r="N932" s="197"/>
      <c r="O932" s="197"/>
    </row>
    <row r="933" spans="1:15" ht="51" hidden="1">
      <c r="A933" s="195" t="s">
        <v>232</v>
      </c>
      <c r="B933" s="190" t="s">
        <v>138</v>
      </c>
      <c r="C933" s="191" t="s">
        <v>106</v>
      </c>
      <c r="D933" s="191" t="s">
        <v>492</v>
      </c>
      <c r="E933" s="192" t="s">
        <v>1278</v>
      </c>
      <c r="F933" s="191" t="s">
        <v>146</v>
      </c>
      <c r="G933" s="193">
        <v>-0.5</v>
      </c>
      <c r="H933" s="194">
        <v>-0.5</v>
      </c>
      <c r="I933" s="198" t="s">
        <v>106</v>
      </c>
      <c r="J933" s="198" t="s">
        <v>164</v>
      </c>
      <c r="K933" s="188"/>
      <c r="L933" s="197"/>
      <c r="M933" s="197"/>
      <c r="N933" s="197"/>
      <c r="O933" s="197"/>
    </row>
    <row r="934" spans="1:15" ht="51" hidden="1">
      <c r="A934" s="195" t="s">
        <v>137</v>
      </c>
      <c r="B934" s="190" t="s">
        <v>138</v>
      </c>
      <c r="C934" s="191" t="s">
        <v>106</v>
      </c>
      <c r="D934" s="191" t="s">
        <v>492</v>
      </c>
      <c r="E934" s="192" t="s">
        <v>1279</v>
      </c>
      <c r="F934" s="191" t="s">
        <v>146</v>
      </c>
      <c r="G934" s="193">
        <v>-0.5</v>
      </c>
      <c r="H934" s="194">
        <v>-0.5</v>
      </c>
      <c r="I934" s="198" t="s">
        <v>106</v>
      </c>
      <c r="J934" s="198" t="s">
        <v>164</v>
      </c>
      <c r="K934" s="213"/>
      <c r="L934" s="197"/>
      <c r="M934" s="197"/>
      <c r="N934" s="197"/>
      <c r="O934" s="197"/>
    </row>
    <row r="935" spans="1:15" ht="51" hidden="1">
      <c r="A935" s="195" t="s">
        <v>137</v>
      </c>
      <c r="B935" s="190" t="s">
        <v>138</v>
      </c>
      <c r="C935" s="191" t="s">
        <v>106</v>
      </c>
      <c r="D935" s="191" t="s">
        <v>492</v>
      </c>
      <c r="E935" s="192" t="s">
        <v>1280</v>
      </c>
      <c r="F935" s="191" t="s">
        <v>146</v>
      </c>
      <c r="G935" s="193">
        <v>-0.5</v>
      </c>
      <c r="H935" s="194">
        <v>-0.5</v>
      </c>
      <c r="I935" s="198" t="s">
        <v>106</v>
      </c>
      <c r="J935" s="198" t="s">
        <v>164</v>
      </c>
      <c r="K935" s="213"/>
      <c r="L935" s="197"/>
      <c r="M935" s="197"/>
      <c r="N935" s="197"/>
      <c r="O935" s="197"/>
    </row>
    <row r="936" spans="1:15" ht="51" hidden="1">
      <c r="A936" s="195" t="s">
        <v>232</v>
      </c>
      <c r="B936" s="190" t="s">
        <v>138</v>
      </c>
      <c r="C936" s="191" t="s">
        <v>106</v>
      </c>
      <c r="D936" s="191" t="s">
        <v>492</v>
      </c>
      <c r="E936" s="192" t="s">
        <v>1281</v>
      </c>
      <c r="F936" s="191" t="s">
        <v>146</v>
      </c>
      <c r="G936" s="193">
        <v>-0.5</v>
      </c>
      <c r="H936" s="194">
        <v>-0.5</v>
      </c>
      <c r="I936" s="198" t="s">
        <v>106</v>
      </c>
      <c r="J936" s="198" t="s">
        <v>164</v>
      </c>
      <c r="K936" s="213"/>
      <c r="L936" s="197"/>
      <c r="M936" s="197"/>
      <c r="N936" s="197"/>
      <c r="O936" s="197"/>
    </row>
    <row r="937" spans="1:15" ht="51" hidden="1">
      <c r="A937" s="195" t="s">
        <v>137</v>
      </c>
      <c r="B937" s="190" t="s">
        <v>138</v>
      </c>
      <c r="C937" s="191" t="s">
        <v>106</v>
      </c>
      <c r="D937" s="191" t="s">
        <v>492</v>
      </c>
      <c r="E937" s="192" t="s">
        <v>1282</v>
      </c>
      <c r="F937" s="191" t="s">
        <v>146</v>
      </c>
      <c r="G937" s="193">
        <v>-0.5</v>
      </c>
      <c r="H937" s="194">
        <v>-0.5</v>
      </c>
      <c r="I937" s="198" t="s">
        <v>106</v>
      </c>
      <c r="J937" s="250" t="s">
        <v>164</v>
      </c>
      <c r="K937" s="188"/>
      <c r="L937" s="197"/>
      <c r="M937" s="197"/>
      <c r="N937" s="197"/>
      <c r="O937" s="197"/>
    </row>
    <row r="938" spans="1:15" ht="51" hidden="1">
      <c r="A938" s="195" t="s">
        <v>232</v>
      </c>
      <c r="B938" s="190" t="s">
        <v>138</v>
      </c>
      <c r="C938" s="191" t="s">
        <v>106</v>
      </c>
      <c r="D938" s="191" t="s">
        <v>492</v>
      </c>
      <c r="E938" s="192" t="s">
        <v>1283</v>
      </c>
      <c r="F938" s="191" t="s">
        <v>146</v>
      </c>
      <c r="G938" s="193">
        <v>-0.5</v>
      </c>
      <c r="H938" s="194">
        <v>-0.5</v>
      </c>
      <c r="I938" s="198" t="s">
        <v>106</v>
      </c>
      <c r="J938" s="198" t="s">
        <v>164</v>
      </c>
      <c r="K938" s="188"/>
      <c r="L938" s="197"/>
      <c r="M938" s="197"/>
      <c r="N938" s="197"/>
      <c r="O938" s="197"/>
    </row>
    <row r="939" spans="1:15" ht="51" hidden="1">
      <c r="A939" s="189" t="s">
        <v>137</v>
      </c>
      <c r="B939" s="189" t="s">
        <v>138</v>
      </c>
      <c r="C939" s="189" t="s">
        <v>106</v>
      </c>
      <c r="D939" s="189" t="s">
        <v>492</v>
      </c>
      <c r="E939" s="223" t="s">
        <v>1284</v>
      </c>
      <c r="F939" s="189" t="s">
        <v>146</v>
      </c>
      <c r="G939" s="258">
        <v>-0.5</v>
      </c>
      <c r="H939" s="260">
        <v>-0.5</v>
      </c>
      <c r="I939" s="250" t="s">
        <v>106</v>
      </c>
      <c r="J939" s="250" t="s">
        <v>164</v>
      </c>
      <c r="K939" s="188"/>
      <c r="L939" s="197"/>
      <c r="M939" s="197"/>
      <c r="N939" s="197"/>
      <c r="O939" s="197"/>
    </row>
    <row r="940" spans="1:15" ht="51" hidden="1">
      <c r="A940" s="189" t="s">
        <v>232</v>
      </c>
      <c r="B940" s="189" t="s">
        <v>138</v>
      </c>
      <c r="C940" s="189" t="s">
        <v>106</v>
      </c>
      <c r="D940" s="189" t="s">
        <v>492</v>
      </c>
      <c r="E940" s="223" t="s">
        <v>1285</v>
      </c>
      <c r="F940" s="189" t="s">
        <v>146</v>
      </c>
      <c r="G940" s="258">
        <v>-0.5</v>
      </c>
      <c r="H940" s="260">
        <v>-0.5</v>
      </c>
      <c r="I940" s="250" t="s">
        <v>106</v>
      </c>
      <c r="J940" s="250" t="s">
        <v>164</v>
      </c>
      <c r="K940" s="188"/>
      <c r="L940" s="197"/>
      <c r="M940" s="197"/>
      <c r="N940" s="197"/>
      <c r="O940" s="197"/>
    </row>
    <row r="941" spans="1:15" ht="51" hidden="1">
      <c r="A941" s="189" t="s">
        <v>232</v>
      </c>
      <c r="B941" s="189" t="s">
        <v>138</v>
      </c>
      <c r="C941" s="189" t="s">
        <v>106</v>
      </c>
      <c r="D941" s="189" t="s">
        <v>492</v>
      </c>
      <c r="E941" s="223" t="s">
        <v>1286</v>
      </c>
      <c r="F941" s="189" t="s">
        <v>146</v>
      </c>
      <c r="G941" s="258">
        <v>-0.5</v>
      </c>
      <c r="H941" s="260">
        <v>-0.5</v>
      </c>
      <c r="I941" s="250" t="s">
        <v>106</v>
      </c>
      <c r="J941" s="250" t="s">
        <v>164</v>
      </c>
      <c r="K941" s="188"/>
      <c r="L941" s="197"/>
      <c r="M941" s="197"/>
      <c r="N941" s="197"/>
      <c r="O941" s="197"/>
    </row>
    <row r="942" spans="1:15" ht="51" hidden="1">
      <c r="A942" s="189" t="s">
        <v>232</v>
      </c>
      <c r="B942" s="189" t="s">
        <v>138</v>
      </c>
      <c r="C942" s="189" t="s">
        <v>106</v>
      </c>
      <c r="D942" s="189" t="s">
        <v>492</v>
      </c>
      <c r="E942" s="223" t="s">
        <v>1287</v>
      </c>
      <c r="F942" s="189" t="s">
        <v>146</v>
      </c>
      <c r="G942" s="258">
        <v>-0.5</v>
      </c>
      <c r="H942" s="260">
        <v>-0.5</v>
      </c>
      <c r="I942" s="250" t="s">
        <v>106</v>
      </c>
      <c r="J942" s="250" t="s">
        <v>164</v>
      </c>
      <c r="K942" s="188"/>
      <c r="L942" s="197"/>
      <c r="M942" s="197"/>
      <c r="N942" s="197"/>
      <c r="O942" s="197"/>
    </row>
    <row r="943" spans="1:15" ht="51" hidden="1">
      <c r="A943" s="189" t="s">
        <v>137</v>
      </c>
      <c r="B943" s="189" t="s">
        <v>138</v>
      </c>
      <c r="C943" s="189" t="s">
        <v>106</v>
      </c>
      <c r="D943" s="189" t="s">
        <v>492</v>
      </c>
      <c r="E943" s="223" t="s">
        <v>1288</v>
      </c>
      <c r="F943" s="189" t="s">
        <v>146</v>
      </c>
      <c r="G943" s="258">
        <v>-0.5</v>
      </c>
      <c r="H943" s="260">
        <v>-0.5</v>
      </c>
      <c r="I943" s="250" t="s">
        <v>106</v>
      </c>
      <c r="J943" s="250" t="s">
        <v>164</v>
      </c>
      <c r="K943" s="188"/>
      <c r="L943" s="197"/>
      <c r="M943" s="197"/>
      <c r="N943" s="197"/>
      <c r="O943" s="197"/>
    </row>
    <row r="944" spans="1:15" ht="51" hidden="1">
      <c r="A944" s="189" t="s">
        <v>232</v>
      </c>
      <c r="B944" s="189" t="s">
        <v>138</v>
      </c>
      <c r="C944" s="189" t="s">
        <v>106</v>
      </c>
      <c r="D944" s="189" t="s">
        <v>492</v>
      </c>
      <c r="E944" s="223" t="s">
        <v>1289</v>
      </c>
      <c r="F944" s="189" t="s">
        <v>146</v>
      </c>
      <c r="G944" s="258">
        <v>-0.5</v>
      </c>
      <c r="H944" s="260">
        <v>-0.5</v>
      </c>
      <c r="I944" s="250" t="s">
        <v>106</v>
      </c>
      <c r="J944" s="250" t="s">
        <v>164</v>
      </c>
      <c r="K944" s="188"/>
      <c r="L944" s="197"/>
      <c r="M944" s="197"/>
      <c r="N944" s="197"/>
      <c r="O944" s="197"/>
    </row>
    <row r="945" spans="1:15" ht="51" hidden="1">
      <c r="A945" s="189" t="s">
        <v>137</v>
      </c>
      <c r="B945" s="189" t="s">
        <v>138</v>
      </c>
      <c r="C945" s="189" t="s">
        <v>106</v>
      </c>
      <c r="D945" s="189" t="s">
        <v>492</v>
      </c>
      <c r="E945" s="223" t="s">
        <v>1290</v>
      </c>
      <c r="F945" s="189" t="s">
        <v>146</v>
      </c>
      <c r="G945" s="258">
        <v>-0.5</v>
      </c>
      <c r="H945" s="260">
        <v>-0.5</v>
      </c>
      <c r="I945" s="250" t="s">
        <v>106</v>
      </c>
      <c r="J945" s="250" t="s">
        <v>164</v>
      </c>
      <c r="K945" s="213"/>
      <c r="L945" s="197"/>
      <c r="M945" s="197"/>
      <c r="N945" s="197"/>
      <c r="O945" s="197"/>
    </row>
    <row r="946" spans="1:15" ht="51" hidden="1">
      <c r="A946" s="189" t="s">
        <v>137</v>
      </c>
      <c r="B946" s="189" t="s">
        <v>138</v>
      </c>
      <c r="C946" s="189" t="s">
        <v>106</v>
      </c>
      <c r="D946" s="189" t="s">
        <v>492</v>
      </c>
      <c r="E946" s="223" t="s">
        <v>1291</v>
      </c>
      <c r="F946" s="189" t="s">
        <v>146</v>
      </c>
      <c r="G946" s="258">
        <v>-0.5</v>
      </c>
      <c r="H946" s="260">
        <v>-0.5</v>
      </c>
      <c r="I946" s="250" t="s">
        <v>106</v>
      </c>
      <c r="J946" s="250" t="s">
        <v>164</v>
      </c>
      <c r="K946" s="188"/>
      <c r="L946" s="197"/>
      <c r="M946" s="197"/>
      <c r="N946" s="197"/>
      <c r="O946" s="197"/>
    </row>
    <row r="947" spans="1:15" ht="51" hidden="1">
      <c r="A947" s="189" t="s">
        <v>137</v>
      </c>
      <c r="B947" s="189" t="s">
        <v>138</v>
      </c>
      <c r="C947" s="189" t="s">
        <v>106</v>
      </c>
      <c r="D947" s="189" t="s">
        <v>492</v>
      </c>
      <c r="E947" s="223" t="s">
        <v>1292</v>
      </c>
      <c r="F947" s="189" t="s">
        <v>146</v>
      </c>
      <c r="G947" s="258">
        <v>-0.5</v>
      </c>
      <c r="H947" s="260">
        <v>-0.5</v>
      </c>
      <c r="I947" s="250" t="s">
        <v>106</v>
      </c>
      <c r="J947" s="250" t="s">
        <v>164</v>
      </c>
      <c r="K947" s="188"/>
      <c r="L947" s="197"/>
      <c r="M947" s="197"/>
      <c r="N947" s="197"/>
      <c r="O947" s="197"/>
    </row>
    <row r="948" spans="1:15" ht="51" hidden="1">
      <c r="A948" s="189" t="s">
        <v>232</v>
      </c>
      <c r="B948" s="189" t="s">
        <v>138</v>
      </c>
      <c r="C948" s="189" t="s">
        <v>106</v>
      </c>
      <c r="D948" s="189" t="s">
        <v>492</v>
      </c>
      <c r="E948" s="223" t="s">
        <v>1293</v>
      </c>
      <c r="F948" s="189" t="s">
        <v>146</v>
      </c>
      <c r="G948" s="258">
        <v>-0.5</v>
      </c>
      <c r="H948" s="260">
        <v>-0.5</v>
      </c>
      <c r="I948" s="250" t="s">
        <v>106</v>
      </c>
      <c r="J948" s="250" t="s">
        <v>164</v>
      </c>
      <c r="K948" s="188"/>
      <c r="L948" s="197"/>
      <c r="M948" s="197"/>
      <c r="N948" s="197"/>
      <c r="O948" s="197"/>
    </row>
    <row r="949" spans="1:15" ht="51" hidden="1">
      <c r="A949" s="189" t="s">
        <v>137</v>
      </c>
      <c r="B949" s="189" t="s">
        <v>138</v>
      </c>
      <c r="C949" s="189" t="s">
        <v>106</v>
      </c>
      <c r="D949" s="189" t="s">
        <v>492</v>
      </c>
      <c r="E949" s="223" t="s">
        <v>1294</v>
      </c>
      <c r="F949" s="189" t="s">
        <v>146</v>
      </c>
      <c r="G949" s="258">
        <v>-0.5</v>
      </c>
      <c r="H949" s="260">
        <v>-0.5</v>
      </c>
      <c r="I949" s="250" t="s">
        <v>106</v>
      </c>
      <c r="J949" s="250" t="s">
        <v>164</v>
      </c>
      <c r="K949" s="188"/>
      <c r="L949" s="197"/>
      <c r="M949" s="197"/>
      <c r="N949" s="197"/>
      <c r="O949" s="197"/>
    </row>
    <row r="950" spans="1:15" ht="51" hidden="1">
      <c r="A950" s="189" t="s">
        <v>137</v>
      </c>
      <c r="B950" s="189" t="s">
        <v>138</v>
      </c>
      <c r="C950" s="189" t="s">
        <v>106</v>
      </c>
      <c r="D950" s="189" t="s">
        <v>492</v>
      </c>
      <c r="E950" s="223" t="s">
        <v>1295</v>
      </c>
      <c r="F950" s="189" t="s">
        <v>146</v>
      </c>
      <c r="G950" s="258">
        <v>-0.5</v>
      </c>
      <c r="H950" s="260">
        <v>-0.5</v>
      </c>
      <c r="I950" s="250" t="s">
        <v>106</v>
      </c>
      <c r="J950" s="250" t="s">
        <v>164</v>
      </c>
      <c r="K950" s="188"/>
      <c r="L950" s="197"/>
      <c r="M950" s="197"/>
      <c r="N950" s="197"/>
      <c r="O950" s="197"/>
    </row>
    <row r="951" spans="1:15" ht="51" hidden="1">
      <c r="A951" s="189" t="s">
        <v>137</v>
      </c>
      <c r="B951" s="189" t="s">
        <v>138</v>
      </c>
      <c r="C951" s="189" t="s">
        <v>106</v>
      </c>
      <c r="D951" s="189" t="s">
        <v>492</v>
      </c>
      <c r="E951" s="223" t="s">
        <v>1296</v>
      </c>
      <c r="F951" s="189" t="s">
        <v>146</v>
      </c>
      <c r="G951" s="258">
        <v>-0.5</v>
      </c>
      <c r="H951" s="260">
        <v>-0.5</v>
      </c>
      <c r="I951" s="250" t="s">
        <v>106</v>
      </c>
      <c r="J951" s="250" t="s">
        <v>164</v>
      </c>
      <c r="K951" s="188"/>
      <c r="L951" s="197"/>
      <c r="M951" s="197"/>
      <c r="N951" s="197"/>
      <c r="O951" s="197"/>
    </row>
    <row r="952" spans="1:15" ht="51" hidden="1">
      <c r="A952" s="189" t="s">
        <v>137</v>
      </c>
      <c r="B952" s="189" t="s">
        <v>138</v>
      </c>
      <c r="C952" s="189" t="s">
        <v>106</v>
      </c>
      <c r="D952" s="189" t="s">
        <v>492</v>
      </c>
      <c r="E952" s="223" t="s">
        <v>1297</v>
      </c>
      <c r="F952" s="189" t="s">
        <v>146</v>
      </c>
      <c r="G952" s="258">
        <v>-0.5</v>
      </c>
      <c r="H952" s="260">
        <v>-0.5</v>
      </c>
      <c r="I952" s="250" t="s">
        <v>106</v>
      </c>
      <c r="J952" s="250" t="s">
        <v>164</v>
      </c>
      <c r="K952" s="188"/>
      <c r="L952" s="197"/>
      <c r="M952" s="197"/>
      <c r="N952" s="197"/>
      <c r="O952" s="197"/>
    </row>
    <row r="953" spans="1:15" ht="51" hidden="1">
      <c r="A953" s="189" t="s">
        <v>137</v>
      </c>
      <c r="B953" s="189" t="s">
        <v>138</v>
      </c>
      <c r="C953" s="189" t="s">
        <v>106</v>
      </c>
      <c r="D953" s="189" t="s">
        <v>492</v>
      </c>
      <c r="E953" s="223" t="s">
        <v>1298</v>
      </c>
      <c r="F953" s="189" t="s">
        <v>146</v>
      </c>
      <c r="G953" s="258">
        <v>-0.5</v>
      </c>
      <c r="H953" s="260">
        <v>-0.5</v>
      </c>
      <c r="I953" s="250" t="s">
        <v>106</v>
      </c>
      <c r="J953" s="250" t="s">
        <v>164</v>
      </c>
      <c r="K953" s="213"/>
      <c r="L953" s="197"/>
      <c r="M953" s="197"/>
      <c r="N953" s="197"/>
      <c r="O953" s="197"/>
    </row>
    <row r="954" spans="1:15" ht="51" hidden="1">
      <c r="A954" s="189" t="s">
        <v>137</v>
      </c>
      <c r="B954" s="189" t="s">
        <v>138</v>
      </c>
      <c r="C954" s="189" t="s">
        <v>106</v>
      </c>
      <c r="D954" s="189" t="s">
        <v>492</v>
      </c>
      <c r="E954" s="223" t="s">
        <v>1299</v>
      </c>
      <c r="F954" s="189" t="s">
        <v>146</v>
      </c>
      <c r="G954" s="258">
        <v>-0.5</v>
      </c>
      <c r="H954" s="260">
        <v>-0.5</v>
      </c>
      <c r="I954" s="250" t="s">
        <v>106</v>
      </c>
      <c r="J954" s="250" t="s">
        <v>164</v>
      </c>
      <c r="K954" s="188"/>
      <c r="L954" s="197"/>
      <c r="M954" s="197"/>
      <c r="N954" s="197"/>
      <c r="O954" s="197"/>
    </row>
    <row r="955" spans="1:15" ht="51" hidden="1">
      <c r="A955" s="189" t="s">
        <v>232</v>
      </c>
      <c r="B955" s="189" t="s">
        <v>138</v>
      </c>
      <c r="C955" s="189" t="s">
        <v>106</v>
      </c>
      <c r="D955" s="189" t="s">
        <v>492</v>
      </c>
      <c r="E955" s="223" t="s">
        <v>1300</v>
      </c>
      <c r="F955" s="189" t="s">
        <v>146</v>
      </c>
      <c r="G955" s="258">
        <v>-0.5</v>
      </c>
      <c r="H955" s="260">
        <v>-0.5</v>
      </c>
      <c r="I955" s="250" t="s">
        <v>106</v>
      </c>
      <c r="J955" s="250" t="s">
        <v>164</v>
      </c>
      <c r="K955" s="188"/>
      <c r="L955" s="197"/>
      <c r="M955" s="197"/>
      <c r="N955" s="197"/>
      <c r="O955" s="197"/>
    </row>
    <row r="956" spans="1:15" ht="51" hidden="1">
      <c r="A956" s="189" t="s">
        <v>232</v>
      </c>
      <c r="B956" s="189" t="s">
        <v>138</v>
      </c>
      <c r="C956" s="189" t="s">
        <v>106</v>
      </c>
      <c r="D956" s="189" t="s">
        <v>492</v>
      </c>
      <c r="E956" s="223" t="s">
        <v>1301</v>
      </c>
      <c r="F956" s="189" t="s">
        <v>146</v>
      </c>
      <c r="G956" s="258">
        <v>-0.5</v>
      </c>
      <c r="H956" s="260">
        <v>-0.5</v>
      </c>
      <c r="I956" s="250" t="s">
        <v>106</v>
      </c>
      <c r="J956" s="250" t="s">
        <v>164</v>
      </c>
      <c r="K956" s="213"/>
      <c r="L956" s="197"/>
      <c r="M956" s="197"/>
      <c r="N956" s="197"/>
      <c r="O956" s="197"/>
    </row>
    <row r="957" spans="1:15" ht="51" hidden="1">
      <c r="A957" s="189" t="s">
        <v>137</v>
      </c>
      <c r="B957" s="189" t="s">
        <v>138</v>
      </c>
      <c r="C957" s="189" t="s">
        <v>106</v>
      </c>
      <c r="D957" s="189" t="s">
        <v>492</v>
      </c>
      <c r="E957" s="223" t="s">
        <v>1302</v>
      </c>
      <c r="F957" s="189" t="s">
        <v>146</v>
      </c>
      <c r="G957" s="258">
        <v>-0.5</v>
      </c>
      <c r="H957" s="260">
        <v>-0.5</v>
      </c>
      <c r="I957" s="250" t="s">
        <v>106</v>
      </c>
      <c r="J957" s="250" t="s">
        <v>164</v>
      </c>
      <c r="K957" s="188"/>
      <c r="L957" s="197"/>
      <c r="M957" s="197"/>
      <c r="N957" s="197"/>
      <c r="O957" s="197"/>
    </row>
    <row r="958" spans="1:15" ht="51" hidden="1">
      <c r="A958" s="189" t="s">
        <v>137</v>
      </c>
      <c r="B958" s="189" t="s">
        <v>138</v>
      </c>
      <c r="C958" s="189" t="s">
        <v>106</v>
      </c>
      <c r="D958" s="189" t="s">
        <v>492</v>
      </c>
      <c r="E958" s="223" t="s">
        <v>1303</v>
      </c>
      <c r="F958" s="189" t="s">
        <v>146</v>
      </c>
      <c r="G958" s="258">
        <v>-0.5</v>
      </c>
      <c r="H958" s="260">
        <v>-0.5</v>
      </c>
      <c r="I958" s="250" t="s">
        <v>106</v>
      </c>
      <c r="J958" s="250" t="s">
        <v>164</v>
      </c>
      <c r="K958" s="188"/>
      <c r="L958" s="197"/>
      <c r="M958" s="197"/>
      <c r="N958" s="197"/>
      <c r="O958" s="197"/>
    </row>
    <row r="959" spans="1:15" ht="51" hidden="1">
      <c r="A959" s="189" t="s">
        <v>137</v>
      </c>
      <c r="B959" s="189" t="s">
        <v>138</v>
      </c>
      <c r="C959" s="189" t="s">
        <v>106</v>
      </c>
      <c r="D959" s="189" t="s">
        <v>492</v>
      </c>
      <c r="E959" s="223" t="s">
        <v>1304</v>
      </c>
      <c r="F959" s="189" t="s">
        <v>146</v>
      </c>
      <c r="G959" s="258">
        <v>-0.5</v>
      </c>
      <c r="H959" s="260">
        <v>-0.5</v>
      </c>
      <c r="I959" s="250" t="s">
        <v>106</v>
      </c>
      <c r="J959" s="250" t="s">
        <v>164</v>
      </c>
      <c r="K959" s="188"/>
      <c r="L959" s="197"/>
      <c r="M959" s="197"/>
      <c r="N959" s="197"/>
      <c r="O959" s="197"/>
    </row>
    <row r="960" spans="1:15" ht="51" hidden="1">
      <c r="A960" s="189" t="s">
        <v>137</v>
      </c>
      <c r="B960" s="189" t="s">
        <v>138</v>
      </c>
      <c r="C960" s="189" t="s">
        <v>106</v>
      </c>
      <c r="D960" s="189" t="s">
        <v>492</v>
      </c>
      <c r="E960" s="223" t="s">
        <v>1305</v>
      </c>
      <c r="F960" s="189" t="s">
        <v>146</v>
      </c>
      <c r="G960" s="258">
        <v>-0.5</v>
      </c>
      <c r="H960" s="260">
        <v>-0.5</v>
      </c>
      <c r="I960" s="250" t="s">
        <v>106</v>
      </c>
      <c r="J960" s="250" t="s">
        <v>164</v>
      </c>
      <c r="K960" s="213"/>
      <c r="L960" s="197"/>
      <c r="M960" s="197"/>
      <c r="N960" s="197"/>
      <c r="O960" s="197"/>
    </row>
    <row r="961" spans="1:15" ht="51" hidden="1">
      <c r="A961" s="189" t="s">
        <v>232</v>
      </c>
      <c r="B961" s="189" t="s">
        <v>138</v>
      </c>
      <c r="C961" s="189" t="s">
        <v>106</v>
      </c>
      <c r="D961" s="189" t="s">
        <v>492</v>
      </c>
      <c r="E961" s="223" t="s">
        <v>1306</v>
      </c>
      <c r="F961" s="189" t="s">
        <v>146</v>
      </c>
      <c r="G961" s="258">
        <v>-0.5</v>
      </c>
      <c r="H961" s="260">
        <v>-0.5</v>
      </c>
      <c r="I961" s="250" t="s">
        <v>106</v>
      </c>
      <c r="J961" s="250" t="s">
        <v>164</v>
      </c>
      <c r="K961" s="188"/>
      <c r="L961" s="197"/>
      <c r="M961" s="197"/>
      <c r="N961" s="197"/>
      <c r="O961" s="197"/>
    </row>
    <row r="962" spans="1:15" ht="51" hidden="1">
      <c r="A962" s="189" t="s">
        <v>137</v>
      </c>
      <c r="B962" s="189" t="s">
        <v>138</v>
      </c>
      <c r="C962" s="189" t="s">
        <v>106</v>
      </c>
      <c r="D962" s="189" t="s">
        <v>492</v>
      </c>
      <c r="E962" s="223" t="s">
        <v>1307</v>
      </c>
      <c r="F962" s="189" t="s">
        <v>146</v>
      </c>
      <c r="G962" s="258">
        <v>-0.5</v>
      </c>
      <c r="H962" s="260">
        <v>-0.5</v>
      </c>
      <c r="I962" s="250" t="s">
        <v>106</v>
      </c>
      <c r="J962" s="250" t="s">
        <v>164</v>
      </c>
      <c r="K962" s="188"/>
      <c r="L962" s="197"/>
      <c r="M962" s="197"/>
      <c r="N962" s="197"/>
      <c r="O962" s="197"/>
    </row>
    <row r="963" spans="1:15" ht="51" hidden="1">
      <c r="A963" s="189" t="s">
        <v>137</v>
      </c>
      <c r="B963" s="189" t="s">
        <v>138</v>
      </c>
      <c r="C963" s="189" t="s">
        <v>106</v>
      </c>
      <c r="D963" s="189" t="s">
        <v>492</v>
      </c>
      <c r="E963" s="223" t="s">
        <v>1308</v>
      </c>
      <c r="F963" s="189" t="s">
        <v>146</v>
      </c>
      <c r="G963" s="258">
        <v>-0.5</v>
      </c>
      <c r="H963" s="260">
        <v>-0.5</v>
      </c>
      <c r="I963" s="250" t="s">
        <v>106</v>
      </c>
      <c r="J963" s="250" t="s">
        <v>164</v>
      </c>
      <c r="K963" s="188"/>
      <c r="L963" s="197"/>
      <c r="M963" s="197"/>
      <c r="N963" s="197"/>
      <c r="O963" s="197"/>
    </row>
    <row r="964" spans="1:15" ht="51" hidden="1">
      <c r="A964" s="189" t="s">
        <v>137</v>
      </c>
      <c r="B964" s="189" t="s">
        <v>138</v>
      </c>
      <c r="C964" s="189" t="s">
        <v>106</v>
      </c>
      <c r="D964" s="189" t="s">
        <v>492</v>
      </c>
      <c r="E964" s="223" t="s">
        <v>1309</v>
      </c>
      <c r="F964" s="189" t="s">
        <v>146</v>
      </c>
      <c r="G964" s="258">
        <v>-0.5</v>
      </c>
      <c r="H964" s="260">
        <v>-0.5</v>
      </c>
      <c r="I964" s="250" t="s">
        <v>106</v>
      </c>
      <c r="J964" s="250" t="s">
        <v>164</v>
      </c>
      <c r="K964" s="213"/>
      <c r="L964" s="197"/>
      <c r="M964" s="197"/>
      <c r="N964" s="197"/>
      <c r="O964" s="197"/>
    </row>
    <row r="965" spans="1:15" ht="51" hidden="1">
      <c r="A965" s="189" t="s">
        <v>137</v>
      </c>
      <c r="B965" s="189" t="s">
        <v>138</v>
      </c>
      <c r="C965" s="189" t="s">
        <v>106</v>
      </c>
      <c r="D965" s="189" t="s">
        <v>492</v>
      </c>
      <c r="E965" s="223" t="s">
        <v>1310</v>
      </c>
      <c r="F965" s="189" t="s">
        <v>146</v>
      </c>
      <c r="G965" s="258">
        <v>-0.5</v>
      </c>
      <c r="H965" s="260">
        <v>-0.5</v>
      </c>
      <c r="I965" s="250" t="s">
        <v>106</v>
      </c>
      <c r="J965" s="250" t="s">
        <v>164</v>
      </c>
      <c r="K965" s="213"/>
      <c r="L965" s="197"/>
      <c r="M965" s="197"/>
      <c r="N965" s="197"/>
      <c r="O965" s="197"/>
    </row>
    <row r="966" spans="1:15" ht="51" hidden="1">
      <c r="A966" s="189" t="s">
        <v>137</v>
      </c>
      <c r="B966" s="189" t="s">
        <v>138</v>
      </c>
      <c r="C966" s="189" t="s">
        <v>106</v>
      </c>
      <c r="D966" s="189" t="s">
        <v>492</v>
      </c>
      <c r="E966" s="223" t="s">
        <v>1311</v>
      </c>
      <c r="F966" s="189" t="s">
        <v>146</v>
      </c>
      <c r="G966" s="258">
        <v>-0.5</v>
      </c>
      <c r="H966" s="260">
        <v>-0.5</v>
      </c>
      <c r="I966" s="250" t="s">
        <v>106</v>
      </c>
      <c r="J966" s="250" t="s">
        <v>164</v>
      </c>
      <c r="K966" s="213"/>
      <c r="L966" s="197"/>
      <c r="M966" s="197"/>
      <c r="N966" s="197"/>
      <c r="O966" s="197"/>
    </row>
    <row r="967" spans="1:15" ht="51" hidden="1">
      <c r="A967" s="189" t="s">
        <v>137</v>
      </c>
      <c r="B967" s="189" t="s">
        <v>138</v>
      </c>
      <c r="C967" s="189" t="s">
        <v>106</v>
      </c>
      <c r="D967" s="189" t="s">
        <v>492</v>
      </c>
      <c r="E967" s="223" t="s">
        <v>1312</v>
      </c>
      <c r="F967" s="189" t="s">
        <v>146</v>
      </c>
      <c r="G967" s="258">
        <v>-0.5</v>
      </c>
      <c r="H967" s="260">
        <v>-0.5</v>
      </c>
      <c r="I967" s="250" t="s">
        <v>106</v>
      </c>
      <c r="J967" s="250" t="s">
        <v>164</v>
      </c>
      <c r="K967" s="213"/>
      <c r="L967" s="197"/>
      <c r="M967" s="197"/>
      <c r="N967" s="197"/>
      <c r="O967" s="197"/>
    </row>
    <row r="968" spans="1:15" ht="51" hidden="1">
      <c r="A968" s="189" t="s">
        <v>137</v>
      </c>
      <c r="B968" s="189" t="s">
        <v>138</v>
      </c>
      <c r="C968" s="189" t="s">
        <v>106</v>
      </c>
      <c r="D968" s="189" t="s">
        <v>492</v>
      </c>
      <c r="E968" s="223" t="s">
        <v>1313</v>
      </c>
      <c r="F968" s="189" t="s">
        <v>146</v>
      </c>
      <c r="G968" s="258">
        <v>-0.5</v>
      </c>
      <c r="H968" s="260">
        <v>-0.5</v>
      </c>
      <c r="I968" s="250" t="s">
        <v>106</v>
      </c>
      <c r="J968" s="250" t="s">
        <v>164</v>
      </c>
      <c r="K968" s="213"/>
      <c r="L968" s="197"/>
      <c r="M968" s="197"/>
      <c r="N968" s="197"/>
      <c r="O968" s="197"/>
    </row>
    <row r="969" spans="1:15" ht="63.75" hidden="1">
      <c r="A969" s="189" t="s">
        <v>137</v>
      </c>
      <c r="B969" s="189" t="s">
        <v>138</v>
      </c>
      <c r="C969" s="189" t="s">
        <v>106</v>
      </c>
      <c r="D969" s="189" t="s">
        <v>492</v>
      </c>
      <c r="E969" s="223" t="s">
        <v>1314</v>
      </c>
      <c r="F969" s="189" t="s">
        <v>146</v>
      </c>
      <c r="G969" s="258">
        <v>-0.5</v>
      </c>
      <c r="H969" s="260">
        <v>-0.5</v>
      </c>
      <c r="I969" s="250" t="s">
        <v>106</v>
      </c>
      <c r="J969" s="250" t="s">
        <v>164</v>
      </c>
      <c r="K969" s="188"/>
      <c r="L969" s="197"/>
      <c r="M969" s="197"/>
      <c r="N969" s="197"/>
      <c r="O969" s="197"/>
    </row>
    <row r="970" spans="1:15" ht="51" hidden="1">
      <c r="A970" s="189" t="s">
        <v>137</v>
      </c>
      <c r="B970" s="189" t="s">
        <v>138</v>
      </c>
      <c r="C970" s="189" t="s">
        <v>106</v>
      </c>
      <c r="D970" s="189" t="s">
        <v>492</v>
      </c>
      <c r="E970" s="223" t="s">
        <v>1315</v>
      </c>
      <c r="F970" s="189" t="s">
        <v>146</v>
      </c>
      <c r="G970" s="258">
        <v>-0.5</v>
      </c>
      <c r="H970" s="260">
        <v>-0.5</v>
      </c>
      <c r="I970" s="250" t="s">
        <v>106</v>
      </c>
      <c r="J970" s="250" t="s">
        <v>164</v>
      </c>
      <c r="K970" s="188"/>
      <c r="L970" s="197"/>
      <c r="M970" s="197"/>
      <c r="N970" s="197"/>
      <c r="O970" s="197"/>
    </row>
    <row r="971" spans="1:15" ht="51" hidden="1">
      <c r="A971" s="189" t="s">
        <v>232</v>
      </c>
      <c r="B971" s="189" t="s">
        <v>138</v>
      </c>
      <c r="C971" s="189" t="s">
        <v>106</v>
      </c>
      <c r="D971" s="189" t="s">
        <v>492</v>
      </c>
      <c r="E971" s="223" t="s">
        <v>1316</v>
      </c>
      <c r="F971" s="189" t="s">
        <v>146</v>
      </c>
      <c r="G971" s="258">
        <v>-0.5</v>
      </c>
      <c r="H971" s="260">
        <v>-0.5</v>
      </c>
      <c r="I971" s="250" t="s">
        <v>106</v>
      </c>
      <c r="J971" s="250" t="s">
        <v>164</v>
      </c>
      <c r="K971" s="188"/>
      <c r="L971" s="197"/>
      <c r="M971" s="197"/>
      <c r="N971" s="197"/>
      <c r="O971" s="197"/>
    </row>
    <row r="972" spans="1:15" ht="51" hidden="1">
      <c r="A972" s="189" t="s">
        <v>137</v>
      </c>
      <c r="B972" s="189" t="s">
        <v>138</v>
      </c>
      <c r="C972" s="189" t="s">
        <v>106</v>
      </c>
      <c r="D972" s="189" t="s">
        <v>492</v>
      </c>
      <c r="E972" s="223" t="s">
        <v>1317</v>
      </c>
      <c r="F972" s="189" t="s">
        <v>146</v>
      </c>
      <c r="G972" s="258">
        <v>-0.5</v>
      </c>
      <c r="H972" s="260">
        <v>-0.5</v>
      </c>
      <c r="I972" s="250" t="s">
        <v>106</v>
      </c>
      <c r="J972" s="250" t="s">
        <v>164</v>
      </c>
      <c r="K972" s="213"/>
      <c r="L972" s="197"/>
      <c r="M972" s="197"/>
      <c r="N972" s="197"/>
      <c r="O972" s="197"/>
    </row>
    <row r="973" spans="1:15" ht="51" hidden="1">
      <c r="A973" s="189" t="s">
        <v>137</v>
      </c>
      <c r="B973" s="189" t="s">
        <v>138</v>
      </c>
      <c r="C973" s="189" t="s">
        <v>106</v>
      </c>
      <c r="D973" s="189" t="s">
        <v>492</v>
      </c>
      <c r="E973" s="223" t="s">
        <v>1318</v>
      </c>
      <c r="F973" s="189" t="s">
        <v>146</v>
      </c>
      <c r="G973" s="258">
        <v>-0.5</v>
      </c>
      <c r="H973" s="260">
        <v>-0.5</v>
      </c>
      <c r="I973" s="250" t="s">
        <v>106</v>
      </c>
      <c r="J973" s="250" t="s">
        <v>164</v>
      </c>
      <c r="K973" s="213"/>
      <c r="L973" s="197"/>
      <c r="M973" s="197"/>
      <c r="N973" s="197"/>
      <c r="O973" s="197"/>
    </row>
    <row r="974" spans="1:15" ht="51" hidden="1">
      <c r="A974" s="189" t="s">
        <v>232</v>
      </c>
      <c r="B974" s="189" t="s">
        <v>138</v>
      </c>
      <c r="C974" s="189" t="s">
        <v>106</v>
      </c>
      <c r="D974" s="189" t="s">
        <v>492</v>
      </c>
      <c r="E974" s="223" t="s">
        <v>1319</v>
      </c>
      <c r="F974" s="189" t="s">
        <v>146</v>
      </c>
      <c r="G974" s="258">
        <v>-0.5</v>
      </c>
      <c r="H974" s="260">
        <v>-0.5</v>
      </c>
      <c r="I974" s="250" t="s">
        <v>106</v>
      </c>
      <c r="J974" s="250" t="s">
        <v>164</v>
      </c>
      <c r="K974" s="188"/>
      <c r="L974" s="197"/>
      <c r="M974" s="197"/>
      <c r="N974" s="197"/>
      <c r="O974" s="197"/>
    </row>
    <row r="975" spans="1:15" ht="51" hidden="1">
      <c r="A975" s="189" t="s">
        <v>232</v>
      </c>
      <c r="B975" s="189" t="s">
        <v>138</v>
      </c>
      <c r="C975" s="189" t="s">
        <v>106</v>
      </c>
      <c r="D975" s="189" t="s">
        <v>492</v>
      </c>
      <c r="E975" s="223" t="s">
        <v>1320</v>
      </c>
      <c r="F975" s="189" t="s">
        <v>146</v>
      </c>
      <c r="G975" s="258">
        <v>-0.5</v>
      </c>
      <c r="H975" s="260">
        <v>-0.5</v>
      </c>
      <c r="I975" s="198" t="s">
        <v>106</v>
      </c>
      <c r="J975" s="250" t="s">
        <v>164</v>
      </c>
      <c r="K975" s="188"/>
      <c r="L975" s="197"/>
      <c r="M975" s="197"/>
      <c r="N975" s="197"/>
      <c r="O975" s="197"/>
    </row>
    <row r="976" spans="1:15" ht="51" hidden="1">
      <c r="A976" s="189" t="s">
        <v>137</v>
      </c>
      <c r="B976" s="189" t="s">
        <v>138</v>
      </c>
      <c r="C976" s="189" t="s">
        <v>106</v>
      </c>
      <c r="D976" s="189" t="s">
        <v>492</v>
      </c>
      <c r="E976" s="223" t="s">
        <v>1321</v>
      </c>
      <c r="F976" s="189" t="s">
        <v>146</v>
      </c>
      <c r="G976" s="258">
        <v>-0.5</v>
      </c>
      <c r="H976" s="260">
        <v>-0.5</v>
      </c>
      <c r="I976" s="198" t="s">
        <v>106</v>
      </c>
      <c r="J976" s="250" t="s">
        <v>164</v>
      </c>
      <c r="K976" s="213"/>
      <c r="L976" s="197"/>
      <c r="M976" s="197"/>
      <c r="N976" s="197"/>
      <c r="O976" s="197"/>
    </row>
    <row r="977" spans="1:15" ht="51" hidden="1">
      <c r="A977" s="189" t="s">
        <v>137</v>
      </c>
      <c r="B977" s="189" t="s">
        <v>138</v>
      </c>
      <c r="C977" s="189" t="s">
        <v>106</v>
      </c>
      <c r="D977" s="189" t="s">
        <v>492</v>
      </c>
      <c r="E977" s="223" t="s">
        <v>1322</v>
      </c>
      <c r="F977" s="189" t="s">
        <v>146</v>
      </c>
      <c r="G977" s="258">
        <v>-0.5</v>
      </c>
      <c r="H977" s="260">
        <v>-0.5</v>
      </c>
      <c r="I977" s="198" t="s">
        <v>106</v>
      </c>
      <c r="J977" s="250" t="s">
        <v>164</v>
      </c>
      <c r="K977" s="188"/>
      <c r="L977" s="197"/>
      <c r="M977" s="197"/>
      <c r="N977" s="197"/>
      <c r="O977" s="197"/>
    </row>
    <row r="978" spans="1:15" ht="51" hidden="1">
      <c r="A978" s="189" t="s">
        <v>137</v>
      </c>
      <c r="B978" s="189" t="s">
        <v>138</v>
      </c>
      <c r="C978" s="189" t="s">
        <v>106</v>
      </c>
      <c r="D978" s="189" t="s">
        <v>492</v>
      </c>
      <c r="E978" s="223" t="s">
        <v>1323</v>
      </c>
      <c r="F978" s="189" t="s">
        <v>146</v>
      </c>
      <c r="G978" s="258">
        <v>-0.5</v>
      </c>
      <c r="H978" s="260">
        <v>-0.5</v>
      </c>
      <c r="I978" s="250" t="s">
        <v>106</v>
      </c>
      <c r="J978" s="250" t="s">
        <v>164</v>
      </c>
      <c r="K978" s="188"/>
      <c r="L978" s="197"/>
      <c r="M978" s="197"/>
      <c r="N978" s="197"/>
      <c r="O978" s="197"/>
    </row>
    <row r="979" spans="1:15" ht="51" hidden="1">
      <c r="A979" s="189" t="s">
        <v>137</v>
      </c>
      <c r="B979" s="189" t="s">
        <v>138</v>
      </c>
      <c r="C979" s="189" t="s">
        <v>106</v>
      </c>
      <c r="D979" s="189" t="s">
        <v>492</v>
      </c>
      <c r="E979" s="223" t="s">
        <v>1324</v>
      </c>
      <c r="F979" s="189" t="s">
        <v>146</v>
      </c>
      <c r="G979" s="258">
        <v>-0.5</v>
      </c>
      <c r="H979" s="260">
        <v>-0.5</v>
      </c>
      <c r="I979" s="250" t="s">
        <v>106</v>
      </c>
      <c r="J979" s="250" t="s">
        <v>164</v>
      </c>
      <c r="K979" s="188"/>
      <c r="L979" s="197"/>
      <c r="M979" s="197"/>
      <c r="N979" s="197"/>
      <c r="O979" s="197"/>
    </row>
    <row r="980" spans="1:15" ht="51" hidden="1">
      <c r="A980" s="189" t="s">
        <v>137</v>
      </c>
      <c r="B980" s="189" t="s">
        <v>138</v>
      </c>
      <c r="C980" s="189" t="s">
        <v>106</v>
      </c>
      <c r="D980" s="189" t="s">
        <v>492</v>
      </c>
      <c r="E980" s="223" t="s">
        <v>1325</v>
      </c>
      <c r="F980" s="189" t="s">
        <v>146</v>
      </c>
      <c r="G980" s="258">
        <v>-0.5</v>
      </c>
      <c r="H980" s="260">
        <v>-0.5</v>
      </c>
      <c r="I980" s="250" t="s">
        <v>106</v>
      </c>
      <c r="J980" s="250" t="s">
        <v>164</v>
      </c>
      <c r="K980" s="188"/>
      <c r="L980" s="197"/>
      <c r="M980" s="197"/>
      <c r="N980" s="197"/>
      <c r="O980" s="197"/>
    </row>
    <row r="981" spans="1:15" ht="51" hidden="1">
      <c r="A981" s="189" t="s">
        <v>137</v>
      </c>
      <c r="B981" s="189" t="s">
        <v>138</v>
      </c>
      <c r="C981" s="189" t="s">
        <v>106</v>
      </c>
      <c r="D981" s="189" t="s">
        <v>492</v>
      </c>
      <c r="E981" s="223" t="s">
        <v>1326</v>
      </c>
      <c r="F981" s="189" t="s">
        <v>146</v>
      </c>
      <c r="G981" s="258">
        <v>-0.5</v>
      </c>
      <c r="H981" s="260">
        <v>-0.5</v>
      </c>
      <c r="I981" s="250" t="s">
        <v>106</v>
      </c>
      <c r="J981" s="250" t="s">
        <v>164</v>
      </c>
      <c r="K981" s="188"/>
      <c r="L981" s="197"/>
      <c r="M981" s="197"/>
      <c r="N981" s="197"/>
      <c r="O981" s="197"/>
    </row>
    <row r="982" spans="1:15" ht="51" hidden="1">
      <c r="A982" s="189" t="s">
        <v>137</v>
      </c>
      <c r="B982" s="189" t="s">
        <v>138</v>
      </c>
      <c r="C982" s="189" t="s">
        <v>106</v>
      </c>
      <c r="D982" s="189" t="s">
        <v>492</v>
      </c>
      <c r="E982" s="223" t="s">
        <v>1327</v>
      </c>
      <c r="F982" s="189" t="s">
        <v>146</v>
      </c>
      <c r="G982" s="258">
        <v>-0.5</v>
      </c>
      <c r="H982" s="260">
        <v>-0.5</v>
      </c>
      <c r="I982" s="250" t="s">
        <v>106</v>
      </c>
      <c r="J982" s="250" t="s">
        <v>164</v>
      </c>
      <c r="K982" s="188"/>
      <c r="L982" s="197"/>
      <c r="M982" s="197"/>
      <c r="N982" s="197"/>
      <c r="O982" s="197"/>
    </row>
    <row r="983" spans="1:15" ht="51" hidden="1">
      <c r="A983" s="189" t="s">
        <v>137</v>
      </c>
      <c r="B983" s="189" t="s">
        <v>138</v>
      </c>
      <c r="C983" s="189" t="s">
        <v>106</v>
      </c>
      <c r="D983" s="189" t="s">
        <v>492</v>
      </c>
      <c r="E983" s="223" t="s">
        <v>1328</v>
      </c>
      <c r="F983" s="189" t="s">
        <v>146</v>
      </c>
      <c r="G983" s="258">
        <v>-0.5</v>
      </c>
      <c r="H983" s="260">
        <v>-0.5</v>
      </c>
      <c r="I983" s="250" t="s">
        <v>106</v>
      </c>
      <c r="J983" s="250" t="s">
        <v>164</v>
      </c>
      <c r="K983" s="188"/>
      <c r="L983" s="197"/>
      <c r="M983" s="197"/>
      <c r="N983" s="197"/>
      <c r="O983" s="197"/>
    </row>
    <row r="984" spans="1:15" ht="51" hidden="1">
      <c r="A984" s="189" t="s">
        <v>137</v>
      </c>
      <c r="B984" s="189" t="s">
        <v>138</v>
      </c>
      <c r="C984" s="189" t="s">
        <v>106</v>
      </c>
      <c r="D984" s="189" t="s">
        <v>492</v>
      </c>
      <c r="E984" s="223" t="s">
        <v>1329</v>
      </c>
      <c r="F984" s="189" t="s">
        <v>146</v>
      </c>
      <c r="G984" s="258">
        <v>-0.5</v>
      </c>
      <c r="H984" s="260">
        <v>-0.5</v>
      </c>
      <c r="I984" s="250" t="s">
        <v>106</v>
      </c>
      <c r="J984" s="250" t="s">
        <v>164</v>
      </c>
      <c r="K984" s="188"/>
      <c r="L984" s="197"/>
      <c r="M984" s="197"/>
      <c r="N984" s="197"/>
      <c r="O984" s="197"/>
    </row>
    <row r="985" spans="1:15" ht="51" hidden="1">
      <c r="A985" s="189" t="s">
        <v>137</v>
      </c>
      <c r="B985" s="189" t="s">
        <v>138</v>
      </c>
      <c r="C985" s="189" t="s">
        <v>106</v>
      </c>
      <c r="D985" s="189" t="s">
        <v>492</v>
      </c>
      <c r="E985" s="223" t="s">
        <v>1330</v>
      </c>
      <c r="F985" s="189" t="s">
        <v>146</v>
      </c>
      <c r="G985" s="258">
        <v>-0.5</v>
      </c>
      <c r="H985" s="260">
        <v>-0.5</v>
      </c>
      <c r="I985" s="250" t="s">
        <v>106</v>
      </c>
      <c r="J985" s="250" t="s">
        <v>164</v>
      </c>
      <c r="K985" s="188"/>
      <c r="L985" s="197"/>
      <c r="M985" s="197"/>
      <c r="N985" s="197"/>
      <c r="O985" s="197"/>
    </row>
    <row r="986" spans="1:15" ht="51" hidden="1">
      <c r="A986" s="189" t="s">
        <v>232</v>
      </c>
      <c r="B986" s="189" t="s">
        <v>138</v>
      </c>
      <c r="C986" s="189" t="s">
        <v>106</v>
      </c>
      <c r="D986" s="189" t="s">
        <v>492</v>
      </c>
      <c r="E986" s="223" t="s">
        <v>1331</v>
      </c>
      <c r="F986" s="189" t="s">
        <v>146</v>
      </c>
      <c r="G986" s="258">
        <v>-0.5</v>
      </c>
      <c r="H986" s="260">
        <v>-0.5</v>
      </c>
      <c r="I986" s="250" t="s">
        <v>106</v>
      </c>
      <c r="J986" s="250" t="s">
        <v>164</v>
      </c>
      <c r="K986" s="188"/>
      <c r="L986" s="197"/>
      <c r="M986" s="197"/>
      <c r="N986" s="197"/>
      <c r="O986" s="197"/>
    </row>
    <row r="987" spans="1:15" ht="51" hidden="1">
      <c r="A987" s="189" t="s">
        <v>232</v>
      </c>
      <c r="B987" s="189" t="s">
        <v>138</v>
      </c>
      <c r="C987" s="189" t="s">
        <v>106</v>
      </c>
      <c r="D987" s="189" t="s">
        <v>492</v>
      </c>
      <c r="E987" s="223" t="s">
        <v>1332</v>
      </c>
      <c r="F987" s="189" t="s">
        <v>146</v>
      </c>
      <c r="G987" s="258">
        <v>-0.5</v>
      </c>
      <c r="H987" s="260">
        <v>-0.5</v>
      </c>
      <c r="I987" s="250" t="s">
        <v>106</v>
      </c>
      <c r="J987" s="250" t="s">
        <v>164</v>
      </c>
      <c r="K987" s="188"/>
      <c r="L987" s="197"/>
      <c r="M987" s="197"/>
      <c r="N987" s="197"/>
      <c r="O987" s="197"/>
    </row>
    <row r="988" spans="1:15" hidden="1">
      <c r="A988" s="189" t="s">
        <v>209</v>
      </c>
      <c r="B988" s="189" t="s">
        <v>138</v>
      </c>
      <c r="C988" s="189" t="s">
        <v>106</v>
      </c>
      <c r="D988" s="189" t="s">
        <v>492</v>
      </c>
      <c r="E988" s="223" t="s">
        <v>655</v>
      </c>
      <c r="F988" s="189" t="s">
        <v>146</v>
      </c>
      <c r="G988" s="258">
        <v>-10</v>
      </c>
      <c r="H988" s="260">
        <v>-10</v>
      </c>
      <c r="I988" s="250" t="s">
        <v>106</v>
      </c>
      <c r="J988" s="250" t="s">
        <v>164</v>
      </c>
      <c r="K988" s="188"/>
      <c r="L988" s="197"/>
      <c r="M988" s="197"/>
      <c r="N988" s="197"/>
      <c r="O988" s="197"/>
    </row>
    <row r="989" spans="1:15" hidden="1">
      <c r="A989" s="189" t="s">
        <v>137</v>
      </c>
      <c r="B989" s="189" t="s">
        <v>138</v>
      </c>
      <c r="C989" s="189" t="s">
        <v>106</v>
      </c>
      <c r="D989" s="189" t="s">
        <v>492</v>
      </c>
      <c r="E989" s="223" t="s">
        <v>1333</v>
      </c>
      <c r="F989" s="189" t="s">
        <v>146</v>
      </c>
      <c r="G989" s="258">
        <v>-22</v>
      </c>
      <c r="H989" s="260">
        <v>-22</v>
      </c>
      <c r="I989" s="250" t="s">
        <v>106</v>
      </c>
      <c r="J989" s="250" t="s">
        <v>164</v>
      </c>
      <c r="K989" s="213"/>
      <c r="L989" s="197"/>
      <c r="M989" s="197"/>
      <c r="N989" s="197"/>
      <c r="O989" s="197"/>
    </row>
    <row r="990" spans="1:15" hidden="1">
      <c r="A990" s="189" t="s">
        <v>232</v>
      </c>
      <c r="B990" s="189" t="s">
        <v>138</v>
      </c>
      <c r="C990" s="189" t="s">
        <v>106</v>
      </c>
      <c r="D990" s="189" t="s">
        <v>492</v>
      </c>
      <c r="E990" s="223" t="s">
        <v>1334</v>
      </c>
      <c r="F990" s="189" t="s">
        <v>146</v>
      </c>
      <c r="G990" s="258">
        <v>-3.5</v>
      </c>
      <c r="H990" s="260">
        <v>-3.5</v>
      </c>
      <c r="I990" s="250" t="s">
        <v>106</v>
      </c>
      <c r="J990" s="250" t="s">
        <v>164</v>
      </c>
      <c r="K990" s="213"/>
      <c r="L990" s="197"/>
      <c r="M990" s="197"/>
      <c r="N990" s="197"/>
      <c r="O990" s="197"/>
    </row>
    <row r="991" spans="1:15" hidden="1">
      <c r="A991" s="189" t="s">
        <v>232</v>
      </c>
      <c r="B991" s="189" t="s">
        <v>138</v>
      </c>
      <c r="C991" s="189" t="s">
        <v>106</v>
      </c>
      <c r="D991" s="189" t="s">
        <v>492</v>
      </c>
      <c r="E991" s="223" t="s">
        <v>1335</v>
      </c>
      <c r="F991" s="189" t="s">
        <v>146</v>
      </c>
      <c r="G991" s="258">
        <v>-3.5</v>
      </c>
      <c r="H991" s="260">
        <v>-3.5</v>
      </c>
      <c r="I991" s="250" t="s">
        <v>106</v>
      </c>
      <c r="J991" s="250" t="s">
        <v>164</v>
      </c>
      <c r="K991" s="188"/>
      <c r="L991" s="197"/>
      <c r="M991" s="197"/>
      <c r="N991" s="197"/>
      <c r="O991" s="197"/>
    </row>
    <row r="992" spans="1:15" hidden="1">
      <c r="A992" s="189" t="s">
        <v>137</v>
      </c>
      <c r="B992" s="189" t="s">
        <v>138</v>
      </c>
      <c r="C992" s="189" t="s">
        <v>106</v>
      </c>
      <c r="D992" s="189" t="s">
        <v>492</v>
      </c>
      <c r="E992" s="223" t="s">
        <v>1336</v>
      </c>
      <c r="F992" s="189" t="s">
        <v>146</v>
      </c>
      <c r="G992" s="258">
        <v>-40.44</v>
      </c>
      <c r="H992" s="260">
        <v>-40.44</v>
      </c>
      <c r="I992" s="250" t="s">
        <v>106</v>
      </c>
      <c r="J992" s="250" t="s">
        <v>164</v>
      </c>
      <c r="K992" s="188"/>
      <c r="L992" s="197"/>
      <c r="M992" s="197"/>
      <c r="N992" s="197"/>
      <c r="O992" s="197"/>
    </row>
    <row r="993" spans="1:15" hidden="1">
      <c r="A993" s="189" t="s">
        <v>232</v>
      </c>
      <c r="B993" s="189" t="s">
        <v>138</v>
      </c>
      <c r="C993" s="189" t="s">
        <v>106</v>
      </c>
      <c r="D993" s="189" t="s">
        <v>492</v>
      </c>
      <c r="E993" s="223" t="s">
        <v>1337</v>
      </c>
      <c r="F993" s="189" t="s">
        <v>146</v>
      </c>
      <c r="G993" s="258">
        <v>-40</v>
      </c>
      <c r="H993" s="260">
        <v>-40</v>
      </c>
      <c r="I993" s="250" t="s">
        <v>106</v>
      </c>
      <c r="J993" s="250" t="s">
        <v>164</v>
      </c>
      <c r="K993" s="188"/>
      <c r="L993" s="197"/>
      <c r="M993" s="197"/>
      <c r="N993" s="197"/>
      <c r="O993" s="197"/>
    </row>
    <row r="994" spans="1:15" hidden="1">
      <c r="A994" s="189" t="s">
        <v>137</v>
      </c>
      <c r="B994" s="189" t="s">
        <v>138</v>
      </c>
      <c r="C994" s="189" t="s">
        <v>106</v>
      </c>
      <c r="D994" s="189" t="s">
        <v>492</v>
      </c>
      <c r="E994" s="223" t="s">
        <v>1337</v>
      </c>
      <c r="F994" s="189" t="s">
        <v>146</v>
      </c>
      <c r="G994" s="258">
        <v>-40</v>
      </c>
      <c r="H994" s="260">
        <v>-40</v>
      </c>
      <c r="I994" s="250" t="s">
        <v>106</v>
      </c>
      <c r="J994" s="250" t="s">
        <v>164</v>
      </c>
      <c r="K994" s="213"/>
      <c r="L994" s="197"/>
      <c r="M994" s="197"/>
      <c r="N994" s="197"/>
      <c r="O994" s="197"/>
    </row>
    <row r="995" spans="1:15" hidden="1">
      <c r="A995" s="189" t="s">
        <v>232</v>
      </c>
      <c r="B995" s="189" t="s">
        <v>138</v>
      </c>
      <c r="C995" s="189" t="s">
        <v>106</v>
      </c>
      <c r="D995" s="189" t="s">
        <v>492</v>
      </c>
      <c r="E995" s="223" t="s">
        <v>1338</v>
      </c>
      <c r="F995" s="189" t="s">
        <v>146</v>
      </c>
      <c r="G995" s="258">
        <v>-224</v>
      </c>
      <c r="H995" s="260">
        <v>-224</v>
      </c>
      <c r="I995" s="250" t="s">
        <v>106</v>
      </c>
      <c r="J995" s="250" t="s">
        <v>164</v>
      </c>
      <c r="K995" s="188"/>
      <c r="L995" s="197"/>
      <c r="M995" s="197"/>
      <c r="N995" s="197"/>
      <c r="O995" s="197"/>
    </row>
    <row r="996" spans="1:15" hidden="1">
      <c r="A996" s="189" t="s">
        <v>137</v>
      </c>
      <c r="B996" s="189" t="s">
        <v>138</v>
      </c>
      <c r="C996" s="189" t="s">
        <v>106</v>
      </c>
      <c r="D996" s="189" t="s">
        <v>492</v>
      </c>
      <c r="E996" s="223" t="s">
        <v>1338</v>
      </c>
      <c r="F996" s="189" t="s">
        <v>146</v>
      </c>
      <c r="G996" s="258">
        <v>-224</v>
      </c>
      <c r="H996" s="260">
        <v>-224</v>
      </c>
      <c r="I996" s="250" t="s">
        <v>106</v>
      </c>
      <c r="J996" s="250" t="s">
        <v>164</v>
      </c>
      <c r="K996" s="188"/>
      <c r="L996" s="197"/>
      <c r="M996" s="197"/>
      <c r="N996" s="197"/>
      <c r="O996" s="197"/>
    </row>
    <row r="997" spans="1:15" hidden="1">
      <c r="A997" s="189" t="s">
        <v>232</v>
      </c>
      <c r="B997" s="189" t="s">
        <v>138</v>
      </c>
      <c r="C997" s="189" t="s">
        <v>106</v>
      </c>
      <c r="D997" s="189" t="s">
        <v>492</v>
      </c>
      <c r="E997" s="223" t="s">
        <v>1339</v>
      </c>
      <c r="F997" s="189" t="s">
        <v>146</v>
      </c>
      <c r="G997" s="258">
        <v>-81.400000000000006</v>
      </c>
      <c r="H997" s="260">
        <v>-81.400000000000006</v>
      </c>
      <c r="I997" s="250" t="s">
        <v>106</v>
      </c>
      <c r="J997" s="250" t="s">
        <v>164</v>
      </c>
      <c r="K997" s="188"/>
      <c r="L997" s="197"/>
      <c r="M997" s="197"/>
      <c r="N997" s="197"/>
      <c r="O997" s="197"/>
    </row>
    <row r="998" spans="1:15" hidden="1">
      <c r="A998" s="189" t="s">
        <v>137</v>
      </c>
      <c r="B998" s="189" t="s">
        <v>138</v>
      </c>
      <c r="C998" s="189" t="s">
        <v>106</v>
      </c>
      <c r="D998" s="189" t="s">
        <v>492</v>
      </c>
      <c r="E998" s="223" t="s">
        <v>1340</v>
      </c>
      <c r="F998" s="189" t="s">
        <v>146</v>
      </c>
      <c r="G998" s="258">
        <v>-139.19999999999999</v>
      </c>
      <c r="H998" s="260">
        <v>-139.19999999999999</v>
      </c>
      <c r="I998" s="250" t="s">
        <v>106</v>
      </c>
      <c r="J998" s="250" t="s">
        <v>164</v>
      </c>
      <c r="K998" s="188"/>
      <c r="L998" s="197"/>
      <c r="M998" s="197"/>
      <c r="N998" s="197"/>
      <c r="O998" s="197"/>
    </row>
    <row r="999" spans="1:15" hidden="1">
      <c r="A999" s="189" t="s">
        <v>137</v>
      </c>
      <c r="B999" s="189" t="s">
        <v>138</v>
      </c>
      <c r="C999" s="189" t="s">
        <v>106</v>
      </c>
      <c r="D999" s="189" t="s">
        <v>492</v>
      </c>
      <c r="E999" s="223" t="s">
        <v>1341</v>
      </c>
      <c r="F999" s="189" t="s">
        <v>146</v>
      </c>
      <c r="G999" s="258">
        <v>-60</v>
      </c>
      <c r="H999" s="260">
        <v>-60</v>
      </c>
      <c r="I999" s="250" t="s">
        <v>106</v>
      </c>
      <c r="J999" s="250" t="s">
        <v>164</v>
      </c>
      <c r="K999" s="188"/>
      <c r="L999" s="197"/>
      <c r="M999" s="197"/>
      <c r="N999" s="197"/>
      <c r="O999" s="197"/>
    </row>
    <row r="1000" spans="1:15" hidden="1">
      <c r="A1000" s="189" t="s">
        <v>137</v>
      </c>
      <c r="B1000" s="189" t="s">
        <v>138</v>
      </c>
      <c r="C1000" s="189" t="s">
        <v>106</v>
      </c>
      <c r="D1000" s="189" t="s">
        <v>492</v>
      </c>
      <c r="E1000" s="223" t="s">
        <v>1342</v>
      </c>
      <c r="F1000" s="189" t="s">
        <v>146</v>
      </c>
      <c r="G1000" s="258">
        <v>-10</v>
      </c>
      <c r="H1000" s="260">
        <v>-10</v>
      </c>
      <c r="I1000" s="250" t="s">
        <v>106</v>
      </c>
      <c r="J1000" s="250" t="s">
        <v>164</v>
      </c>
      <c r="K1000" s="188"/>
      <c r="L1000" s="197"/>
      <c r="M1000" s="197"/>
      <c r="N1000" s="197"/>
      <c r="O1000" s="197"/>
    </row>
    <row r="1001" spans="1:15" hidden="1">
      <c r="A1001" s="189" t="s">
        <v>137</v>
      </c>
      <c r="B1001" s="189" t="s">
        <v>138</v>
      </c>
      <c r="C1001" s="189" t="s">
        <v>106</v>
      </c>
      <c r="D1001" s="189" t="s">
        <v>492</v>
      </c>
      <c r="E1001" s="223" t="s">
        <v>1343</v>
      </c>
      <c r="F1001" s="189" t="s">
        <v>146</v>
      </c>
      <c r="G1001" s="258">
        <v>-1</v>
      </c>
      <c r="H1001" s="260">
        <v>-1</v>
      </c>
      <c r="I1001" s="250" t="s">
        <v>106</v>
      </c>
      <c r="J1001" s="250" t="s">
        <v>164</v>
      </c>
      <c r="K1001" s="188"/>
      <c r="L1001" s="197"/>
      <c r="M1001" s="197"/>
      <c r="N1001" s="197"/>
      <c r="O1001" s="197"/>
    </row>
    <row r="1002" spans="1:15" hidden="1">
      <c r="A1002" s="189" t="s">
        <v>137</v>
      </c>
      <c r="B1002" s="189" t="s">
        <v>138</v>
      </c>
      <c r="C1002" s="189" t="s">
        <v>106</v>
      </c>
      <c r="D1002" s="189" t="s">
        <v>492</v>
      </c>
      <c r="E1002" s="223" t="s">
        <v>1343</v>
      </c>
      <c r="F1002" s="189" t="s">
        <v>146</v>
      </c>
      <c r="G1002" s="258">
        <v>-11</v>
      </c>
      <c r="H1002" s="260">
        <v>-11</v>
      </c>
      <c r="I1002" s="250" t="s">
        <v>106</v>
      </c>
      <c r="J1002" s="250" t="s">
        <v>164</v>
      </c>
      <c r="K1002" s="188"/>
      <c r="L1002" s="197"/>
      <c r="M1002" s="197"/>
      <c r="N1002" s="197"/>
      <c r="O1002" s="197"/>
    </row>
    <row r="1003" spans="1:15" hidden="1">
      <c r="A1003" s="189" t="s">
        <v>137</v>
      </c>
      <c r="B1003" s="189" t="s">
        <v>138</v>
      </c>
      <c r="C1003" s="189" t="s">
        <v>106</v>
      </c>
      <c r="D1003" s="189" t="s">
        <v>492</v>
      </c>
      <c r="E1003" s="223" t="s">
        <v>1344</v>
      </c>
      <c r="F1003" s="189" t="s">
        <v>146</v>
      </c>
      <c r="G1003" s="258">
        <v>-8.56</v>
      </c>
      <c r="H1003" s="260">
        <v>-8.56</v>
      </c>
      <c r="I1003" s="250" t="s">
        <v>106</v>
      </c>
      <c r="J1003" s="250" t="s">
        <v>164</v>
      </c>
      <c r="K1003" s="188"/>
      <c r="L1003" s="197"/>
      <c r="M1003" s="197"/>
      <c r="N1003" s="197"/>
      <c r="O1003" s="197"/>
    </row>
    <row r="1004" spans="1:15" hidden="1">
      <c r="A1004" s="189" t="s">
        <v>137</v>
      </c>
      <c r="B1004" s="189" t="s">
        <v>138</v>
      </c>
      <c r="C1004" s="189" t="s">
        <v>106</v>
      </c>
      <c r="D1004" s="189" t="s">
        <v>492</v>
      </c>
      <c r="E1004" s="223" t="s">
        <v>1344</v>
      </c>
      <c r="F1004" s="189" t="s">
        <v>146</v>
      </c>
      <c r="G1004" s="258">
        <f>1266.78-1298.18</f>
        <v>-31.400000000000091</v>
      </c>
      <c r="H1004" s="260">
        <v>-31.400000000000091</v>
      </c>
      <c r="I1004" s="250" t="s">
        <v>106</v>
      </c>
      <c r="J1004" s="257" t="s">
        <v>164</v>
      </c>
      <c r="K1004" s="213"/>
      <c r="L1004" s="197"/>
      <c r="M1004" s="197"/>
      <c r="N1004" s="197"/>
      <c r="O1004" s="197"/>
    </row>
    <row r="1005" spans="1:15" hidden="1">
      <c r="A1005" s="189" t="s">
        <v>137</v>
      </c>
      <c r="B1005" s="189" t="s">
        <v>138</v>
      </c>
      <c r="C1005" s="189" t="s">
        <v>106</v>
      </c>
      <c r="D1005" s="189" t="s">
        <v>492</v>
      </c>
      <c r="E1005" s="223" t="s">
        <v>1344</v>
      </c>
      <c r="F1005" s="189" t="s">
        <v>146</v>
      </c>
      <c r="G1005" s="258">
        <v>-4.75</v>
      </c>
      <c r="H1005" s="260">
        <v>-4.75</v>
      </c>
      <c r="I1005" s="250" t="s">
        <v>106</v>
      </c>
      <c r="J1005" s="250" t="s">
        <v>164</v>
      </c>
      <c r="K1005" s="213"/>
      <c r="L1005" s="197"/>
      <c r="M1005" s="197"/>
      <c r="N1005" s="197"/>
      <c r="O1005" s="197"/>
    </row>
    <row r="1006" spans="1:15" hidden="1">
      <c r="A1006" s="189" t="s">
        <v>137</v>
      </c>
      <c r="B1006" s="189" t="s">
        <v>138</v>
      </c>
      <c r="C1006" s="189" t="s">
        <v>106</v>
      </c>
      <c r="D1006" s="189" t="s">
        <v>492</v>
      </c>
      <c r="E1006" s="223" t="s">
        <v>1345</v>
      </c>
      <c r="F1006" s="189" t="s">
        <v>146</v>
      </c>
      <c r="G1006" s="258">
        <v>-10</v>
      </c>
      <c r="H1006" s="260">
        <v>-10</v>
      </c>
      <c r="I1006" s="250" t="s">
        <v>106</v>
      </c>
      <c r="J1006" s="250" t="s">
        <v>164</v>
      </c>
      <c r="K1006" s="213"/>
      <c r="L1006" s="197"/>
      <c r="M1006" s="197"/>
      <c r="N1006" s="197"/>
      <c r="O1006" s="197"/>
    </row>
    <row r="1007" spans="1:15" hidden="1">
      <c r="A1007" s="189" t="s">
        <v>232</v>
      </c>
      <c r="B1007" s="189" t="s">
        <v>138</v>
      </c>
      <c r="C1007" s="189" t="s">
        <v>106</v>
      </c>
      <c r="D1007" s="189" t="s">
        <v>492</v>
      </c>
      <c r="E1007" s="223" t="s">
        <v>1346</v>
      </c>
      <c r="F1007" s="189" t="s">
        <v>146</v>
      </c>
      <c r="G1007" s="258">
        <v>-2.61</v>
      </c>
      <c r="H1007" s="260">
        <v>-2.61</v>
      </c>
      <c r="I1007" s="250" t="s">
        <v>106</v>
      </c>
      <c r="J1007" s="250" t="s">
        <v>164</v>
      </c>
      <c r="K1007" s="188"/>
      <c r="L1007" s="197"/>
      <c r="M1007" s="197"/>
      <c r="N1007" s="197"/>
      <c r="O1007" s="197"/>
    </row>
    <row r="1008" spans="1:15" hidden="1">
      <c r="A1008" s="189" t="s">
        <v>137</v>
      </c>
      <c r="B1008" s="189" t="s">
        <v>138</v>
      </c>
      <c r="C1008" s="189" t="s">
        <v>106</v>
      </c>
      <c r="D1008" s="189" t="s">
        <v>492</v>
      </c>
      <c r="E1008" s="223" t="s">
        <v>1346</v>
      </c>
      <c r="F1008" s="189" t="s">
        <v>146</v>
      </c>
      <c r="G1008" s="258">
        <v>-10</v>
      </c>
      <c r="H1008" s="260">
        <v>-10</v>
      </c>
      <c r="I1008" s="250" t="s">
        <v>106</v>
      </c>
      <c r="J1008" s="250" t="s">
        <v>164</v>
      </c>
      <c r="K1008" s="213"/>
      <c r="L1008" s="197"/>
      <c r="M1008" s="197"/>
      <c r="N1008" s="197"/>
      <c r="O1008" s="197"/>
    </row>
    <row r="1009" spans="1:15" hidden="1">
      <c r="A1009" s="189" t="s">
        <v>137</v>
      </c>
      <c r="B1009" s="189" t="s">
        <v>138</v>
      </c>
      <c r="C1009" s="189" t="s">
        <v>106</v>
      </c>
      <c r="D1009" s="189" t="s">
        <v>492</v>
      </c>
      <c r="E1009" s="223" t="s">
        <v>1347</v>
      </c>
      <c r="F1009" s="189" t="s">
        <v>146</v>
      </c>
      <c r="G1009" s="258">
        <v>-10</v>
      </c>
      <c r="H1009" s="260">
        <v>-10</v>
      </c>
      <c r="I1009" s="250" t="s">
        <v>106</v>
      </c>
      <c r="J1009" s="250" t="s">
        <v>164</v>
      </c>
      <c r="K1009" s="188"/>
      <c r="L1009" s="197"/>
      <c r="M1009" s="197"/>
      <c r="N1009" s="197"/>
      <c r="O1009" s="197"/>
    </row>
    <row r="1010" spans="1:15" hidden="1">
      <c r="A1010" s="189" t="s">
        <v>137</v>
      </c>
      <c r="B1010" s="189" t="s">
        <v>138</v>
      </c>
      <c r="C1010" s="189" t="s">
        <v>106</v>
      </c>
      <c r="D1010" s="189" t="s">
        <v>492</v>
      </c>
      <c r="E1010" s="223" t="s">
        <v>1348</v>
      </c>
      <c r="F1010" s="189" t="s">
        <v>146</v>
      </c>
      <c r="G1010" s="258">
        <v>-50</v>
      </c>
      <c r="H1010" s="260">
        <v>-50</v>
      </c>
      <c r="I1010" s="250" t="s">
        <v>106</v>
      </c>
      <c r="J1010" s="250" t="s">
        <v>164</v>
      </c>
      <c r="K1010" s="188"/>
      <c r="L1010" s="197"/>
      <c r="M1010" s="197"/>
      <c r="N1010" s="197"/>
      <c r="O1010" s="197"/>
    </row>
    <row r="1011" spans="1:15" hidden="1">
      <c r="A1011" s="199" t="s">
        <v>243</v>
      </c>
      <c r="B1011" s="189" t="s">
        <v>138</v>
      </c>
      <c r="C1011" s="189" t="s">
        <v>501</v>
      </c>
      <c r="D1011" s="189" t="s">
        <v>655</v>
      </c>
      <c r="E1011" s="189" t="s">
        <v>1349</v>
      </c>
      <c r="F1011" s="189" t="s">
        <v>261</v>
      </c>
      <c r="G1011" s="260">
        <v>-33.01</v>
      </c>
      <c r="H1011" s="260">
        <v>-33.01</v>
      </c>
      <c r="I1011" s="250" t="s">
        <v>503</v>
      </c>
      <c r="J1011" s="198" t="s">
        <v>206</v>
      </c>
      <c r="K1011" s="188"/>
      <c r="L1011" s="197"/>
      <c r="M1011" s="197"/>
      <c r="N1011" s="197"/>
      <c r="O1011" s="197"/>
    </row>
    <row r="1012" spans="1:15" hidden="1">
      <c r="A1012" s="199" t="s">
        <v>243</v>
      </c>
      <c r="B1012" s="199" t="s">
        <v>138</v>
      </c>
      <c r="C1012" s="199" t="s">
        <v>501</v>
      </c>
      <c r="D1012" s="199" t="s">
        <v>655</v>
      </c>
      <c r="E1012" s="199" t="s">
        <v>1350</v>
      </c>
      <c r="F1012" s="205" t="s">
        <v>265</v>
      </c>
      <c r="G1012" s="226">
        <v>-32.270000000000003</v>
      </c>
      <c r="H1012" s="226">
        <v>-32.270000000000003</v>
      </c>
      <c r="I1012" s="269" t="s">
        <v>503</v>
      </c>
      <c r="J1012" s="198" t="s">
        <v>206</v>
      </c>
      <c r="K1012" s="188"/>
      <c r="L1012" s="197"/>
      <c r="M1012" s="197"/>
      <c r="N1012" s="197"/>
      <c r="O1012" s="197"/>
    </row>
    <row r="1013" spans="1:15" hidden="1">
      <c r="A1013" s="199" t="s">
        <v>243</v>
      </c>
      <c r="B1013" s="189" t="s">
        <v>138</v>
      </c>
      <c r="C1013" s="189" t="s">
        <v>501</v>
      </c>
      <c r="D1013" s="189" t="s">
        <v>655</v>
      </c>
      <c r="E1013" s="189" t="s">
        <v>1351</v>
      </c>
      <c r="F1013" s="189" t="s">
        <v>153</v>
      </c>
      <c r="G1013" s="260">
        <v>-22.41</v>
      </c>
      <c r="H1013" s="260">
        <v>-22.41</v>
      </c>
      <c r="I1013" s="250" t="s">
        <v>503</v>
      </c>
      <c r="J1013" s="198" t="s">
        <v>206</v>
      </c>
      <c r="K1013" s="188"/>
      <c r="L1013" s="197"/>
      <c r="M1013" s="197"/>
      <c r="N1013" s="197"/>
      <c r="O1013" s="197"/>
    </row>
    <row r="1014" spans="1:15" hidden="1">
      <c r="A1014" s="199" t="s">
        <v>243</v>
      </c>
      <c r="B1014" s="199" t="s">
        <v>138</v>
      </c>
      <c r="C1014" s="199" t="s">
        <v>501</v>
      </c>
      <c r="D1014" s="199" t="s">
        <v>492</v>
      </c>
      <c r="E1014" s="205" t="s">
        <v>509</v>
      </c>
      <c r="F1014" s="205" t="s">
        <v>142</v>
      </c>
      <c r="G1014" s="225">
        <v>-22.92</v>
      </c>
      <c r="H1014" s="226">
        <v>-22.92</v>
      </c>
      <c r="I1014" s="198" t="s">
        <v>503</v>
      </c>
      <c r="J1014" s="198" t="s">
        <v>206</v>
      </c>
      <c r="K1014" s="213"/>
      <c r="L1014" s="197"/>
      <c r="M1014" s="197"/>
      <c r="N1014" s="197"/>
      <c r="O1014" s="197"/>
    </row>
    <row r="1015" spans="1:15" hidden="1">
      <c r="A1015" s="199" t="s">
        <v>243</v>
      </c>
      <c r="B1015" s="199" t="s">
        <v>138</v>
      </c>
      <c r="C1015" s="199" t="s">
        <v>97</v>
      </c>
      <c r="D1015" s="199" t="s">
        <v>1352</v>
      </c>
      <c r="E1015" s="205" t="s">
        <v>1353</v>
      </c>
      <c r="F1015" s="205" t="s">
        <v>146</v>
      </c>
      <c r="G1015" s="258">
        <v>-82.7</v>
      </c>
      <c r="H1015" s="226">
        <v>-82.7</v>
      </c>
      <c r="I1015" s="199" t="s">
        <v>97</v>
      </c>
      <c r="J1015" s="250" t="s">
        <v>206</v>
      </c>
      <c r="K1015" s="188"/>
      <c r="L1015" s="197"/>
      <c r="M1015" s="197"/>
      <c r="N1015" s="197"/>
      <c r="O1015" s="197"/>
    </row>
    <row r="1016" spans="1:15" ht="51" hidden="1">
      <c r="A1016" s="199" t="s">
        <v>137</v>
      </c>
      <c r="B1016" s="199" t="s">
        <v>138</v>
      </c>
      <c r="C1016" s="199" t="s">
        <v>106</v>
      </c>
      <c r="D1016" s="199" t="s">
        <v>492</v>
      </c>
      <c r="E1016" s="205" t="s">
        <v>1354</v>
      </c>
      <c r="F1016" s="205" t="s">
        <v>149</v>
      </c>
      <c r="G1016" s="225">
        <v>-0.5</v>
      </c>
      <c r="H1016" s="226">
        <v>-0.5</v>
      </c>
      <c r="I1016" s="250" t="s">
        <v>106</v>
      </c>
      <c r="J1016" s="250" t="s">
        <v>164</v>
      </c>
      <c r="K1016" s="188"/>
      <c r="L1016" s="197"/>
      <c r="M1016" s="197"/>
      <c r="N1016" s="197"/>
      <c r="O1016" s="197"/>
    </row>
    <row r="1017" spans="1:15" ht="51" hidden="1">
      <c r="A1017" s="199" t="s">
        <v>137</v>
      </c>
      <c r="B1017" s="199" t="s">
        <v>138</v>
      </c>
      <c r="C1017" s="199" t="s">
        <v>106</v>
      </c>
      <c r="D1017" s="199" t="s">
        <v>492</v>
      </c>
      <c r="E1017" s="205" t="s">
        <v>1355</v>
      </c>
      <c r="F1017" s="205" t="s">
        <v>149</v>
      </c>
      <c r="G1017" s="225">
        <v>-0.5</v>
      </c>
      <c r="H1017" s="226">
        <v>-0.5</v>
      </c>
      <c r="I1017" s="250" t="s">
        <v>106</v>
      </c>
      <c r="J1017" s="250" t="s">
        <v>164</v>
      </c>
      <c r="K1017" s="213"/>
      <c r="L1017" s="197"/>
      <c r="M1017" s="197"/>
      <c r="N1017" s="197"/>
      <c r="O1017" s="197"/>
    </row>
    <row r="1018" spans="1:15" ht="51" hidden="1">
      <c r="A1018" s="199" t="s">
        <v>137</v>
      </c>
      <c r="B1018" s="199" t="s">
        <v>138</v>
      </c>
      <c r="C1018" s="199" t="s">
        <v>106</v>
      </c>
      <c r="D1018" s="199" t="s">
        <v>492</v>
      </c>
      <c r="E1018" s="205" t="s">
        <v>1356</v>
      </c>
      <c r="F1018" s="205" t="s">
        <v>149</v>
      </c>
      <c r="G1018" s="225">
        <v>-0.5</v>
      </c>
      <c r="H1018" s="226">
        <v>-0.5</v>
      </c>
      <c r="I1018" s="250" t="s">
        <v>106</v>
      </c>
      <c r="J1018" s="250" t="s">
        <v>164</v>
      </c>
      <c r="K1018" s="188"/>
      <c r="L1018" s="197"/>
      <c r="M1018" s="197"/>
      <c r="N1018" s="197"/>
      <c r="O1018" s="197"/>
    </row>
    <row r="1019" spans="1:15" ht="51" hidden="1">
      <c r="A1019" s="199" t="s">
        <v>137</v>
      </c>
      <c r="B1019" s="199" t="s">
        <v>138</v>
      </c>
      <c r="C1019" s="199" t="s">
        <v>106</v>
      </c>
      <c r="D1019" s="199" t="s">
        <v>492</v>
      </c>
      <c r="E1019" s="205" t="s">
        <v>1357</v>
      </c>
      <c r="F1019" s="205" t="s">
        <v>149</v>
      </c>
      <c r="G1019" s="225">
        <v>-0.5</v>
      </c>
      <c r="H1019" s="226">
        <v>-0.5</v>
      </c>
      <c r="I1019" s="250" t="s">
        <v>106</v>
      </c>
      <c r="J1019" s="250" t="s">
        <v>164</v>
      </c>
      <c r="K1019" s="188"/>
      <c r="L1019" s="197"/>
      <c r="M1019" s="197"/>
      <c r="N1019" s="197"/>
      <c r="O1019" s="197"/>
    </row>
    <row r="1020" spans="1:15" ht="51" hidden="1">
      <c r="A1020" s="199" t="s">
        <v>137</v>
      </c>
      <c r="B1020" s="199" t="s">
        <v>138</v>
      </c>
      <c r="C1020" s="199" t="s">
        <v>106</v>
      </c>
      <c r="D1020" s="199" t="s">
        <v>492</v>
      </c>
      <c r="E1020" s="205" t="s">
        <v>1358</v>
      </c>
      <c r="F1020" s="205" t="s">
        <v>149</v>
      </c>
      <c r="G1020" s="225">
        <v>-0.5</v>
      </c>
      <c r="H1020" s="226">
        <v>-0.5</v>
      </c>
      <c r="I1020" s="250" t="s">
        <v>106</v>
      </c>
      <c r="J1020" s="250" t="s">
        <v>164</v>
      </c>
      <c r="K1020" s="213"/>
      <c r="L1020" s="197"/>
      <c r="M1020" s="197"/>
      <c r="N1020" s="197"/>
      <c r="O1020" s="197"/>
    </row>
    <row r="1021" spans="1:15" ht="51" hidden="1">
      <c r="A1021" s="199" t="s">
        <v>137</v>
      </c>
      <c r="B1021" s="199" t="s">
        <v>138</v>
      </c>
      <c r="C1021" s="199" t="s">
        <v>106</v>
      </c>
      <c r="D1021" s="199" t="s">
        <v>492</v>
      </c>
      <c r="E1021" s="205" t="s">
        <v>1359</v>
      </c>
      <c r="F1021" s="205" t="s">
        <v>149</v>
      </c>
      <c r="G1021" s="225">
        <v>-0.5</v>
      </c>
      <c r="H1021" s="226">
        <v>-0.5</v>
      </c>
      <c r="I1021" s="250" t="s">
        <v>106</v>
      </c>
      <c r="J1021" s="250" t="s">
        <v>164</v>
      </c>
      <c r="K1021" s="188"/>
      <c r="L1021" s="197"/>
      <c r="M1021" s="197"/>
      <c r="N1021" s="197"/>
      <c r="O1021" s="197"/>
    </row>
    <row r="1022" spans="1:15" ht="51" hidden="1">
      <c r="A1022" s="199" t="s">
        <v>137</v>
      </c>
      <c r="B1022" s="199" t="s">
        <v>138</v>
      </c>
      <c r="C1022" s="199" t="s">
        <v>106</v>
      </c>
      <c r="D1022" s="199" t="s">
        <v>492</v>
      </c>
      <c r="E1022" s="205" t="s">
        <v>1360</v>
      </c>
      <c r="F1022" s="205" t="s">
        <v>149</v>
      </c>
      <c r="G1022" s="225">
        <v>-0.5</v>
      </c>
      <c r="H1022" s="226">
        <v>-0.5</v>
      </c>
      <c r="I1022" s="250" t="s">
        <v>106</v>
      </c>
      <c r="J1022" s="250" t="s">
        <v>164</v>
      </c>
      <c r="K1022" s="188"/>
      <c r="L1022" s="197"/>
      <c r="M1022" s="197"/>
      <c r="N1022" s="197"/>
      <c r="O1022" s="197"/>
    </row>
    <row r="1023" spans="1:15" ht="38.25" hidden="1">
      <c r="A1023" s="199" t="s">
        <v>137</v>
      </c>
      <c r="B1023" s="199" t="s">
        <v>138</v>
      </c>
      <c r="C1023" s="199" t="s">
        <v>106</v>
      </c>
      <c r="D1023" s="199" t="s">
        <v>492</v>
      </c>
      <c r="E1023" s="205" t="s">
        <v>1361</v>
      </c>
      <c r="F1023" s="205" t="s">
        <v>149</v>
      </c>
      <c r="G1023" s="225">
        <v>-1.99</v>
      </c>
      <c r="H1023" s="226">
        <v>-1.99</v>
      </c>
      <c r="I1023" s="198" t="s">
        <v>106</v>
      </c>
      <c r="J1023" s="250" t="s">
        <v>164</v>
      </c>
      <c r="K1023" s="188"/>
      <c r="L1023" s="197"/>
      <c r="M1023" s="197"/>
      <c r="N1023" s="197"/>
      <c r="O1023" s="197"/>
    </row>
    <row r="1024" spans="1:15" ht="51" hidden="1">
      <c r="A1024" s="199" t="s">
        <v>137</v>
      </c>
      <c r="B1024" s="199" t="s">
        <v>138</v>
      </c>
      <c r="C1024" s="199" t="s">
        <v>106</v>
      </c>
      <c r="D1024" s="199" t="s">
        <v>492</v>
      </c>
      <c r="E1024" s="205" t="s">
        <v>1362</v>
      </c>
      <c r="F1024" s="205" t="s">
        <v>149</v>
      </c>
      <c r="G1024" s="225">
        <v>-1.99</v>
      </c>
      <c r="H1024" s="226">
        <v>-1.99</v>
      </c>
      <c r="I1024" s="250" t="s">
        <v>106</v>
      </c>
      <c r="J1024" s="250" t="s">
        <v>164</v>
      </c>
      <c r="K1024" s="188"/>
      <c r="L1024" s="197"/>
      <c r="M1024" s="197"/>
      <c r="N1024" s="197"/>
      <c r="O1024" s="197"/>
    </row>
    <row r="1025" spans="1:15" ht="63.75" hidden="1">
      <c r="A1025" s="199" t="s">
        <v>137</v>
      </c>
      <c r="B1025" s="199" t="s">
        <v>138</v>
      </c>
      <c r="C1025" s="199" t="s">
        <v>106</v>
      </c>
      <c r="D1025" s="199" t="s">
        <v>492</v>
      </c>
      <c r="E1025" s="205" t="s">
        <v>1363</v>
      </c>
      <c r="F1025" s="205" t="s">
        <v>149</v>
      </c>
      <c r="G1025" s="225">
        <v>-0.5</v>
      </c>
      <c r="H1025" s="226">
        <v>-0.5</v>
      </c>
      <c r="I1025" s="250" t="s">
        <v>106</v>
      </c>
      <c r="J1025" s="250" t="s">
        <v>164</v>
      </c>
      <c r="K1025" s="188"/>
      <c r="L1025" s="197"/>
      <c r="M1025" s="197"/>
      <c r="N1025" s="197"/>
      <c r="O1025" s="197"/>
    </row>
    <row r="1026" spans="1:15" ht="51" hidden="1">
      <c r="A1026" s="199" t="s">
        <v>137</v>
      </c>
      <c r="B1026" s="199" t="s">
        <v>138</v>
      </c>
      <c r="C1026" s="199" t="s">
        <v>106</v>
      </c>
      <c r="D1026" s="199" t="s">
        <v>492</v>
      </c>
      <c r="E1026" s="205" t="s">
        <v>1364</v>
      </c>
      <c r="F1026" s="205" t="s">
        <v>149</v>
      </c>
      <c r="G1026" s="225">
        <v>-0.5</v>
      </c>
      <c r="H1026" s="226">
        <v>-0.5</v>
      </c>
      <c r="I1026" s="250" t="s">
        <v>106</v>
      </c>
      <c r="J1026" s="250" t="s">
        <v>164</v>
      </c>
      <c r="K1026" s="188"/>
      <c r="L1026" s="197"/>
      <c r="M1026" s="197"/>
      <c r="N1026" s="197"/>
      <c r="O1026" s="197"/>
    </row>
    <row r="1027" spans="1:15" ht="51" hidden="1">
      <c r="A1027" s="199" t="s">
        <v>137</v>
      </c>
      <c r="B1027" s="199" t="s">
        <v>138</v>
      </c>
      <c r="C1027" s="199" t="s">
        <v>106</v>
      </c>
      <c r="D1027" s="199" t="s">
        <v>492</v>
      </c>
      <c r="E1027" s="205" t="s">
        <v>1365</v>
      </c>
      <c r="F1027" s="205" t="s">
        <v>149</v>
      </c>
      <c r="G1027" s="225">
        <v>-0.5</v>
      </c>
      <c r="H1027" s="226">
        <v>-0.5</v>
      </c>
      <c r="I1027" s="250" t="s">
        <v>106</v>
      </c>
      <c r="J1027" s="250" t="s">
        <v>164</v>
      </c>
      <c r="K1027" s="213"/>
      <c r="L1027" s="197"/>
      <c r="M1027" s="197"/>
      <c r="N1027" s="197"/>
      <c r="O1027" s="197"/>
    </row>
    <row r="1028" spans="1:15" ht="51" hidden="1">
      <c r="A1028" s="199" t="s">
        <v>137</v>
      </c>
      <c r="B1028" s="199" t="s">
        <v>138</v>
      </c>
      <c r="C1028" s="199" t="s">
        <v>106</v>
      </c>
      <c r="D1028" s="199" t="s">
        <v>492</v>
      </c>
      <c r="E1028" s="205" t="s">
        <v>1366</v>
      </c>
      <c r="F1028" s="205" t="s">
        <v>149</v>
      </c>
      <c r="G1028" s="225">
        <v>-0.5</v>
      </c>
      <c r="H1028" s="226">
        <v>-0.5</v>
      </c>
      <c r="I1028" s="198" t="s">
        <v>106</v>
      </c>
      <c r="J1028" s="250" t="s">
        <v>164</v>
      </c>
      <c r="K1028" s="188"/>
      <c r="L1028" s="197"/>
      <c r="M1028" s="197"/>
      <c r="N1028" s="197"/>
      <c r="O1028" s="197"/>
    </row>
    <row r="1029" spans="1:15" ht="51" hidden="1">
      <c r="A1029" s="199" t="s">
        <v>137</v>
      </c>
      <c r="B1029" s="199" t="s">
        <v>138</v>
      </c>
      <c r="C1029" s="199" t="s">
        <v>106</v>
      </c>
      <c r="D1029" s="199" t="s">
        <v>492</v>
      </c>
      <c r="E1029" s="205" t="s">
        <v>1367</v>
      </c>
      <c r="F1029" s="205" t="s">
        <v>149</v>
      </c>
      <c r="G1029" s="225">
        <v>-0.5</v>
      </c>
      <c r="H1029" s="226">
        <v>-0.5</v>
      </c>
      <c r="I1029" s="250" t="s">
        <v>106</v>
      </c>
      <c r="J1029" s="250" t="s">
        <v>164</v>
      </c>
      <c r="K1029" s="188"/>
      <c r="L1029" s="197"/>
      <c r="M1029" s="197"/>
      <c r="N1029" s="197"/>
      <c r="O1029" s="197"/>
    </row>
    <row r="1030" spans="1:15" ht="51" hidden="1">
      <c r="A1030" s="199" t="s">
        <v>137</v>
      </c>
      <c r="B1030" s="199" t="s">
        <v>138</v>
      </c>
      <c r="C1030" s="199" t="s">
        <v>106</v>
      </c>
      <c r="D1030" s="199" t="s">
        <v>492</v>
      </c>
      <c r="E1030" s="205" t="s">
        <v>1368</v>
      </c>
      <c r="F1030" s="205" t="s">
        <v>149</v>
      </c>
      <c r="G1030" s="225">
        <v>-0.5</v>
      </c>
      <c r="H1030" s="226">
        <v>-0.5</v>
      </c>
      <c r="I1030" s="250" t="s">
        <v>106</v>
      </c>
      <c r="J1030" s="250" t="s">
        <v>164</v>
      </c>
      <c r="K1030" s="213"/>
      <c r="L1030" s="197"/>
      <c r="M1030" s="197"/>
      <c r="N1030" s="197"/>
      <c r="O1030" s="197"/>
    </row>
    <row r="1031" spans="1:15" ht="51" hidden="1">
      <c r="A1031" s="199" t="s">
        <v>137</v>
      </c>
      <c r="B1031" s="199" t="s">
        <v>138</v>
      </c>
      <c r="C1031" s="199" t="s">
        <v>106</v>
      </c>
      <c r="D1031" s="199" t="s">
        <v>492</v>
      </c>
      <c r="E1031" s="205" t="s">
        <v>1369</v>
      </c>
      <c r="F1031" s="205" t="s">
        <v>149</v>
      </c>
      <c r="G1031" s="225">
        <v>-0.5</v>
      </c>
      <c r="H1031" s="226">
        <v>-0.5</v>
      </c>
      <c r="I1031" s="198" t="s">
        <v>106</v>
      </c>
      <c r="J1031" s="250" t="s">
        <v>164</v>
      </c>
      <c r="K1031" s="188"/>
      <c r="L1031" s="197"/>
      <c r="M1031" s="197"/>
      <c r="N1031" s="197"/>
      <c r="O1031" s="197"/>
    </row>
    <row r="1032" spans="1:15" ht="51" hidden="1">
      <c r="A1032" s="199" t="s">
        <v>137</v>
      </c>
      <c r="B1032" s="199" t="s">
        <v>138</v>
      </c>
      <c r="C1032" s="199" t="s">
        <v>106</v>
      </c>
      <c r="D1032" s="199" t="s">
        <v>492</v>
      </c>
      <c r="E1032" s="205" t="s">
        <v>1370</v>
      </c>
      <c r="F1032" s="205" t="s">
        <v>149</v>
      </c>
      <c r="G1032" s="225">
        <v>-0.5</v>
      </c>
      <c r="H1032" s="226">
        <v>-0.5</v>
      </c>
      <c r="I1032" s="198" t="s">
        <v>106</v>
      </c>
      <c r="J1032" s="250" t="s">
        <v>164</v>
      </c>
      <c r="K1032" s="188"/>
      <c r="L1032" s="197"/>
      <c r="M1032" s="197"/>
      <c r="N1032" s="197"/>
      <c r="O1032" s="197"/>
    </row>
    <row r="1033" spans="1:15" ht="51" hidden="1">
      <c r="A1033" s="199" t="s">
        <v>137</v>
      </c>
      <c r="B1033" s="199" t="s">
        <v>138</v>
      </c>
      <c r="C1033" s="199" t="s">
        <v>106</v>
      </c>
      <c r="D1033" s="199" t="s">
        <v>492</v>
      </c>
      <c r="E1033" s="205" t="s">
        <v>1371</v>
      </c>
      <c r="F1033" s="205" t="s">
        <v>149</v>
      </c>
      <c r="G1033" s="225">
        <v>-0.5</v>
      </c>
      <c r="H1033" s="226">
        <v>-0.5</v>
      </c>
      <c r="I1033" s="250" t="s">
        <v>106</v>
      </c>
      <c r="J1033" s="250" t="s">
        <v>164</v>
      </c>
      <c r="K1033" s="188"/>
      <c r="L1033" s="197"/>
      <c r="M1033" s="197"/>
      <c r="N1033" s="197"/>
      <c r="O1033" s="197"/>
    </row>
    <row r="1034" spans="1:15" ht="51" hidden="1">
      <c r="A1034" s="199" t="s">
        <v>137</v>
      </c>
      <c r="B1034" s="199" t="s">
        <v>138</v>
      </c>
      <c r="C1034" s="199" t="s">
        <v>106</v>
      </c>
      <c r="D1034" s="199" t="s">
        <v>492</v>
      </c>
      <c r="E1034" s="205" t="s">
        <v>1372</v>
      </c>
      <c r="F1034" s="205" t="s">
        <v>149</v>
      </c>
      <c r="G1034" s="225">
        <v>-0.5</v>
      </c>
      <c r="H1034" s="226">
        <v>-0.5</v>
      </c>
      <c r="I1034" s="250" t="s">
        <v>106</v>
      </c>
      <c r="J1034" s="250" t="s">
        <v>164</v>
      </c>
      <c r="K1034" s="188"/>
      <c r="L1034" s="197"/>
      <c r="M1034" s="197"/>
      <c r="N1034" s="197"/>
      <c r="O1034" s="197"/>
    </row>
    <row r="1035" spans="1:15" ht="51" hidden="1">
      <c r="A1035" s="199" t="s">
        <v>137</v>
      </c>
      <c r="B1035" s="199" t="s">
        <v>138</v>
      </c>
      <c r="C1035" s="199" t="s">
        <v>106</v>
      </c>
      <c r="D1035" s="199" t="s">
        <v>492</v>
      </c>
      <c r="E1035" s="205" t="s">
        <v>1373</v>
      </c>
      <c r="F1035" s="205" t="s">
        <v>149</v>
      </c>
      <c r="G1035" s="225">
        <v>-0.5</v>
      </c>
      <c r="H1035" s="226">
        <v>-0.5</v>
      </c>
      <c r="I1035" s="250" t="s">
        <v>106</v>
      </c>
      <c r="J1035" s="250" t="s">
        <v>164</v>
      </c>
      <c r="K1035" s="188"/>
      <c r="L1035" s="197"/>
      <c r="M1035" s="197"/>
      <c r="N1035" s="197"/>
      <c r="O1035" s="197"/>
    </row>
    <row r="1036" spans="1:15" ht="51" hidden="1">
      <c r="A1036" s="199" t="s">
        <v>137</v>
      </c>
      <c r="B1036" s="199" t="s">
        <v>138</v>
      </c>
      <c r="C1036" s="199" t="s">
        <v>106</v>
      </c>
      <c r="D1036" s="199" t="s">
        <v>492</v>
      </c>
      <c r="E1036" s="205" t="s">
        <v>1374</v>
      </c>
      <c r="F1036" s="205" t="s">
        <v>149</v>
      </c>
      <c r="G1036" s="225">
        <v>-0.5</v>
      </c>
      <c r="H1036" s="226">
        <v>-0.5</v>
      </c>
      <c r="I1036" s="250" t="s">
        <v>106</v>
      </c>
      <c r="J1036" s="250" t="s">
        <v>164</v>
      </c>
      <c r="K1036" s="213"/>
      <c r="L1036" s="197"/>
      <c r="M1036" s="197"/>
      <c r="N1036" s="197"/>
      <c r="O1036" s="197"/>
    </row>
    <row r="1037" spans="1:15" ht="51" hidden="1">
      <c r="A1037" s="199" t="s">
        <v>137</v>
      </c>
      <c r="B1037" s="199" t="s">
        <v>138</v>
      </c>
      <c r="C1037" s="199" t="s">
        <v>106</v>
      </c>
      <c r="D1037" s="199" t="s">
        <v>492</v>
      </c>
      <c r="E1037" s="205" t="s">
        <v>1375</v>
      </c>
      <c r="F1037" s="205" t="s">
        <v>149</v>
      </c>
      <c r="G1037" s="225">
        <v>-0.5</v>
      </c>
      <c r="H1037" s="226">
        <v>-0.5</v>
      </c>
      <c r="I1037" s="250" t="s">
        <v>106</v>
      </c>
      <c r="J1037" s="250" t="s">
        <v>164</v>
      </c>
      <c r="K1037" s="213"/>
      <c r="L1037" s="197"/>
      <c r="M1037" s="197"/>
      <c r="N1037" s="197"/>
      <c r="O1037" s="197"/>
    </row>
    <row r="1038" spans="1:15" ht="51" hidden="1">
      <c r="A1038" s="199" t="s">
        <v>137</v>
      </c>
      <c r="B1038" s="199" t="s">
        <v>138</v>
      </c>
      <c r="C1038" s="199" t="s">
        <v>106</v>
      </c>
      <c r="D1038" s="199" t="s">
        <v>492</v>
      </c>
      <c r="E1038" s="205" t="s">
        <v>1376</v>
      </c>
      <c r="F1038" s="205" t="s">
        <v>149</v>
      </c>
      <c r="G1038" s="225">
        <v>-0.5</v>
      </c>
      <c r="H1038" s="226">
        <v>-0.5</v>
      </c>
      <c r="I1038" s="250" t="s">
        <v>106</v>
      </c>
      <c r="J1038" s="250" t="s">
        <v>164</v>
      </c>
      <c r="K1038" s="188"/>
      <c r="L1038" s="197"/>
      <c r="M1038" s="197"/>
      <c r="N1038" s="197"/>
      <c r="O1038" s="197"/>
    </row>
    <row r="1039" spans="1:15" ht="51" hidden="1">
      <c r="A1039" s="199" t="s">
        <v>137</v>
      </c>
      <c r="B1039" s="199" t="s">
        <v>138</v>
      </c>
      <c r="C1039" s="199" t="s">
        <v>106</v>
      </c>
      <c r="D1039" s="199" t="s">
        <v>492</v>
      </c>
      <c r="E1039" s="205" t="s">
        <v>1377</v>
      </c>
      <c r="F1039" s="205" t="s">
        <v>149</v>
      </c>
      <c r="G1039" s="225">
        <v>-0.5</v>
      </c>
      <c r="H1039" s="226">
        <v>-0.5</v>
      </c>
      <c r="I1039" s="250" t="s">
        <v>106</v>
      </c>
      <c r="J1039" s="250" t="s">
        <v>164</v>
      </c>
      <c r="K1039" s="213"/>
      <c r="L1039" s="197"/>
      <c r="M1039" s="197"/>
      <c r="N1039" s="197"/>
      <c r="O1039" s="197"/>
    </row>
    <row r="1040" spans="1:15" ht="51" hidden="1">
      <c r="A1040" s="199" t="s">
        <v>137</v>
      </c>
      <c r="B1040" s="199" t="s">
        <v>138</v>
      </c>
      <c r="C1040" s="199" t="s">
        <v>106</v>
      </c>
      <c r="D1040" s="199" t="s">
        <v>492</v>
      </c>
      <c r="E1040" s="205" t="s">
        <v>1378</v>
      </c>
      <c r="F1040" s="205" t="s">
        <v>149</v>
      </c>
      <c r="G1040" s="225">
        <v>-0.5</v>
      </c>
      <c r="H1040" s="226">
        <v>-0.5</v>
      </c>
      <c r="I1040" s="250" t="s">
        <v>106</v>
      </c>
      <c r="J1040" s="250" t="s">
        <v>164</v>
      </c>
      <c r="K1040" s="213"/>
      <c r="L1040" s="197"/>
      <c r="M1040" s="197"/>
      <c r="N1040" s="197"/>
      <c r="O1040" s="197"/>
    </row>
    <row r="1041" spans="1:15" ht="51" hidden="1">
      <c r="A1041" s="199" t="s">
        <v>137</v>
      </c>
      <c r="B1041" s="199" t="s">
        <v>138</v>
      </c>
      <c r="C1041" s="199" t="s">
        <v>106</v>
      </c>
      <c r="D1041" s="199" t="s">
        <v>492</v>
      </c>
      <c r="E1041" s="205" t="s">
        <v>1379</v>
      </c>
      <c r="F1041" s="205" t="s">
        <v>149</v>
      </c>
      <c r="G1041" s="225">
        <v>-0.5</v>
      </c>
      <c r="H1041" s="226">
        <v>-0.5</v>
      </c>
      <c r="I1041" s="250" t="s">
        <v>106</v>
      </c>
      <c r="J1041" s="250" t="s">
        <v>164</v>
      </c>
      <c r="K1041" s="188"/>
      <c r="L1041" s="197"/>
      <c r="M1041" s="197"/>
      <c r="N1041" s="197"/>
      <c r="O1041" s="197"/>
    </row>
    <row r="1042" spans="1:15" ht="51" hidden="1">
      <c r="A1042" s="199" t="s">
        <v>137</v>
      </c>
      <c r="B1042" s="199" t="s">
        <v>138</v>
      </c>
      <c r="C1042" s="199" t="s">
        <v>106</v>
      </c>
      <c r="D1042" s="199" t="s">
        <v>492</v>
      </c>
      <c r="E1042" s="205" t="s">
        <v>1380</v>
      </c>
      <c r="F1042" s="205" t="s">
        <v>149</v>
      </c>
      <c r="G1042" s="225">
        <v>-0.5</v>
      </c>
      <c r="H1042" s="226">
        <v>-0.5</v>
      </c>
      <c r="I1042" s="250" t="s">
        <v>106</v>
      </c>
      <c r="J1042" s="250" t="s">
        <v>164</v>
      </c>
      <c r="K1042" s="188"/>
      <c r="L1042" s="197"/>
      <c r="M1042" s="197"/>
      <c r="N1042" s="197"/>
      <c r="O1042" s="197"/>
    </row>
    <row r="1043" spans="1:15" ht="51" hidden="1">
      <c r="A1043" s="199" t="s">
        <v>137</v>
      </c>
      <c r="B1043" s="199" t="s">
        <v>138</v>
      </c>
      <c r="C1043" s="199" t="s">
        <v>106</v>
      </c>
      <c r="D1043" s="199" t="s">
        <v>492</v>
      </c>
      <c r="E1043" s="205" t="s">
        <v>1381</v>
      </c>
      <c r="F1043" s="205" t="s">
        <v>149</v>
      </c>
      <c r="G1043" s="225">
        <v>-0.5</v>
      </c>
      <c r="H1043" s="226">
        <v>-0.5</v>
      </c>
      <c r="I1043" s="250" t="s">
        <v>106</v>
      </c>
      <c r="J1043" s="250" t="s">
        <v>164</v>
      </c>
      <c r="K1043" s="188"/>
      <c r="L1043" s="197"/>
      <c r="M1043" s="197"/>
      <c r="N1043" s="197"/>
      <c r="O1043" s="197"/>
    </row>
    <row r="1044" spans="1:15" ht="51" hidden="1">
      <c r="A1044" s="199" t="s">
        <v>137</v>
      </c>
      <c r="B1044" s="199" t="s">
        <v>138</v>
      </c>
      <c r="C1044" s="199" t="s">
        <v>106</v>
      </c>
      <c r="D1044" s="199" t="s">
        <v>492</v>
      </c>
      <c r="E1044" s="205" t="s">
        <v>1382</v>
      </c>
      <c r="F1044" s="205" t="s">
        <v>149</v>
      </c>
      <c r="G1044" s="225">
        <v>-0.5</v>
      </c>
      <c r="H1044" s="226">
        <v>-0.5</v>
      </c>
      <c r="I1044" s="250" t="s">
        <v>106</v>
      </c>
      <c r="J1044" s="250" t="s">
        <v>164</v>
      </c>
      <c r="K1044" s="188"/>
      <c r="L1044" s="197"/>
      <c r="M1044" s="197"/>
      <c r="N1044" s="197"/>
      <c r="O1044" s="197"/>
    </row>
    <row r="1045" spans="1:15" ht="51" hidden="1">
      <c r="A1045" s="199" t="s">
        <v>137</v>
      </c>
      <c r="B1045" s="199" t="s">
        <v>138</v>
      </c>
      <c r="C1045" s="199" t="s">
        <v>106</v>
      </c>
      <c r="D1045" s="199" t="s">
        <v>492</v>
      </c>
      <c r="E1045" s="205" t="s">
        <v>1383</v>
      </c>
      <c r="F1045" s="205" t="s">
        <v>149</v>
      </c>
      <c r="G1045" s="225">
        <v>-0.5</v>
      </c>
      <c r="H1045" s="226">
        <v>-0.5</v>
      </c>
      <c r="I1045" s="250" t="s">
        <v>106</v>
      </c>
      <c r="J1045" s="250" t="s">
        <v>164</v>
      </c>
      <c r="K1045" s="213"/>
      <c r="L1045" s="197"/>
      <c r="M1045" s="197"/>
      <c r="N1045" s="197"/>
      <c r="O1045" s="197"/>
    </row>
    <row r="1046" spans="1:15" ht="51" hidden="1">
      <c r="A1046" s="199" t="s">
        <v>137</v>
      </c>
      <c r="B1046" s="199" t="s">
        <v>138</v>
      </c>
      <c r="C1046" s="199" t="s">
        <v>106</v>
      </c>
      <c r="D1046" s="199" t="s">
        <v>492</v>
      </c>
      <c r="E1046" s="205" t="s">
        <v>1384</v>
      </c>
      <c r="F1046" s="205" t="s">
        <v>149</v>
      </c>
      <c r="G1046" s="225">
        <v>-0.5</v>
      </c>
      <c r="H1046" s="226">
        <v>-0.5</v>
      </c>
      <c r="I1046" s="250" t="s">
        <v>106</v>
      </c>
      <c r="J1046" s="250" t="s">
        <v>164</v>
      </c>
      <c r="K1046" s="188"/>
      <c r="L1046" s="197"/>
      <c r="M1046" s="197"/>
      <c r="N1046" s="197"/>
      <c r="O1046" s="197"/>
    </row>
    <row r="1047" spans="1:15" ht="51" hidden="1">
      <c r="A1047" s="199" t="s">
        <v>137</v>
      </c>
      <c r="B1047" s="199" t="s">
        <v>138</v>
      </c>
      <c r="C1047" s="199" t="s">
        <v>106</v>
      </c>
      <c r="D1047" s="199" t="s">
        <v>492</v>
      </c>
      <c r="E1047" s="205" t="s">
        <v>1385</v>
      </c>
      <c r="F1047" s="205" t="s">
        <v>149</v>
      </c>
      <c r="G1047" s="225">
        <v>-0.5</v>
      </c>
      <c r="H1047" s="226">
        <v>-0.5</v>
      </c>
      <c r="I1047" s="250" t="s">
        <v>106</v>
      </c>
      <c r="J1047" s="250" t="s">
        <v>164</v>
      </c>
      <c r="K1047" s="188"/>
      <c r="L1047" s="197"/>
      <c r="M1047" s="197"/>
      <c r="N1047" s="197"/>
      <c r="O1047" s="197"/>
    </row>
    <row r="1048" spans="1:15" ht="51" hidden="1">
      <c r="A1048" s="199" t="s">
        <v>137</v>
      </c>
      <c r="B1048" s="199" t="s">
        <v>138</v>
      </c>
      <c r="C1048" s="199" t="s">
        <v>106</v>
      </c>
      <c r="D1048" s="199" t="s">
        <v>492</v>
      </c>
      <c r="E1048" s="205" t="s">
        <v>1386</v>
      </c>
      <c r="F1048" s="205" t="s">
        <v>149</v>
      </c>
      <c r="G1048" s="225">
        <v>-0.5</v>
      </c>
      <c r="H1048" s="226">
        <v>-0.5</v>
      </c>
      <c r="I1048" s="250" t="s">
        <v>106</v>
      </c>
      <c r="J1048" s="250" t="s">
        <v>164</v>
      </c>
      <c r="K1048" s="213"/>
      <c r="L1048" s="197"/>
      <c r="M1048" s="197"/>
      <c r="N1048" s="197"/>
      <c r="O1048" s="197"/>
    </row>
    <row r="1049" spans="1:15" ht="51" hidden="1">
      <c r="A1049" s="199" t="s">
        <v>137</v>
      </c>
      <c r="B1049" s="199" t="s">
        <v>138</v>
      </c>
      <c r="C1049" s="199" t="s">
        <v>106</v>
      </c>
      <c r="D1049" s="199" t="s">
        <v>492</v>
      </c>
      <c r="E1049" s="205" t="s">
        <v>1387</v>
      </c>
      <c r="F1049" s="205" t="s">
        <v>149</v>
      </c>
      <c r="G1049" s="225">
        <v>-0.5</v>
      </c>
      <c r="H1049" s="226">
        <v>-0.5</v>
      </c>
      <c r="I1049" s="198" t="s">
        <v>106</v>
      </c>
      <c r="J1049" s="250" t="s">
        <v>164</v>
      </c>
      <c r="K1049" s="188"/>
      <c r="L1049" s="197"/>
      <c r="M1049" s="197"/>
      <c r="N1049" s="197"/>
      <c r="O1049" s="197"/>
    </row>
    <row r="1050" spans="1:15" ht="51" hidden="1">
      <c r="A1050" s="199" t="s">
        <v>137</v>
      </c>
      <c r="B1050" s="199" t="s">
        <v>138</v>
      </c>
      <c r="C1050" s="199" t="s">
        <v>106</v>
      </c>
      <c r="D1050" s="199" t="s">
        <v>492</v>
      </c>
      <c r="E1050" s="205" t="s">
        <v>1388</v>
      </c>
      <c r="F1050" s="205" t="s">
        <v>149</v>
      </c>
      <c r="G1050" s="225">
        <v>-0.5</v>
      </c>
      <c r="H1050" s="226">
        <v>-0.5</v>
      </c>
      <c r="I1050" s="198" t="s">
        <v>106</v>
      </c>
      <c r="J1050" s="250" t="s">
        <v>164</v>
      </c>
      <c r="K1050" s="188"/>
      <c r="L1050" s="197"/>
      <c r="M1050" s="197"/>
      <c r="N1050" s="197"/>
      <c r="O1050" s="197"/>
    </row>
    <row r="1051" spans="1:15" ht="63.75" hidden="1">
      <c r="A1051" s="199" t="s">
        <v>137</v>
      </c>
      <c r="B1051" s="199" t="s">
        <v>138</v>
      </c>
      <c r="C1051" s="199" t="s">
        <v>106</v>
      </c>
      <c r="D1051" s="199" t="s">
        <v>492</v>
      </c>
      <c r="E1051" s="205" t="s">
        <v>1389</v>
      </c>
      <c r="F1051" s="205" t="s">
        <v>149</v>
      </c>
      <c r="G1051" s="225">
        <v>-0.5</v>
      </c>
      <c r="H1051" s="226">
        <v>-0.5</v>
      </c>
      <c r="I1051" s="198" t="s">
        <v>106</v>
      </c>
      <c r="J1051" s="250" t="s">
        <v>164</v>
      </c>
      <c r="K1051" s="188"/>
      <c r="L1051" s="197"/>
      <c r="M1051" s="197"/>
      <c r="N1051" s="197"/>
      <c r="O1051" s="197"/>
    </row>
    <row r="1052" spans="1:15" ht="63.75" hidden="1">
      <c r="A1052" s="199" t="s">
        <v>137</v>
      </c>
      <c r="B1052" s="199" t="s">
        <v>138</v>
      </c>
      <c r="C1052" s="199" t="s">
        <v>106</v>
      </c>
      <c r="D1052" s="199" t="s">
        <v>492</v>
      </c>
      <c r="E1052" s="205" t="s">
        <v>1390</v>
      </c>
      <c r="F1052" s="205" t="s">
        <v>149</v>
      </c>
      <c r="G1052" s="225">
        <v>-0.5</v>
      </c>
      <c r="H1052" s="226">
        <v>-0.5</v>
      </c>
      <c r="I1052" s="198" t="s">
        <v>106</v>
      </c>
      <c r="J1052" s="250" t="s">
        <v>164</v>
      </c>
      <c r="K1052" s="188"/>
      <c r="L1052" s="197"/>
      <c r="M1052" s="197"/>
      <c r="N1052" s="197"/>
      <c r="O1052" s="197"/>
    </row>
    <row r="1053" spans="1:15" ht="51" hidden="1">
      <c r="A1053" s="199" t="s">
        <v>137</v>
      </c>
      <c r="B1053" s="199" t="s">
        <v>138</v>
      </c>
      <c r="C1053" s="199" t="s">
        <v>106</v>
      </c>
      <c r="D1053" s="199" t="s">
        <v>492</v>
      </c>
      <c r="E1053" s="205" t="s">
        <v>1391</v>
      </c>
      <c r="F1053" s="205" t="s">
        <v>149</v>
      </c>
      <c r="G1053" s="225">
        <v>-0.5</v>
      </c>
      <c r="H1053" s="226">
        <v>-0.5</v>
      </c>
      <c r="I1053" s="198" t="s">
        <v>106</v>
      </c>
      <c r="J1053" s="250" t="s">
        <v>164</v>
      </c>
      <c r="K1053" s="188"/>
      <c r="L1053" s="197"/>
      <c r="M1053" s="197"/>
      <c r="N1053" s="197"/>
      <c r="O1053" s="197"/>
    </row>
    <row r="1054" spans="1:15" ht="51" hidden="1">
      <c r="A1054" s="199" t="s">
        <v>137</v>
      </c>
      <c r="B1054" s="199" t="s">
        <v>138</v>
      </c>
      <c r="C1054" s="199" t="s">
        <v>106</v>
      </c>
      <c r="D1054" s="199" t="s">
        <v>492</v>
      </c>
      <c r="E1054" s="205" t="s">
        <v>1392</v>
      </c>
      <c r="F1054" s="205" t="s">
        <v>149</v>
      </c>
      <c r="G1054" s="225">
        <v>-0.5</v>
      </c>
      <c r="H1054" s="226">
        <v>-0.5</v>
      </c>
      <c r="I1054" s="198" t="s">
        <v>106</v>
      </c>
      <c r="J1054" s="250" t="s">
        <v>164</v>
      </c>
      <c r="K1054" s="188"/>
      <c r="L1054" s="197"/>
      <c r="M1054" s="197"/>
      <c r="N1054" s="197"/>
      <c r="O1054" s="197"/>
    </row>
    <row r="1055" spans="1:15" ht="51" hidden="1">
      <c r="A1055" s="199" t="s">
        <v>137</v>
      </c>
      <c r="B1055" s="199" t="s">
        <v>138</v>
      </c>
      <c r="C1055" s="199" t="s">
        <v>106</v>
      </c>
      <c r="D1055" s="199" t="s">
        <v>492</v>
      </c>
      <c r="E1055" s="205" t="s">
        <v>1393</v>
      </c>
      <c r="F1055" s="205" t="s">
        <v>149</v>
      </c>
      <c r="G1055" s="225">
        <v>-0.5</v>
      </c>
      <c r="H1055" s="226">
        <v>-0.5</v>
      </c>
      <c r="I1055" s="198" t="s">
        <v>106</v>
      </c>
      <c r="J1055" s="250" t="s">
        <v>164</v>
      </c>
      <c r="K1055" s="213"/>
      <c r="L1055" s="197"/>
      <c r="M1055" s="197"/>
      <c r="N1055" s="197"/>
      <c r="O1055" s="197"/>
    </row>
    <row r="1056" spans="1:15" ht="51" hidden="1">
      <c r="A1056" s="199" t="s">
        <v>137</v>
      </c>
      <c r="B1056" s="199" t="s">
        <v>138</v>
      </c>
      <c r="C1056" s="199" t="s">
        <v>106</v>
      </c>
      <c r="D1056" s="199" t="s">
        <v>492</v>
      </c>
      <c r="E1056" s="205" t="s">
        <v>1394</v>
      </c>
      <c r="F1056" s="205" t="s">
        <v>149</v>
      </c>
      <c r="G1056" s="225">
        <v>-1.99</v>
      </c>
      <c r="H1056" s="226">
        <v>-1.99</v>
      </c>
      <c r="I1056" s="198" t="s">
        <v>106</v>
      </c>
      <c r="J1056" s="250" t="s">
        <v>164</v>
      </c>
      <c r="K1056" s="188"/>
      <c r="L1056" s="197"/>
      <c r="M1056" s="197"/>
      <c r="N1056" s="197"/>
      <c r="O1056" s="197"/>
    </row>
    <row r="1057" spans="1:15" ht="51" hidden="1">
      <c r="A1057" s="199" t="s">
        <v>137</v>
      </c>
      <c r="B1057" s="199" t="s">
        <v>138</v>
      </c>
      <c r="C1057" s="199" t="s">
        <v>106</v>
      </c>
      <c r="D1057" s="199" t="s">
        <v>492</v>
      </c>
      <c r="E1057" s="205" t="s">
        <v>1395</v>
      </c>
      <c r="F1057" s="205" t="s">
        <v>149</v>
      </c>
      <c r="G1057" s="225">
        <v>-0.5</v>
      </c>
      <c r="H1057" s="226">
        <v>-0.5</v>
      </c>
      <c r="I1057" s="198" t="s">
        <v>106</v>
      </c>
      <c r="J1057" s="250" t="s">
        <v>164</v>
      </c>
      <c r="K1057" s="213"/>
      <c r="L1057" s="197"/>
      <c r="M1057" s="197"/>
      <c r="N1057" s="197"/>
      <c r="O1057" s="197"/>
    </row>
    <row r="1058" spans="1:15" ht="51" hidden="1">
      <c r="A1058" s="199" t="s">
        <v>137</v>
      </c>
      <c r="B1058" s="199" t="s">
        <v>138</v>
      </c>
      <c r="C1058" s="199" t="s">
        <v>106</v>
      </c>
      <c r="D1058" s="199" t="s">
        <v>492</v>
      </c>
      <c r="E1058" s="205" t="s">
        <v>1396</v>
      </c>
      <c r="F1058" s="205" t="s">
        <v>149</v>
      </c>
      <c r="G1058" s="225">
        <v>-0.5</v>
      </c>
      <c r="H1058" s="226">
        <v>-0.5</v>
      </c>
      <c r="I1058" s="198" t="s">
        <v>106</v>
      </c>
      <c r="J1058" s="250" t="s">
        <v>164</v>
      </c>
      <c r="K1058" s="188"/>
      <c r="L1058" s="197"/>
      <c r="M1058" s="197"/>
      <c r="N1058" s="197"/>
      <c r="O1058" s="197"/>
    </row>
    <row r="1059" spans="1:15" ht="51" hidden="1">
      <c r="A1059" s="199" t="s">
        <v>137</v>
      </c>
      <c r="B1059" s="199" t="s">
        <v>138</v>
      </c>
      <c r="C1059" s="199" t="s">
        <v>106</v>
      </c>
      <c r="D1059" s="199" t="s">
        <v>492</v>
      </c>
      <c r="E1059" s="205" t="s">
        <v>1397</v>
      </c>
      <c r="F1059" s="205" t="s">
        <v>149</v>
      </c>
      <c r="G1059" s="225">
        <v>-0.5</v>
      </c>
      <c r="H1059" s="226">
        <v>-0.5</v>
      </c>
      <c r="I1059" s="198" t="s">
        <v>106</v>
      </c>
      <c r="J1059" s="250" t="s">
        <v>164</v>
      </c>
      <c r="K1059" s="213"/>
      <c r="L1059" s="197"/>
      <c r="M1059" s="197"/>
      <c r="N1059" s="197"/>
      <c r="O1059" s="197"/>
    </row>
    <row r="1060" spans="1:15" ht="51" hidden="1">
      <c r="A1060" s="199" t="s">
        <v>137</v>
      </c>
      <c r="B1060" s="199" t="s">
        <v>138</v>
      </c>
      <c r="C1060" s="199" t="s">
        <v>106</v>
      </c>
      <c r="D1060" s="199" t="s">
        <v>492</v>
      </c>
      <c r="E1060" s="205" t="s">
        <v>1398</v>
      </c>
      <c r="F1060" s="205" t="s">
        <v>149</v>
      </c>
      <c r="G1060" s="225">
        <v>-0.5</v>
      </c>
      <c r="H1060" s="226">
        <v>-0.5</v>
      </c>
      <c r="I1060" s="198" t="s">
        <v>106</v>
      </c>
      <c r="J1060" s="250" t="s">
        <v>164</v>
      </c>
      <c r="K1060" s="188"/>
      <c r="L1060" s="197"/>
      <c r="M1060" s="197"/>
      <c r="N1060" s="197"/>
      <c r="O1060" s="197"/>
    </row>
    <row r="1061" spans="1:15" ht="51" hidden="1">
      <c r="A1061" s="199" t="s">
        <v>137</v>
      </c>
      <c r="B1061" s="199" t="s">
        <v>138</v>
      </c>
      <c r="C1061" s="199" t="s">
        <v>106</v>
      </c>
      <c r="D1061" s="199" t="s">
        <v>492</v>
      </c>
      <c r="E1061" s="205" t="s">
        <v>1399</v>
      </c>
      <c r="F1061" s="205" t="s">
        <v>149</v>
      </c>
      <c r="G1061" s="225">
        <v>-0.5</v>
      </c>
      <c r="H1061" s="226">
        <v>-0.5</v>
      </c>
      <c r="I1061" s="198" t="s">
        <v>106</v>
      </c>
      <c r="J1061" s="250" t="s">
        <v>164</v>
      </c>
      <c r="K1061" s="188"/>
      <c r="L1061" s="197"/>
      <c r="M1061" s="197"/>
      <c r="N1061" s="197"/>
      <c r="O1061" s="197"/>
    </row>
    <row r="1062" spans="1:15" ht="51" hidden="1">
      <c r="A1062" s="199" t="s">
        <v>137</v>
      </c>
      <c r="B1062" s="199" t="s">
        <v>138</v>
      </c>
      <c r="C1062" s="199" t="s">
        <v>106</v>
      </c>
      <c r="D1062" s="199" t="s">
        <v>492</v>
      </c>
      <c r="E1062" s="205" t="s">
        <v>1400</v>
      </c>
      <c r="F1062" s="205" t="s">
        <v>149</v>
      </c>
      <c r="G1062" s="225">
        <v>-0.5</v>
      </c>
      <c r="H1062" s="226">
        <v>-0.5</v>
      </c>
      <c r="I1062" s="198" t="s">
        <v>106</v>
      </c>
      <c r="J1062" s="250" t="s">
        <v>164</v>
      </c>
      <c r="K1062" s="188"/>
      <c r="L1062" s="197"/>
      <c r="M1062" s="197"/>
      <c r="N1062" s="197"/>
      <c r="O1062" s="197"/>
    </row>
    <row r="1063" spans="1:15" ht="51" hidden="1">
      <c r="A1063" s="199" t="s">
        <v>137</v>
      </c>
      <c r="B1063" s="199" t="s">
        <v>138</v>
      </c>
      <c r="C1063" s="199" t="s">
        <v>106</v>
      </c>
      <c r="D1063" s="199" t="s">
        <v>492</v>
      </c>
      <c r="E1063" s="205" t="s">
        <v>1401</v>
      </c>
      <c r="F1063" s="205" t="s">
        <v>149</v>
      </c>
      <c r="G1063" s="225">
        <v>-0.5</v>
      </c>
      <c r="H1063" s="226">
        <v>-0.5</v>
      </c>
      <c r="I1063" s="198" t="s">
        <v>106</v>
      </c>
      <c r="J1063" s="250" t="s">
        <v>164</v>
      </c>
      <c r="K1063" s="188"/>
      <c r="L1063" s="197"/>
      <c r="M1063" s="197"/>
      <c r="N1063" s="197"/>
      <c r="O1063" s="197"/>
    </row>
    <row r="1064" spans="1:15" ht="51" hidden="1">
      <c r="A1064" s="199" t="s">
        <v>137</v>
      </c>
      <c r="B1064" s="199" t="s">
        <v>138</v>
      </c>
      <c r="C1064" s="199" t="s">
        <v>106</v>
      </c>
      <c r="D1064" s="199" t="s">
        <v>492</v>
      </c>
      <c r="E1064" s="205" t="s">
        <v>1402</v>
      </c>
      <c r="F1064" s="205" t="s">
        <v>149</v>
      </c>
      <c r="G1064" s="225">
        <v>-0.5</v>
      </c>
      <c r="H1064" s="226">
        <v>-0.5</v>
      </c>
      <c r="I1064" s="198" t="s">
        <v>106</v>
      </c>
      <c r="J1064" s="250" t="s">
        <v>164</v>
      </c>
      <c r="K1064" s="188"/>
      <c r="L1064" s="197"/>
      <c r="M1064" s="197"/>
      <c r="N1064" s="197"/>
      <c r="O1064" s="197"/>
    </row>
    <row r="1065" spans="1:15" ht="51" hidden="1">
      <c r="A1065" s="199" t="s">
        <v>137</v>
      </c>
      <c r="B1065" s="199" t="s">
        <v>138</v>
      </c>
      <c r="C1065" s="199" t="s">
        <v>106</v>
      </c>
      <c r="D1065" s="199" t="s">
        <v>492</v>
      </c>
      <c r="E1065" s="205" t="s">
        <v>1403</v>
      </c>
      <c r="F1065" s="205" t="s">
        <v>149</v>
      </c>
      <c r="G1065" s="225">
        <v>-0.5</v>
      </c>
      <c r="H1065" s="226">
        <v>-0.5</v>
      </c>
      <c r="I1065" s="198" t="s">
        <v>106</v>
      </c>
      <c r="J1065" s="250" t="s">
        <v>164</v>
      </c>
      <c r="K1065" s="213"/>
      <c r="L1065" s="197"/>
      <c r="M1065" s="197"/>
      <c r="N1065" s="197"/>
      <c r="O1065" s="197"/>
    </row>
    <row r="1066" spans="1:15" ht="51" hidden="1">
      <c r="A1066" s="199" t="s">
        <v>137</v>
      </c>
      <c r="B1066" s="199" t="s">
        <v>138</v>
      </c>
      <c r="C1066" s="199" t="s">
        <v>106</v>
      </c>
      <c r="D1066" s="199" t="s">
        <v>492</v>
      </c>
      <c r="E1066" s="205" t="s">
        <v>1404</v>
      </c>
      <c r="F1066" s="205" t="s">
        <v>149</v>
      </c>
      <c r="G1066" s="225">
        <v>-0.5</v>
      </c>
      <c r="H1066" s="226">
        <v>-0.5</v>
      </c>
      <c r="I1066" s="198" t="s">
        <v>106</v>
      </c>
      <c r="J1066" s="250" t="s">
        <v>164</v>
      </c>
      <c r="K1066" s="188"/>
      <c r="L1066" s="197"/>
      <c r="M1066" s="197"/>
      <c r="N1066" s="197"/>
      <c r="O1066" s="197"/>
    </row>
    <row r="1067" spans="1:15" ht="63.75" hidden="1">
      <c r="A1067" s="199" t="s">
        <v>137</v>
      </c>
      <c r="B1067" s="199" t="s">
        <v>138</v>
      </c>
      <c r="C1067" s="199" t="s">
        <v>106</v>
      </c>
      <c r="D1067" s="199" t="s">
        <v>492</v>
      </c>
      <c r="E1067" s="205" t="s">
        <v>1405</v>
      </c>
      <c r="F1067" s="205" t="s">
        <v>149</v>
      </c>
      <c r="G1067" s="225">
        <v>-0.5</v>
      </c>
      <c r="H1067" s="226">
        <v>-0.5</v>
      </c>
      <c r="I1067" s="198" t="s">
        <v>106</v>
      </c>
      <c r="J1067" s="250" t="s">
        <v>164</v>
      </c>
      <c r="K1067" s="188"/>
      <c r="L1067" s="197"/>
      <c r="M1067" s="197"/>
      <c r="N1067" s="197"/>
      <c r="O1067" s="197"/>
    </row>
    <row r="1068" spans="1:15" ht="51" hidden="1">
      <c r="A1068" s="199" t="s">
        <v>137</v>
      </c>
      <c r="B1068" s="199" t="s">
        <v>138</v>
      </c>
      <c r="C1068" s="199" t="s">
        <v>106</v>
      </c>
      <c r="D1068" s="199" t="s">
        <v>492</v>
      </c>
      <c r="E1068" s="205" t="s">
        <v>1406</v>
      </c>
      <c r="F1068" s="205" t="s">
        <v>149</v>
      </c>
      <c r="G1068" s="225">
        <v>-0.5</v>
      </c>
      <c r="H1068" s="226">
        <v>-0.5</v>
      </c>
      <c r="I1068" s="198" t="s">
        <v>106</v>
      </c>
      <c r="J1068" s="250" t="s">
        <v>164</v>
      </c>
      <c r="K1068" s="213"/>
      <c r="L1068" s="197"/>
      <c r="M1068" s="197"/>
      <c r="N1068" s="197"/>
      <c r="O1068" s="197"/>
    </row>
    <row r="1069" spans="1:15" ht="51" hidden="1">
      <c r="A1069" s="199" t="s">
        <v>137</v>
      </c>
      <c r="B1069" s="199" t="s">
        <v>138</v>
      </c>
      <c r="C1069" s="199" t="s">
        <v>106</v>
      </c>
      <c r="D1069" s="199" t="s">
        <v>492</v>
      </c>
      <c r="E1069" s="205" t="s">
        <v>1407</v>
      </c>
      <c r="F1069" s="205" t="s">
        <v>149</v>
      </c>
      <c r="G1069" s="225">
        <v>-0.5</v>
      </c>
      <c r="H1069" s="226">
        <v>-0.5</v>
      </c>
      <c r="I1069" s="198" t="s">
        <v>106</v>
      </c>
      <c r="J1069" s="250" t="s">
        <v>164</v>
      </c>
      <c r="K1069" s="213"/>
      <c r="L1069" s="197"/>
      <c r="M1069" s="197"/>
      <c r="N1069" s="197"/>
      <c r="O1069" s="197"/>
    </row>
    <row r="1070" spans="1:15" ht="51" hidden="1">
      <c r="A1070" s="199" t="s">
        <v>137</v>
      </c>
      <c r="B1070" s="199" t="s">
        <v>138</v>
      </c>
      <c r="C1070" s="199" t="s">
        <v>106</v>
      </c>
      <c r="D1070" s="199" t="s">
        <v>492</v>
      </c>
      <c r="E1070" s="205" t="s">
        <v>1408</v>
      </c>
      <c r="F1070" s="205" t="s">
        <v>149</v>
      </c>
      <c r="G1070" s="225">
        <v>-0.5</v>
      </c>
      <c r="H1070" s="226">
        <v>-0.5</v>
      </c>
      <c r="I1070" s="198" t="s">
        <v>106</v>
      </c>
      <c r="J1070" s="250" t="s">
        <v>164</v>
      </c>
      <c r="K1070" s="188"/>
      <c r="L1070" s="197"/>
      <c r="M1070" s="197"/>
      <c r="N1070" s="197"/>
      <c r="O1070" s="197"/>
    </row>
    <row r="1071" spans="1:15" ht="51" hidden="1">
      <c r="A1071" s="199" t="s">
        <v>137</v>
      </c>
      <c r="B1071" s="199" t="s">
        <v>138</v>
      </c>
      <c r="C1071" s="199" t="s">
        <v>106</v>
      </c>
      <c r="D1071" s="199" t="s">
        <v>492</v>
      </c>
      <c r="E1071" s="205" t="s">
        <v>1409</v>
      </c>
      <c r="F1071" s="205" t="s">
        <v>149</v>
      </c>
      <c r="G1071" s="225">
        <v>-0.5</v>
      </c>
      <c r="H1071" s="226">
        <v>-0.5</v>
      </c>
      <c r="I1071" s="198" t="s">
        <v>106</v>
      </c>
      <c r="J1071" s="250" t="s">
        <v>164</v>
      </c>
      <c r="K1071" s="188"/>
      <c r="L1071" s="197"/>
      <c r="M1071" s="197"/>
      <c r="N1071" s="197"/>
      <c r="O1071" s="197"/>
    </row>
    <row r="1072" spans="1:15" ht="51" hidden="1">
      <c r="A1072" s="199" t="s">
        <v>137</v>
      </c>
      <c r="B1072" s="199" t="s">
        <v>138</v>
      </c>
      <c r="C1072" s="199" t="s">
        <v>106</v>
      </c>
      <c r="D1072" s="199" t="s">
        <v>492</v>
      </c>
      <c r="E1072" s="205" t="s">
        <v>1410</v>
      </c>
      <c r="F1072" s="205" t="s">
        <v>149</v>
      </c>
      <c r="G1072" s="225">
        <v>-0.5</v>
      </c>
      <c r="H1072" s="226">
        <v>-0.5</v>
      </c>
      <c r="I1072" s="198" t="s">
        <v>106</v>
      </c>
      <c r="J1072" s="250" t="s">
        <v>164</v>
      </c>
      <c r="K1072" s="188"/>
      <c r="L1072" s="197"/>
      <c r="M1072" s="197"/>
      <c r="N1072" s="197"/>
      <c r="O1072" s="197"/>
    </row>
    <row r="1073" spans="1:15" ht="38.25" hidden="1">
      <c r="A1073" s="199" t="s">
        <v>137</v>
      </c>
      <c r="B1073" s="199" t="s">
        <v>138</v>
      </c>
      <c r="C1073" s="199" t="s">
        <v>106</v>
      </c>
      <c r="D1073" s="199" t="s">
        <v>492</v>
      </c>
      <c r="E1073" s="205" t="s">
        <v>1411</v>
      </c>
      <c r="F1073" s="205" t="s">
        <v>149</v>
      </c>
      <c r="G1073" s="225">
        <v>-1.99</v>
      </c>
      <c r="H1073" s="226">
        <v>-1.99</v>
      </c>
      <c r="I1073" s="198" t="s">
        <v>106</v>
      </c>
      <c r="J1073" s="250" t="s">
        <v>164</v>
      </c>
      <c r="K1073" s="188"/>
      <c r="L1073" s="197"/>
      <c r="M1073" s="197"/>
      <c r="N1073" s="197"/>
      <c r="O1073" s="197"/>
    </row>
    <row r="1074" spans="1:15" ht="51" hidden="1">
      <c r="A1074" s="199" t="s">
        <v>137</v>
      </c>
      <c r="B1074" s="199" t="s">
        <v>138</v>
      </c>
      <c r="C1074" s="199" t="s">
        <v>106</v>
      </c>
      <c r="D1074" s="199" t="s">
        <v>492</v>
      </c>
      <c r="E1074" s="205" t="s">
        <v>1412</v>
      </c>
      <c r="F1074" s="205" t="s">
        <v>149</v>
      </c>
      <c r="G1074" s="225">
        <v>-0.5</v>
      </c>
      <c r="H1074" s="226">
        <v>-0.5</v>
      </c>
      <c r="I1074" s="198" t="s">
        <v>106</v>
      </c>
      <c r="J1074" s="250" t="s">
        <v>164</v>
      </c>
      <c r="K1074" s="188"/>
      <c r="L1074" s="197"/>
      <c r="M1074" s="197"/>
      <c r="N1074" s="197"/>
      <c r="O1074" s="197"/>
    </row>
    <row r="1075" spans="1:15" ht="51" hidden="1">
      <c r="A1075" s="199" t="s">
        <v>137</v>
      </c>
      <c r="B1075" s="199" t="s">
        <v>138</v>
      </c>
      <c r="C1075" s="199" t="s">
        <v>106</v>
      </c>
      <c r="D1075" s="199" t="s">
        <v>492</v>
      </c>
      <c r="E1075" s="205" t="s">
        <v>1413</v>
      </c>
      <c r="F1075" s="205" t="s">
        <v>149</v>
      </c>
      <c r="G1075" s="225">
        <v>-3.99</v>
      </c>
      <c r="H1075" s="226">
        <v>-3.99</v>
      </c>
      <c r="I1075" s="198" t="s">
        <v>106</v>
      </c>
      <c r="J1075" s="250" t="s">
        <v>164</v>
      </c>
      <c r="K1075" s="213"/>
      <c r="L1075" s="197"/>
      <c r="M1075" s="197"/>
      <c r="N1075" s="197"/>
      <c r="O1075" s="197"/>
    </row>
    <row r="1076" spans="1:15" ht="38.25" hidden="1">
      <c r="A1076" s="199" t="s">
        <v>137</v>
      </c>
      <c r="B1076" s="199" t="s">
        <v>138</v>
      </c>
      <c r="C1076" s="199" t="s">
        <v>106</v>
      </c>
      <c r="D1076" s="199" t="s">
        <v>492</v>
      </c>
      <c r="E1076" s="205" t="s">
        <v>1414</v>
      </c>
      <c r="F1076" s="205" t="s">
        <v>149</v>
      </c>
      <c r="G1076" s="225">
        <v>-1.99</v>
      </c>
      <c r="H1076" s="226">
        <v>-1.99</v>
      </c>
      <c r="I1076" s="198" t="s">
        <v>106</v>
      </c>
      <c r="J1076" s="250" t="s">
        <v>164</v>
      </c>
      <c r="K1076" s="213"/>
      <c r="L1076" s="197"/>
      <c r="M1076" s="197"/>
      <c r="N1076" s="197"/>
      <c r="O1076" s="197"/>
    </row>
    <row r="1077" spans="1:15" ht="38.25" hidden="1">
      <c r="A1077" s="199" t="s">
        <v>137</v>
      </c>
      <c r="B1077" s="199" t="s">
        <v>138</v>
      </c>
      <c r="C1077" s="199" t="s">
        <v>106</v>
      </c>
      <c r="D1077" s="199" t="s">
        <v>492</v>
      </c>
      <c r="E1077" s="205" t="s">
        <v>1415</v>
      </c>
      <c r="F1077" s="205" t="s">
        <v>149</v>
      </c>
      <c r="G1077" s="225">
        <v>-1.99</v>
      </c>
      <c r="H1077" s="226">
        <v>-1.99</v>
      </c>
      <c r="I1077" s="198" t="s">
        <v>106</v>
      </c>
      <c r="J1077" s="250" t="s">
        <v>164</v>
      </c>
      <c r="K1077" s="188"/>
      <c r="L1077" s="197"/>
      <c r="M1077" s="197"/>
      <c r="N1077" s="197"/>
      <c r="O1077" s="197"/>
    </row>
    <row r="1078" spans="1:15" ht="51" hidden="1">
      <c r="A1078" s="199" t="s">
        <v>137</v>
      </c>
      <c r="B1078" s="199" t="s">
        <v>138</v>
      </c>
      <c r="C1078" s="199" t="s">
        <v>106</v>
      </c>
      <c r="D1078" s="199" t="s">
        <v>492</v>
      </c>
      <c r="E1078" s="205" t="s">
        <v>1416</v>
      </c>
      <c r="F1078" s="205" t="s">
        <v>149</v>
      </c>
      <c r="G1078" s="225">
        <v>-0.5</v>
      </c>
      <c r="H1078" s="226">
        <v>-0.5</v>
      </c>
      <c r="I1078" s="198" t="s">
        <v>106</v>
      </c>
      <c r="J1078" s="250" t="s">
        <v>164</v>
      </c>
      <c r="K1078" s="188"/>
      <c r="L1078" s="197"/>
      <c r="M1078" s="197"/>
      <c r="N1078" s="197"/>
      <c r="O1078" s="197"/>
    </row>
    <row r="1079" spans="1:15" ht="51" hidden="1">
      <c r="A1079" s="199" t="s">
        <v>137</v>
      </c>
      <c r="B1079" s="199" t="s">
        <v>138</v>
      </c>
      <c r="C1079" s="199" t="s">
        <v>106</v>
      </c>
      <c r="D1079" s="199" t="s">
        <v>492</v>
      </c>
      <c r="E1079" s="205" t="s">
        <v>1417</v>
      </c>
      <c r="F1079" s="205" t="s">
        <v>149</v>
      </c>
      <c r="G1079" s="225">
        <v>-0.5</v>
      </c>
      <c r="H1079" s="226">
        <v>-0.5</v>
      </c>
      <c r="I1079" s="198" t="s">
        <v>106</v>
      </c>
      <c r="J1079" s="250" t="s">
        <v>164</v>
      </c>
      <c r="K1079" s="213"/>
      <c r="L1079" s="197"/>
      <c r="M1079" s="197"/>
      <c r="N1079" s="197"/>
      <c r="O1079" s="197"/>
    </row>
    <row r="1080" spans="1:15" ht="51" hidden="1">
      <c r="A1080" s="199" t="s">
        <v>137</v>
      </c>
      <c r="B1080" s="199" t="s">
        <v>138</v>
      </c>
      <c r="C1080" s="199" t="s">
        <v>106</v>
      </c>
      <c r="D1080" s="199" t="s">
        <v>492</v>
      </c>
      <c r="E1080" s="205" t="s">
        <v>1418</v>
      </c>
      <c r="F1080" s="205" t="s">
        <v>149</v>
      </c>
      <c r="G1080" s="225">
        <v>-1.99</v>
      </c>
      <c r="H1080" s="226">
        <v>-1.99</v>
      </c>
      <c r="I1080" s="198" t="s">
        <v>106</v>
      </c>
      <c r="J1080" s="250" t="s">
        <v>164</v>
      </c>
      <c r="K1080" s="188"/>
      <c r="L1080" s="197"/>
      <c r="M1080" s="197"/>
      <c r="N1080" s="197"/>
      <c r="O1080" s="197"/>
    </row>
    <row r="1081" spans="1:15" ht="51" hidden="1">
      <c r="A1081" s="199" t="s">
        <v>137</v>
      </c>
      <c r="B1081" s="199" t="s">
        <v>138</v>
      </c>
      <c r="C1081" s="199" t="s">
        <v>106</v>
      </c>
      <c r="D1081" s="199" t="s">
        <v>492</v>
      </c>
      <c r="E1081" s="205" t="s">
        <v>1419</v>
      </c>
      <c r="F1081" s="205" t="s">
        <v>149</v>
      </c>
      <c r="G1081" s="225">
        <v>-0.5</v>
      </c>
      <c r="H1081" s="226">
        <v>-0.5</v>
      </c>
      <c r="I1081" s="198" t="s">
        <v>106</v>
      </c>
      <c r="J1081" s="250" t="s">
        <v>164</v>
      </c>
      <c r="K1081" s="188"/>
      <c r="L1081" s="197"/>
      <c r="M1081" s="197"/>
      <c r="N1081" s="197"/>
      <c r="O1081" s="197"/>
    </row>
    <row r="1082" spans="1:15" ht="51" hidden="1">
      <c r="A1082" s="199" t="s">
        <v>137</v>
      </c>
      <c r="B1082" s="199" t="s">
        <v>138</v>
      </c>
      <c r="C1082" s="199" t="s">
        <v>106</v>
      </c>
      <c r="D1082" s="199" t="s">
        <v>492</v>
      </c>
      <c r="E1082" s="205" t="s">
        <v>1420</v>
      </c>
      <c r="F1082" s="205" t="s">
        <v>149</v>
      </c>
      <c r="G1082" s="225">
        <v>-0.5</v>
      </c>
      <c r="H1082" s="226">
        <v>-0.5</v>
      </c>
      <c r="I1082" s="198" t="s">
        <v>106</v>
      </c>
      <c r="J1082" s="250" t="s">
        <v>164</v>
      </c>
      <c r="K1082" s="213"/>
      <c r="L1082" s="197"/>
      <c r="M1082" s="197"/>
      <c r="N1082" s="197"/>
      <c r="O1082" s="197"/>
    </row>
    <row r="1083" spans="1:15" ht="51" hidden="1">
      <c r="A1083" s="199" t="s">
        <v>137</v>
      </c>
      <c r="B1083" s="199" t="s">
        <v>138</v>
      </c>
      <c r="C1083" s="199" t="s">
        <v>106</v>
      </c>
      <c r="D1083" s="199" t="s">
        <v>492</v>
      </c>
      <c r="E1083" s="205" t="s">
        <v>1421</v>
      </c>
      <c r="F1083" s="205" t="s">
        <v>149</v>
      </c>
      <c r="G1083" s="225">
        <v>-0.5</v>
      </c>
      <c r="H1083" s="226">
        <v>-0.5</v>
      </c>
      <c r="I1083" s="198" t="s">
        <v>106</v>
      </c>
      <c r="J1083" s="250" t="s">
        <v>164</v>
      </c>
      <c r="K1083" s="213"/>
      <c r="L1083" s="197"/>
      <c r="M1083" s="197"/>
      <c r="N1083" s="197"/>
      <c r="O1083" s="197"/>
    </row>
    <row r="1084" spans="1:15" ht="51" hidden="1">
      <c r="A1084" s="199" t="s">
        <v>137</v>
      </c>
      <c r="B1084" s="199" t="s">
        <v>138</v>
      </c>
      <c r="C1084" s="199" t="s">
        <v>106</v>
      </c>
      <c r="D1084" s="199" t="s">
        <v>492</v>
      </c>
      <c r="E1084" s="205" t="s">
        <v>1422</v>
      </c>
      <c r="F1084" s="205" t="s">
        <v>149</v>
      </c>
      <c r="G1084" s="225">
        <v>-0.5</v>
      </c>
      <c r="H1084" s="226">
        <v>-0.5</v>
      </c>
      <c r="I1084" s="198" t="s">
        <v>106</v>
      </c>
      <c r="J1084" s="250" t="s">
        <v>164</v>
      </c>
      <c r="K1084" s="188"/>
      <c r="L1084" s="197"/>
      <c r="M1084" s="197"/>
      <c r="N1084" s="197"/>
      <c r="O1084" s="197"/>
    </row>
    <row r="1085" spans="1:15" ht="51" hidden="1">
      <c r="A1085" s="199" t="s">
        <v>137</v>
      </c>
      <c r="B1085" s="199" t="s">
        <v>138</v>
      </c>
      <c r="C1085" s="199" t="s">
        <v>106</v>
      </c>
      <c r="D1085" s="199" t="s">
        <v>492</v>
      </c>
      <c r="E1085" s="205" t="s">
        <v>1423</v>
      </c>
      <c r="F1085" s="205" t="s">
        <v>149</v>
      </c>
      <c r="G1085" s="225">
        <v>-0.5</v>
      </c>
      <c r="H1085" s="226">
        <v>-0.5</v>
      </c>
      <c r="I1085" s="198" t="s">
        <v>106</v>
      </c>
      <c r="J1085" s="250" t="s">
        <v>164</v>
      </c>
      <c r="K1085" s="188"/>
      <c r="L1085" s="197"/>
      <c r="M1085" s="197"/>
      <c r="N1085" s="197"/>
      <c r="O1085" s="197"/>
    </row>
    <row r="1086" spans="1:15" ht="51" hidden="1">
      <c r="A1086" s="199" t="s">
        <v>137</v>
      </c>
      <c r="B1086" s="199" t="s">
        <v>138</v>
      </c>
      <c r="C1086" s="199" t="s">
        <v>106</v>
      </c>
      <c r="D1086" s="199" t="s">
        <v>492</v>
      </c>
      <c r="E1086" s="205" t="s">
        <v>1424</v>
      </c>
      <c r="F1086" s="205" t="s">
        <v>149</v>
      </c>
      <c r="G1086" s="225">
        <v>-1.99</v>
      </c>
      <c r="H1086" s="226">
        <v>-1.99</v>
      </c>
      <c r="I1086" s="198" t="s">
        <v>106</v>
      </c>
      <c r="J1086" s="250" t="s">
        <v>164</v>
      </c>
      <c r="K1086" s="188"/>
      <c r="L1086" s="197"/>
      <c r="M1086" s="197"/>
      <c r="N1086" s="197"/>
      <c r="O1086" s="197"/>
    </row>
    <row r="1087" spans="1:15" ht="51" hidden="1">
      <c r="A1087" s="199" t="s">
        <v>137</v>
      </c>
      <c r="B1087" s="199" t="s">
        <v>138</v>
      </c>
      <c r="C1087" s="199" t="s">
        <v>106</v>
      </c>
      <c r="D1087" s="199" t="s">
        <v>492</v>
      </c>
      <c r="E1087" s="205" t="s">
        <v>1425</v>
      </c>
      <c r="F1087" s="205" t="s">
        <v>149</v>
      </c>
      <c r="G1087" s="225">
        <v>-0.5</v>
      </c>
      <c r="H1087" s="226">
        <v>-0.5</v>
      </c>
      <c r="I1087" s="198" t="s">
        <v>106</v>
      </c>
      <c r="J1087" s="250" t="s">
        <v>164</v>
      </c>
      <c r="K1087" s="213"/>
      <c r="L1087" s="197"/>
      <c r="M1087" s="197"/>
      <c r="N1087" s="197"/>
      <c r="O1087" s="197"/>
    </row>
    <row r="1088" spans="1:15" ht="51" hidden="1">
      <c r="A1088" s="199" t="s">
        <v>137</v>
      </c>
      <c r="B1088" s="199" t="s">
        <v>138</v>
      </c>
      <c r="C1088" s="199" t="s">
        <v>106</v>
      </c>
      <c r="D1088" s="199" t="s">
        <v>492</v>
      </c>
      <c r="E1088" s="205" t="s">
        <v>1426</v>
      </c>
      <c r="F1088" s="205" t="s">
        <v>149</v>
      </c>
      <c r="G1088" s="225">
        <v>-0.5</v>
      </c>
      <c r="H1088" s="226">
        <v>-0.5</v>
      </c>
      <c r="I1088" s="198" t="s">
        <v>106</v>
      </c>
      <c r="J1088" s="250" t="s">
        <v>164</v>
      </c>
      <c r="K1088" s="188"/>
      <c r="L1088" s="197"/>
      <c r="M1088" s="197"/>
      <c r="N1088" s="197"/>
      <c r="O1088" s="197"/>
    </row>
    <row r="1089" spans="1:15" ht="51" hidden="1">
      <c r="A1089" s="199" t="s">
        <v>137</v>
      </c>
      <c r="B1089" s="199" t="s">
        <v>138</v>
      </c>
      <c r="C1089" s="199" t="s">
        <v>106</v>
      </c>
      <c r="D1089" s="199" t="s">
        <v>492</v>
      </c>
      <c r="E1089" s="205" t="s">
        <v>1427</v>
      </c>
      <c r="F1089" s="205" t="s">
        <v>149</v>
      </c>
      <c r="G1089" s="225">
        <v>-0.5</v>
      </c>
      <c r="H1089" s="226">
        <v>-0.5</v>
      </c>
      <c r="I1089" s="250" t="s">
        <v>106</v>
      </c>
      <c r="J1089" s="250" t="s">
        <v>164</v>
      </c>
      <c r="K1089" s="188"/>
      <c r="L1089" s="197"/>
      <c r="M1089" s="197"/>
      <c r="N1089" s="197"/>
      <c r="O1089" s="197"/>
    </row>
    <row r="1090" spans="1:15" ht="51" hidden="1">
      <c r="A1090" s="199" t="s">
        <v>137</v>
      </c>
      <c r="B1090" s="199" t="s">
        <v>138</v>
      </c>
      <c r="C1090" s="199" t="s">
        <v>106</v>
      </c>
      <c r="D1090" s="199" t="s">
        <v>492</v>
      </c>
      <c r="E1090" s="205" t="s">
        <v>1428</v>
      </c>
      <c r="F1090" s="205" t="s">
        <v>149</v>
      </c>
      <c r="G1090" s="225">
        <v>-0.5</v>
      </c>
      <c r="H1090" s="226">
        <v>-0.5</v>
      </c>
      <c r="I1090" s="250" t="s">
        <v>106</v>
      </c>
      <c r="J1090" s="250" t="s">
        <v>164</v>
      </c>
      <c r="K1090" s="188"/>
      <c r="L1090" s="197"/>
      <c r="M1090" s="197"/>
      <c r="N1090" s="197"/>
      <c r="O1090" s="197"/>
    </row>
    <row r="1091" spans="1:15" ht="51" hidden="1">
      <c r="A1091" s="199" t="s">
        <v>137</v>
      </c>
      <c r="B1091" s="199" t="s">
        <v>138</v>
      </c>
      <c r="C1091" s="199" t="s">
        <v>106</v>
      </c>
      <c r="D1091" s="199" t="s">
        <v>492</v>
      </c>
      <c r="E1091" s="205" t="s">
        <v>1429</v>
      </c>
      <c r="F1091" s="205" t="s">
        <v>149</v>
      </c>
      <c r="G1091" s="225">
        <v>-1.99</v>
      </c>
      <c r="H1091" s="226">
        <v>-1.99</v>
      </c>
      <c r="I1091" s="250" t="s">
        <v>106</v>
      </c>
      <c r="J1091" s="250" t="s">
        <v>164</v>
      </c>
      <c r="K1091" s="188"/>
      <c r="L1091" s="197"/>
      <c r="M1091" s="197"/>
      <c r="N1091" s="197"/>
      <c r="O1091" s="197"/>
    </row>
    <row r="1092" spans="1:15" ht="51" hidden="1">
      <c r="A1092" s="199" t="s">
        <v>137</v>
      </c>
      <c r="B1092" s="199" t="s">
        <v>138</v>
      </c>
      <c r="C1092" s="199" t="s">
        <v>106</v>
      </c>
      <c r="D1092" s="199" t="s">
        <v>492</v>
      </c>
      <c r="E1092" s="205" t="s">
        <v>1430</v>
      </c>
      <c r="F1092" s="205" t="s">
        <v>149</v>
      </c>
      <c r="G1092" s="225">
        <v>-0.5</v>
      </c>
      <c r="H1092" s="226">
        <v>-0.5</v>
      </c>
      <c r="I1092" s="250" t="s">
        <v>106</v>
      </c>
      <c r="J1092" s="250" t="s">
        <v>164</v>
      </c>
      <c r="K1092" s="188"/>
      <c r="L1092" s="197"/>
      <c r="M1092" s="197"/>
      <c r="N1092" s="197"/>
      <c r="O1092" s="197"/>
    </row>
    <row r="1093" spans="1:15" ht="51" hidden="1">
      <c r="A1093" s="199" t="s">
        <v>137</v>
      </c>
      <c r="B1093" s="199" t="s">
        <v>138</v>
      </c>
      <c r="C1093" s="199" t="s">
        <v>106</v>
      </c>
      <c r="D1093" s="199" t="s">
        <v>492</v>
      </c>
      <c r="E1093" s="205" t="s">
        <v>1431</v>
      </c>
      <c r="F1093" s="205" t="s">
        <v>149</v>
      </c>
      <c r="G1093" s="225">
        <v>-0.5</v>
      </c>
      <c r="H1093" s="226">
        <v>-0.5</v>
      </c>
      <c r="I1093" s="250" t="s">
        <v>106</v>
      </c>
      <c r="J1093" s="250" t="s">
        <v>164</v>
      </c>
      <c r="K1093" s="188"/>
      <c r="L1093" s="197"/>
      <c r="M1093" s="197"/>
      <c r="N1093" s="197"/>
      <c r="O1093" s="197"/>
    </row>
    <row r="1094" spans="1:15" ht="51" hidden="1">
      <c r="A1094" s="199" t="s">
        <v>137</v>
      </c>
      <c r="B1094" s="199" t="s">
        <v>138</v>
      </c>
      <c r="C1094" s="199" t="s">
        <v>106</v>
      </c>
      <c r="D1094" s="199" t="s">
        <v>492</v>
      </c>
      <c r="E1094" s="205" t="s">
        <v>1432</v>
      </c>
      <c r="F1094" s="205" t="s">
        <v>149</v>
      </c>
      <c r="G1094" s="225">
        <v>-0.5</v>
      </c>
      <c r="H1094" s="226">
        <v>-0.5</v>
      </c>
      <c r="I1094" s="250" t="s">
        <v>106</v>
      </c>
      <c r="J1094" s="250" t="s">
        <v>164</v>
      </c>
      <c r="K1094" s="188"/>
      <c r="L1094" s="197"/>
      <c r="M1094" s="197"/>
      <c r="N1094" s="197"/>
      <c r="O1094" s="197"/>
    </row>
    <row r="1095" spans="1:15" ht="51" hidden="1">
      <c r="A1095" s="199" t="s">
        <v>137</v>
      </c>
      <c r="B1095" s="199" t="s">
        <v>138</v>
      </c>
      <c r="C1095" s="199" t="s">
        <v>106</v>
      </c>
      <c r="D1095" s="199" t="s">
        <v>492</v>
      </c>
      <c r="E1095" s="205" t="s">
        <v>1433</v>
      </c>
      <c r="F1095" s="205" t="s">
        <v>149</v>
      </c>
      <c r="G1095" s="225">
        <v>-0.5</v>
      </c>
      <c r="H1095" s="226">
        <v>-0.5</v>
      </c>
      <c r="I1095" s="250" t="s">
        <v>106</v>
      </c>
      <c r="J1095" s="250" t="s">
        <v>164</v>
      </c>
      <c r="K1095" s="188"/>
      <c r="L1095" s="197"/>
      <c r="M1095" s="197"/>
      <c r="N1095" s="197"/>
      <c r="O1095" s="197"/>
    </row>
    <row r="1096" spans="1:15" ht="51" hidden="1">
      <c r="A1096" s="199" t="s">
        <v>137</v>
      </c>
      <c r="B1096" s="199" t="s">
        <v>138</v>
      </c>
      <c r="C1096" s="199" t="s">
        <v>106</v>
      </c>
      <c r="D1096" s="199" t="s">
        <v>492</v>
      </c>
      <c r="E1096" s="205" t="s">
        <v>1434</v>
      </c>
      <c r="F1096" s="205" t="s">
        <v>149</v>
      </c>
      <c r="G1096" s="225">
        <v>-0.5</v>
      </c>
      <c r="H1096" s="226">
        <v>-0.5</v>
      </c>
      <c r="I1096" s="250" t="s">
        <v>106</v>
      </c>
      <c r="J1096" s="250" t="s">
        <v>164</v>
      </c>
      <c r="K1096" s="188"/>
      <c r="L1096" s="197"/>
      <c r="M1096" s="197"/>
      <c r="N1096" s="197"/>
      <c r="O1096" s="197"/>
    </row>
    <row r="1097" spans="1:15" ht="51" hidden="1">
      <c r="A1097" s="199" t="s">
        <v>137</v>
      </c>
      <c r="B1097" s="199" t="s">
        <v>138</v>
      </c>
      <c r="C1097" s="199" t="s">
        <v>106</v>
      </c>
      <c r="D1097" s="199" t="s">
        <v>492</v>
      </c>
      <c r="E1097" s="205" t="s">
        <v>1435</v>
      </c>
      <c r="F1097" s="205" t="s">
        <v>149</v>
      </c>
      <c r="G1097" s="225">
        <v>-0.5</v>
      </c>
      <c r="H1097" s="226">
        <v>-0.5</v>
      </c>
      <c r="I1097" s="250" t="s">
        <v>106</v>
      </c>
      <c r="J1097" s="250" t="s">
        <v>164</v>
      </c>
      <c r="K1097" s="188"/>
      <c r="L1097" s="197"/>
      <c r="M1097" s="197"/>
      <c r="N1097" s="197"/>
      <c r="O1097" s="197"/>
    </row>
    <row r="1098" spans="1:15" ht="38.25" hidden="1">
      <c r="A1098" s="199" t="s">
        <v>137</v>
      </c>
      <c r="B1098" s="199" t="s">
        <v>138</v>
      </c>
      <c r="C1098" s="199" t="s">
        <v>106</v>
      </c>
      <c r="D1098" s="199" t="s">
        <v>492</v>
      </c>
      <c r="E1098" s="205" t="s">
        <v>1436</v>
      </c>
      <c r="F1098" s="205" t="s">
        <v>149</v>
      </c>
      <c r="G1098" s="225">
        <v>-1.99</v>
      </c>
      <c r="H1098" s="226">
        <v>-1.99</v>
      </c>
      <c r="I1098" s="250" t="s">
        <v>106</v>
      </c>
      <c r="J1098" s="250" t="s">
        <v>164</v>
      </c>
      <c r="K1098" s="188"/>
      <c r="L1098" s="197"/>
      <c r="M1098" s="197"/>
      <c r="N1098" s="197"/>
      <c r="O1098" s="197"/>
    </row>
    <row r="1099" spans="1:15" ht="51" hidden="1">
      <c r="A1099" s="199" t="s">
        <v>137</v>
      </c>
      <c r="B1099" s="199" t="s">
        <v>138</v>
      </c>
      <c r="C1099" s="199" t="s">
        <v>106</v>
      </c>
      <c r="D1099" s="199" t="s">
        <v>492</v>
      </c>
      <c r="E1099" s="205" t="s">
        <v>1437</v>
      </c>
      <c r="F1099" s="205" t="s">
        <v>149</v>
      </c>
      <c r="G1099" s="225">
        <v>-0.5</v>
      </c>
      <c r="H1099" s="226">
        <v>-0.5</v>
      </c>
      <c r="I1099" s="250" t="s">
        <v>106</v>
      </c>
      <c r="J1099" s="250" t="s">
        <v>164</v>
      </c>
      <c r="K1099" s="213"/>
      <c r="L1099" s="197"/>
      <c r="M1099" s="197"/>
      <c r="N1099" s="197"/>
      <c r="O1099" s="197"/>
    </row>
    <row r="1100" spans="1:15" ht="51" hidden="1">
      <c r="A1100" s="199" t="s">
        <v>137</v>
      </c>
      <c r="B1100" s="199" t="s">
        <v>138</v>
      </c>
      <c r="C1100" s="199" t="s">
        <v>106</v>
      </c>
      <c r="D1100" s="199" t="s">
        <v>492</v>
      </c>
      <c r="E1100" s="205" t="s">
        <v>1438</v>
      </c>
      <c r="F1100" s="205" t="s">
        <v>149</v>
      </c>
      <c r="G1100" s="225">
        <v>-0.5</v>
      </c>
      <c r="H1100" s="226">
        <v>-0.5</v>
      </c>
      <c r="I1100" s="250" t="s">
        <v>106</v>
      </c>
      <c r="J1100" s="250" t="s">
        <v>164</v>
      </c>
      <c r="K1100" s="188"/>
      <c r="L1100" s="197"/>
      <c r="M1100" s="197"/>
      <c r="N1100" s="197"/>
      <c r="O1100" s="197"/>
    </row>
    <row r="1101" spans="1:15" ht="51" hidden="1">
      <c r="A1101" s="199" t="s">
        <v>137</v>
      </c>
      <c r="B1101" s="199" t="s">
        <v>138</v>
      </c>
      <c r="C1101" s="199" t="s">
        <v>106</v>
      </c>
      <c r="D1101" s="199" t="s">
        <v>492</v>
      </c>
      <c r="E1101" s="205" t="s">
        <v>1439</v>
      </c>
      <c r="F1101" s="205" t="s">
        <v>149</v>
      </c>
      <c r="G1101" s="225">
        <v>-0.5</v>
      </c>
      <c r="H1101" s="226">
        <v>-0.5</v>
      </c>
      <c r="I1101" s="250" t="s">
        <v>106</v>
      </c>
      <c r="J1101" s="250" t="s">
        <v>164</v>
      </c>
      <c r="K1101" s="188"/>
      <c r="L1101" s="197"/>
      <c r="M1101" s="197"/>
      <c r="N1101" s="197"/>
      <c r="O1101" s="197"/>
    </row>
    <row r="1102" spans="1:15" ht="51" hidden="1">
      <c r="A1102" s="199" t="s">
        <v>137</v>
      </c>
      <c r="B1102" s="199" t="s">
        <v>138</v>
      </c>
      <c r="C1102" s="199" t="s">
        <v>106</v>
      </c>
      <c r="D1102" s="199" t="s">
        <v>492</v>
      </c>
      <c r="E1102" s="205" t="s">
        <v>1440</v>
      </c>
      <c r="F1102" s="205" t="s">
        <v>149</v>
      </c>
      <c r="G1102" s="225">
        <v>-0.5</v>
      </c>
      <c r="H1102" s="226">
        <v>-0.5</v>
      </c>
      <c r="I1102" s="250" t="s">
        <v>106</v>
      </c>
      <c r="J1102" s="250" t="s">
        <v>164</v>
      </c>
      <c r="K1102" s="188"/>
      <c r="L1102" s="197"/>
      <c r="M1102" s="197"/>
      <c r="N1102" s="197"/>
      <c r="O1102" s="197"/>
    </row>
    <row r="1103" spans="1:15" ht="51" hidden="1">
      <c r="A1103" s="199" t="s">
        <v>137</v>
      </c>
      <c r="B1103" s="199" t="s">
        <v>138</v>
      </c>
      <c r="C1103" s="199" t="s">
        <v>106</v>
      </c>
      <c r="D1103" s="199" t="s">
        <v>492</v>
      </c>
      <c r="E1103" s="205" t="s">
        <v>1441</v>
      </c>
      <c r="F1103" s="205" t="s">
        <v>149</v>
      </c>
      <c r="G1103" s="225">
        <v>-0.5</v>
      </c>
      <c r="H1103" s="226">
        <v>-0.5</v>
      </c>
      <c r="I1103" s="250" t="s">
        <v>106</v>
      </c>
      <c r="J1103" s="250" t="s">
        <v>164</v>
      </c>
      <c r="K1103" s="188"/>
      <c r="L1103" s="197"/>
      <c r="M1103" s="197"/>
      <c r="N1103" s="197"/>
      <c r="O1103" s="197"/>
    </row>
    <row r="1104" spans="1:15" ht="51" hidden="1">
      <c r="A1104" s="199" t="s">
        <v>232</v>
      </c>
      <c r="B1104" s="199" t="s">
        <v>138</v>
      </c>
      <c r="C1104" s="199" t="s">
        <v>106</v>
      </c>
      <c r="D1104" s="199" t="s">
        <v>492</v>
      </c>
      <c r="E1104" s="205" t="s">
        <v>1442</v>
      </c>
      <c r="F1104" s="205" t="s">
        <v>149</v>
      </c>
      <c r="G1104" s="225">
        <v>-0.5</v>
      </c>
      <c r="H1104" s="226">
        <v>-0.5</v>
      </c>
      <c r="I1104" s="250" t="s">
        <v>106</v>
      </c>
      <c r="J1104" s="250" t="s">
        <v>164</v>
      </c>
      <c r="K1104" s="188"/>
      <c r="L1104" s="197"/>
      <c r="M1104" s="197"/>
      <c r="N1104" s="197"/>
      <c r="O1104" s="197"/>
    </row>
    <row r="1105" spans="1:15" ht="51" hidden="1">
      <c r="A1105" s="199" t="s">
        <v>232</v>
      </c>
      <c r="B1105" s="199" t="s">
        <v>138</v>
      </c>
      <c r="C1105" s="199" t="s">
        <v>106</v>
      </c>
      <c r="D1105" s="199" t="s">
        <v>492</v>
      </c>
      <c r="E1105" s="205" t="s">
        <v>1443</v>
      </c>
      <c r="F1105" s="205" t="s">
        <v>149</v>
      </c>
      <c r="G1105" s="225">
        <v>-0.5</v>
      </c>
      <c r="H1105" s="226">
        <v>-0.5</v>
      </c>
      <c r="I1105" s="250" t="s">
        <v>106</v>
      </c>
      <c r="J1105" s="250" t="s">
        <v>164</v>
      </c>
      <c r="K1105" s="188"/>
      <c r="L1105" s="197"/>
      <c r="M1105" s="197"/>
      <c r="N1105" s="197"/>
      <c r="O1105" s="197"/>
    </row>
    <row r="1106" spans="1:15" ht="51" hidden="1">
      <c r="A1106" s="199" t="s">
        <v>232</v>
      </c>
      <c r="B1106" s="199" t="s">
        <v>138</v>
      </c>
      <c r="C1106" s="199" t="s">
        <v>106</v>
      </c>
      <c r="D1106" s="199" t="s">
        <v>492</v>
      </c>
      <c r="E1106" s="205" t="s">
        <v>1444</v>
      </c>
      <c r="F1106" s="205" t="s">
        <v>149</v>
      </c>
      <c r="G1106" s="225">
        <v>-0.5</v>
      </c>
      <c r="H1106" s="226">
        <v>-0.5</v>
      </c>
      <c r="I1106" s="250" t="s">
        <v>106</v>
      </c>
      <c r="J1106" s="250" t="s">
        <v>164</v>
      </c>
      <c r="K1106" s="188"/>
      <c r="L1106" s="197"/>
      <c r="M1106" s="197"/>
      <c r="N1106" s="197"/>
      <c r="O1106" s="197"/>
    </row>
    <row r="1107" spans="1:15" ht="51" hidden="1">
      <c r="A1107" s="199" t="s">
        <v>232</v>
      </c>
      <c r="B1107" s="199" t="s">
        <v>138</v>
      </c>
      <c r="C1107" s="199" t="s">
        <v>106</v>
      </c>
      <c r="D1107" s="199" t="s">
        <v>492</v>
      </c>
      <c r="E1107" s="205" t="s">
        <v>1445</v>
      </c>
      <c r="F1107" s="205" t="s">
        <v>149</v>
      </c>
      <c r="G1107" s="225">
        <v>-0.5</v>
      </c>
      <c r="H1107" s="226">
        <v>-0.5</v>
      </c>
      <c r="I1107" s="250" t="s">
        <v>106</v>
      </c>
      <c r="J1107" s="250" t="s">
        <v>164</v>
      </c>
      <c r="K1107" s="188"/>
      <c r="L1107" s="197"/>
      <c r="M1107" s="197"/>
      <c r="N1107" s="197"/>
      <c r="O1107" s="197"/>
    </row>
    <row r="1108" spans="1:15" ht="51" hidden="1">
      <c r="A1108" s="199" t="s">
        <v>232</v>
      </c>
      <c r="B1108" s="199" t="s">
        <v>138</v>
      </c>
      <c r="C1108" s="199" t="s">
        <v>106</v>
      </c>
      <c r="D1108" s="199" t="s">
        <v>492</v>
      </c>
      <c r="E1108" s="205" t="s">
        <v>1446</v>
      </c>
      <c r="F1108" s="205" t="s">
        <v>149</v>
      </c>
      <c r="G1108" s="225">
        <v>-0.5</v>
      </c>
      <c r="H1108" s="226">
        <v>-0.5</v>
      </c>
      <c r="I1108" s="250" t="s">
        <v>106</v>
      </c>
      <c r="J1108" s="250" t="s">
        <v>164</v>
      </c>
      <c r="K1108" s="188"/>
      <c r="L1108" s="197"/>
      <c r="M1108" s="197"/>
      <c r="N1108" s="197"/>
      <c r="O1108" s="197"/>
    </row>
    <row r="1109" spans="1:15" ht="51" hidden="1">
      <c r="A1109" s="199" t="s">
        <v>232</v>
      </c>
      <c r="B1109" s="199" t="s">
        <v>138</v>
      </c>
      <c r="C1109" s="199" t="s">
        <v>106</v>
      </c>
      <c r="D1109" s="199" t="s">
        <v>492</v>
      </c>
      <c r="E1109" s="205" t="s">
        <v>1447</v>
      </c>
      <c r="F1109" s="205" t="s">
        <v>149</v>
      </c>
      <c r="G1109" s="225">
        <v>-0.5</v>
      </c>
      <c r="H1109" s="226">
        <v>-0.5</v>
      </c>
      <c r="I1109" s="250" t="s">
        <v>106</v>
      </c>
      <c r="J1109" s="250" t="s">
        <v>164</v>
      </c>
      <c r="K1109" s="188"/>
      <c r="L1109" s="197"/>
      <c r="M1109" s="197"/>
      <c r="N1109" s="197"/>
      <c r="O1109" s="197"/>
    </row>
    <row r="1110" spans="1:15" ht="51" hidden="1">
      <c r="A1110" s="199" t="s">
        <v>232</v>
      </c>
      <c r="B1110" s="199" t="s">
        <v>138</v>
      </c>
      <c r="C1110" s="199" t="s">
        <v>106</v>
      </c>
      <c r="D1110" s="199" t="s">
        <v>492</v>
      </c>
      <c r="E1110" s="205" t="s">
        <v>1448</v>
      </c>
      <c r="F1110" s="205" t="s">
        <v>149</v>
      </c>
      <c r="G1110" s="225">
        <v>-0.5</v>
      </c>
      <c r="H1110" s="226">
        <v>-0.5</v>
      </c>
      <c r="I1110" s="250" t="s">
        <v>106</v>
      </c>
      <c r="J1110" s="250" t="s">
        <v>164</v>
      </c>
      <c r="K1110" s="188"/>
      <c r="L1110" s="197"/>
      <c r="M1110" s="197"/>
      <c r="N1110" s="197"/>
      <c r="O1110" s="197"/>
    </row>
    <row r="1111" spans="1:15" ht="51" hidden="1">
      <c r="A1111" s="199" t="s">
        <v>232</v>
      </c>
      <c r="B1111" s="199" t="s">
        <v>138</v>
      </c>
      <c r="C1111" s="199" t="s">
        <v>106</v>
      </c>
      <c r="D1111" s="199" t="s">
        <v>492</v>
      </c>
      <c r="E1111" s="205" t="s">
        <v>1449</v>
      </c>
      <c r="F1111" s="205" t="s">
        <v>149</v>
      </c>
      <c r="G1111" s="225">
        <v>-0.5</v>
      </c>
      <c r="H1111" s="226">
        <v>-0.5</v>
      </c>
      <c r="I1111" s="250" t="s">
        <v>106</v>
      </c>
      <c r="J1111" s="250" t="s">
        <v>164</v>
      </c>
      <c r="K1111" s="188"/>
      <c r="L1111" s="197"/>
      <c r="M1111" s="197"/>
      <c r="N1111" s="197"/>
      <c r="O1111" s="197"/>
    </row>
    <row r="1112" spans="1:15" ht="51" hidden="1">
      <c r="A1112" s="199" t="s">
        <v>232</v>
      </c>
      <c r="B1112" s="199" t="s">
        <v>138</v>
      </c>
      <c r="C1112" s="199" t="s">
        <v>106</v>
      </c>
      <c r="D1112" s="199" t="s">
        <v>492</v>
      </c>
      <c r="E1112" s="205" t="s">
        <v>1450</v>
      </c>
      <c r="F1112" s="205" t="s">
        <v>149</v>
      </c>
      <c r="G1112" s="225">
        <v>-0.5</v>
      </c>
      <c r="H1112" s="226">
        <v>-0.5</v>
      </c>
      <c r="I1112" s="250" t="s">
        <v>106</v>
      </c>
      <c r="J1112" s="250" t="s">
        <v>164</v>
      </c>
      <c r="K1112" s="188"/>
      <c r="L1112" s="197"/>
      <c r="M1112" s="197"/>
      <c r="N1112" s="197"/>
      <c r="O1112" s="197"/>
    </row>
    <row r="1113" spans="1:15" ht="51" hidden="1">
      <c r="A1113" s="199" t="s">
        <v>232</v>
      </c>
      <c r="B1113" s="199" t="s">
        <v>138</v>
      </c>
      <c r="C1113" s="199" t="s">
        <v>106</v>
      </c>
      <c r="D1113" s="199" t="s">
        <v>492</v>
      </c>
      <c r="E1113" s="205" t="s">
        <v>1451</v>
      </c>
      <c r="F1113" s="205" t="s">
        <v>149</v>
      </c>
      <c r="G1113" s="225">
        <v>-0.5</v>
      </c>
      <c r="H1113" s="226">
        <v>-0.5</v>
      </c>
      <c r="I1113" s="198" t="s">
        <v>106</v>
      </c>
      <c r="J1113" s="250" t="s">
        <v>164</v>
      </c>
      <c r="K1113" s="188"/>
      <c r="L1113" s="197"/>
      <c r="M1113" s="197"/>
      <c r="N1113" s="197"/>
      <c r="O1113" s="197"/>
    </row>
    <row r="1114" spans="1:15" ht="51" hidden="1">
      <c r="A1114" s="199" t="s">
        <v>232</v>
      </c>
      <c r="B1114" s="199" t="s">
        <v>138</v>
      </c>
      <c r="C1114" s="199" t="s">
        <v>106</v>
      </c>
      <c r="D1114" s="199" t="s">
        <v>492</v>
      </c>
      <c r="E1114" s="205" t="s">
        <v>1452</v>
      </c>
      <c r="F1114" s="205" t="s">
        <v>149</v>
      </c>
      <c r="G1114" s="225">
        <v>-0.5</v>
      </c>
      <c r="H1114" s="226">
        <v>-0.5</v>
      </c>
      <c r="I1114" s="250" t="s">
        <v>106</v>
      </c>
      <c r="J1114" s="250" t="s">
        <v>164</v>
      </c>
      <c r="K1114" s="188"/>
      <c r="L1114" s="197"/>
      <c r="M1114" s="197"/>
      <c r="N1114" s="197"/>
      <c r="O1114" s="197"/>
    </row>
    <row r="1115" spans="1:15" ht="51" hidden="1">
      <c r="A1115" s="199" t="s">
        <v>232</v>
      </c>
      <c r="B1115" s="199" t="s">
        <v>138</v>
      </c>
      <c r="C1115" s="199" t="s">
        <v>106</v>
      </c>
      <c r="D1115" s="199" t="s">
        <v>492</v>
      </c>
      <c r="E1115" s="205" t="s">
        <v>1453</v>
      </c>
      <c r="F1115" s="205" t="s">
        <v>149</v>
      </c>
      <c r="G1115" s="225">
        <v>-0.5</v>
      </c>
      <c r="H1115" s="226">
        <v>-0.5</v>
      </c>
      <c r="I1115" s="250" t="s">
        <v>106</v>
      </c>
      <c r="J1115" s="250" t="s">
        <v>164</v>
      </c>
      <c r="K1115" s="188"/>
      <c r="L1115" s="197"/>
      <c r="M1115" s="197"/>
      <c r="N1115" s="197"/>
      <c r="O1115" s="197"/>
    </row>
    <row r="1116" spans="1:15" ht="51" hidden="1">
      <c r="A1116" s="199" t="s">
        <v>232</v>
      </c>
      <c r="B1116" s="199" t="s">
        <v>138</v>
      </c>
      <c r="C1116" s="199" t="s">
        <v>106</v>
      </c>
      <c r="D1116" s="199" t="s">
        <v>492</v>
      </c>
      <c r="E1116" s="205" t="s">
        <v>1454</v>
      </c>
      <c r="F1116" s="205" t="s">
        <v>149</v>
      </c>
      <c r="G1116" s="225">
        <v>-0.5</v>
      </c>
      <c r="H1116" s="226">
        <v>-0.5</v>
      </c>
      <c r="I1116" s="250" t="s">
        <v>106</v>
      </c>
      <c r="J1116" s="250" t="s">
        <v>164</v>
      </c>
      <c r="K1116" s="188"/>
      <c r="L1116" s="197"/>
      <c r="M1116" s="197"/>
      <c r="N1116" s="197"/>
      <c r="O1116" s="197"/>
    </row>
    <row r="1117" spans="1:15" ht="51" hidden="1">
      <c r="A1117" s="199" t="s">
        <v>232</v>
      </c>
      <c r="B1117" s="199" t="s">
        <v>138</v>
      </c>
      <c r="C1117" s="199" t="s">
        <v>106</v>
      </c>
      <c r="D1117" s="199" t="s">
        <v>492</v>
      </c>
      <c r="E1117" s="205" t="s">
        <v>1455</v>
      </c>
      <c r="F1117" s="205" t="s">
        <v>149</v>
      </c>
      <c r="G1117" s="225">
        <v>-0.5</v>
      </c>
      <c r="H1117" s="226">
        <v>-0.5</v>
      </c>
      <c r="I1117" s="250" t="s">
        <v>106</v>
      </c>
      <c r="J1117" s="250" t="s">
        <v>164</v>
      </c>
      <c r="K1117" s="188"/>
      <c r="L1117" s="197"/>
      <c r="M1117" s="197"/>
      <c r="N1117" s="197"/>
      <c r="O1117" s="197"/>
    </row>
    <row r="1118" spans="1:15" ht="51" hidden="1">
      <c r="A1118" s="199" t="s">
        <v>232</v>
      </c>
      <c r="B1118" s="199" t="s">
        <v>138</v>
      </c>
      <c r="C1118" s="199" t="s">
        <v>106</v>
      </c>
      <c r="D1118" s="199" t="s">
        <v>492</v>
      </c>
      <c r="E1118" s="205" t="s">
        <v>1456</v>
      </c>
      <c r="F1118" s="205" t="s">
        <v>149</v>
      </c>
      <c r="G1118" s="225">
        <v>-0.5</v>
      </c>
      <c r="H1118" s="226">
        <v>-0.5</v>
      </c>
      <c r="I1118" s="250" t="s">
        <v>106</v>
      </c>
      <c r="J1118" s="250" t="s">
        <v>164</v>
      </c>
      <c r="K1118" s="188"/>
      <c r="L1118" s="197"/>
      <c r="M1118" s="197"/>
      <c r="N1118" s="197"/>
      <c r="O1118" s="197"/>
    </row>
    <row r="1119" spans="1:15" ht="51" hidden="1">
      <c r="A1119" s="199" t="s">
        <v>232</v>
      </c>
      <c r="B1119" s="199" t="s">
        <v>138</v>
      </c>
      <c r="C1119" s="199" t="s">
        <v>106</v>
      </c>
      <c r="D1119" s="199" t="s">
        <v>492</v>
      </c>
      <c r="E1119" s="205" t="s">
        <v>1457</v>
      </c>
      <c r="F1119" s="205" t="s">
        <v>149</v>
      </c>
      <c r="G1119" s="225">
        <v>-0.5</v>
      </c>
      <c r="H1119" s="226">
        <v>-0.5</v>
      </c>
      <c r="I1119" s="250" t="s">
        <v>106</v>
      </c>
      <c r="J1119" s="250" t="s">
        <v>164</v>
      </c>
      <c r="K1119" s="188"/>
      <c r="L1119" s="197"/>
      <c r="M1119" s="197"/>
      <c r="N1119" s="197"/>
      <c r="O1119" s="197"/>
    </row>
    <row r="1120" spans="1:15" hidden="1">
      <c r="A1120" s="199" t="s">
        <v>232</v>
      </c>
      <c r="B1120" s="199" t="s">
        <v>138</v>
      </c>
      <c r="C1120" s="199" t="s">
        <v>106</v>
      </c>
      <c r="D1120" s="199" t="s">
        <v>492</v>
      </c>
      <c r="E1120" s="205" t="s">
        <v>1458</v>
      </c>
      <c r="F1120" s="205" t="s">
        <v>149</v>
      </c>
      <c r="G1120" s="225">
        <v>-81.400000000000006</v>
      </c>
      <c r="H1120" s="226">
        <v>-81.400000000000006</v>
      </c>
      <c r="I1120" s="250" t="s">
        <v>106</v>
      </c>
      <c r="J1120" s="250" t="s">
        <v>164</v>
      </c>
      <c r="K1120" s="213"/>
      <c r="L1120" s="197"/>
      <c r="M1120" s="197"/>
      <c r="N1120" s="197"/>
      <c r="O1120" s="197"/>
    </row>
    <row r="1121" spans="1:15" hidden="1">
      <c r="A1121" s="199" t="s">
        <v>232</v>
      </c>
      <c r="B1121" s="199" t="s">
        <v>138</v>
      </c>
      <c r="C1121" s="199" t="s">
        <v>106</v>
      </c>
      <c r="D1121" s="199" t="s">
        <v>492</v>
      </c>
      <c r="E1121" s="205" t="s">
        <v>1459</v>
      </c>
      <c r="F1121" s="205" t="s">
        <v>149</v>
      </c>
      <c r="G1121" s="225">
        <v>-3.5</v>
      </c>
      <c r="H1121" s="226">
        <v>-3.5</v>
      </c>
      <c r="I1121" s="250" t="s">
        <v>106</v>
      </c>
      <c r="J1121" s="250" t="s">
        <v>164</v>
      </c>
      <c r="K1121" s="213"/>
      <c r="L1121" s="197"/>
      <c r="M1121" s="197"/>
      <c r="N1121" s="197"/>
      <c r="O1121" s="197"/>
    </row>
    <row r="1122" spans="1:15" hidden="1">
      <c r="A1122" s="199" t="s">
        <v>232</v>
      </c>
      <c r="B1122" s="199" t="s">
        <v>138</v>
      </c>
      <c r="C1122" s="199" t="s">
        <v>106</v>
      </c>
      <c r="D1122" s="199" t="s">
        <v>492</v>
      </c>
      <c r="E1122" s="205" t="s">
        <v>1460</v>
      </c>
      <c r="F1122" s="205" t="s">
        <v>149</v>
      </c>
      <c r="G1122" s="225">
        <v>-2.61</v>
      </c>
      <c r="H1122" s="226">
        <v>-2.61</v>
      </c>
      <c r="I1122" s="250" t="s">
        <v>106</v>
      </c>
      <c r="J1122" s="250" t="s">
        <v>164</v>
      </c>
      <c r="K1122" s="188"/>
      <c r="L1122" s="197"/>
      <c r="M1122" s="197"/>
      <c r="N1122" s="197"/>
      <c r="O1122" s="197"/>
    </row>
    <row r="1123" spans="1:15" hidden="1">
      <c r="A1123" s="199" t="s">
        <v>232</v>
      </c>
      <c r="B1123" s="199" t="s">
        <v>138</v>
      </c>
      <c r="C1123" s="199" t="s">
        <v>106</v>
      </c>
      <c r="D1123" s="199" t="s">
        <v>492</v>
      </c>
      <c r="E1123" s="205" t="s">
        <v>655</v>
      </c>
      <c r="F1123" s="205" t="s">
        <v>149</v>
      </c>
      <c r="G1123" s="225">
        <v>-224</v>
      </c>
      <c r="H1123" s="226">
        <v>-224</v>
      </c>
      <c r="I1123" s="250" t="s">
        <v>106</v>
      </c>
      <c r="J1123" s="250" t="s">
        <v>164</v>
      </c>
      <c r="K1123" s="188"/>
      <c r="L1123" s="197"/>
      <c r="M1123" s="197"/>
      <c r="N1123" s="197"/>
      <c r="O1123" s="197"/>
    </row>
    <row r="1124" spans="1:15" hidden="1">
      <c r="A1124" s="199" t="s">
        <v>232</v>
      </c>
      <c r="B1124" s="199" t="s">
        <v>138</v>
      </c>
      <c r="C1124" s="199" t="s">
        <v>106</v>
      </c>
      <c r="D1124" s="199" t="s">
        <v>492</v>
      </c>
      <c r="E1124" s="205" t="s">
        <v>1337</v>
      </c>
      <c r="F1124" s="205" t="s">
        <v>149</v>
      </c>
      <c r="G1124" s="225">
        <v>-40</v>
      </c>
      <c r="H1124" s="226">
        <v>-40</v>
      </c>
      <c r="I1124" s="250" t="s">
        <v>106</v>
      </c>
      <c r="J1124" s="250" t="s">
        <v>164</v>
      </c>
      <c r="K1124" s="213"/>
      <c r="L1124" s="197"/>
      <c r="M1124" s="197"/>
      <c r="N1124" s="197"/>
      <c r="O1124" s="197"/>
    </row>
    <row r="1125" spans="1:15" hidden="1">
      <c r="A1125" s="199" t="s">
        <v>137</v>
      </c>
      <c r="B1125" s="199" t="s">
        <v>138</v>
      </c>
      <c r="C1125" s="199" t="s">
        <v>106</v>
      </c>
      <c r="D1125" s="199" t="s">
        <v>492</v>
      </c>
      <c r="E1125" s="205" t="s">
        <v>1461</v>
      </c>
      <c r="F1125" s="205" t="s">
        <v>149</v>
      </c>
      <c r="G1125" s="225">
        <v>-139.19999999999999</v>
      </c>
      <c r="H1125" s="226">
        <v>-139.19999999999999</v>
      </c>
      <c r="I1125" s="250" t="s">
        <v>106</v>
      </c>
      <c r="J1125" s="250" t="s">
        <v>164</v>
      </c>
      <c r="K1125" s="188"/>
      <c r="L1125" s="197"/>
      <c r="M1125" s="197"/>
      <c r="N1125" s="197"/>
      <c r="O1125" s="197"/>
    </row>
    <row r="1126" spans="1:15" hidden="1">
      <c r="A1126" s="199" t="s">
        <v>137</v>
      </c>
      <c r="B1126" s="199" t="s">
        <v>138</v>
      </c>
      <c r="C1126" s="199" t="s">
        <v>106</v>
      </c>
      <c r="D1126" s="199" t="s">
        <v>492</v>
      </c>
      <c r="E1126" s="205" t="s">
        <v>1333</v>
      </c>
      <c r="F1126" s="205" t="s">
        <v>149</v>
      </c>
      <c r="G1126" s="225">
        <v>-24</v>
      </c>
      <c r="H1126" s="226">
        <v>-24</v>
      </c>
      <c r="I1126" s="250" t="s">
        <v>106</v>
      </c>
      <c r="J1126" s="250" t="s">
        <v>164</v>
      </c>
      <c r="K1126" s="188"/>
      <c r="L1126" s="197"/>
      <c r="M1126" s="197"/>
      <c r="N1126" s="197"/>
      <c r="O1126" s="197"/>
    </row>
    <row r="1127" spans="1:15" hidden="1">
      <c r="A1127" s="199" t="s">
        <v>137</v>
      </c>
      <c r="B1127" s="199" t="s">
        <v>138</v>
      </c>
      <c r="C1127" s="199" t="s">
        <v>106</v>
      </c>
      <c r="D1127" s="199" t="s">
        <v>492</v>
      </c>
      <c r="E1127" s="205" t="s">
        <v>1462</v>
      </c>
      <c r="F1127" s="205" t="s">
        <v>149</v>
      </c>
      <c r="G1127" s="225">
        <v>-224</v>
      </c>
      <c r="H1127" s="226">
        <v>-224</v>
      </c>
      <c r="I1127" s="250" t="s">
        <v>106</v>
      </c>
      <c r="J1127" s="250" t="s">
        <v>164</v>
      </c>
      <c r="K1127" s="188"/>
      <c r="L1127" s="197"/>
      <c r="M1127" s="197"/>
      <c r="N1127" s="197"/>
      <c r="O1127" s="197"/>
    </row>
    <row r="1128" spans="1:15" hidden="1">
      <c r="A1128" s="199" t="s">
        <v>137</v>
      </c>
      <c r="B1128" s="199" t="s">
        <v>138</v>
      </c>
      <c r="C1128" s="199" t="s">
        <v>106</v>
      </c>
      <c r="D1128" s="199" t="s">
        <v>492</v>
      </c>
      <c r="E1128" s="205" t="s">
        <v>1463</v>
      </c>
      <c r="F1128" s="205" t="s">
        <v>149</v>
      </c>
      <c r="G1128" s="225">
        <v>-9.9</v>
      </c>
      <c r="H1128" s="226">
        <v>-9.9</v>
      </c>
      <c r="I1128" s="250" t="s">
        <v>106</v>
      </c>
      <c r="J1128" s="250" t="s">
        <v>164</v>
      </c>
      <c r="K1128" s="188"/>
      <c r="L1128" s="197"/>
      <c r="M1128" s="197"/>
      <c r="N1128" s="197"/>
      <c r="O1128" s="197"/>
    </row>
    <row r="1129" spans="1:15" hidden="1">
      <c r="A1129" s="199" t="s">
        <v>137</v>
      </c>
      <c r="B1129" s="199" t="s">
        <v>138</v>
      </c>
      <c r="C1129" s="199" t="s">
        <v>106</v>
      </c>
      <c r="D1129" s="199" t="s">
        <v>492</v>
      </c>
      <c r="E1129" s="205" t="s">
        <v>1337</v>
      </c>
      <c r="F1129" s="205" t="s">
        <v>149</v>
      </c>
      <c r="G1129" s="225">
        <v>-40</v>
      </c>
      <c r="H1129" s="226">
        <v>-40</v>
      </c>
      <c r="I1129" s="250" t="s">
        <v>106</v>
      </c>
      <c r="J1129" s="250" t="s">
        <v>164</v>
      </c>
      <c r="K1129" s="213"/>
      <c r="L1129" s="197"/>
      <c r="M1129" s="197"/>
      <c r="N1129" s="197"/>
      <c r="O1129" s="197"/>
    </row>
    <row r="1130" spans="1:15" hidden="1">
      <c r="A1130" s="199" t="s">
        <v>137</v>
      </c>
      <c r="B1130" s="199" t="s">
        <v>138</v>
      </c>
      <c r="C1130" s="199" t="s">
        <v>106</v>
      </c>
      <c r="D1130" s="199" t="s">
        <v>492</v>
      </c>
      <c r="E1130" s="205" t="s">
        <v>1464</v>
      </c>
      <c r="F1130" s="205" t="s">
        <v>149</v>
      </c>
      <c r="G1130" s="225">
        <v>-10</v>
      </c>
      <c r="H1130" s="226">
        <v>-10</v>
      </c>
      <c r="I1130" s="250" t="s">
        <v>106</v>
      </c>
      <c r="J1130" s="250" t="s">
        <v>164</v>
      </c>
      <c r="K1130" s="188"/>
      <c r="L1130" s="197"/>
      <c r="M1130" s="197"/>
      <c r="N1130" s="197"/>
      <c r="O1130" s="197"/>
    </row>
    <row r="1131" spans="1:15" hidden="1">
      <c r="A1131" s="199" t="s">
        <v>137</v>
      </c>
      <c r="B1131" s="199" t="s">
        <v>138</v>
      </c>
      <c r="C1131" s="199" t="s">
        <v>106</v>
      </c>
      <c r="D1131" s="199" t="s">
        <v>492</v>
      </c>
      <c r="E1131" s="205" t="s">
        <v>1465</v>
      </c>
      <c r="F1131" s="205" t="s">
        <v>149</v>
      </c>
      <c r="G1131" s="225">
        <v>-33.700000000000003</v>
      </c>
      <c r="H1131" s="226">
        <v>-33.700000000000003</v>
      </c>
      <c r="I1131" s="250" t="s">
        <v>106</v>
      </c>
      <c r="J1131" s="250" t="s">
        <v>164</v>
      </c>
      <c r="K1131" s="213"/>
      <c r="L1131" s="197"/>
      <c r="M1131" s="197"/>
      <c r="N1131" s="197"/>
      <c r="O1131" s="197"/>
    </row>
    <row r="1132" spans="1:15" hidden="1">
      <c r="A1132" s="199" t="s">
        <v>137</v>
      </c>
      <c r="B1132" s="199" t="s">
        <v>138</v>
      </c>
      <c r="C1132" s="199" t="s">
        <v>106</v>
      </c>
      <c r="D1132" s="199" t="s">
        <v>492</v>
      </c>
      <c r="E1132" s="205" t="s">
        <v>1460</v>
      </c>
      <c r="F1132" s="205" t="s">
        <v>149</v>
      </c>
      <c r="G1132" s="225">
        <v>-30</v>
      </c>
      <c r="H1132" s="226">
        <v>-30</v>
      </c>
      <c r="I1132" s="250" t="s">
        <v>106</v>
      </c>
      <c r="J1132" s="250" t="s">
        <v>164</v>
      </c>
      <c r="K1132" s="188"/>
      <c r="L1132" s="197"/>
      <c r="M1132" s="197"/>
      <c r="N1132" s="197"/>
      <c r="O1132" s="197"/>
    </row>
    <row r="1133" spans="1:15" hidden="1">
      <c r="A1133" s="199" t="s">
        <v>137</v>
      </c>
      <c r="B1133" s="199" t="s">
        <v>138</v>
      </c>
      <c r="C1133" s="199" t="s">
        <v>106</v>
      </c>
      <c r="D1133" s="199" t="s">
        <v>492</v>
      </c>
      <c r="E1133" s="205" t="s">
        <v>1466</v>
      </c>
      <c r="F1133" s="205" t="s">
        <v>149</v>
      </c>
      <c r="G1133" s="225">
        <v>-6.74</v>
      </c>
      <c r="H1133" s="226">
        <v>-6.74</v>
      </c>
      <c r="I1133" s="250" t="s">
        <v>106</v>
      </c>
      <c r="J1133" s="250" t="s">
        <v>164</v>
      </c>
      <c r="K1133" s="188"/>
      <c r="L1133" s="197"/>
      <c r="M1133" s="197"/>
      <c r="N1133" s="197"/>
      <c r="O1133" s="197"/>
    </row>
    <row r="1134" spans="1:15" hidden="1">
      <c r="A1134" s="199" t="s">
        <v>209</v>
      </c>
      <c r="B1134" s="199" t="s">
        <v>138</v>
      </c>
      <c r="C1134" s="199" t="s">
        <v>106</v>
      </c>
      <c r="D1134" s="199" t="s">
        <v>492</v>
      </c>
      <c r="E1134" s="205" t="s">
        <v>1467</v>
      </c>
      <c r="F1134" s="205" t="s">
        <v>149</v>
      </c>
      <c r="G1134" s="225">
        <v>-10</v>
      </c>
      <c r="H1134" s="226">
        <v>-10</v>
      </c>
      <c r="I1134" s="250" t="s">
        <v>106</v>
      </c>
      <c r="J1134" s="250" t="s">
        <v>164</v>
      </c>
      <c r="K1134" s="188"/>
      <c r="L1134" s="197"/>
      <c r="M1134" s="197"/>
      <c r="N1134" s="197"/>
      <c r="O1134" s="197"/>
    </row>
    <row r="1135" spans="1:15" hidden="1">
      <c r="A1135" s="199" t="s">
        <v>243</v>
      </c>
      <c r="B1135" s="199" t="s">
        <v>138</v>
      </c>
      <c r="C1135" s="199" t="s">
        <v>97</v>
      </c>
      <c r="D1135" s="199" t="s">
        <v>1032</v>
      </c>
      <c r="E1135" s="205" t="s">
        <v>1468</v>
      </c>
      <c r="F1135" s="205" t="s">
        <v>149</v>
      </c>
      <c r="G1135" s="225">
        <v>-180</v>
      </c>
      <c r="H1135" s="226">
        <v>-180</v>
      </c>
      <c r="I1135" s="250" t="s">
        <v>96</v>
      </c>
      <c r="J1135" s="250" t="s">
        <v>164</v>
      </c>
      <c r="K1135" s="188"/>
      <c r="L1135" s="197"/>
      <c r="M1135" s="197"/>
      <c r="N1135" s="197"/>
      <c r="O1135" s="197"/>
    </row>
    <row r="1136" spans="1:15" hidden="1">
      <c r="A1136" s="290" t="s">
        <v>243</v>
      </c>
      <c r="B1136" s="288" t="s">
        <v>138</v>
      </c>
      <c r="C1136" s="288" t="s">
        <v>82</v>
      </c>
      <c r="D1136" s="288" t="s">
        <v>883</v>
      </c>
      <c r="E1136" s="288" t="s">
        <v>1469</v>
      </c>
      <c r="F1136" s="267" t="s">
        <v>265</v>
      </c>
      <c r="G1136" s="289">
        <v>-417.99</v>
      </c>
      <c r="H1136" s="289">
        <v>-417.99</v>
      </c>
      <c r="I1136" s="307" t="s">
        <v>82</v>
      </c>
      <c r="J1136" s="269" t="s">
        <v>143</v>
      </c>
      <c r="K1136" s="233"/>
      <c r="L1136" s="197"/>
      <c r="M1136" s="197"/>
      <c r="N1136" s="197"/>
      <c r="O1136" s="197"/>
    </row>
    <row r="1137" spans="1:15" hidden="1">
      <c r="A1137" s="199" t="s">
        <v>243</v>
      </c>
      <c r="B1137" s="189" t="s">
        <v>138</v>
      </c>
      <c r="C1137" s="189" t="s">
        <v>82</v>
      </c>
      <c r="D1137" s="189" t="s">
        <v>883</v>
      </c>
      <c r="E1137" s="189" t="s">
        <v>1470</v>
      </c>
      <c r="F1137" s="189" t="s">
        <v>261</v>
      </c>
      <c r="G1137" s="258">
        <v>-310.43</v>
      </c>
      <c r="H1137" s="260">
        <v>-310.43</v>
      </c>
      <c r="I1137" s="250" t="s">
        <v>82</v>
      </c>
      <c r="J1137" s="189" t="s">
        <v>143</v>
      </c>
      <c r="K1137" s="195" t="s">
        <v>687</v>
      </c>
      <c r="L1137" s="197"/>
      <c r="M1137" s="197"/>
      <c r="N1137" s="197"/>
      <c r="O1137" s="197"/>
    </row>
    <row r="1138" spans="1:15" hidden="1">
      <c r="A1138" s="199" t="s">
        <v>243</v>
      </c>
      <c r="B1138" s="199" t="s">
        <v>138</v>
      </c>
      <c r="C1138" s="199" t="s">
        <v>82</v>
      </c>
      <c r="D1138" s="199" t="s">
        <v>883</v>
      </c>
      <c r="E1138" s="199" t="s">
        <v>1471</v>
      </c>
      <c r="F1138" s="205" t="s">
        <v>265</v>
      </c>
      <c r="G1138" s="226">
        <v>-220</v>
      </c>
      <c r="H1138" s="226">
        <v>-220</v>
      </c>
      <c r="I1138" s="250" t="s">
        <v>82</v>
      </c>
      <c r="J1138" s="269" t="s">
        <v>143</v>
      </c>
      <c r="K1138" s="188"/>
      <c r="L1138" s="197"/>
      <c r="M1138" s="197"/>
      <c r="N1138" s="197"/>
      <c r="O1138" s="197"/>
    </row>
    <row r="1139" spans="1:15" hidden="1">
      <c r="A1139" s="199" t="s">
        <v>243</v>
      </c>
      <c r="B1139" s="199" t="s">
        <v>138</v>
      </c>
      <c r="C1139" s="199" t="s">
        <v>82</v>
      </c>
      <c r="D1139" s="199" t="s">
        <v>883</v>
      </c>
      <c r="E1139" s="205" t="s">
        <v>1472</v>
      </c>
      <c r="F1139" s="205" t="s">
        <v>142</v>
      </c>
      <c r="G1139" s="225">
        <v>-182.55</v>
      </c>
      <c r="H1139" s="226">
        <v>-182.55</v>
      </c>
      <c r="I1139" s="199" t="s">
        <v>82</v>
      </c>
      <c r="J1139" s="205" t="s">
        <v>143</v>
      </c>
      <c r="K1139" s="188"/>
      <c r="L1139" s="197"/>
      <c r="M1139" s="197"/>
      <c r="N1139" s="197"/>
      <c r="O1139" s="197"/>
    </row>
    <row r="1140" spans="1:15">
      <c r="A1140" s="199" t="s">
        <v>243</v>
      </c>
      <c r="B1140" s="288" t="s">
        <v>138</v>
      </c>
      <c r="C1140" s="288" t="s">
        <v>82</v>
      </c>
      <c r="D1140" s="288" t="s">
        <v>883</v>
      </c>
      <c r="E1140" s="288" t="s">
        <v>1473</v>
      </c>
      <c r="F1140" s="267" t="s">
        <v>268</v>
      </c>
      <c r="G1140" s="289">
        <v>-60.49</v>
      </c>
      <c r="H1140" s="289">
        <v>-60.49</v>
      </c>
      <c r="I1140" s="250" t="s">
        <v>82</v>
      </c>
      <c r="J1140" s="269" t="s">
        <v>143</v>
      </c>
      <c r="K1140" s="233"/>
      <c r="L1140" s="197"/>
      <c r="M1140" s="197"/>
      <c r="N1140" s="197"/>
      <c r="O1140" s="197"/>
    </row>
    <row r="1141" spans="1:15" hidden="1">
      <c r="A1141" s="199" t="s">
        <v>243</v>
      </c>
      <c r="B1141" s="199" t="s">
        <v>138</v>
      </c>
      <c r="C1141" s="199" t="s">
        <v>82</v>
      </c>
      <c r="D1141" s="199" t="s">
        <v>883</v>
      </c>
      <c r="E1141" s="205" t="s">
        <v>1474</v>
      </c>
      <c r="F1141" s="205" t="s">
        <v>146</v>
      </c>
      <c r="G1141" s="225">
        <v>-123.96</v>
      </c>
      <c r="H1141" s="226">
        <v>-123.96</v>
      </c>
      <c r="I1141" s="199" t="s">
        <v>82</v>
      </c>
      <c r="J1141" s="205" t="s">
        <v>143</v>
      </c>
      <c r="K1141" s="188"/>
      <c r="L1141" s="197"/>
      <c r="M1141" s="197"/>
      <c r="N1141" s="197"/>
      <c r="O1141" s="197"/>
    </row>
    <row r="1142" spans="1:15" hidden="1">
      <c r="A1142" s="199" t="s">
        <v>209</v>
      </c>
      <c r="B1142" s="189" t="s">
        <v>138</v>
      </c>
      <c r="C1142" s="189" t="s">
        <v>106</v>
      </c>
      <c r="D1142" s="189" t="s">
        <v>492</v>
      </c>
      <c r="E1142" s="223" t="s">
        <v>655</v>
      </c>
      <c r="F1142" s="189" t="s">
        <v>142</v>
      </c>
      <c r="G1142" s="258">
        <v>-31.4</v>
      </c>
      <c r="H1142" s="260">
        <v>-31.4</v>
      </c>
      <c r="I1142" s="199" t="s">
        <v>106</v>
      </c>
      <c r="J1142" s="250" t="s">
        <v>164</v>
      </c>
      <c r="K1142" s="188"/>
      <c r="L1142" s="197"/>
      <c r="M1142" s="197"/>
      <c r="N1142" s="197"/>
      <c r="O1142" s="197"/>
    </row>
    <row r="1143" spans="1:15" ht="51" hidden="1">
      <c r="A1143" s="199" t="s">
        <v>232</v>
      </c>
      <c r="B1143" s="189" t="s">
        <v>138</v>
      </c>
      <c r="C1143" s="189" t="s">
        <v>106</v>
      </c>
      <c r="D1143" s="189" t="s">
        <v>492</v>
      </c>
      <c r="E1143" s="223" t="s">
        <v>1475</v>
      </c>
      <c r="F1143" s="189" t="s">
        <v>142</v>
      </c>
      <c r="G1143" s="258">
        <v>-0.5</v>
      </c>
      <c r="H1143" s="260">
        <v>-0.5</v>
      </c>
      <c r="I1143" s="199" t="s">
        <v>106</v>
      </c>
      <c r="J1143" s="250" t="s">
        <v>164</v>
      </c>
      <c r="K1143" s="213"/>
      <c r="L1143" s="197"/>
      <c r="M1143" s="197"/>
      <c r="N1143" s="197"/>
      <c r="O1143" s="197"/>
    </row>
    <row r="1144" spans="1:15" ht="51" hidden="1">
      <c r="A1144" s="199" t="s">
        <v>232</v>
      </c>
      <c r="B1144" s="189" t="s">
        <v>138</v>
      </c>
      <c r="C1144" s="189" t="s">
        <v>106</v>
      </c>
      <c r="D1144" s="189" t="s">
        <v>492</v>
      </c>
      <c r="E1144" s="223" t="s">
        <v>1476</v>
      </c>
      <c r="F1144" s="189" t="s">
        <v>142</v>
      </c>
      <c r="G1144" s="258">
        <v>-0.5</v>
      </c>
      <c r="H1144" s="260">
        <v>-0.5</v>
      </c>
      <c r="I1144" s="199" t="s">
        <v>106</v>
      </c>
      <c r="J1144" s="250" t="s">
        <v>164</v>
      </c>
      <c r="K1144" s="188"/>
      <c r="L1144" s="197"/>
      <c r="M1144" s="197"/>
      <c r="N1144" s="197"/>
      <c r="O1144" s="197"/>
    </row>
    <row r="1145" spans="1:15" ht="51" hidden="1">
      <c r="A1145" s="199" t="s">
        <v>232</v>
      </c>
      <c r="B1145" s="189" t="s">
        <v>138</v>
      </c>
      <c r="C1145" s="189" t="s">
        <v>106</v>
      </c>
      <c r="D1145" s="189" t="s">
        <v>492</v>
      </c>
      <c r="E1145" s="223" t="s">
        <v>1477</v>
      </c>
      <c r="F1145" s="189" t="s">
        <v>142</v>
      </c>
      <c r="G1145" s="258">
        <v>-0.5</v>
      </c>
      <c r="H1145" s="260">
        <v>-0.5</v>
      </c>
      <c r="I1145" s="199" t="s">
        <v>106</v>
      </c>
      <c r="J1145" s="250" t="s">
        <v>164</v>
      </c>
      <c r="K1145" s="188"/>
      <c r="L1145" s="197"/>
      <c r="M1145" s="197"/>
      <c r="N1145" s="197"/>
      <c r="O1145" s="197"/>
    </row>
    <row r="1146" spans="1:15" ht="51" hidden="1">
      <c r="A1146" s="199" t="s">
        <v>232</v>
      </c>
      <c r="B1146" s="189" t="s">
        <v>138</v>
      </c>
      <c r="C1146" s="189" t="s">
        <v>106</v>
      </c>
      <c r="D1146" s="189" t="s">
        <v>492</v>
      </c>
      <c r="E1146" s="223" t="s">
        <v>1478</v>
      </c>
      <c r="F1146" s="189" t="s">
        <v>142</v>
      </c>
      <c r="G1146" s="258">
        <v>-0.5</v>
      </c>
      <c r="H1146" s="260">
        <v>-0.5</v>
      </c>
      <c r="I1146" s="199" t="s">
        <v>106</v>
      </c>
      <c r="J1146" s="250" t="s">
        <v>164</v>
      </c>
      <c r="K1146" s="188"/>
      <c r="L1146" s="197"/>
      <c r="M1146" s="197"/>
      <c r="N1146" s="197"/>
      <c r="O1146" s="197"/>
    </row>
    <row r="1147" spans="1:15" ht="51" hidden="1">
      <c r="A1147" s="199" t="s">
        <v>232</v>
      </c>
      <c r="B1147" s="189" t="s">
        <v>138</v>
      </c>
      <c r="C1147" s="189" t="s">
        <v>106</v>
      </c>
      <c r="D1147" s="189" t="s">
        <v>492</v>
      </c>
      <c r="E1147" s="223" t="s">
        <v>1479</v>
      </c>
      <c r="F1147" s="189" t="s">
        <v>142</v>
      </c>
      <c r="G1147" s="258">
        <v>-0.5</v>
      </c>
      <c r="H1147" s="260">
        <v>-0.5</v>
      </c>
      <c r="I1147" s="199" t="s">
        <v>106</v>
      </c>
      <c r="J1147" s="250" t="s">
        <v>164</v>
      </c>
      <c r="K1147" s="213"/>
      <c r="L1147" s="197"/>
      <c r="M1147" s="197"/>
      <c r="N1147" s="197"/>
      <c r="O1147" s="197"/>
    </row>
    <row r="1148" spans="1:15" hidden="1">
      <c r="A1148" s="199" t="s">
        <v>232</v>
      </c>
      <c r="B1148" s="189" t="s">
        <v>138</v>
      </c>
      <c r="C1148" s="189" t="s">
        <v>106</v>
      </c>
      <c r="D1148" s="189" t="s">
        <v>492</v>
      </c>
      <c r="E1148" s="223" t="s">
        <v>1480</v>
      </c>
      <c r="F1148" s="189" t="s">
        <v>142</v>
      </c>
      <c r="G1148" s="258">
        <v>-0.82</v>
      </c>
      <c r="H1148" s="260">
        <v>-0.82</v>
      </c>
      <c r="I1148" s="199" t="s">
        <v>106</v>
      </c>
      <c r="J1148" s="250" t="s">
        <v>164</v>
      </c>
      <c r="K1148" s="188"/>
      <c r="L1148" s="197"/>
      <c r="M1148" s="197"/>
      <c r="N1148" s="197"/>
      <c r="O1148" s="197"/>
    </row>
    <row r="1149" spans="1:15" ht="51" hidden="1">
      <c r="A1149" s="199" t="s">
        <v>232</v>
      </c>
      <c r="B1149" s="189" t="s">
        <v>138</v>
      </c>
      <c r="C1149" s="189" t="s">
        <v>106</v>
      </c>
      <c r="D1149" s="189" t="s">
        <v>492</v>
      </c>
      <c r="E1149" s="223" t="s">
        <v>1481</v>
      </c>
      <c r="F1149" s="189" t="s">
        <v>142</v>
      </c>
      <c r="G1149" s="258">
        <v>-0.5</v>
      </c>
      <c r="H1149" s="260">
        <v>-0.5</v>
      </c>
      <c r="I1149" s="199" t="s">
        <v>106</v>
      </c>
      <c r="J1149" s="250" t="s">
        <v>164</v>
      </c>
      <c r="K1149" s="188"/>
      <c r="L1149" s="197"/>
      <c r="M1149" s="197"/>
      <c r="N1149" s="197"/>
      <c r="O1149" s="197"/>
    </row>
    <row r="1150" spans="1:15" ht="51" hidden="1">
      <c r="A1150" s="199" t="s">
        <v>232</v>
      </c>
      <c r="B1150" s="189" t="s">
        <v>138</v>
      </c>
      <c r="C1150" s="189" t="s">
        <v>106</v>
      </c>
      <c r="D1150" s="189" t="s">
        <v>492</v>
      </c>
      <c r="E1150" s="223" t="s">
        <v>1482</v>
      </c>
      <c r="F1150" s="189" t="s">
        <v>142</v>
      </c>
      <c r="G1150" s="258">
        <v>-0.5</v>
      </c>
      <c r="H1150" s="260">
        <v>-0.5</v>
      </c>
      <c r="I1150" s="199" t="s">
        <v>106</v>
      </c>
      <c r="J1150" s="250" t="s">
        <v>164</v>
      </c>
      <c r="K1150" s="213"/>
      <c r="L1150" s="197"/>
      <c r="M1150" s="197"/>
      <c r="N1150" s="197"/>
      <c r="O1150" s="197"/>
    </row>
    <row r="1151" spans="1:15" hidden="1">
      <c r="A1151" s="199" t="s">
        <v>232</v>
      </c>
      <c r="B1151" s="189" t="s">
        <v>138</v>
      </c>
      <c r="C1151" s="189" t="s">
        <v>106</v>
      </c>
      <c r="D1151" s="189" t="s">
        <v>492</v>
      </c>
      <c r="E1151" s="223" t="s">
        <v>1483</v>
      </c>
      <c r="F1151" s="189" t="s">
        <v>142</v>
      </c>
      <c r="G1151" s="258">
        <v>-3.5</v>
      </c>
      <c r="H1151" s="260">
        <v>-3.5</v>
      </c>
      <c r="I1151" s="199" t="s">
        <v>106</v>
      </c>
      <c r="J1151" s="250" t="s">
        <v>164</v>
      </c>
      <c r="K1151" s="213"/>
      <c r="L1151" s="197"/>
      <c r="M1151" s="197"/>
      <c r="N1151" s="197"/>
      <c r="O1151" s="197"/>
    </row>
    <row r="1152" spans="1:15" ht="51" hidden="1">
      <c r="A1152" s="199" t="s">
        <v>232</v>
      </c>
      <c r="B1152" s="189" t="s">
        <v>138</v>
      </c>
      <c r="C1152" s="189" t="s">
        <v>106</v>
      </c>
      <c r="D1152" s="189" t="s">
        <v>492</v>
      </c>
      <c r="E1152" s="223" t="s">
        <v>1484</v>
      </c>
      <c r="F1152" s="189" t="s">
        <v>142</v>
      </c>
      <c r="G1152" s="258">
        <v>-0.5</v>
      </c>
      <c r="H1152" s="260">
        <v>-0.5</v>
      </c>
      <c r="I1152" s="199" t="s">
        <v>106</v>
      </c>
      <c r="J1152" s="250" t="s">
        <v>164</v>
      </c>
      <c r="K1152" s="213"/>
      <c r="L1152" s="197"/>
      <c r="M1152" s="197"/>
      <c r="N1152" s="197"/>
      <c r="O1152" s="197"/>
    </row>
    <row r="1153" spans="1:15" hidden="1">
      <c r="A1153" s="199" t="s">
        <v>232</v>
      </c>
      <c r="B1153" s="189" t="s">
        <v>138</v>
      </c>
      <c r="C1153" s="189" t="s">
        <v>106</v>
      </c>
      <c r="D1153" s="189" t="s">
        <v>492</v>
      </c>
      <c r="E1153" s="223" t="s">
        <v>1485</v>
      </c>
      <c r="F1153" s="189" t="s">
        <v>142</v>
      </c>
      <c r="G1153" s="258">
        <v>-2.72</v>
      </c>
      <c r="H1153" s="260">
        <v>-2.72</v>
      </c>
      <c r="I1153" s="199" t="s">
        <v>106</v>
      </c>
      <c r="J1153" s="250" t="s">
        <v>164</v>
      </c>
      <c r="K1153" s="213"/>
      <c r="L1153" s="197"/>
      <c r="M1153" s="197"/>
      <c r="N1153" s="197"/>
      <c r="O1153" s="197"/>
    </row>
    <row r="1154" spans="1:15" ht="51" hidden="1">
      <c r="A1154" s="199" t="s">
        <v>232</v>
      </c>
      <c r="B1154" s="189" t="s">
        <v>138</v>
      </c>
      <c r="C1154" s="189" t="s">
        <v>106</v>
      </c>
      <c r="D1154" s="189" t="s">
        <v>492</v>
      </c>
      <c r="E1154" s="223" t="s">
        <v>1486</v>
      </c>
      <c r="F1154" s="189" t="s">
        <v>142</v>
      </c>
      <c r="G1154" s="258">
        <v>-0.5</v>
      </c>
      <c r="H1154" s="260">
        <v>-0.5</v>
      </c>
      <c r="I1154" s="199" t="s">
        <v>106</v>
      </c>
      <c r="J1154" s="250" t="s">
        <v>164</v>
      </c>
      <c r="K1154" s="188"/>
      <c r="L1154" s="197"/>
      <c r="M1154" s="197"/>
      <c r="N1154" s="197"/>
      <c r="O1154" s="197"/>
    </row>
    <row r="1155" spans="1:15" ht="51" hidden="1">
      <c r="A1155" s="199" t="s">
        <v>232</v>
      </c>
      <c r="B1155" s="189" t="s">
        <v>138</v>
      </c>
      <c r="C1155" s="189" t="s">
        <v>106</v>
      </c>
      <c r="D1155" s="189" t="s">
        <v>492</v>
      </c>
      <c r="E1155" s="223" t="s">
        <v>1487</v>
      </c>
      <c r="F1155" s="189" t="s">
        <v>142</v>
      </c>
      <c r="G1155" s="258">
        <v>-0.5</v>
      </c>
      <c r="H1155" s="260">
        <v>-0.5</v>
      </c>
      <c r="I1155" s="199" t="s">
        <v>106</v>
      </c>
      <c r="J1155" s="250" t="s">
        <v>164</v>
      </c>
      <c r="K1155" s="188"/>
      <c r="L1155" s="197"/>
      <c r="M1155" s="197"/>
      <c r="N1155" s="197"/>
      <c r="O1155" s="197"/>
    </row>
    <row r="1156" spans="1:15" ht="51" hidden="1">
      <c r="A1156" s="199" t="s">
        <v>232</v>
      </c>
      <c r="B1156" s="189" t="s">
        <v>138</v>
      </c>
      <c r="C1156" s="189" t="s">
        <v>106</v>
      </c>
      <c r="D1156" s="189" t="s">
        <v>492</v>
      </c>
      <c r="E1156" s="223" t="s">
        <v>1488</v>
      </c>
      <c r="F1156" s="189" t="s">
        <v>142</v>
      </c>
      <c r="G1156" s="258">
        <v>-0.5</v>
      </c>
      <c r="H1156" s="260">
        <v>-0.5</v>
      </c>
      <c r="I1156" s="199" t="s">
        <v>106</v>
      </c>
      <c r="J1156" s="250" t="s">
        <v>164</v>
      </c>
      <c r="K1156" s="188"/>
      <c r="L1156" s="197"/>
      <c r="M1156" s="197"/>
      <c r="N1156" s="197"/>
      <c r="O1156" s="197"/>
    </row>
    <row r="1157" spans="1:15" ht="51" hidden="1">
      <c r="A1157" s="199" t="s">
        <v>232</v>
      </c>
      <c r="B1157" s="189" t="s">
        <v>138</v>
      </c>
      <c r="C1157" s="189" t="s">
        <v>106</v>
      </c>
      <c r="D1157" s="189" t="s">
        <v>492</v>
      </c>
      <c r="E1157" s="223" t="s">
        <v>1489</v>
      </c>
      <c r="F1157" s="189" t="s">
        <v>142</v>
      </c>
      <c r="G1157" s="258">
        <v>-0.5</v>
      </c>
      <c r="H1157" s="260">
        <v>-0.5</v>
      </c>
      <c r="I1157" s="199" t="s">
        <v>106</v>
      </c>
      <c r="J1157" s="250" t="s">
        <v>164</v>
      </c>
      <c r="K1157" s="213"/>
      <c r="L1157" s="197"/>
      <c r="M1157" s="197"/>
      <c r="N1157" s="197"/>
      <c r="O1157" s="197"/>
    </row>
    <row r="1158" spans="1:15" hidden="1">
      <c r="A1158" s="199" t="s">
        <v>232</v>
      </c>
      <c r="B1158" s="189" t="s">
        <v>138</v>
      </c>
      <c r="C1158" s="189" t="s">
        <v>106</v>
      </c>
      <c r="D1158" s="189" t="s">
        <v>492</v>
      </c>
      <c r="E1158" s="223" t="s">
        <v>1490</v>
      </c>
      <c r="F1158" s="189" t="s">
        <v>142</v>
      </c>
      <c r="G1158" s="258">
        <v>-81.400000000000006</v>
      </c>
      <c r="H1158" s="260">
        <v>-81.400000000000006</v>
      </c>
      <c r="I1158" s="199" t="s">
        <v>106</v>
      </c>
      <c r="J1158" s="250" t="s">
        <v>164</v>
      </c>
      <c r="K1158" s="188"/>
      <c r="L1158" s="197"/>
      <c r="M1158" s="197"/>
      <c r="N1158" s="197"/>
      <c r="O1158" s="197"/>
    </row>
    <row r="1159" spans="1:15" ht="51" hidden="1">
      <c r="A1159" s="199" t="s">
        <v>232</v>
      </c>
      <c r="B1159" s="189" t="s">
        <v>138</v>
      </c>
      <c r="C1159" s="189" t="s">
        <v>106</v>
      </c>
      <c r="D1159" s="189" t="s">
        <v>492</v>
      </c>
      <c r="E1159" s="223" t="s">
        <v>1491</v>
      </c>
      <c r="F1159" s="189" t="s">
        <v>142</v>
      </c>
      <c r="G1159" s="258">
        <v>-0.5</v>
      </c>
      <c r="H1159" s="260">
        <v>-0.5</v>
      </c>
      <c r="I1159" s="199" t="s">
        <v>106</v>
      </c>
      <c r="J1159" s="250" t="s">
        <v>164</v>
      </c>
      <c r="K1159" s="188"/>
      <c r="L1159" s="197"/>
      <c r="M1159" s="197"/>
      <c r="N1159" s="197"/>
      <c r="O1159" s="197"/>
    </row>
    <row r="1160" spans="1:15" ht="51" hidden="1">
      <c r="A1160" s="199" t="s">
        <v>232</v>
      </c>
      <c r="B1160" s="189" t="s">
        <v>138</v>
      </c>
      <c r="C1160" s="189" t="s">
        <v>106</v>
      </c>
      <c r="D1160" s="189" t="s">
        <v>492</v>
      </c>
      <c r="E1160" s="223" t="s">
        <v>1492</v>
      </c>
      <c r="F1160" s="189" t="s">
        <v>142</v>
      </c>
      <c r="G1160" s="258">
        <v>-0.5</v>
      </c>
      <c r="H1160" s="260">
        <v>-0.5</v>
      </c>
      <c r="I1160" s="199" t="s">
        <v>106</v>
      </c>
      <c r="J1160" s="250" t="s">
        <v>164</v>
      </c>
      <c r="K1160" s="188"/>
      <c r="L1160" s="197"/>
      <c r="M1160" s="197"/>
      <c r="N1160" s="197"/>
      <c r="O1160" s="197"/>
    </row>
    <row r="1161" spans="1:15" ht="51" hidden="1">
      <c r="A1161" s="199" t="s">
        <v>232</v>
      </c>
      <c r="B1161" s="189" t="s">
        <v>138</v>
      </c>
      <c r="C1161" s="189" t="s">
        <v>106</v>
      </c>
      <c r="D1161" s="189" t="s">
        <v>492</v>
      </c>
      <c r="E1161" s="223" t="s">
        <v>1493</v>
      </c>
      <c r="F1161" s="189" t="s">
        <v>142</v>
      </c>
      <c r="G1161" s="258">
        <v>-0.5</v>
      </c>
      <c r="H1161" s="260">
        <v>-0.5</v>
      </c>
      <c r="I1161" s="199" t="s">
        <v>106</v>
      </c>
      <c r="J1161" s="250" t="s">
        <v>164</v>
      </c>
      <c r="K1161" s="188"/>
      <c r="L1161" s="197"/>
      <c r="M1161" s="197"/>
      <c r="N1161" s="197"/>
      <c r="O1161" s="197"/>
    </row>
    <row r="1162" spans="1:15" ht="51" hidden="1">
      <c r="A1162" s="199" t="s">
        <v>232</v>
      </c>
      <c r="B1162" s="189" t="s">
        <v>138</v>
      </c>
      <c r="C1162" s="189" t="s">
        <v>106</v>
      </c>
      <c r="D1162" s="189" t="s">
        <v>492</v>
      </c>
      <c r="E1162" s="223" t="s">
        <v>1494</v>
      </c>
      <c r="F1162" s="189" t="s">
        <v>142</v>
      </c>
      <c r="G1162" s="258">
        <v>-0.5</v>
      </c>
      <c r="H1162" s="260">
        <v>-0.5</v>
      </c>
      <c r="I1162" s="199" t="s">
        <v>106</v>
      </c>
      <c r="J1162" s="250" t="s">
        <v>164</v>
      </c>
      <c r="K1162" s="188"/>
      <c r="L1162" s="197"/>
      <c r="M1162" s="197"/>
      <c r="N1162" s="197"/>
      <c r="O1162" s="197"/>
    </row>
    <row r="1163" spans="1:15" ht="51" hidden="1">
      <c r="A1163" s="199" t="s">
        <v>232</v>
      </c>
      <c r="B1163" s="189" t="s">
        <v>138</v>
      </c>
      <c r="C1163" s="189" t="s">
        <v>106</v>
      </c>
      <c r="D1163" s="189" t="s">
        <v>492</v>
      </c>
      <c r="E1163" s="223" t="s">
        <v>1495</v>
      </c>
      <c r="F1163" s="189" t="s">
        <v>142</v>
      </c>
      <c r="G1163" s="258">
        <v>-0.5</v>
      </c>
      <c r="H1163" s="260">
        <v>-0.5</v>
      </c>
      <c r="I1163" s="199" t="s">
        <v>106</v>
      </c>
      <c r="J1163" s="250" t="s">
        <v>164</v>
      </c>
      <c r="K1163" s="188"/>
      <c r="L1163" s="197"/>
      <c r="M1163" s="197"/>
      <c r="N1163" s="197"/>
      <c r="O1163" s="197"/>
    </row>
    <row r="1164" spans="1:15" ht="51" hidden="1">
      <c r="A1164" s="199" t="s">
        <v>232</v>
      </c>
      <c r="B1164" s="189" t="s">
        <v>138</v>
      </c>
      <c r="C1164" s="189" t="s">
        <v>106</v>
      </c>
      <c r="D1164" s="189" t="s">
        <v>492</v>
      </c>
      <c r="E1164" s="223" t="s">
        <v>1496</v>
      </c>
      <c r="F1164" s="189" t="s">
        <v>142</v>
      </c>
      <c r="G1164" s="258">
        <v>-0.5</v>
      </c>
      <c r="H1164" s="260">
        <v>-0.5</v>
      </c>
      <c r="I1164" s="199" t="s">
        <v>106</v>
      </c>
      <c r="J1164" s="250" t="s">
        <v>164</v>
      </c>
      <c r="K1164" s="188"/>
      <c r="L1164" s="197"/>
      <c r="M1164" s="197"/>
      <c r="N1164" s="197"/>
      <c r="O1164" s="197"/>
    </row>
    <row r="1165" spans="1:15" ht="51" hidden="1">
      <c r="A1165" s="199" t="s">
        <v>232</v>
      </c>
      <c r="B1165" s="189" t="s">
        <v>138</v>
      </c>
      <c r="C1165" s="189" t="s">
        <v>106</v>
      </c>
      <c r="D1165" s="189" t="s">
        <v>492</v>
      </c>
      <c r="E1165" s="223" t="s">
        <v>1497</v>
      </c>
      <c r="F1165" s="189" t="s">
        <v>142</v>
      </c>
      <c r="G1165" s="258">
        <v>-0.5</v>
      </c>
      <c r="H1165" s="260">
        <v>-0.5</v>
      </c>
      <c r="I1165" s="199" t="s">
        <v>106</v>
      </c>
      <c r="J1165" s="250" t="s">
        <v>164</v>
      </c>
      <c r="K1165" s="188"/>
      <c r="L1165" s="197"/>
      <c r="M1165" s="197"/>
      <c r="N1165" s="197"/>
      <c r="O1165" s="197"/>
    </row>
    <row r="1166" spans="1:15" ht="51" hidden="1">
      <c r="A1166" s="199" t="s">
        <v>232</v>
      </c>
      <c r="B1166" s="189" t="s">
        <v>138</v>
      </c>
      <c r="C1166" s="189" t="s">
        <v>106</v>
      </c>
      <c r="D1166" s="189" t="s">
        <v>492</v>
      </c>
      <c r="E1166" s="223" t="s">
        <v>1498</v>
      </c>
      <c r="F1166" s="189" t="s">
        <v>142</v>
      </c>
      <c r="G1166" s="258">
        <v>-0.5</v>
      </c>
      <c r="H1166" s="260">
        <v>-0.5</v>
      </c>
      <c r="I1166" s="199" t="s">
        <v>106</v>
      </c>
      <c r="J1166" s="250" t="s">
        <v>164</v>
      </c>
      <c r="K1166" s="213"/>
      <c r="L1166" s="197"/>
      <c r="M1166" s="197"/>
      <c r="N1166" s="197"/>
      <c r="O1166" s="197"/>
    </row>
    <row r="1167" spans="1:15" ht="51" hidden="1">
      <c r="A1167" s="199" t="s">
        <v>232</v>
      </c>
      <c r="B1167" s="189" t="s">
        <v>138</v>
      </c>
      <c r="C1167" s="189" t="s">
        <v>106</v>
      </c>
      <c r="D1167" s="189" t="s">
        <v>492</v>
      </c>
      <c r="E1167" s="223" t="s">
        <v>1499</v>
      </c>
      <c r="F1167" s="189" t="s">
        <v>142</v>
      </c>
      <c r="G1167" s="258">
        <v>-0.5</v>
      </c>
      <c r="H1167" s="260">
        <v>-0.5</v>
      </c>
      <c r="I1167" s="199" t="s">
        <v>106</v>
      </c>
      <c r="J1167" s="250" t="s">
        <v>164</v>
      </c>
      <c r="K1167" s="188"/>
      <c r="L1167" s="197"/>
      <c r="M1167" s="197"/>
      <c r="N1167" s="197"/>
      <c r="O1167" s="197"/>
    </row>
    <row r="1168" spans="1:15" ht="51" hidden="1">
      <c r="A1168" s="199" t="s">
        <v>232</v>
      </c>
      <c r="B1168" s="189" t="s">
        <v>138</v>
      </c>
      <c r="C1168" s="189" t="s">
        <v>106</v>
      </c>
      <c r="D1168" s="189" t="s">
        <v>492</v>
      </c>
      <c r="E1168" s="223" t="s">
        <v>1500</v>
      </c>
      <c r="F1168" s="189" t="s">
        <v>142</v>
      </c>
      <c r="G1168" s="258">
        <v>-3.99</v>
      </c>
      <c r="H1168" s="260">
        <v>-3.99</v>
      </c>
      <c r="I1168" s="199" t="s">
        <v>106</v>
      </c>
      <c r="J1168" s="250" t="s">
        <v>164</v>
      </c>
      <c r="K1168" s="188"/>
      <c r="L1168" s="197"/>
      <c r="M1168" s="197"/>
      <c r="N1168" s="197"/>
      <c r="O1168" s="197"/>
    </row>
    <row r="1169" spans="1:15" hidden="1">
      <c r="A1169" s="199" t="s">
        <v>137</v>
      </c>
      <c r="B1169" s="189" t="s">
        <v>138</v>
      </c>
      <c r="C1169" s="189" t="s">
        <v>106</v>
      </c>
      <c r="D1169" s="189" t="s">
        <v>492</v>
      </c>
      <c r="E1169" s="223" t="s">
        <v>1501</v>
      </c>
      <c r="F1169" s="189" t="s">
        <v>142</v>
      </c>
      <c r="G1169" s="258">
        <v>-21.78</v>
      </c>
      <c r="H1169" s="260">
        <v>-21.78</v>
      </c>
      <c r="I1169" s="199" t="s">
        <v>106</v>
      </c>
      <c r="J1169" s="250" t="s">
        <v>164</v>
      </c>
      <c r="K1169" s="188"/>
      <c r="L1169" s="197"/>
      <c r="M1169" s="197"/>
      <c r="N1169" s="197"/>
      <c r="O1169" s="197"/>
    </row>
    <row r="1170" spans="1:15" hidden="1">
      <c r="A1170" s="199" t="s">
        <v>137</v>
      </c>
      <c r="B1170" s="189" t="s">
        <v>138</v>
      </c>
      <c r="C1170" s="189" t="s">
        <v>106</v>
      </c>
      <c r="D1170" s="189" t="s">
        <v>492</v>
      </c>
      <c r="E1170" s="223" t="s">
        <v>1502</v>
      </c>
      <c r="F1170" s="189" t="s">
        <v>142</v>
      </c>
      <c r="G1170" s="258">
        <v>-576.54999999999995</v>
      </c>
      <c r="H1170" s="260">
        <v>-576.54999999999995</v>
      </c>
      <c r="I1170" s="199" t="s">
        <v>106</v>
      </c>
      <c r="J1170" s="250" t="s">
        <v>164</v>
      </c>
      <c r="K1170" s="188"/>
      <c r="L1170" s="197"/>
      <c r="M1170" s="197"/>
      <c r="N1170" s="197"/>
      <c r="O1170" s="197"/>
    </row>
    <row r="1171" spans="1:15" hidden="1">
      <c r="A1171" s="199" t="s">
        <v>137</v>
      </c>
      <c r="B1171" s="189" t="s">
        <v>138</v>
      </c>
      <c r="C1171" s="189" t="s">
        <v>106</v>
      </c>
      <c r="D1171" s="189" t="s">
        <v>492</v>
      </c>
      <c r="E1171" s="223" t="s">
        <v>1337</v>
      </c>
      <c r="F1171" s="189" t="s">
        <v>142</v>
      </c>
      <c r="G1171" s="258">
        <v>-40</v>
      </c>
      <c r="H1171" s="260">
        <v>-40</v>
      </c>
      <c r="I1171" s="199" t="s">
        <v>106</v>
      </c>
      <c r="J1171" s="250" t="s">
        <v>164</v>
      </c>
      <c r="K1171" s="188"/>
      <c r="L1171" s="197"/>
      <c r="M1171" s="197"/>
      <c r="N1171" s="197"/>
      <c r="O1171" s="197"/>
    </row>
    <row r="1172" spans="1:15" ht="38.25" hidden="1">
      <c r="A1172" s="199" t="s">
        <v>137</v>
      </c>
      <c r="B1172" s="189" t="s">
        <v>138</v>
      </c>
      <c r="C1172" s="189" t="s">
        <v>106</v>
      </c>
      <c r="D1172" s="189" t="s">
        <v>492</v>
      </c>
      <c r="E1172" s="223" t="s">
        <v>1503</v>
      </c>
      <c r="F1172" s="189" t="s">
        <v>142</v>
      </c>
      <c r="G1172" s="258">
        <v>-1.99</v>
      </c>
      <c r="H1172" s="260">
        <v>-1.99</v>
      </c>
      <c r="I1172" s="199" t="s">
        <v>106</v>
      </c>
      <c r="J1172" s="250" t="s">
        <v>164</v>
      </c>
      <c r="K1172" s="188"/>
      <c r="L1172" s="197"/>
      <c r="M1172" s="197"/>
      <c r="N1172" s="197"/>
      <c r="O1172" s="197"/>
    </row>
    <row r="1173" spans="1:15" ht="51" hidden="1">
      <c r="A1173" s="199" t="s">
        <v>137</v>
      </c>
      <c r="B1173" s="189" t="s">
        <v>138</v>
      </c>
      <c r="C1173" s="189" t="s">
        <v>106</v>
      </c>
      <c r="D1173" s="189" t="s">
        <v>492</v>
      </c>
      <c r="E1173" s="223" t="s">
        <v>1504</v>
      </c>
      <c r="F1173" s="189" t="s">
        <v>142</v>
      </c>
      <c r="G1173" s="258">
        <v>-0.5</v>
      </c>
      <c r="H1173" s="260">
        <v>-0.5</v>
      </c>
      <c r="I1173" s="199" t="s">
        <v>106</v>
      </c>
      <c r="J1173" s="250" t="s">
        <v>164</v>
      </c>
      <c r="K1173" s="188"/>
      <c r="L1173" s="197"/>
      <c r="M1173" s="197"/>
      <c r="N1173" s="197"/>
      <c r="O1173" s="197"/>
    </row>
    <row r="1174" spans="1:15" ht="38.25" hidden="1">
      <c r="A1174" s="199" t="s">
        <v>137</v>
      </c>
      <c r="B1174" s="189" t="s">
        <v>138</v>
      </c>
      <c r="C1174" s="189" t="s">
        <v>106</v>
      </c>
      <c r="D1174" s="189" t="s">
        <v>492</v>
      </c>
      <c r="E1174" s="223" t="s">
        <v>1505</v>
      </c>
      <c r="F1174" s="189" t="s">
        <v>142</v>
      </c>
      <c r="G1174" s="258">
        <v>-1.99</v>
      </c>
      <c r="H1174" s="260">
        <v>-1.99</v>
      </c>
      <c r="I1174" s="199" t="s">
        <v>106</v>
      </c>
      <c r="J1174" s="250" t="s">
        <v>164</v>
      </c>
      <c r="K1174" s="188"/>
      <c r="L1174" s="197"/>
      <c r="M1174" s="197"/>
      <c r="N1174" s="197"/>
      <c r="O1174" s="197"/>
    </row>
    <row r="1175" spans="1:15" ht="51" hidden="1">
      <c r="A1175" s="199" t="s">
        <v>137</v>
      </c>
      <c r="B1175" s="189" t="s">
        <v>138</v>
      </c>
      <c r="C1175" s="189" t="s">
        <v>106</v>
      </c>
      <c r="D1175" s="189" t="s">
        <v>492</v>
      </c>
      <c r="E1175" s="223" t="s">
        <v>1506</v>
      </c>
      <c r="F1175" s="189" t="s">
        <v>142</v>
      </c>
      <c r="G1175" s="258">
        <v>-0.5</v>
      </c>
      <c r="H1175" s="260">
        <v>-0.5</v>
      </c>
      <c r="I1175" s="199" t="s">
        <v>106</v>
      </c>
      <c r="J1175" s="250" t="s">
        <v>164</v>
      </c>
      <c r="K1175" s="188"/>
      <c r="L1175" s="197"/>
      <c r="M1175" s="197"/>
      <c r="N1175" s="197"/>
      <c r="O1175" s="197"/>
    </row>
    <row r="1176" spans="1:15" ht="38.25" hidden="1">
      <c r="A1176" s="199" t="s">
        <v>137</v>
      </c>
      <c r="B1176" s="189" t="s">
        <v>138</v>
      </c>
      <c r="C1176" s="189" t="s">
        <v>106</v>
      </c>
      <c r="D1176" s="189" t="s">
        <v>492</v>
      </c>
      <c r="E1176" s="223" t="s">
        <v>1507</v>
      </c>
      <c r="F1176" s="189" t="s">
        <v>142</v>
      </c>
      <c r="G1176" s="258">
        <v>-1.99</v>
      </c>
      <c r="H1176" s="260">
        <v>-1.99</v>
      </c>
      <c r="I1176" s="188" t="s">
        <v>106</v>
      </c>
      <c r="J1176" s="250" t="s">
        <v>164</v>
      </c>
      <c r="K1176" s="188"/>
      <c r="L1176" s="197"/>
      <c r="M1176" s="197"/>
      <c r="N1176" s="197"/>
      <c r="O1176" s="197"/>
    </row>
    <row r="1177" spans="1:15" hidden="1">
      <c r="A1177" s="199" t="s">
        <v>137</v>
      </c>
      <c r="B1177" s="189" t="s">
        <v>138</v>
      </c>
      <c r="C1177" s="189" t="s">
        <v>106</v>
      </c>
      <c r="D1177" s="189" t="s">
        <v>492</v>
      </c>
      <c r="E1177" s="223" t="s">
        <v>1508</v>
      </c>
      <c r="F1177" s="189" t="s">
        <v>142</v>
      </c>
      <c r="G1177" s="258">
        <v>-10</v>
      </c>
      <c r="H1177" s="260">
        <v>-10</v>
      </c>
      <c r="I1177" s="199" t="s">
        <v>106</v>
      </c>
      <c r="J1177" s="250" t="s">
        <v>164</v>
      </c>
      <c r="K1177" s="213"/>
      <c r="L1177" s="197"/>
      <c r="M1177" s="197"/>
      <c r="N1177" s="197"/>
      <c r="O1177" s="197"/>
    </row>
    <row r="1178" spans="1:15" hidden="1">
      <c r="A1178" s="199" t="s">
        <v>137</v>
      </c>
      <c r="B1178" s="189" t="s">
        <v>138</v>
      </c>
      <c r="C1178" s="189" t="s">
        <v>106</v>
      </c>
      <c r="D1178" s="189" t="s">
        <v>492</v>
      </c>
      <c r="E1178" s="223" t="s">
        <v>1509</v>
      </c>
      <c r="F1178" s="189" t="s">
        <v>142</v>
      </c>
      <c r="G1178" s="258">
        <v>-40.44</v>
      </c>
      <c r="H1178" s="260">
        <v>-40.44</v>
      </c>
      <c r="I1178" s="199" t="s">
        <v>106</v>
      </c>
      <c r="J1178" s="250" t="s">
        <v>164</v>
      </c>
      <c r="K1178" s="213"/>
      <c r="L1178" s="197"/>
      <c r="M1178" s="197"/>
      <c r="N1178" s="197"/>
      <c r="O1178" s="197"/>
    </row>
    <row r="1179" spans="1:15" hidden="1">
      <c r="A1179" s="199" t="s">
        <v>137</v>
      </c>
      <c r="B1179" s="189" t="s">
        <v>138</v>
      </c>
      <c r="C1179" s="189" t="s">
        <v>106</v>
      </c>
      <c r="D1179" s="189" t="s">
        <v>492</v>
      </c>
      <c r="E1179" s="223" t="s">
        <v>1510</v>
      </c>
      <c r="F1179" s="189" t="s">
        <v>142</v>
      </c>
      <c r="G1179" s="258">
        <v>-37.049999999999997</v>
      </c>
      <c r="H1179" s="260">
        <v>-37.049999999999997</v>
      </c>
      <c r="I1179" s="199" t="s">
        <v>106</v>
      </c>
      <c r="J1179" s="250" t="s">
        <v>164</v>
      </c>
      <c r="K1179" s="213"/>
      <c r="L1179" s="197"/>
      <c r="M1179" s="197"/>
      <c r="N1179" s="197"/>
      <c r="O1179" s="197"/>
    </row>
    <row r="1180" spans="1:15" hidden="1">
      <c r="A1180" s="199" t="s">
        <v>137</v>
      </c>
      <c r="B1180" s="189" t="s">
        <v>138</v>
      </c>
      <c r="C1180" s="189" t="s">
        <v>106</v>
      </c>
      <c r="D1180" s="189" t="s">
        <v>492</v>
      </c>
      <c r="E1180" s="223" t="s">
        <v>1511</v>
      </c>
      <c r="F1180" s="189" t="s">
        <v>142</v>
      </c>
      <c r="G1180" s="258">
        <v>-20</v>
      </c>
      <c r="H1180" s="260">
        <v>-20</v>
      </c>
      <c r="I1180" s="199" t="s">
        <v>106</v>
      </c>
      <c r="J1180" s="250" t="s">
        <v>164</v>
      </c>
      <c r="K1180" s="213"/>
      <c r="L1180" s="197"/>
      <c r="M1180" s="197"/>
      <c r="N1180" s="197"/>
      <c r="O1180" s="197"/>
    </row>
    <row r="1181" spans="1:15" hidden="1">
      <c r="A1181" s="199" t="s">
        <v>137</v>
      </c>
      <c r="B1181" s="189" t="s">
        <v>138</v>
      </c>
      <c r="C1181" s="189" t="s">
        <v>106</v>
      </c>
      <c r="D1181" s="189" t="s">
        <v>492</v>
      </c>
      <c r="E1181" s="223" t="s">
        <v>1512</v>
      </c>
      <c r="F1181" s="189" t="s">
        <v>142</v>
      </c>
      <c r="G1181" s="258">
        <v>-9.9</v>
      </c>
      <c r="H1181" s="260">
        <v>-9.9</v>
      </c>
      <c r="I1181" s="199" t="s">
        <v>106</v>
      </c>
      <c r="J1181" s="250" t="s">
        <v>164</v>
      </c>
      <c r="K1181" s="213"/>
      <c r="L1181" s="197"/>
      <c r="M1181" s="197"/>
      <c r="N1181" s="197"/>
      <c r="O1181" s="197"/>
    </row>
    <row r="1182" spans="1:15" hidden="1">
      <c r="A1182" s="199" t="s">
        <v>137</v>
      </c>
      <c r="B1182" s="189" t="s">
        <v>138</v>
      </c>
      <c r="C1182" s="189" t="s">
        <v>106</v>
      </c>
      <c r="D1182" s="189" t="s">
        <v>492</v>
      </c>
      <c r="E1182" s="223" t="s">
        <v>1513</v>
      </c>
      <c r="F1182" s="189" t="s">
        <v>142</v>
      </c>
      <c r="G1182" s="258">
        <v>-139.19999999999999</v>
      </c>
      <c r="H1182" s="260">
        <v>-139.19999999999999</v>
      </c>
      <c r="I1182" s="199" t="s">
        <v>106</v>
      </c>
      <c r="J1182" s="250" t="s">
        <v>164</v>
      </c>
      <c r="K1182" s="188"/>
      <c r="L1182" s="197"/>
      <c r="M1182" s="197"/>
      <c r="N1182" s="197"/>
      <c r="O1182" s="197"/>
    </row>
    <row r="1183" spans="1:15" hidden="1">
      <c r="A1183" s="199" t="s">
        <v>137</v>
      </c>
      <c r="B1183" s="189" t="s">
        <v>138</v>
      </c>
      <c r="C1183" s="189" t="s">
        <v>106</v>
      </c>
      <c r="D1183" s="189" t="s">
        <v>492</v>
      </c>
      <c r="E1183" s="223" t="s">
        <v>1514</v>
      </c>
      <c r="F1183" s="189" t="s">
        <v>142</v>
      </c>
      <c r="G1183" s="258">
        <v>-5.94</v>
      </c>
      <c r="H1183" s="260">
        <v>-5.94</v>
      </c>
      <c r="I1183" s="199" t="s">
        <v>106</v>
      </c>
      <c r="J1183" s="250" t="s">
        <v>164</v>
      </c>
      <c r="K1183" s="188"/>
      <c r="L1183" s="197"/>
      <c r="M1183" s="197"/>
      <c r="N1183" s="197"/>
      <c r="O1183" s="197"/>
    </row>
    <row r="1184" spans="1:15" hidden="1">
      <c r="A1184" s="199" t="s">
        <v>137</v>
      </c>
      <c r="B1184" s="189" t="s">
        <v>138</v>
      </c>
      <c r="C1184" s="189" t="s">
        <v>106</v>
      </c>
      <c r="D1184" s="189" t="s">
        <v>492</v>
      </c>
      <c r="E1184" s="223" t="s">
        <v>1515</v>
      </c>
      <c r="F1184" s="189" t="s">
        <v>142</v>
      </c>
      <c r="G1184" s="258">
        <v>-10</v>
      </c>
      <c r="H1184" s="260">
        <v>-10</v>
      </c>
      <c r="I1184" s="199" t="s">
        <v>106</v>
      </c>
      <c r="J1184" s="250" t="s">
        <v>164</v>
      </c>
      <c r="K1184" s="188"/>
      <c r="L1184" s="197"/>
      <c r="M1184" s="197"/>
      <c r="N1184" s="197"/>
      <c r="O1184" s="197"/>
    </row>
    <row r="1185" spans="1:15" hidden="1">
      <c r="A1185" s="199" t="s">
        <v>137</v>
      </c>
      <c r="B1185" s="189" t="s">
        <v>138</v>
      </c>
      <c r="C1185" s="189" t="s">
        <v>106</v>
      </c>
      <c r="D1185" s="189" t="s">
        <v>492</v>
      </c>
      <c r="E1185" s="223" t="s">
        <v>1516</v>
      </c>
      <c r="F1185" s="189" t="s">
        <v>142</v>
      </c>
      <c r="G1185" s="258">
        <v>-20.9</v>
      </c>
      <c r="H1185" s="260">
        <v>-20.9</v>
      </c>
      <c r="I1185" s="199" t="s">
        <v>106</v>
      </c>
      <c r="J1185" s="250" t="s">
        <v>164</v>
      </c>
      <c r="K1185" s="213"/>
      <c r="L1185" s="197"/>
      <c r="M1185" s="197"/>
      <c r="N1185" s="197"/>
      <c r="O1185" s="197"/>
    </row>
    <row r="1186" spans="1:15" hidden="1">
      <c r="A1186" s="199" t="s">
        <v>137</v>
      </c>
      <c r="B1186" s="189" t="s">
        <v>138</v>
      </c>
      <c r="C1186" s="189" t="s">
        <v>106</v>
      </c>
      <c r="D1186" s="189" t="s">
        <v>492</v>
      </c>
      <c r="E1186" s="223" t="s">
        <v>1333</v>
      </c>
      <c r="F1186" s="189" t="s">
        <v>142</v>
      </c>
      <c r="G1186" s="258">
        <v>-22</v>
      </c>
      <c r="H1186" s="260">
        <v>-22</v>
      </c>
      <c r="I1186" s="199" t="s">
        <v>106</v>
      </c>
      <c r="J1186" s="250" t="s">
        <v>164</v>
      </c>
      <c r="K1186" s="188"/>
      <c r="L1186" s="197"/>
      <c r="M1186" s="197"/>
      <c r="N1186" s="197"/>
      <c r="O1186" s="197"/>
    </row>
    <row r="1187" spans="1:15" hidden="1">
      <c r="A1187" s="199" t="s">
        <v>137</v>
      </c>
      <c r="B1187" s="189" t="s">
        <v>138</v>
      </c>
      <c r="C1187" s="189" t="s">
        <v>106</v>
      </c>
      <c r="D1187" s="189" t="s">
        <v>492</v>
      </c>
      <c r="E1187" s="223" t="s">
        <v>1517</v>
      </c>
      <c r="F1187" s="189" t="s">
        <v>142</v>
      </c>
      <c r="G1187" s="258">
        <v>-0.99</v>
      </c>
      <c r="H1187" s="260">
        <v>-0.99</v>
      </c>
      <c r="I1187" s="199" t="s">
        <v>106</v>
      </c>
      <c r="J1187" s="250" t="s">
        <v>164</v>
      </c>
      <c r="K1187" s="188"/>
      <c r="L1187" s="197"/>
      <c r="M1187" s="197"/>
      <c r="N1187" s="197"/>
      <c r="O1187" s="197"/>
    </row>
    <row r="1188" spans="1:15" hidden="1">
      <c r="A1188" s="199" t="s">
        <v>137</v>
      </c>
      <c r="B1188" s="189" t="s">
        <v>138</v>
      </c>
      <c r="C1188" s="189" t="s">
        <v>106</v>
      </c>
      <c r="D1188" s="189" t="s">
        <v>492</v>
      </c>
      <c r="E1188" s="223" t="s">
        <v>1518</v>
      </c>
      <c r="F1188" s="189" t="s">
        <v>142</v>
      </c>
      <c r="G1188" s="258">
        <v>-10</v>
      </c>
      <c r="H1188" s="260">
        <v>-10</v>
      </c>
      <c r="I1188" s="199" t="s">
        <v>106</v>
      </c>
      <c r="J1188" s="250" t="s">
        <v>164</v>
      </c>
      <c r="K1188" s="188"/>
      <c r="L1188" s="197"/>
      <c r="M1188" s="197"/>
      <c r="N1188" s="197"/>
      <c r="O1188" s="197"/>
    </row>
    <row r="1189" spans="1:15" hidden="1">
      <c r="A1189" s="199" t="s">
        <v>137</v>
      </c>
      <c r="B1189" s="189" t="s">
        <v>138</v>
      </c>
      <c r="C1189" s="189" t="s">
        <v>106</v>
      </c>
      <c r="D1189" s="189" t="s">
        <v>492</v>
      </c>
      <c r="E1189" s="223" t="s">
        <v>1519</v>
      </c>
      <c r="F1189" s="189" t="s">
        <v>142</v>
      </c>
      <c r="G1189" s="258">
        <v>-3.96</v>
      </c>
      <c r="H1189" s="260">
        <v>-3.96</v>
      </c>
      <c r="I1189" s="199" t="s">
        <v>106</v>
      </c>
      <c r="J1189" s="250" t="s">
        <v>164</v>
      </c>
      <c r="K1189" s="188"/>
      <c r="L1189" s="197"/>
      <c r="M1189" s="197"/>
      <c r="N1189" s="197"/>
      <c r="O1189" s="197"/>
    </row>
    <row r="1190" spans="1:15" hidden="1">
      <c r="A1190" s="199" t="s">
        <v>137</v>
      </c>
      <c r="B1190" s="189" t="s">
        <v>138</v>
      </c>
      <c r="C1190" s="189" t="s">
        <v>106</v>
      </c>
      <c r="D1190" s="189" t="s">
        <v>492</v>
      </c>
      <c r="E1190" s="223" t="s">
        <v>1510</v>
      </c>
      <c r="F1190" s="189" t="s">
        <v>142</v>
      </c>
      <c r="G1190" s="258">
        <v>-2</v>
      </c>
      <c r="H1190" s="260">
        <v>-2</v>
      </c>
      <c r="I1190" s="199" t="s">
        <v>106</v>
      </c>
      <c r="J1190" s="250" t="s">
        <v>164</v>
      </c>
      <c r="K1190" s="213"/>
      <c r="L1190" s="197"/>
      <c r="M1190" s="197"/>
      <c r="N1190" s="197"/>
      <c r="O1190" s="197"/>
    </row>
    <row r="1191" spans="1:15" hidden="1">
      <c r="A1191" s="199" t="s">
        <v>137</v>
      </c>
      <c r="B1191" s="189" t="s">
        <v>138</v>
      </c>
      <c r="C1191" s="189" t="s">
        <v>106</v>
      </c>
      <c r="D1191" s="189" t="s">
        <v>492</v>
      </c>
      <c r="E1191" s="223" t="s">
        <v>1520</v>
      </c>
      <c r="F1191" s="189" t="s">
        <v>142</v>
      </c>
      <c r="G1191" s="258">
        <v>-224</v>
      </c>
      <c r="H1191" s="260">
        <v>-224</v>
      </c>
      <c r="I1191" s="199" t="s">
        <v>106</v>
      </c>
      <c r="J1191" s="250" t="s">
        <v>164</v>
      </c>
      <c r="K1191" s="188"/>
      <c r="L1191" s="197"/>
      <c r="M1191" s="197"/>
      <c r="N1191" s="197"/>
      <c r="O1191" s="197"/>
    </row>
    <row r="1192" spans="1:15" ht="51" hidden="1">
      <c r="A1192" s="199" t="s">
        <v>137</v>
      </c>
      <c r="B1192" s="189" t="s">
        <v>138</v>
      </c>
      <c r="C1192" s="189" t="s">
        <v>106</v>
      </c>
      <c r="D1192" s="189" t="s">
        <v>492</v>
      </c>
      <c r="E1192" s="223" t="s">
        <v>1521</v>
      </c>
      <c r="F1192" s="189" t="s">
        <v>142</v>
      </c>
      <c r="G1192" s="258">
        <v>-0.5</v>
      </c>
      <c r="H1192" s="260">
        <v>-0.5</v>
      </c>
      <c r="I1192" s="199" t="s">
        <v>106</v>
      </c>
      <c r="J1192" s="250" t="s">
        <v>164</v>
      </c>
      <c r="K1192" s="188"/>
      <c r="L1192" s="197"/>
      <c r="M1192" s="197"/>
      <c r="N1192" s="197"/>
      <c r="O1192" s="197"/>
    </row>
    <row r="1193" spans="1:15" ht="51" hidden="1">
      <c r="A1193" s="199" t="s">
        <v>137</v>
      </c>
      <c r="B1193" s="189" t="s">
        <v>138</v>
      </c>
      <c r="C1193" s="189" t="s">
        <v>106</v>
      </c>
      <c r="D1193" s="189" t="s">
        <v>492</v>
      </c>
      <c r="E1193" s="223" t="s">
        <v>1522</v>
      </c>
      <c r="F1193" s="189" t="s">
        <v>142</v>
      </c>
      <c r="G1193" s="258">
        <v>-0.5</v>
      </c>
      <c r="H1193" s="260">
        <v>-0.5</v>
      </c>
      <c r="I1193" s="199" t="s">
        <v>106</v>
      </c>
      <c r="J1193" s="250" t="s">
        <v>164</v>
      </c>
      <c r="K1193" s="188"/>
      <c r="L1193" s="197"/>
      <c r="M1193" s="197"/>
      <c r="N1193" s="197"/>
      <c r="O1193" s="197"/>
    </row>
    <row r="1194" spans="1:15" ht="51" hidden="1">
      <c r="A1194" s="199" t="s">
        <v>137</v>
      </c>
      <c r="B1194" s="189" t="s">
        <v>138</v>
      </c>
      <c r="C1194" s="189" t="s">
        <v>106</v>
      </c>
      <c r="D1194" s="189" t="s">
        <v>492</v>
      </c>
      <c r="E1194" s="223" t="s">
        <v>1523</v>
      </c>
      <c r="F1194" s="189" t="s">
        <v>142</v>
      </c>
      <c r="G1194" s="258">
        <v>-0.5</v>
      </c>
      <c r="H1194" s="260">
        <v>-0.5</v>
      </c>
      <c r="I1194" s="199" t="s">
        <v>106</v>
      </c>
      <c r="J1194" s="250" t="s">
        <v>164</v>
      </c>
      <c r="K1194" s="213"/>
      <c r="L1194" s="197"/>
      <c r="M1194" s="197"/>
      <c r="N1194" s="197"/>
      <c r="O1194" s="197"/>
    </row>
    <row r="1195" spans="1:15" ht="51" hidden="1">
      <c r="A1195" s="199" t="s">
        <v>137</v>
      </c>
      <c r="B1195" s="189" t="s">
        <v>138</v>
      </c>
      <c r="C1195" s="189" t="s">
        <v>106</v>
      </c>
      <c r="D1195" s="189" t="s">
        <v>492</v>
      </c>
      <c r="E1195" s="223" t="s">
        <v>1524</v>
      </c>
      <c r="F1195" s="189" t="s">
        <v>142</v>
      </c>
      <c r="G1195" s="258">
        <v>-0.5</v>
      </c>
      <c r="H1195" s="260">
        <v>-0.5</v>
      </c>
      <c r="I1195" s="199" t="s">
        <v>106</v>
      </c>
      <c r="J1195" s="250" t="s">
        <v>164</v>
      </c>
      <c r="K1195" s="188"/>
      <c r="L1195" s="197"/>
      <c r="M1195" s="197"/>
      <c r="N1195" s="197"/>
      <c r="O1195" s="197"/>
    </row>
    <row r="1196" spans="1:15" ht="51" hidden="1">
      <c r="A1196" s="199" t="s">
        <v>137</v>
      </c>
      <c r="B1196" s="189" t="s">
        <v>138</v>
      </c>
      <c r="C1196" s="189" t="s">
        <v>106</v>
      </c>
      <c r="D1196" s="189" t="s">
        <v>492</v>
      </c>
      <c r="E1196" s="223" t="s">
        <v>1525</v>
      </c>
      <c r="F1196" s="189" t="s">
        <v>142</v>
      </c>
      <c r="G1196" s="258">
        <v>-0.5</v>
      </c>
      <c r="H1196" s="260">
        <v>-0.5</v>
      </c>
      <c r="I1196" s="199" t="s">
        <v>106</v>
      </c>
      <c r="J1196" s="250" t="s">
        <v>164</v>
      </c>
      <c r="K1196" s="213"/>
      <c r="L1196" s="197"/>
      <c r="M1196" s="197"/>
      <c r="N1196" s="197"/>
      <c r="O1196" s="197"/>
    </row>
    <row r="1197" spans="1:15" ht="51" hidden="1">
      <c r="A1197" s="199" t="s">
        <v>137</v>
      </c>
      <c r="B1197" s="189" t="s">
        <v>138</v>
      </c>
      <c r="C1197" s="189" t="s">
        <v>106</v>
      </c>
      <c r="D1197" s="189" t="s">
        <v>492</v>
      </c>
      <c r="E1197" s="223" t="s">
        <v>1526</v>
      </c>
      <c r="F1197" s="189" t="s">
        <v>142</v>
      </c>
      <c r="G1197" s="258">
        <v>-0.5</v>
      </c>
      <c r="H1197" s="260">
        <v>-0.5</v>
      </c>
      <c r="I1197" s="199" t="s">
        <v>106</v>
      </c>
      <c r="J1197" s="250" t="s">
        <v>164</v>
      </c>
      <c r="K1197" s="188"/>
      <c r="L1197" s="197"/>
      <c r="M1197" s="197"/>
      <c r="N1197" s="197"/>
      <c r="O1197" s="197"/>
    </row>
    <row r="1198" spans="1:15" ht="51" hidden="1">
      <c r="A1198" s="199" t="s">
        <v>137</v>
      </c>
      <c r="B1198" s="189" t="s">
        <v>138</v>
      </c>
      <c r="C1198" s="189" t="s">
        <v>106</v>
      </c>
      <c r="D1198" s="189" t="s">
        <v>492</v>
      </c>
      <c r="E1198" s="223" t="s">
        <v>1527</v>
      </c>
      <c r="F1198" s="189" t="s">
        <v>142</v>
      </c>
      <c r="G1198" s="258">
        <v>-0.5</v>
      </c>
      <c r="H1198" s="260">
        <v>-0.5</v>
      </c>
      <c r="I1198" s="199" t="s">
        <v>106</v>
      </c>
      <c r="J1198" s="250" t="s">
        <v>164</v>
      </c>
      <c r="K1198" s="188"/>
      <c r="L1198" s="197"/>
      <c r="M1198" s="197"/>
      <c r="N1198" s="197"/>
      <c r="O1198" s="197"/>
    </row>
    <row r="1199" spans="1:15" ht="51" hidden="1">
      <c r="A1199" s="199" t="s">
        <v>137</v>
      </c>
      <c r="B1199" s="189" t="s">
        <v>138</v>
      </c>
      <c r="C1199" s="189" t="s">
        <v>106</v>
      </c>
      <c r="D1199" s="189" t="s">
        <v>492</v>
      </c>
      <c r="E1199" s="223" t="s">
        <v>1528</v>
      </c>
      <c r="F1199" s="189" t="s">
        <v>142</v>
      </c>
      <c r="G1199" s="258">
        <v>-0.5</v>
      </c>
      <c r="H1199" s="260">
        <v>-0.5</v>
      </c>
      <c r="I1199" s="199" t="s">
        <v>106</v>
      </c>
      <c r="J1199" s="250" t="s">
        <v>164</v>
      </c>
      <c r="K1199" s="188"/>
      <c r="L1199" s="197"/>
      <c r="M1199" s="197"/>
      <c r="N1199" s="197"/>
      <c r="O1199" s="197"/>
    </row>
    <row r="1200" spans="1:15" ht="51" hidden="1">
      <c r="A1200" s="199" t="s">
        <v>137</v>
      </c>
      <c r="B1200" s="189" t="s">
        <v>138</v>
      </c>
      <c r="C1200" s="189" t="s">
        <v>106</v>
      </c>
      <c r="D1200" s="189" t="s">
        <v>492</v>
      </c>
      <c r="E1200" s="223" t="s">
        <v>1529</v>
      </c>
      <c r="F1200" s="189" t="s">
        <v>142</v>
      </c>
      <c r="G1200" s="258">
        <v>-0.5</v>
      </c>
      <c r="H1200" s="260">
        <v>-0.5</v>
      </c>
      <c r="I1200" s="199" t="s">
        <v>106</v>
      </c>
      <c r="J1200" s="250" t="s">
        <v>164</v>
      </c>
      <c r="K1200" s="188"/>
      <c r="L1200" s="197"/>
      <c r="M1200" s="197"/>
      <c r="N1200" s="197"/>
      <c r="O1200" s="197"/>
    </row>
    <row r="1201" spans="1:15" ht="51" hidden="1">
      <c r="A1201" s="199" t="s">
        <v>137</v>
      </c>
      <c r="B1201" s="189" t="s">
        <v>138</v>
      </c>
      <c r="C1201" s="189" t="s">
        <v>106</v>
      </c>
      <c r="D1201" s="189" t="s">
        <v>492</v>
      </c>
      <c r="E1201" s="223" t="s">
        <v>1530</v>
      </c>
      <c r="F1201" s="189" t="s">
        <v>142</v>
      </c>
      <c r="G1201" s="258">
        <v>-0.5</v>
      </c>
      <c r="H1201" s="260">
        <v>-0.5</v>
      </c>
      <c r="I1201" s="199" t="s">
        <v>106</v>
      </c>
      <c r="J1201" s="250" t="s">
        <v>164</v>
      </c>
      <c r="K1201" s="188"/>
      <c r="L1201" s="197"/>
      <c r="M1201" s="197"/>
      <c r="N1201" s="197"/>
      <c r="O1201" s="197"/>
    </row>
    <row r="1202" spans="1:15" ht="51" hidden="1">
      <c r="A1202" s="199" t="s">
        <v>137</v>
      </c>
      <c r="B1202" s="189" t="s">
        <v>138</v>
      </c>
      <c r="C1202" s="189" t="s">
        <v>106</v>
      </c>
      <c r="D1202" s="189" t="s">
        <v>492</v>
      </c>
      <c r="E1202" s="223" t="s">
        <v>1531</v>
      </c>
      <c r="F1202" s="189" t="s">
        <v>142</v>
      </c>
      <c r="G1202" s="258">
        <v>-0.5</v>
      </c>
      <c r="H1202" s="260">
        <v>-0.5</v>
      </c>
      <c r="I1202" s="199" t="s">
        <v>106</v>
      </c>
      <c r="J1202" s="250" t="s">
        <v>164</v>
      </c>
      <c r="K1202" s="188"/>
      <c r="L1202" s="197"/>
      <c r="M1202" s="197"/>
      <c r="N1202" s="197"/>
      <c r="O1202" s="197"/>
    </row>
    <row r="1203" spans="1:15" ht="51" hidden="1">
      <c r="A1203" s="199" t="s">
        <v>137</v>
      </c>
      <c r="B1203" s="189" t="s">
        <v>138</v>
      </c>
      <c r="C1203" s="189" t="s">
        <v>106</v>
      </c>
      <c r="D1203" s="189" t="s">
        <v>492</v>
      </c>
      <c r="E1203" s="223" t="s">
        <v>1532</v>
      </c>
      <c r="F1203" s="189" t="s">
        <v>142</v>
      </c>
      <c r="G1203" s="258">
        <v>-0.5</v>
      </c>
      <c r="H1203" s="260">
        <v>-0.5</v>
      </c>
      <c r="I1203" s="199" t="s">
        <v>106</v>
      </c>
      <c r="J1203" s="250" t="s">
        <v>164</v>
      </c>
      <c r="K1203" s="188"/>
      <c r="L1203" s="197"/>
      <c r="M1203" s="197"/>
      <c r="N1203" s="197"/>
      <c r="O1203" s="197"/>
    </row>
    <row r="1204" spans="1:15" ht="51" hidden="1">
      <c r="A1204" s="199" t="s">
        <v>137</v>
      </c>
      <c r="B1204" s="189" t="s">
        <v>138</v>
      </c>
      <c r="C1204" s="189" t="s">
        <v>106</v>
      </c>
      <c r="D1204" s="189" t="s">
        <v>492</v>
      </c>
      <c r="E1204" s="223" t="s">
        <v>1533</v>
      </c>
      <c r="F1204" s="189" t="s">
        <v>142</v>
      </c>
      <c r="G1204" s="258">
        <v>-0.5</v>
      </c>
      <c r="H1204" s="260">
        <v>-0.5</v>
      </c>
      <c r="I1204" s="199" t="s">
        <v>106</v>
      </c>
      <c r="J1204" s="250" t="s">
        <v>164</v>
      </c>
      <c r="K1204" s="188"/>
      <c r="L1204" s="197"/>
      <c r="M1204" s="197"/>
      <c r="N1204" s="197"/>
      <c r="O1204" s="197"/>
    </row>
    <row r="1205" spans="1:15" ht="51" hidden="1">
      <c r="A1205" s="199" t="s">
        <v>137</v>
      </c>
      <c r="B1205" s="189" t="s">
        <v>138</v>
      </c>
      <c r="C1205" s="189" t="s">
        <v>106</v>
      </c>
      <c r="D1205" s="189" t="s">
        <v>492</v>
      </c>
      <c r="E1205" s="223" t="s">
        <v>1534</v>
      </c>
      <c r="F1205" s="189" t="s">
        <v>142</v>
      </c>
      <c r="G1205" s="258">
        <v>-0.5</v>
      </c>
      <c r="H1205" s="260">
        <v>-0.5</v>
      </c>
      <c r="I1205" s="199" t="s">
        <v>106</v>
      </c>
      <c r="J1205" s="250" t="s">
        <v>164</v>
      </c>
      <c r="K1205" s="188"/>
      <c r="L1205" s="197"/>
      <c r="M1205" s="197"/>
      <c r="N1205" s="197"/>
      <c r="O1205" s="197"/>
    </row>
    <row r="1206" spans="1:15" ht="51" hidden="1">
      <c r="A1206" s="199" t="s">
        <v>137</v>
      </c>
      <c r="B1206" s="189" t="s">
        <v>138</v>
      </c>
      <c r="C1206" s="189" t="s">
        <v>106</v>
      </c>
      <c r="D1206" s="189" t="s">
        <v>492</v>
      </c>
      <c r="E1206" s="223" t="s">
        <v>1535</v>
      </c>
      <c r="F1206" s="189" t="s">
        <v>142</v>
      </c>
      <c r="G1206" s="258">
        <v>-0.5</v>
      </c>
      <c r="H1206" s="260">
        <v>-0.5</v>
      </c>
      <c r="I1206" s="199" t="s">
        <v>106</v>
      </c>
      <c r="J1206" s="250" t="s">
        <v>164</v>
      </c>
      <c r="K1206" s="188"/>
      <c r="L1206" s="197"/>
      <c r="M1206" s="197"/>
      <c r="N1206" s="197"/>
      <c r="O1206" s="197"/>
    </row>
    <row r="1207" spans="1:15" ht="51" hidden="1">
      <c r="A1207" s="199" t="s">
        <v>137</v>
      </c>
      <c r="B1207" s="189" t="s">
        <v>138</v>
      </c>
      <c r="C1207" s="189" t="s">
        <v>106</v>
      </c>
      <c r="D1207" s="189" t="s">
        <v>492</v>
      </c>
      <c r="E1207" s="223" t="s">
        <v>1536</v>
      </c>
      <c r="F1207" s="189" t="s">
        <v>142</v>
      </c>
      <c r="G1207" s="258">
        <v>-0.5</v>
      </c>
      <c r="H1207" s="260">
        <v>-0.5</v>
      </c>
      <c r="I1207" s="199" t="s">
        <v>106</v>
      </c>
      <c r="J1207" s="250" t="s">
        <v>164</v>
      </c>
      <c r="K1207" s="188"/>
      <c r="L1207" s="197"/>
      <c r="M1207" s="197"/>
      <c r="N1207" s="197"/>
      <c r="O1207" s="197"/>
    </row>
    <row r="1208" spans="1:15" ht="51" hidden="1">
      <c r="A1208" s="199" t="s">
        <v>137</v>
      </c>
      <c r="B1208" s="189" t="s">
        <v>138</v>
      </c>
      <c r="C1208" s="189" t="s">
        <v>106</v>
      </c>
      <c r="D1208" s="189" t="s">
        <v>492</v>
      </c>
      <c r="E1208" s="223" t="s">
        <v>1537</v>
      </c>
      <c r="F1208" s="189" t="s">
        <v>142</v>
      </c>
      <c r="G1208" s="258">
        <v>-0.5</v>
      </c>
      <c r="H1208" s="260">
        <v>-0.5</v>
      </c>
      <c r="I1208" s="199" t="s">
        <v>106</v>
      </c>
      <c r="J1208" s="250" t="s">
        <v>164</v>
      </c>
      <c r="K1208" s="188"/>
      <c r="L1208" s="197"/>
      <c r="M1208" s="197"/>
      <c r="N1208" s="197"/>
      <c r="O1208" s="197"/>
    </row>
    <row r="1209" spans="1:15" ht="51" hidden="1">
      <c r="A1209" s="199" t="s">
        <v>137</v>
      </c>
      <c r="B1209" s="189" t="s">
        <v>138</v>
      </c>
      <c r="C1209" s="189" t="s">
        <v>106</v>
      </c>
      <c r="D1209" s="189" t="s">
        <v>492</v>
      </c>
      <c r="E1209" s="223" t="s">
        <v>1538</v>
      </c>
      <c r="F1209" s="189" t="s">
        <v>142</v>
      </c>
      <c r="G1209" s="258">
        <v>-0.5</v>
      </c>
      <c r="H1209" s="260">
        <v>-0.5</v>
      </c>
      <c r="I1209" s="199" t="s">
        <v>106</v>
      </c>
      <c r="J1209" s="250" t="s">
        <v>164</v>
      </c>
      <c r="K1209" s="188"/>
      <c r="L1209" s="197"/>
      <c r="M1209" s="197"/>
      <c r="N1209" s="197"/>
      <c r="O1209" s="197"/>
    </row>
    <row r="1210" spans="1:15" ht="51" hidden="1">
      <c r="A1210" s="199" t="s">
        <v>137</v>
      </c>
      <c r="B1210" s="189" t="s">
        <v>138</v>
      </c>
      <c r="C1210" s="189" t="s">
        <v>106</v>
      </c>
      <c r="D1210" s="189" t="s">
        <v>492</v>
      </c>
      <c r="E1210" s="223" t="s">
        <v>1539</v>
      </c>
      <c r="F1210" s="189" t="s">
        <v>142</v>
      </c>
      <c r="G1210" s="258">
        <v>-0.5</v>
      </c>
      <c r="H1210" s="260">
        <v>-0.5</v>
      </c>
      <c r="I1210" s="199" t="s">
        <v>106</v>
      </c>
      <c r="J1210" s="250" t="s">
        <v>164</v>
      </c>
      <c r="K1210" s="188"/>
      <c r="L1210" s="197"/>
      <c r="M1210" s="197"/>
      <c r="N1210" s="197"/>
      <c r="O1210" s="197"/>
    </row>
    <row r="1211" spans="1:15" ht="51" hidden="1">
      <c r="A1211" s="199" t="s">
        <v>137</v>
      </c>
      <c r="B1211" s="189" t="s">
        <v>138</v>
      </c>
      <c r="C1211" s="189" t="s">
        <v>106</v>
      </c>
      <c r="D1211" s="189" t="s">
        <v>492</v>
      </c>
      <c r="E1211" s="223" t="s">
        <v>1540</v>
      </c>
      <c r="F1211" s="189" t="s">
        <v>142</v>
      </c>
      <c r="G1211" s="258">
        <v>-0.5</v>
      </c>
      <c r="H1211" s="260">
        <v>-0.5</v>
      </c>
      <c r="I1211" s="199" t="s">
        <v>106</v>
      </c>
      <c r="J1211" s="250" t="s">
        <v>164</v>
      </c>
      <c r="K1211" s="188"/>
      <c r="L1211" s="197"/>
      <c r="M1211" s="197"/>
      <c r="N1211" s="197"/>
      <c r="O1211" s="197"/>
    </row>
    <row r="1212" spans="1:15" ht="51" hidden="1">
      <c r="A1212" s="199" t="s">
        <v>137</v>
      </c>
      <c r="B1212" s="189" t="s">
        <v>138</v>
      </c>
      <c r="C1212" s="189" t="s">
        <v>106</v>
      </c>
      <c r="D1212" s="189" t="s">
        <v>492</v>
      </c>
      <c r="E1212" s="223" t="s">
        <v>1541</v>
      </c>
      <c r="F1212" s="189" t="s">
        <v>142</v>
      </c>
      <c r="G1212" s="258">
        <v>-3.99</v>
      </c>
      <c r="H1212" s="260">
        <v>-3.99</v>
      </c>
      <c r="I1212" s="199" t="s">
        <v>106</v>
      </c>
      <c r="J1212" s="250" t="s">
        <v>164</v>
      </c>
      <c r="K1212" s="188"/>
      <c r="L1212" s="197"/>
      <c r="M1212" s="197"/>
      <c r="N1212" s="197"/>
      <c r="O1212" s="197"/>
    </row>
    <row r="1213" spans="1:15" ht="51" hidden="1">
      <c r="A1213" s="199" t="s">
        <v>137</v>
      </c>
      <c r="B1213" s="189" t="s">
        <v>138</v>
      </c>
      <c r="C1213" s="189" t="s">
        <v>106</v>
      </c>
      <c r="D1213" s="189" t="s">
        <v>492</v>
      </c>
      <c r="E1213" s="223" t="s">
        <v>1542</v>
      </c>
      <c r="F1213" s="189" t="s">
        <v>142</v>
      </c>
      <c r="G1213" s="258">
        <v>-0.5</v>
      </c>
      <c r="H1213" s="260">
        <v>-0.5</v>
      </c>
      <c r="I1213" s="199" t="s">
        <v>106</v>
      </c>
      <c r="J1213" s="250" t="s">
        <v>164</v>
      </c>
      <c r="K1213" s="188"/>
      <c r="L1213" s="197"/>
      <c r="M1213" s="197"/>
      <c r="N1213" s="197"/>
      <c r="O1213" s="197"/>
    </row>
    <row r="1214" spans="1:15" ht="51" hidden="1">
      <c r="A1214" s="199" t="s">
        <v>137</v>
      </c>
      <c r="B1214" s="189" t="s">
        <v>138</v>
      </c>
      <c r="C1214" s="189" t="s">
        <v>106</v>
      </c>
      <c r="D1214" s="189" t="s">
        <v>492</v>
      </c>
      <c r="E1214" s="223" t="s">
        <v>1543</v>
      </c>
      <c r="F1214" s="189" t="s">
        <v>142</v>
      </c>
      <c r="G1214" s="258">
        <v>-0.5</v>
      </c>
      <c r="H1214" s="260">
        <v>-0.5</v>
      </c>
      <c r="I1214" s="199" t="s">
        <v>106</v>
      </c>
      <c r="J1214" s="250" t="s">
        <v>164</v>
      </c>
      <c r="K1214" s="188"/>
      <c r="L1214" s="197"/>
      <c r="M1214" s="197"/>
      <c r="N1214" s="197"/>
      <c r="O1214" s="197"/>
    </row>
    <row r="1215" spans="1:15" ht="51" hidden="1">
      <c r="A1215" s="199" t="s">
        <v>137</v>
      </c>
      <c r="B1215" s="189" t="s">
        <v>138</v>
      </c>
      <c r="C1215" s="189" t="s">
        <v>106</v>
      </c>
      <c r="D1215" s="189" t="s">
        <v>492</v>
      </c>
      <c r="E1215" s="223" t="s">
        <v>1544</v>
      </c>
      <c r="F1215" s="189" t="s">
        <v>142</v>
      </c>
      <c r="G1215" s="258">
        <v>-0.5</v>
      </c>
      <c r="H1215" s="260">
        <v>-0.5</v>
      </c>
      <c r="I1215" s="199" t="s">
        <v>106</v>
      </c>
      <c r="J1215" s="250" t="s">
        <v>164</v>
      </c>
      <c r="K1215" s="188"/>
      <c r="L1215" s="197"/>
      <c r="M1215" s="197"/>
      <c r="N1215" s="197"/>
      <c r="O1215" s="197"/>
    </row>
    <row r="1216" spans="1:15" ht="51" hidden="1">
      <c r="A1216" s="199" t="s">
        <v>137</v>
      </c>
      <c r="B1216" s="189" t="s">
        <v>138</v>
      </c>
      <c r="C1216" s="189" t="s">
        <v>106</v>
      </c>
      <c r="D1216" s="189" t="s">
        <v>492</v>
      </c>
      <c r="E1216" s="223" t="s">
        <v>1545</v>
      </c>
      <c r="F1216" s="189" t="s">
        <v>142</v>
      </c>
      <c r="G1216" s="258">
        <v>-0.5</v>
      </c>
      <c r="H1216" s="260">
        <v>-0.5</v>
      </c>
      <c r="I1216" s="199" t="s">
        <v>106</v>
      </c>
      <c r="J1216" s="250" t="s">
        <v>164</v>
      </c>
      <c r="K1216" s="188"/>
      <c r="L1216" s="197"/>
      <c r="M1216" s="197"/>
      <c r="N1216" s="197"/>
      <c r="O1216" s="197"/>
    </row>
    <row r="1217" spans="1:15" ht="51" hidden="1">
      <c r="A1217" s="199" t="s">
        <v>137</v>
      </c>
      <c r="B1217" s="189" t="s">
        <v>138</v>
      </c>
      <c r="C1217" s="189" t="s">
        <v>106</v>
      </c>
      <c r="D1217" s="189" t="s">
        <v>492</v>
      </c>
      <c r="E1217" s="223" t="s">
        <v>1546</v>
      </c>
      <c r="F1217" s="189" t="s">
        <v>142</v>
      </c>
      <c r="G1217" s="258">
        <v>-0.5</v>
      </c>
      <c r="H1217" s="260">
        <v>-0.5</v>
      </c>
      <c r="I1217" s="199" t="s">
        <v>106</v>
      </c>
      <c r="J1217" s="250" t="s">
        <v>164</v>
      </c>
      <c r="K1217" s="188"/>
      <c r="L1217" s="197"/>
      <c r="M1217" s="197"/>
      <c r="N1217" s="197"/>
      <c r="O1217" s="197"/>
    </row>
    <row r="1218" spans="1:15" ht="51" hidden="1">
      <c r="A1218" s="199" t="s">
        <v>137</v>
      </c>
      <c r="B1218" s="189" t="s">
        <v>138</v>
      </c>
      <c r="C1218" s="189" t="s">
        <v>106</v>
      </c>
      <c r="D1218" s="189" t="s">
        <v>492</v>
      </c>
      <c r="E1218" s="223" t="s">
        <v>1547</v>
      </c>
      <c r="F1218" s="189" t="s">
        <v>142</v>
      </c>
      <c r="G1218" s="258">
        <v>-0.5</v>
      </c>
      <c r="H1218" s="260">
        <v>-0.5</v>
      </c>
      <c r="I1218" s="199" t="s">
        <v>106</v>
      </c>
      <c r="J1218" s="250" t="s">
        <v>164</v>
      </c>
      <c r="K1218" s="213"/>
      <c r="L1218" s="197"/>
      <c r="M1218" s="197"/>
      <c r="N1218" s="197"/>
      <c r="O1218" s="197"/>
    </row>
    <row r="1219" spans="1:15" ht="51" hidden="1">
      <c r="A1219" s="199" t="s">
        <v>137</v>
      </c>
      <c r="B1219" s="189" t="s">
        <v>138</v>
      </c>
      <c r="C1219" s="189" t="s">
        <v>106</v>
      </c>
      <c r="D1219" s="189" t="s">
        <v>492</v>
      </c>
      <c r="E1219" s="223" t="s">
        <v>1548</v>
      </c>
      <c r="F1219" s="189" t="s">
        <v>142</v>
      </c>
      <c r="G1219" s="258">
        <v>-0.5</v>
      </c>
      <c r="H1219" s="260">
        <v>-0.5</v>
      </c>
      <c r="I1219" s="199" t="s">
        <v>106</v>
      </c>
      <c r="J1219" s="250" t="s">
        <v>164</v>
      </c>
      <c r="K1219" s="188"/>
      <c r="L1219" s="197"/>
      <c r="M1219" s="197"/>
      <c r="N1219" s="197"/>
      <c r="O1219" s="197"/>
    </row>
    <row r="1220" spans="1:15" ht="51" hidden="1">
      <c r="A1220" s="199" t="s">
        <v>137</v>
      </c>
      <c r="B1220" s="189" t="s">
        <v>138</v>
      </c>
      <c r="C1220" s="189" t="s">
        <v>106</v>
      </c>
      <c r="D1220" s="189" t="s">
        <v>492</v>
      </c>
      <c r="E1220" s="223" t="s">
        <v>1549</v>
      </c>
      <c r="F1220" s="189" t="s">
        <v>142</v>
      </c>
      <c r="G1220" s="258">
        <v>-0.5</v>
      </c>
      <c r="H1220" s="260">
        <v>-0.5</v>
      </c>
      <c r="I1220" s="199" t="s">
        <v>106</v>
      </c>
      <c r="J1220" s="250" t="s">
        <v>164</v>
      </c>
      <c r="K1220" s="213"/>
      <c r="L1220" s="197"/>
      <c r="M1220" s="197"/>
      <c r="N1220" s="197"/>
      <c r="O1220" s="197"/>
    </row>
    <row r="1221" spans="1:15" ht="51" hidden="1">
      <c r="A1221" s="199" t="s">
        <v>137</v>
      </c>
      <c r="B1221" s="189" t="s">
        <v>138</v>
      </c>
      <c r="C1221" s="189" t="s">
        <v>106</v>
      </c>
      <c r="D1221" s="189" t="s">
        <v>492</v>
      </c>
      <c r="E1221" s="223" t="s">
        <v>1550</v>
      </c>
      <c r="F1221" s="189" t="s">
        <v>142</v>
      </c>
      <c r="G1221" s="258">
        <v>-0.5</v>
      </c>
      <c r="H1221" s="260">
        <v>-0.5</v>
      </c>
      <c r="I1221" s="199" t="s">
        <v>106</v>
      </c>
      <c r="J1221" s="250" t="s">
        <v>164</v>
      </c>
      <c r="K1221" s="188"/>
      <c r="L1221" s="197"/>
      <c r="M1221" s="197"/>
      <c r="N1221" s="197"/>
      <c r="O1221" s="197"/>
    </row>
    <row r="1222" spans="1:15" ht="51" hidden="1">
      <c r="A1222" s="199" t="s">
        <v>137</v>
      </c>
      <c r="B1222" s="189" t="s">
        <v>138</v>
      </c>
      <c r="C1222" s="189" t="s">
        <v>106</v>
      </c>
      <c r="D1222" s="189" t="s">
        <v>492</v>
      </c>
      <c r="E1222" s="223" t="s">
        <v>1551</v>
      </c>
      <c r="F1222" s="189" t="s">
        <v>142</v>
      </c>
      <c r="G1222" s="258">
        <v>-0.5</v>
      </c>
      <c r="H1222" s="260">
        <v>-0.5</v>
      </c>
      <c r="I1222" s="199" t="s">
        <v>106</v>
      </c>
      <c r="J1222" s="250" t="s">
        <v>164</v>
      </c>
      <c r="K1222" s="188"/>
      <c r="L1222" s="197"/>
      <c r="M1222" s="197"/>
      <c r="N1222" s="197"/>
      <c r="O1222" s="197"/>
    </row>
    <row r="1223" spans="1:15" ht="51" hidden="1">
      <c r="A1223" s="199" t="s">
        <v>137</v>
      </c>
      <c r="B1223" s="189" t="s">
        <v>138</v>
      </c>
      <c r="C1223" s="189" t="s">
        <v>106</v>
      </c>
      <c r="D1223" s="189" t="s">
        <v>492</v>
      </c>
      <c r="E1223" s="223" t="s">
        <v>1552</v>
      </c>
      <c r="F1223" s="189" t="s">
        <v>142</v>
      </c>
      <c r="G1223" s="258">
        <v>-0.5</v>
      </c>
      <c r="H1223" s="260">
        <v>-0.5</v>
      </c>
      <c r="I1223" s="199" t="s">
        <v>106</v>
      </c>
      <c r="J1223" s="250" t="s">
        <v>164</v>
      </c>
      <c r="K1223" s="188"/>
      <c r="L1223" s="197"/>
      <c r="M1223" s="197"/>
      <c r="N1223" s="197"/>
      <c r="O1223" s="197"/>
    </row>
    <row r="1224" spans="1:15" ht="51" hidden="1">
      <c r="A1224" s="199" t="s">
        <v>137</v>
      </c>
      <c r="B1224" s="189" t="s">
        <v>138</v>
      </c>
      <c r="C1224" s="189" t="s">
        <v>106</v>
      </c>
      <c r="D1224" s="189" t="s">
        <v>492</v>
      </c>
      <c r="E1224" s="223" t="s">
        <v>1553</v>
      </c>
      <c r="F1224" s="189" t="s">
        <v>142</v>
      </c>
      <c r="G1224" s="258">
        <v>-0.5</v>
      </c>
      <c r="H1224" s="260">
        <v>-0.5</v>
      </c>
      <c r="I1224" s="199" t="s">
        <v>106</v>
      </c>
      <c r="J1224" s="250" t="s">
        <v>164</v>
      </c>
      <c r="K1224" s="213"/>
      <c r="L1224" s="197"/>
      <c r="M1224" s="197"/>
      <c r="N1224" s="197"/>
      <c r="O1224" s="197"/>
    </row>
    <row r="1225" spans="1:15" ht="51" hidden="1">
      <c r="A1225" s="199" t="s">
        <v>137</v>
      </c>
      <c r="B1225" s="189" t="s">
        <v>138</v>
      </c>
      <c r="C1225" s="189" t="s">
        <v>106</v>
      </c>
      <c r="D1225" s="189" t="s">
        <v>492</v>
      </c>
      <c r="E1225" s="223" t="s">
        <v>1554</v>
      </c>
      <c r="F1225" s="189" t="s">
        <v>142</v>
      </c>
      <c r="G1225" s="258">
        <v>-0.5</v>
      </c>
      <c r="H1225" s="260">
        <v>-0.5</v>
      </c>
      <c r="I1225" s="199" t="s">
        <v>106</v>
      </c>
      <c r="J1225" s="250" t="s">
        <v>164</v>
      </c>
      <c r="K1225" s="213"/>
      <c r="L1225" s="197"/>
      <c r="M1225" s="197"/>
      <c r="N1225" s="197"/>
      <c r="O1225" s="197"/>
    </row>
    <row r="1226" spans="1:15" ht="51" hidden="1">
      <c r="A1226" s="199" t="s">
        <v>137</v>
      </c>
      <c r="B1226" s="189" t="s">
        <v>138</v>
      </c>
      <c r="C1226" s="189" t="s">
        <v>106</v>
      </c>
      <c r="D1226" s="189" t="s">
        <v>492</v>
      </c>
      <c r="E1226" s="223" t="s">
        <v>1555</v>
      </c>
      <c r="F1226" s="189" t="s">
        <v>142</v>
      </c>
      <c r="G1226" s="258">
        <v>-0.5</v>
      </c>
      <c r="H1226" s="260">
        <v>-0.5</v>
      </c>
      <c r="I1226" s="199" t="s">
        <v>106</v>
      </c>
      <c r="J1226" s="250" t="s">
        <v>164</v>
      </c>
      <c r="K1226" s="213"/>
      <c r="L1226" s="197"/>
      <c r="M1226" s="197"/>
      <c r="N1226" s="197"/>
      <c r="O1226" s="197"/>
    </row>
    <row r="1227" spans="1:15" ht="51" hidden="1">
      <c r="A1227" s="199" t="s">
        <v>137</v>
      </c>
      <c r="B1227" s="189" t="s">
        <v>138</v>
      </c>
      <c r="C1227" s="189" t="s">
        <v>106</v>
      </c>
      <c r="D1227" s="189" t="s">
        <v>492</v>
      </c>
      <c r="E1227" s="223" t="s">
        <v>1556</v>
      </c>
      <c r="F1227" s="189" t="s">
        <v>142</v>
      </c>
      <c r="G1227" s="258">
        <v>-3.99</v>
      </c>
      <c r="H1227" s="260">
        <v>-3.99</v>
      </c>
      <c r="I1227" s="199" t="s">
        <v>106</v>
      </c>
      <c r="J1227" s="250" t="s">
        <v>164</v>
      </c>
      <c r="K1227" s="213"/>
      <c r="L1227" s="197"/>
      <c r="M1227" s="197"/>
      <c r="N1227" s="197"/>
      <c r="O1227" s="197"/>
    </row>
    <row r="1228" spans="1:15" ht="51" hidden="1">
      <c r="A1228" s="199" t="s">
        <v>137</v>
      </c>
      <c r="B1228" s="189" t="s">
        <v>138</v>
      </c>
      <c r="C1228" s="189" t="s">
        <v>106</v>
      </c>
      <c r="D1228" s="189" t="s">
        <v>492</v>
      </c>
      <c r="E1228" s="223" t="s">
        <v>1557</v>
      </c>
      <c r="F1228" s="189" t="s">
        <v>142</v>
      </c>
      <c r="G1228" s="258">
        <v>-0.5</v>
      </c>
      <c r="H1228" s="260">
        <v>-0.5</v>
      </c>
      <c r="I1228" s="199" t="s">
        <v>106</v>
      </c>
      <c r="J1228" s="250" t="s">
        <v>164</v>
      </c>
      <c r="K1228" s="188"/>
      <c r="L1228" s="197"/>
      <c r="M1228" s="197"/>
      <c r="N1228" s="197"/>
      <c r="O1228" s="197"/>
    </row>
    <row r="1229" spans="1:15" ht="51" hidden="1">
      <c r="A1229" s="199" t="s">
        <v>137</v>
      </c>
      <c r="B1229" s="189" t="s">
        <v>138</v>
      </c>
      <c r="C1229" s="189" t="s">
        <v>106</v>
      </c>
      <c r="D1229" s="189" t="s">
        <v>492</v>
      </c>
      <c r="E1229" s="223" t="s">
        <v>1558</v>
      </c>
      <c r="F1229" s="189" t="s">
        <v>142</v>
      </c>
      <c r="G1229" s="258">
        <v>-0.5</v>
      </c>
      <c r="H1229" s="260">
        <v>-0.5</v>
      </c>
      <c r="I1229" s="199" t="s">
        <v>106</v>
      </c>
      <c r="J1229" s="250" t="s">
        <v>164</v>
      </c>
      <c r="K1229" s="188"/>
      <c r="L1229" s="197"/>
      <c r="M1229" s="197"/>
      <c r="N1229" s="197"/>
      <c r="O1229" s="197"/>
    </row>
    <row r="1230" spans="1:15" ht="51" hidden="1">
      <c r="A1230" s="199" t="s">
        <v>137</v>
      </c>
      <c r="B1230" s="189" t="s">
        <v>138</v>
      </c>
      <c r="C1230" s="189" t="s">
        <v>106</v>
      </c>
      <c r="D1230" s="189" t="s">
        <v>492</v>
      </c>
      <c r="E1230" s="223" t="s">
        <v>1559</v>
      </c>
      <c r="F1230" s="189" t="s">
        <v>142</v>
      </c>
      <c r="G1230" s="258">
        <v>-0.5</v>
      </c>
      <c r="H1230" s="260">
        <v>-0.5</v>
      </c>
      <c r="I1230" s="199" t="s">
        <v>106</v>
      </c>
      <c r="J1230" s="250" t="s">
        <v>164</v>
      </c>
      <c r="K1230" s="188"/>
      <c r="L1230" s="197"/>
      <c r="M1230" s="197"/>
      <c r="N1230" s="197"/>
      <c r="O1230" s="197"/>
    </row>
    <row r="1231" spans="1:15" ht="51" hidden="1">
      <c r="A1231" s="199" t="s">
        <v>137</v>
      </c>
      <c r="B1231" s="189" t="s">
        <v>138</v>
      </c>
      <c r="C1231" s="189" t="s">
        <v>106</v>
      </c>
      <c r="D1231" s="189" t="s">
        <v>492</v>
      </c>
      <c r="E1231" s="223" t="s">
        <v>1560</v>
      </c>
      <c r="F1231" s="189" t="s">
        <v>142</v>
      </c>
      <c r="G1231" s="258">
        <v>-0.5</v>
      </c>
      <c r="H1231" s="260">
        <v>-0.5</v>
      </c>
      <c r="I1231" s="199" t="s">
        <v>106</v>
      </c>
      <c r="J1231" s="250" t="s">
        <v>164</v>
      </c>
      <c r="K1231" s="188"/>
      <c r="L1231" s="197"/>
      <c r="M1231" s="197"/>
      <c r="N1231" s="197"/>
      <c r="O1231" s="197"/>
    </row>
    <row r="1232" spans="1:15" ht="51" hidden="1">
      <c r="A1232" s="199" t="s">
        <v>137</v>
      </c>
      <c r="B1232" s="189" t="s">
        <v>138</v>
      </c>
      <c r="C1232" s="189" t="s">
        <v>106</v>
      </c>
      <c r="D1232" s="189" t="s">
        <v>492</v>
      </c>
      <c r="E1232" s="223" t="s">
        <v>1561</v>
      </c>
      <c r="F1232" s="189" t="s">
        <v>142</v>
      </c>
      <c r="G1232" s="258">
        <v>-0.5</v>
      </c>
      <c r="H1232" s="260">
        <v>-0.5</v>
      </c>
      <c r="I1232" s="199" t="s">
        <v>106</v>
      </c>
      <c r="J1232" s="250" t="s">
        <v>164</v>
      </c>
      <c r="K1232" s="213"/>
      <c r="L1232" s="197"/>
      <c r="M1232" s="197"/>
      <c r="N1232" s="197"/>
      <c r="O1232" s="197"/>
    </row>
    <row r="1233" spans="1:15" ht="51" hidden="1">
      <c r="A1233" s="199" t="s">
        <v>137</v>
      </c>
      <c r="B1233" s="189" t="s">
        <v>138</v>
      </c>
      <c r="C1233" s="189" t="s">
        <v>106</v>
      </c>
      <c r="D1233" s="189" t="s">
        <v>492</v>
      </c>
      <c r="E1233" s="223" t="s">
        <v>1562</v>
      </c>
      <c r="F1233" s="189" t="s">
        <v>142</v>
      </c>
      <c r="G1233" s="258">
        <v>-0.5</v>
      </c>
      <c r="H1233" s="260">
        <v>-0.5</v>
      </c>
      <c r="I1233" s="199" t="s">
        <v>106</v>
      </c>
      <c r="J1233" s="250" t="s">
        <v>164</v>
      </c>
      <c r="K1233" s="213"/>
      <c r="L1233" s="197"/>
      <c r="M1233" s="197"/>
      <c r="N1233" s="197"/>
      <c r="O1233" s="197"/>
    </row>
    <row r="1234" spans="1:15" ht="51" hidden="1">
      <c r="A1234" s="199" t="s">
        <v>137</v>
      </c>
      <c r="B1234" s="189" t="s">
        <v>138</v>
      </c>
      <c r="C1234" s="189" t="s">
        <v>106</v>
      </c>
      <c r="D1234" s="189" t="s">
        <v>492</v>
      </c>
      <c r="E1234" s="223" t="s">
        <v>1563</v>
      </c>
      <c r="F1234" s="189" t="s">
        <v>142</v>
      </c>
      <c r="G1234" s="258">
        <v>-0.5</v>
      </c>
      <c r="H1234" s="260">
        <v>-0.5</v>
      </c>
      <c r="I1234" s="199" t="s">
        <v>106</v>
      </c>
      <c r="J1234" s="250" t="s">
        <v>164</v>
      </c>
      <c r="K1234" s="188"/>
      <c r="L1234" s="197"/>
      <c r="M1234" s="197"/>
      <c r="N1234" s="197"/>
      <c r="O1234" s="197"/>
    </row>
    <row r="1235" spans="1:15" ht="51" hidden="1">
      <c r="A1235" s="199" t="s">
        <v>137</v>
      </c>
      <c r="B1235" s="189" t="s">
        <v>138</v>
      </c>
      <c r="C1235" s="189" t="s">
        <v>106</v>
      </c>
      <c r="D1235" s="189" t="s">
        <v>492</v>
      </c>
      <c r="E1235" s="223" t="s">
        <v>1564</v>
      </c>
      <c r="F1235" s="189" t="s">
        <v>142</v>
      </c>
      <c r="G1235" s="258">
        <v>-0.5</v>
      </c>
      <c r="H1235" s="260">
        <v>-0.5</v>
      </c>
      <c r="I1235" s="199" t="s">
        <v>106</v>
      </c>
      <c r="J1235" s="250" t="s">
        <v>164</v>
      </c>
      <c r="K1235" s="188"/>
      <c r="L1235" s="197"/>
      <c r="M1235" s="197"/>
      <c r="N1235" s="197"/>
      <c r="O1235" s="197"/>
    </row>
    <row r="1236" spans="1:15" ht="51" hidden="1">
      <c r="A1236" s="199" t="s">
        <v>137</v>
      </c>
      <c r="B1236" s="189" t="s">
        <v>138</v>
      </c>
      <c r="C1236" s="189" t="s">
        <v>106</v>
      </c>
      <c r="D1236" s="189" t="s">
        <v>492</v>
      </c>
      <c r="E1236" s="223" t="s">
        <v>1565</v>
      </c>
      <c r="F1236" s="189" t="s">
        <v>142</v>
      </c>
      <c r="G1236" s="258">
        <v>-0.5</v>
      </c>
      <c r="H1236" s="260">
        <v>-0.5</v>
      </c>
      <c r="I1236" s="199" t="s">
        <v>106</v>
      </c>
      <c r="J1236" s="250" t="s">
        <v>164</v>
      </c>
      <c r="K1236" s="188"/>
      <c r="L1236" s="197"/>
      <c r="M1236" s="197"/>
      <c r="N1236" s="197"/>
      <c r="O1236" s="197"/>
    </row>
    <row r="1237" spans="1:15" ht="51" hidden="1">
      <c r="A1237" s="199" t="s">
        <v>137</v>
      </c>
      <c r="B1237" s="189" t="s">
        <v>138</v>
      </c>
      <c r="C1237" s="189" t="s">
        <v>106</v>
      </c>
      <c r="D1237" s="189" t="s">
        <v>492</v>
      </c>
      <c r="E1237" s="223" t="s">
        <v>1566</v>
      </c>
      <c r="F1237" s="189" t="s">
        <v>142</v>
      </c>
      <c r="G1237" s="258">
        <v>-0.5</v>
      </c>
      <c r="H1237" s="260">
        <v>-0.5</v>
      </c>
      <c r="I1237" s="199" t="s">
        <v>106</v>
      </c>
      <c r="J1237" s="250" t="s">
        <v>164</v>
      </c>
      <c r="K1237" s="188"/>
      <c r="L1237" s="197"/>
      <c r="M1237" s="197"/>
      <c r="N1237" s="197"/>
      <c r="O1237" s="197"/>
    </row>
    <row r="1238" spans="1:15" ht="51" hidden="1">
      <c r="A1238" s="199" t="s">
        <v>137</v>
      </c>
      <c r="B1238" s="189" t="s">
        <v>138</v>
      </c>
      <c r="C1238" s="189" t="s">
        <v>106</v>
      </c>
      <c r="D1238" s="189" t="s">
        <v>492</v>
      </c>
      <c r="E1238" s="223" t="s">
        <v>1567</v>
      </c>
      <c r="F1238" s="189" t="s">
        <v>142</v>
      </c>
      <c r="G1238" s="258">
        <v>-0.5</v>
      </c>
      <c r="H1238" s="260">
        <v>-0.5</v>
      </c>
      <c r="I1238" s="199" t="s">
        <v>106</v>
      </c>
      <c r="J1238" s="250" t="s">
        <v>164</v>
      </c>
      <c r="K1238" s="188"/>
      <c r="L1238" s="197"/>
      <c r="M1238" s="197"/>
      <c r="N1238" s="197"/>
      <c r="O1238" s="197"/>
    </row>
    <row r="1239" spans="1:15" ht="51" hidden="1">
      <c r="A1239" s="199" t="s">
        <v>137</v>
      </c>
      <c r="B1239" s="189" t="s">
        <v>138</v>
      </c>
      <c r="C1239" s="189" t="s">
        <v>106</v>
      </c>
      <c r="D1239" s="189" t="s">
        <v>492</v>
      </c>
      <c r="E1239" s="223" t="s">
        <v>1568</v>
      </c>
      <c r="F1239" s="189" t="s">
        <v>142</v>
      </c>
      <c r="G1239" s="258">
        <v>-0.5</v>
      </c>
      <c r="H1239" s="260">
        <v>-0.5</v>
      </c>
      <c r="I1239" s="199" t="s">
        <v>106</v>
      </c>
      <c r="J1239" s="250" t="s">
        <v>164</v>
      </c>
      <c r="K1239" s="188"/>
      <c r="L1239" s="197"/>
      <c r="M1239" s="197"/>
      <c r="N1239" s="197"/>
      <c r="O1239" s="197"/>
    </row>
    <row r="1240" spans="1:15" ht="51" hidden="1">
      <c r="A1240" s="199" t="s">
        <v>137</v>
      </c>
      <c r="B1240" s="189" t="s">
        <v>138</v>
      </c>
      <c r="C1240" s="189" t="s">
        <v>106</v>
      </c>
      <c r="D1240" s="189" t="s">
        <v>492</v>
      </c>
      <c r="E1240" s="223" t="s">
        <v>1569</v>
      </c>
      <c r="F1240" s="189" t="s">
        <v>142</v>
      </c>
      <c r="G1240" s="258">
        <v>-0.5</v>
      </c>
      <c r="H1240" s="260">
        <v>-0.5</v>
      </c>
      <c r="I1240" s="199" t="s">
        <v>106</v>
      </c>
      <c r="J1240" s="250" t="s">
        <v>164</v>
      </c>
      <c r="K1240" s="188"/>
      <c r="L1240" s="197"/>
      <c r="M1240" s="197"/>
      <c r="N1240" s="197"/>
      <c r="O1240" s="197"/>
    </row>
    <row r="1241" spans="1:15" ht="51" hidden="1">
      <c r="A1241" s="199" t="s">
        <v>137</v>
      </c>
      <c r="B1241" s="189" t="s">
        <v>138</v>
      </c>
      <c r="C1241" s="189" t="s">
        <v>106</v>
      </c>
      <c r="D1241" s="189" t="s">
        <v>492</v>
      </c>
      <c r="E1241" s="223" t="s">
        <v>1570</v>
      </c>
      <c r="F1241" s="189" t="s">
        <v>142</v>
      </c>
      <c r="G1241" s="258">
        <v>-0.5</v>
      </c>
      <c r="H1241" s="260">
        <v>-0.5</v>
      </c>
      <c r="I1241" s="199" t="s">
        <v>106</v>
      </c>
      <c r="J1241" s="250" t="s">
        <v>164</v>
      </c>
      <c r="K1241" s="188"/>
      <c r="L1241" s="197"/>
      <c r="M1241" s="197"/>
      <c r="N1241" s="197"/>
      <c r="O1241" s="197"/>
    </row>
    <row r="1242" spans="1:15" ht="51" hidden="1">
      <c r="A1242" s="199" t="s">
        <v>137</v>
      </c>
      <c r="B1242" s="189" t="s">
        <v>138</v>
      </c>
      <c r="C1242" s="189" t="s">
        <v>106</v>
      </c>
      <c r="D1242" s="189" t="s">
        <v>492</v>
      </c>
      <c r="E1242" s="223" t="s">
        <v>1571</v>
      </c>
      <c r="F1242" s="189" t="s">
        <v>142</v>
      </c>
      <c r="G1242" s="258">
        <v>-0.5</v>
      </c>
      <c r="H1242" s="260">
        <v>-0.5</v>
      </c>
      <c r="I1242" s="199" t="s">
        <v>106</v>
      </c>
      <c r="J1242" s="250" t="s">
        <v>164</v>
      </c>
      <c r="K1242" s="188"/>
      <c r="L1242" s="197"/>
      <c r="M1242" s="197"/>
      <c r="N1242" s="197"/>
      <c r="O1242" s="197"/>
    </row>
    <row r="1243" spans="1:15" ht="51" hidden="1">
      <c r="A1243" s="199" t="s">
        <v>137</v>
      </c>
      <c r="B1243" s="189" t="s">
        <v>138</v>
      </c>
      <c r="C1243" s="189" t="s">
        <v>106</v>
      </c>
      <c r="D1243" s="189" t="s">
        <v>492</v>
      </c>
      <c r="E1243" s="223" t="s">
        <v>1572</v>
      </c>
      <c r="F1243" s="189" t="s">
        <v>142</v>
      </c>
      <c r="G1243" s="258">
        <v>-0.5</v>
      </c>
      <c r="H1243" s="260">
        <v>-0.5</v>
      </c>
      <c r="I1243" s="199" t="s">
        <v>106</v>
      </c>
      <c r="J1243" s="250" t="s">
        <v>164</v>
      </c>
      <c r="K1243" s="188"/>
      <c r="L1243" s="197"/>
      <c r="M1243" s="197"/>
      <c r="N1243" s="197"/>
      <c r="O1243" s="197"/>
    </row>
    <row r="1244" spans="1:15" ht="51" hidden="1">
      <c r="A1244" s="199" t="s">
        <v>137</v>
      </c>
      <c r="B1244" s="189" t="s">
        <v>138</v>
      </c>
      <c r="C1244" s="189" t="s">
        <v>106</v>
      </c>
      <c r="D1244" s="189" t="s">
        <v>492</v>
      </c>
      <c r="E1244" s="223" t="s">
        <v>1573</v>
      </c>
      <c r="F1244" s="189" t="s">
        <v>142</v>
      </c>
      <c r="G1244" s="258">
        <v>-0.5</v>
      </c>
      <c r="H1244" s="260">
        <v>-0.5</v>
      </c>
      <c r="I1244" s="199" t="s">
        <v>106</v>
      </c>
      <c r="J1244" s="250" t="s">
        <v>164</v>
      </c>
      <c r="K1244" s="188"/>
      <c r="L1244" s="197"/>
      <c r="M1244" s="197"/>
      <c r="N1244" s="197"/>
      <c r="O1244" s="197"/>
    </row>
    <row r="1245" spans="1:15" ht="51" hidden="1">
      <c r="A1245" s="199" t="s">
        <v>137</v>
      </c>
      <c r="B1245" s="189" t="s">
        <v>138</v>
      </c>
      <c r="C1245" s="189" t="s">
        <v>106</v>
      </c>
      <c r="D1245" s="189" t="s">
        <v>492</v>
      </c>
      <c r="E1245" s="223" t="s">
        <v>1574</v>
      </c>
      <c r="F1245" s="189" t="s">
        <v>142</v>
      </c>
      <c r="G1245" s="258">
        <v>-0.5</v>
      </c>
      <c r="H1245" s="260">
        <v>-0.5</v>
      </c>
      <c r="I1245" s="199" t="s">
        <v>106</v>
      </c>
      <c r="J1245" s="250" t="s">
        <v>164</v>
      </c>
      <c r="K1245" s="213"/>
      <c r="L1245" s="197"/>
      <c r="M1245" s="197"/>
      <c r="N1245" s="197"/>
      <c r="O1245" s="197"/>
    </row>
    <row r="1246" spans="1:15" ht="51" hidden="1">
      <c r="A1246" s="199" t="s">
        <v>137</v>
      </c>
      <c r="B1246" s="189" t="s">
        <v>138</v>
      </c>
      <c r="C1246" s="189" t="s">
        <v>106</v>
      </c>
      <c r="D1246" s="189" t="s">
        <v>492</v>
      </c>
      <c r="E1246" s="223" t="s">
        <v>1575</v>
      </c>
      <c r="F1246" s="189" t="s">
        <v>142</v>
      </c>
      <c r="G1246" s="258">
        <v>-0.5</v>
      </c>
      <c r="H1246" s="260">
        <v>-0.5</v>
      </c>
      <c r="I1246" s="199" t="s">
        <v>106</v>
      </c>
      <c r="J1246" s="250" t="s">
        <v>164</v>
      </c>
      <c r="K1246" s="188"/>
      <c r="L1246" s="197"/>
      <c r="M1246" s="197"/>
      <c r="N1246" s="197"/>
      <c r="O1246" s="197"/>
    </row>
    <row r="1247" spans="1:15" ht="51" hidden="1">
      <c r="A1247" s="199" t="s">
        <v>137</v>
      </c>
      <c r="B1247" s="189" t="s">
        <v>138</v>
      </c>
      <c r="C1247" s="189" t="s">
        <v>106</v>
      </c>
      <c r="D1247" s="189" t="s">
        <v>492</v>
      </c>
      <c r="E1247" s="223" t="s">
        <v>1576</v>
      </c>
      <c r="F1247" s="189" t="s">
        <v>142</v>
      </c>
      <c r="G1247" s="258">
        <v>-0.5</v>
      </c>
      <c r="H1247" s="260">
        <v>-0.5</v>
      </c>
      <c r="I1247" s="199" t="s">
        <v>106</v>
      </c>
      <c r="J1247" s="250" t="s">
        <v>164</v>
      </c>
      <c r="K1247" s="188"/>
      <c r="L1247" s="197"/>
      <c r="M1247" s="197"/>
      <c r="N1247" s="197"/>
      <c r="O1247" s="197"/>
    </row>
    <row r="1248" spans="1:15" ht="51" hidden="1">
      <c r="A1248" s="199" t="s">
        <v>137</v>
      </c>
      <c r="B1248" s="189" t="s">
        <v>138</v>
      </c>
      <c r="C1248" s="189" t="s">
        <v>106</v>
      </c>
      <c r="D1248" s="189" t="s">
        <v>492</v>
      </c>
      <c r="E1248" s="223" t="s">
        <v>1577</v>
      </c>
      <c r="F1248" s="189" t="s">
        <v>142</v>
      </c>
      <c r="G1248" s="258">
        <v>-0.5</v>
      </c>
      <c r="H1248" s="260">
        <v>-0.5</v>
      </c>
      <c r="I1248" s="199" t="s">
        <v>106</v>
      </c>
      <c r="J1248" s="250" t="s">
        <v>164</v>
      </c>
      <c r="K1248" s="213"/>
      <c r="L1248" s="197"/>
      <c r="M1248" s="197"/>
      <c r="N1248" s="197"/>
      <c r="O1248" s="197"/>
    </row>
    <row r="1249" spans="1:15" ht="51" hidden="1">
      <c r="A1249" s="199" t="s">
        <v>137</v>
      </c>
      <c r="B1249" s="189" t="s">
        <v>138</v>
      </c>
      <c r="C1249" s="189" t="s">
        <v>106</v>
      </c>
      <c r="D1249" s="189" t="s">
        <v>492</v>
      </c>
      <c r="E1249" s="223" t="s">
        <v>1578</v>
      </c>
      <c r="F1249" s="189" t="s">
        <v>142</v>
      </c>
      <c r="G1249" s="258">
        <v>-0.5</v>
      </c>
      <c r="H1249" s="260">
        <v>-0.5</v>
      </c>
      <c r="I1249" s="199" t="s">
        <v>106</v>
      </c>
      <c r="J1249" s="250" t="s">
        <v>164</v>
      </c>
      <c r="K1249" s="188"/>
      <c r="L1249" s="197"/>
      <c r="M1249" s="197"/>
      <c r="N1249" s="197"/>
      <c r="O1249" s="197"/>
    </row>
    <row r="1250" spans="1:15" ht="51" hidden="1">
      <c r="A1250" s="199" t="s">
        <v>137</v>
      </c>
      <c r="B1250" s="189" t="s">
        <v>138</v>
      </c>
      <c r="C1250" s="189" t="s">
        <v>106</v>
      </c>
      <c r="D1250" s="189" t="s">
        <v>492</v>
      </c>
      <c r="E1250" s="223" t="s">
        <v>1579</v>
      </c>
      <c r="F1250" s="189" t="s">
        <v>142</v>
      </c>
      <c r="G1250" s="258">
        <v>-0.5</v>
      </c>
      <c r="H1250" s="260">
        <v>-0.5</v>
      </c>
      <c r="I1250" s="199" t="s">
        <v>106</v>
      </c>
      <c r="J1250" s="250" t="s">
        <v>164</v>
      </c>
      <c r="K1250" s="188"/>
      <c r="L1250" s="197"/>
      <c r="M1250" s="197"/>
      <c r="N1250" s="197"/>
      <c r="O1250" s="197"/>
    </row>
    <row r="1251" spans="1:15" ht="51" hidden="1">
      <c r="A1251" s="199" t="s">
        <v>137</v>
      </c>
      <c r="B1251" s="189" t="s">
        <v>138</v>
      </c>
      <c r="C1251" s="189" t="s">
        <v>106</v>
      </c>
      <c r="D1251" s="189" t="s">
        <v>492</v>
      </c>
      <c r="E1251" s="223" t="s">
        <v>1580</v>
      </c>
      <c r="F1251" s="189" t="s">
        <v>142</v>
      </c>
      <c r="G1251" s="258">
        <v>-0.5</v>
      </c>
      <c r="H1251" s="260">
        <v>-0.5</v>
      </c>
      <c r="I1251" s="199" t="s">
        <v>106</v>
      </c>
      <c r="J1251" s="250" t="s">
        <v>164</v>
      </c>
      <c r="K1251" s="188"/>
      <c r="L1251" s="197"/>
      <c r="M1251" s="197"/>
      <c r="N1251" s="197"/>
      <c r="O1251" s="197"/>
    </row>
    <row r="1252" spans="1:15" ht="51" hidden="1">
      <c r="A1252" s="199" t="s">
        <v>137</v>
      </c>
      <c r="B1252" s="189" t="s">
        <v>138</v>
      </c>
      <c r="C1252" s="189" t="s">
        <v>106</v>
      </c>
      <c r="D1252" s="189" t="s">
        <v>492</v>
      </c>
      <c r="E1252" s="223" t="s">
        <v>1581</v>
      </c>
      <c r="F1252" s="189" t="s">
        <v>142</v>
      </c>
      <c r="G1252" s="258">
        <v>-0.5</v>
      </c>
      <c r="H1252" s="260">
        <v>-0.5</v>
      </c>
      <c r="I1252" s="199" t="s">
        <v>106</v>
      </c>
      <c r="J1252" s="250" t="s">
        <v>164</v>
      </c>
      <c r="K1252" s="188"/>
      <c r="L1252" s="197"/>
      <c r="M1252" s="197"/>
      <c r="N1252" s="197"/>
      <c r="O1252" s="197"/>
    </row>
    <row r="1253" spans="1:15" ht="51" hidden="1">
      <c r="A1253" s="199" t="s">
        <v>137</v>
      </c>
      <c r="B1253" s="189" t="s">
        <v>138</v>
      </c>
      <c r="C1253" s="189" t="s">
        <v>106</v>
      </c>
      <c r="D1253" s="189" t="s">
        <v>492</v>
      </c>
      <c r="E1253" s="223" t="s">
        <v>1582</v>
      </c>
      <c r="F1253" s="189" t="s">
        <v>142</v>
      </c>
      <c r="G1253" s="258">
        <v>-0.5</v>
      </c>
      <c r="H1253" s="260">
        <v>-0.5</v>
      </c>
      <c r="I1253" s="199" t="s">
        <v>106</v>
      </c>
      <c r="J1253" s="250" t="s">
        <v>164</v>
      </c>
      <c r="K1253" s="188"/>
      <c r="L1253" s="197"/>
      <c r="M1253" s="197"/>
      <c r="N1253" s="197"/>
      <c r="O1253" s="197"/>
    </row>
    <row r="1254" spans="1:15" ht="63.75" hidden="1">
      <c r="A1254" s="199" t="s">
        <v>137</v>
      </c>
      <c r="B1254" s="189" t="s">
        <v>138</v>
      </c>
      <c r="C1254" s="189" t="s">
        <v>106</v>
      </c>
      <c r="D1254" s="189" t="s">
        <v>492</v>
      </c>
      <c r="E1254" s="223" t="s">
        <v>1583</v>
      </c>
      <c r="F1254" s="189" t="s">
        <v>142</v>
      </c>
      <c r="G1254" s="258">
        <v>-0.5</v>
      </c>
      <c r="H1254" s="260">
        <v>-0.5</v>
      </c>
      <c r="I1254" s="199" t="s">
        <v>106</v>
      </c>
      <c r="J1254" s="250" t="s">
        <v>164</v>
      </c>
      <c r="K1254" s="188"/>
      <c r="L1254" s="197"/>
      <c r="M1254" s="197"/>
      <c r="N1254" s="197"/>
      <c r="O1254" s="197"/>
    </row>
    <row r="1255" spans="1:15" ht="51" hidden="1">
      <c r="A1255" s="199" t="s">
        <v>137</v>
      </c>
      <c r="B1255" s="189" t="s">
        <v>138</v>
      </c>
      <c r="C1255" s="189" t="s">
        <v>106</v>
      </c>
      <c r="D1255" s="189" t="s">
        <v>492</v>
      </c>
      <c r="E1255" s="223" t="s">
        <v>1584</v>
      </c>
      <c r="F1255" s="189" t="s">
        <v>142</v>
      </c>
      <c r="G1255" s="258">
        <v>-0.5</v>
      </c>
      <c r="H1255" s="260">
        <v>-0.5</v>
      </c>
      <c r="I1255" s="199" t="s">
        <v>106</v>
      </c>
      <c r="J1255" s="250" t="s">
        <v>164</v>
      </c>
      <c r="K1255" s="213"/>
      <c r="L1255" s="197"/>
      <c r="M1255" s="197"/>
      <c r="N1255" s="197"/>
      <c r="O1255" s="197"/>
    </row>
    <row r="1256" spans="1:15" ht="51" hidden="1">
      <c r="A1256" s="199" t="s">
        <v>137</v>
      </c>
      <c r="B1256" s="189" t="s">
        <v>138</v>
      </c>
      <c r="C1256" s="189" t="s">
        <v>106</v>
      </c>
      <c r="D1256" s="189" t="s">
        <v>492</v>
      </c>
      <c r="E1256" s="223" t="s">
        <v>1585</v>
      </c>
      <c r="F1256" s="189" t="s">
        <v>142</v>
      </c>
      <c r="G1256" s="258">
        <v>-0.5</v>
      </c>
      <c r="H1256" s="260">
        <v>-0.5</v>
      </c>
      <c r="I1256" s="199" t="s">
        <v>106</v>
      </c>
      <c r="J1256" s="250" t="s">
        <v>164</v>
      </c>
      <c r="K1256" s="188"/>
      <c r="L1256" s="197"/>
      <c r="M1256" s="197"/>
      <c r="N1256" s="197"/>
      <c r="O1256" s="197"/>
    </row>
    <row r="1257" spans="1:15" ht="51" hidden="1">
      <c r="A1257" s="199" t="s">
        <v>137</v>
      </c>
      <c r="B1257" s="189" t="s">
        <v>138</v>
      </c>
      <c r="C1257" s="189" t="s">
        <v>106</v>
      </c>
      <c r="D1257" s="189" t="s">
        <v>492</v>
      </c>
      <c r="E1257" s="223" t="s">
        <v>1586</v>
      </c>
      <c r="F1257" s="189" t="s">
        <v>142</v>
      </c>
      <c r="G1257" s="258">
        <v>-0.5</v>
      </c>
      <c r="H1257" s="260">
        <v>-0.5</v>
      </c>
      <c r="I1257" s="199" t="s">
        <v>106</v>
      </c>
      <c r="J1257" s="250" t="s">
        <v>164</v>
      </c>
      <c r="K1257" s="188"/>
      <c r="L1257" s="197"/>
      <c r="M1257" s="197"/>
      <c r="N1257" s="197"/>
      <c r="O1257" s="197"/>
    </row>
    <row r="1258" spans="1:15" ht="51" hidden="1">
      <c r="A1258" s="199" t="s">
        <v>137</v>
      </c>
      <c r="B1258" s="189" t="s">
        <v>138</v>
      </c>
      <c r="C1258" s="189" t="s">
        <v>106</v>
      </c>
      <c r="D1258" s="189" t="s">
        <v>492</v>
      </c>
      <c r="E1258" s="223" t="s">
        <v>1587</v>
      </c>
      <c r="F1258" s="189" t="s">
        <v>142</v>
      </c>
      <c r="G1258" s="258">
        <v>-0.5</v>
      </c>
      <c r="H1258" s="260">
        <v>-0.5</v>
      </c>
      <c r="I1258" s="199" t="s">
        <v>106</v>
      </c>
      <c r="J1258" s="250" t="s">
        <v>164</v>
      </c>
      <c r="K1258" s="188"/>
      <c r="L1258" s="197"/>
      <c r="M1258" s="197"/>
      <c r="N1258" s="197"/>
      <c r="O1258" s="197"/>
    </row>
    <row r="1259" spans="1:15" hidden="1">
      <c r="A1259" s="199" t="s">
        <v>137</v>
      </c>
      <c r="B1259" s="189" t="s">
        <v>138</v>
      </c>
      <c r="C1259" s="189" t="s">
        <v>106</v>
      </c>
      <c r="D1259" s="189" t="s">
        <v>492</v>
      </c>
      <c r="E1259" s="223" t="s">
        <v>1588</v>
      </c>
      <c r="F1259" s="189" t="s">
        <v>142</v>
      </c>
      <c r="G1259" s="258">
        <v>-5.94</v>
      </c>
      <c r="H1259" s="260">
        <v>-5.94</v>
      </c>
      <c r="I1259" s="199" t="s">
        <v>106</v>
      </c>
      <c r="J1259" s="250" t="s">
        <v>164</v>
      </c>
      <c r="K1259" s="188"/>
      <c r="L1259" s="197"/>
      <c r="M1259" s="197"/>
      <c r="N1259" s="197"/>
      <c r="O1259" s="197"/>
    </row>
    <row r="1260" spans="1:15" hidden="1">
      <c r="A1260" s="199" t="s">
        <v>137</v>
      </c>
      <c r="B1260" s="189" t="s">
        <v>138</v>
      </c>
      <c r="C1260" s="189" t="s">
        <v>106</v>
      </c>
      <c r="D1260" s="189" t="s">
        <v>492</v>
      </c>
      <c r="E1260" s="223" t="s">
        <v>1520</v>
      </c>
      <c r="F1260" s="189" t="s">
        <v>142</v>
      </c>
      <c r="G1260" s="258">
        <v>-224</v>
      </c>
      <c r="H1260" s="260">
        <v>-224</v>
      </c>
      <c r="I1260" s="199" t="s">
        <v>106</v>
      </c>
      <c r="J1260" s="250" t="s">
        <v>164</v>
      </c>
      <c r="K1260" s="188"/>
      <c r="L1260" s="197"/>
      <c r="M1260" s="197"/>
      <c r="N1260" s="197"/>
      <c r="O1260" s="197"/>
    </row>
    <row r="1261" spans="1:15" hidden="1">
      <c r="A1261" s="199" t="s">
        <v>243</v>
      </c>
      <c r="B1261" s="199" t="s">
        <v>138</v>
      </c>
      <c r="C1261" s="199" t="s">
        <v>82</v>
      </c>
      <c r="D1261" s="199" t="s">
        <v>883</v>
      </c>
      <c r="E1261" s="205" t="s">
        <v>1589</v>
      </c>
      <c r="F1261" s="205" t="s">
        <v>149</v>
      </c>
      <c r="G1261" s="225">
        <v>-60.49</v>
      </c>
      <c r="H1261" s="226">
        <v>-60.49</v>
      </c>
      <c r="I1261" s="250" t="s">
        <v>82</v>
      </c>
      <c r="J1261" s="250" t="s">
        <v>143</v>
      </c>
      <c r="K1261" s="188"/>
      <c r="L1261" s="197"/>
      <c r="M1261" s="197"/>
      <c r="N1261" s="197"/>
      <c r="O1261" s="197"/>
    </row>
    <row r="1262" spans="1:15" hidden="1">
      <c r="A1262" s="199" t="s">
        <v>243</v>
      </c>
      <c r="B1262" s="189" t="s">
        <v>138</v>
      </c>
      <c r="C1262" s="189" t="s">
        <v>82</v>
      </c>
      <c r="D1262" s="189" t="s">
        <v>883</v>
      </c>
      <c r="E1262" s="223" t="s">
        <v>1590</v>
      </c>
      <c r="F1262" s="189" t="s">
        <v>153</v>
      </c>
      <c r="G1262" s="258">
        <v>-60.49</v>
      </c>
      <c r="H1262" s="260">
        <v>-60.49</v>
      </c>
      <c r="I1262" s="250" t="s">
        <v>82</v>
      </c>
      <c r="J1262" s="279" t="s">
        <v>143</v>
      </c>
      <c r="K1262" s="234" t="s">
        <v>195</v>
      </c>
      <c r="L1262" s="197"/>
      <c r="M1262" s="197"/>
      <c r="N1262" s="197"/>
      <c r="O1262" s="197"/>
    </row>
    <row r="1263" spans="1:15" hidden="1">
      <c r="A1263" s="199" t="s">
        <v>243</v>
      </c>
      <c r="B1263" s="288" t="s">
        <v>683</v>
      </c>
      <c r="C1263" s="288" t="s">
        <v>943</v>
      </c>
      <c r="D1263" s="288" t="s">
        <v>655</v>
      </c>
      <c r="E1263" s="288" t="s">
        <v>1591</v>
      </c>
      <c r="F1263" s="267" t="s">
        <v>265</v>
      </c>
      <c r="G1263" s="306">
        <v>65.510000000000005</v>
      </c>
      <c r="H1263" s="306">
        <v>65.510000000000005</v>
      </c>
      <c r="I1263" s="269" t="s">
        <v>945</v>
      </c>
      <c r="J1263" s="269" t="s">
        <v>206</v>
      </c>
      <c r="K1263" s="233"/>
      <c r="L1263" s="197"/>
      <c r="M1263" s="197"/>
      <c r="N1263" s="197"/>
      <c r="O1263" s="197"/>
    </row>
    <row r="1264" spans="1:15" hidden="1">
      <c r="A1264" s="199" t="s">
        <v>243</v>
      </c>
      <c r="B1264" s="189" t="s">
        <v>683</v>
      </c>
      <c r="C1264" s="189" t="s">
        <v>943</v>
      </c>
      <c r="D1264" s="189" t="s">
        <v>655</v>
      </c>
      <c r="E1264" s="223" t="s">
        <v>949</v>
      </c>
      <c r="F1264" s="189" t="s">
        <v>142</v>
      </c>
      <c r="G1264" s="281">
        <v>118.98</v>
      </c>
      <c r="H1264" s="282">
        <v>118.98</v>
      </c>
      <c r="I1264" s="189" t="s">
        <v>945</v>
      </c>
      <c r="J1264" s="250" t="s">
        <v>206</v>
      </c>
      <c r="K1264" s="188"/>
      <c r="L1264" s="197"/>
      <c r="M1264" s="197"/>
      <c r="N1264" s="197"/>
      <c r="O1264" s="197"/>
    </row>
    <row r="1265" spans="1:15" hidden="1">
      <c r="A1265" s="199" t="s">
        <v>243</v>
      </c>
      <c r="B1265" s="189" t="s">
        <v>683</v>
      </c>
      <c r="C1265" s="189" t="s">
        <v>943</v>
      </c>
      <c r="D1265" s="189" t="s">
        <v>655</v>
      </c>
      <c r="E1265" s="189" t="s">
        <v>1592</v>
      </c>
      <c r="F1265" s="189" t="s">
        <v>153</v>
      </c>
      <c r="G1265" s="282">
        <v>127.24</v>
      </c>
      <c r="H1265" s="282">
        <v>127.24</v>
      </c>
      <c r="I1265" s="250" t="s">
        <v>945</v>
      </c>
      <c r="J1265" s="250" t="s">
        <v>206</v>
      </c>
      <c r="K1265" s="188"/>
      <c r="L1265" s="197"/>
      <c r="M1265" s="197"/>
      <c r="N1265" s="197"/>
      <c r="O1265" s="197"/>
    </row>
    <row r="1266" spans="1:15" hidden="1">
      <c r="A1266" s="199" t="s">
        <v>243</v>
      </c>
      <c r="B1266" s="189" t="s">
        <v>683</v>
      </c>
      <c r="C1266" s="189" t="s">
        <v>943</v>
      </c>
      <c r="D1266" s="189" t="s">
        <v>655</v>
      </c>
      <c r="E1266" s="189" t="s">
        <v>1593</v>
      </c>
      <c r="F1266" s="189" t="s">
        <v>261</v>
      </c>
      <c r="G1266" s="282">
        <v>143.07</v>
      </c>
      <c r="H1266" s="282">
        <v>143.07</v>
      </c>
      <c r="I1266" s="250" t="s">
        <v>945</v>
      </c>
      <c r="J1266" s="250" t="s">
        <v>206</v>
      </c>
      <c r="K1266" s="188" t="s">
        <v>1594</v>
      </c>
      <c r="L1266" s="197"/>
      <c r="M1266" s="197"/>
      <c r="N1266" s="197"/>
      <c r="O1266" s="197"/>
    </row>
    <row r="1267" spans="1:15" hidden="1">
      <c r="A1267" s="199" t="s">
        <v>137</v>
      </c>
      <c r="B1267" s="199" t="s">
        <v>138</v>
      </c>
      <c r="C1267" s="199" t="s">
        <v>102</v>
      </c>
      <c r="D1267" s="199" t="s">
        <v>1595</v>
      </c>
      <c r="E1267" s="205" t="s">
        <v>1596</v>
      </c>
      <c r="F1267" s="205" t="s">
        <v>149</v>
      </c>
      <c r="G1267" s="225">
        <v>-78.64</v>
      </c>
      <c r="H1267" s="226">
        <v>-78.64</v>
      </c>
      <c r="I1267" s="250" t="s">
        <v>102</v>
      </c>
      <c r="J1267" s="250" t="s">
        <v>206</v>
      </c>
      <c r="K1267" s="188"/>
      <c r="L1267" s="197"/>
      <c r="M1267" s="197"/>
      <c r="N1267" s="197"/>
      <c r="O1267" s="197"/>
    </row>
    <row r="1268" spans="1:15" hidden="1">
      <c r="A1268" s="199" t="s">
        <v>232</v>
      </c>
      <c r="B1268" s="199" t="s">
        <v>138</v>
      </c>
      <c r="C1268" s="199" t="s">
        <v>102</v>
      </c>
      <c r="D1268" s="199" t="s">
        <v>1597</v>
      </c>
      <c r="E1268" s="205" t="s">
        <v>1598</v>
      </c>
      <c r="F1268" s="205" t="s">
        <v>149</v>
      </c>
      <c r="G1268" s="225">
        <v>-78.64</v>
      </c>
      <c r="H1268" s="226">
        <v>-78.64</v>
      </c>
      <c r="I1268" s="250" t="s">
        <v>102</v>
      </c>
      <c r="J1268" s="250" t="s">
        <v>206</v>
      </c>
      <c r="K1268" s="188"/>
      <c r="L1268" s="197"/>
      <c r="M1268" s="197"/>
      <c r="N1268" s="197"/>
      <c r="O1268" s="197"/>
    </row>
    <row r="1269" spans="1:15" hidden="1">
      <c r="A1269" s="199" t="s">
        <v>137</v>
      </c>
      <c r="B1269" s="199" t="s">
        <v>138</v>
      </c>
      <c r="C1269" s="199" t="s">
        <v>1599</v>
      </c>
      <c r="D1269" s="199" t="s">
        <v>160</v>
      </c>
      <c r="E1269" s="205" t="s">
        <v>1600</v>
      </c>
      <c r="F1269" s="205" t="s">
        <v>149</v>
      </c>
      <c r="G1269" s="225">
        <v>-18</v>
      </c>
      <c r="H1269" s="226">
        <v>-18</v>
      </c>
      <c r="I1269" s="250" t="s">
        <v>90</v>
      </c>
      <c r="J1269" s="250" t="s">
        <v>246</v>
      </c>
      <c r="K1269" s="188"/>
      <c r="L1269" s="197"/>
      <c r="M1269" s="197"/>
      <c r="N1269" s="197"/>
      <c r="O1269" s="197"/>
    </row>
    <row r="1270" spans="1:15" hidden="1">
      <c r="A1270" s="189" t="s">
        <v>137</v>
      </c>
      <c r="B1270" s="189" t="s">
        <v>138</v>
      </c>
      <c r="C1270" s="189" t="s">
        <v>1599</v>
      </c>
      <c r="D1270" s="189" t="s">
        <v>1601</v>
      </c>
      <c r="E1270" s="223" t="s">
        <v>1602</v>
      </c>
      <c r="F1270" s="189" t="s">
        <v>153</v>
      </c>
      <c r="G1270" s="258">
        <v>-139.9</v>
      </c>
      <c r="H1270" s="260">
        <v>-139.9</v>
      </c>
      <c r="I1270" s="189" t="s">
        <v>90</v>
      </c>
      <c r="J1270" s="250" t="s">
        <v>246</v>
      </c>
      <c r="K1270" s="188"/>
      <c r="L1270" s="197"/>
      <c r="M1270" s="197"/>
      <c r="N1270" s="197"/>
      <c r="O1270" s="197"/>
    </row>
    <row r="1271" spans="1:15" hidden="1">
      <c r="A1271" s="189" t="s">
        <v>137</v>
      </c>
      <c r="B1271" s="189" t="s">
        <v>138</v>
      </c>
      <c r="C1271" s="189" t="s">
        <v>1599</v>
      </c>
      <c r="D1271" s="189" t="s">
        <v>1601</v>
      </c>
      <c r="E1271" s="223" t="s">
        <v>1603</v>
      </c>
      <c r="F1271" s="189" t="s">
        <v>146</v>
      </c>
      <c r="G1271" s="258">
        <v>-139.9</v>
      </c>
      <c r="H1271" s="260">
        <v>-139.9</v>
      </c>
      <c r="I1271" s="250" t="s">
        <v>90</v>
      </c>
      <c r="J1271" s="250" t="s">
        <v>246</v>
      </c>
      <c r="K1271" s="213"/>
      <c r="L1271" s="197"/>
      <c r="M1271" s="197"/>
      <c r="N1271" s="197"/>
      <c r="O1271" s="197"/>
    </row>
    <row r="1272" spans="1:15" hidden="1">
      <c r="A1272" s="199" t="s">
        <v>137</v>
      </c>
      <c r="B1272" s="199" t="s">
        <v>138</v>
      </c>
      <c r="C1272" s="199" t="s">
        <v>1599</v>
      </c>
      <c r="D1272" s="199" t="s">
        <v>1601</v>
      </c>
      <c r="E1272" s="205" t="s">
        <v>1604</v>
      </c>
      <c r="F1272" s="205" t="s">
        <v>149</v>
      </c>
      <c r="G1272" s="225">
        <v>-139.9</v>
      </c>
      <c r="H1272" s="226">
        <v>-139.9</v>
      </c>
      <c r="I1272" s="250" t="s">
        <v>90</v>
      </c>
      <c r="J1272" s="250" t="s">
        <v>246</v>
      </c>
      <c r="K1272" s="213"/>
      <c r="L1272" s="197"/>
      <c r="M1272" s="197"/>
      <c r="N1272" s="197"/>
      <c r="O1272" s="197"/>
    </row>
    <row r="1273" spans="1:15" hidden="1">
      <c r="A1273" s="199" t="s">
        <v>137</v>
      </c>
      <c r="B1273" s="189" t="s">
        <v>138</v>
      </c>
      <c r="C1273" s="189" t="s">
        <v>1599</v>
      </c>
      <c r="D1273" s="189" t="s">
        <v>1601</v>
      </c>
      <c r="E1273" s="223" t="s">
        <v>1605</v>
      </c>
      <c r="F1273" s="189" t="s">
        <v>142</v>
      </c>
      <c r="G1273" s="258">
        <v>-139.9</v>
      </c>
      <c r="H1273" s="260">
        <v>-139.9</v>
      </c>
      <c r="I1273" s="199" t="s">
        <v>90</v>
      </c>
      <c r="J1273" s="250" t="s">
        <v>246</v>
      </c>
      <c r="K1273" s="188"/>
      <c r="L1273" s="197"/>
      <c r="M1273" s="197"/>
      <c r="N1273" s="197"/>
      <c r="O1273" s="197"/>
    </row>
    <row r="1274" spans="1:15" ht="38.25" hidden="1">
      <c r="A1274" s="189" t="s">
        <v>209</v>
      </c>
      <c r="B1274" s="189" t="s">
        <v>138</v>
      </c>
      <c r="C1274" s="189" t="s">
        <v>1599</v>
      </c>
      <c r="D1274" s="189" t="s">
        <v>1606</v>
      </c>
      <c r="E1274" s="223" t="s">
        <v>1607</v>
      </c>
      <c r="F1274" s="189" t="s">
        <v>153</v>
      </c>
      <c r="G1274" s="258">
        <v>-187.61</v>
      </c>
      <c r="H1274" s="260">
        <v>-187.61</v>
      </c>
      <c r="I1274" s="189" t="s">
        <v>90</v>
      </c>
      <c r="J1274" s="250" t="s">
        <v>246</v>
      </c>
      <c r="K1274" s="188" t="s">
        <v>195</v>
      </c>
      <c r="L1274" s="197"/>
      <c r="M1274" s="197"/>
      <c r="N1274" s="197"/>
      <c r="O1274" s="197"/>
    </row>
    <row r="1275" spans="1:15" hidden="1">
      <c r="A1275" s="189" t="s">
        <v>232</v>
      </c>
      <c r="B1275" s="189" t="s">
        <v>138</v>
      </c>
      <c r="C1275" s="189" t="s">
        <v>1599</v>
      </c>
      <c r="D1275" s="189" t="s">
        <v>1608</v>
      </c>
      <c r="E1275" s="223" t="s">
        <v>1609</v>
      </c>
      <c r="F1275" s="189" t="s">
        <v>153</v>
      </c>
      <c r="G1275" s="258">
        <v>-209.94</v>
      </c>
      <c r="H1275" s="260">
        <v>-209.94</v>
      </c>
      <c r="I1275" s="189" t="s">
        <v>90</v>
      </c>
      <c r="J1275" s="250" t="s">
        <v>246</v>
      </c>
      <c r="K1275" s="188"/>
      <c r="L1275" s="197"/>
      <c r="M1275" s="197"/>
      <c r="N1275" s="197"/>
      <c r="O1275" s="197"/>
    </row>
    <row r="1276" spans="1:15" hidden="1">
      <c r="A1276" s="189" t="s">
        <v>232</v>
      </c>
      <c r="B1276" s="189" t="s">
        <v>138</v>
      </c>
      <c r="C1276" s="189" t="s">
        <v>1599</v>
      </c>
      <c r="D1276" s="189" t="s">
        <v>1608</v>
      </c>
      <c r="E1276" s="223" t="s">
        <v>1610</v>
      </c>
      <c r="F1276" s="189" t="s">
        <v>146</v>
      </c>
      <c r="G1276" s="258">
        <v>-209.94</v>
      </c>
      <c r="H1276" s="260">
        <v>-209.94</v>
      </c>
      <c r="I1276" s="250" t="s">
        <v>90</v>
      </c>
      <c r="J1276" s="250" t="s">
        <v>246</v>
      </c>
      <c r="K1276" s="213"/>
      <c r="L1276" s="197"/>
      <c r="M1276" s="197"/>
      <c r="N1276" s="197"/>
      <c r="O1276" s="197"/>
    </row>
    <row r="1277" spans="1:15" hidden="1">
      <c r="A1277" s="199" t="s">
        <v>232</v>
      </c>
      <c r="B1277" s="199" t="s">
        <v>138</v>
      </c>
      <c r="C1277" s="199" t="s">
        <v>1599</v>
      </c>
      <c r="D1277" s="199" t="s">
        <v>1608</v>
      </c>
      <c r="E1277" s="205" t="s">
        <v>1611</v>
      </c>
      <c r="F1277" s="205" t="s">
        <v>149</v>
      </c>
      <c r="G1277" s="225">
        <v>-209.94</v>
      </c>
      <c r="H1277" s="226">
        <v>-209.94</v>
      </c>
      <c r="I1277" s="250" t="s">
        <v>90</v>
      </c>
      <c r="J1277" s="250" t="s">
        <v>246</v>
      </c>
      <c r="K1277" s="188"/>
      <c r="L1277" s="197"/>
      <c r="M1277" s="197"/>
      <c r="N1277" s="197"/>
      <c r="O1277" s="197"/>
    </row>
    <row r="1278" spans="1:15" hidden="1">
      <c r="A1278" s="199" t="s">
        <v>232</v>
      </c>
      <c r="B1278" s="189" t="s">
        <v>138</v>
      </c>
      <c r="C1278" s="189" t="s">
        <v>1599</v>
      </c>
      <c r="D1278" s="189" t="s">
        <v>1608</v>
      </c>
      <c r="E1278" s="223" t="s">
        <v>1612</v>
      </c>
      <c r="F1278" s="189" t="s">
        <v>142</v>
      </c>
      <c r="G1278" s="258">
        <v>-214.19</v>
      </c>
      <c r="H1278" s="260">
        <v>-214.19</v>
      </c>
      <c r="I1278" s="199" t="s">
        <v>90</v>
      </c>
      <c r="J1278" s="250" t="s">
        <v>246</v>
      </c>
      <c r="K1278" s="188"/>
      <c r="L1278" s="197"/>
      <c r="M1278" s="197"/>
      <c r="N1278" s="197"/>
      <c r="O1278" s="197"/>
    </row>
    <row r="1279" spans="1:15" hidden="1">
      <c r="A1279" s="199" t="s">
        <v>137</v>
      </c>
      <c r="B1279" s="189" t="s">
        <v>138</v>
      </c>
      <c r="C1279" s="189" t="s">
        <v>1613</v>
      </c>
      <c r="D1279" s="189" t="s">
        <v>160</v>
      </c>
      <c r="E1279" s="223" t="s">
        <v>1614</v>
      </c>
      <c r="F1279" s="189" t="s">
        <v>142</v>
      </c>
      <c r="G1279" s="258">
        <v>-22</v>
      </c>
      <c r="H1279" s="260">
        <v>-22</v>
      </c>
      <c r="I1279" s="199" t="s">
        <v>90</v>
      </c>
      <c r="J1279" s="244" t="s">
        <v>470</v>
      </c>
      <c r="K1279" s="213"/>
      <c r="L1279" s="197"/>
      <c r="M1279" s="197"/>
      <c r="N1279" s="197"/>
      <c r="O1279" s="197"/>
    </row>
    <row r="1280" spans="1:15" hidden="1">
      <c r="A1280" s="199" t="s">
        <v>137</v>
      </c>
      <c r="B1280" s="189" t="s">
        <v>138</v>
      </c>
      <c r="C1280" s="189" t="s">
        <v>1613</v>
      </c>
      <c r="D1280" s="189" t="s">
        <v>160</v>
      </c>
      <c r="E1280" s="223" t="s">
        <v>1615</v>
      </c>
      <c r="F1280" s="189" t="s">
        <v>142</v>
      </c>
      <c r="G1280" s="258">
        <v>-170</v>
      </c>
      <c r="H1280" s="260">
        <v>-170</v>
      </c>
      <c r="I1280" s="199" t="s">
        <v>90</v>
      </c>
      <c r="J1280" s="250" t="s">
        <v>246</v>
      </c>
      <c r="K1280" s="213"/>
      <c r="L1280" s="197"/>
      <c r="M1280" s="197"/>
      <c r="N1280" s="197"/>
      <c r="O1280" s="197"/>
    </row>
    <row r="1281" spans="1:15" hidden="1">
      <c r="A1281" s="189" t="s">
        <v>137</v>
      </c>
      <c r="B1281" s="189" t="s">
        <v>138</v>
      </c>
      <c r="C1281" s="189" t="s">
        <v>1613</v>
      </c>
      <c r="D1281" s="189" t="s">
        <v>669</v>
      </c>
      <c r="E1281" s="223" t="s">
        <v>1616</v>
      </c>
      <c r="F1281" s="189" t="s">
        <v>153</v>
      </c>
      <c r="G1281" s="258">
        <v>-30</v>
      </c>
      <c r="H1281" s="260">
        <v>-30</v>
      </c>
      <c r="I1281" s="189" t="s">
        <v>90</v>
      </c>
      <c r="J1281" s="189" t="s">
        <v>164</v>
      </c>
      <c r="K1281" s="188"/>
      <c r="L1281" s="197"/>
      <c r="M1281" s="197"/>
      <c r="N1281" s="197"/>
      <c r="O1281" s="197"/>
    </row>
    <row r="1282" spans="1:15" hidden="1">
      <c r="A1282" s="195" t="s">
        <v>137</v>
      </c>
      <c r="B1282" s="189" t="s">
        <v>138</v>
      </c>
      <c r="C1282" s="189" t="s">
        <v>1613</v>
      </c>
      <c r="D1282" s="189" t="s">
        <v>669</v>
      </c>
      <c r="E1282" s="223" t="s">
        <v>1616</v>
      </c>
      <c r="F1282" s="189" t="s">
        <v>146</v>
      </c>
      <c r="G1282" s="258">
        <v>-30</v>
      </c>
      <c r="H1282" s="260">
        <v>-30</v>
      </c>
      <c r="I1282" s="198" t="s">
        <v>90</v>
      </c>
      <c r="J1282" s="198" t="s">
        <v>246</v>
      </c>
      <c r="K1282" s="188"/>
      <c r="L1282" s="197"/>
      <c r="M1282" s="197"/>
      <c r="N1282" s="197"/>
      <c r="O1282" s="197"/>
    </row>
    <row r="1283" spans="1:15" hidden="1">
      <c r="A1283" s="188" t="s">
        <v>137</v>
      </c>
      <c r="B1283" s="199" t="s">
        <v>138</v>
      </c>
      <c r="C1283" s="199" t="s">
        <v>1613</v>
      </c>
      <c r="D1283" s="199" t="s">
        <v>669</v>
      </c>
      <c r="E1283" s="205" t="s">
        <v>1616</v>
      </c>
      <c r="F1283" s="205" t="s">
        <v>149</v>
      </c>
      <c r="G1283" s="225">
        <v>-30</v>
      </c>
      <c r="H1283" s="226">
        <v>-30</v>
      </c>
      <c r="I1283" s="198" t="s">
        <v>90</v>
      </c>
      <c r="J1283" s="198" t="s">
        <v>246</v>
      </c>
      <c r="K1283" s="213"/>
      <c r="L1283" s="197"/>
      <c r="M1283" s="197"/>
      <c r="N1283" s="197"/>
      <c r="O1283" s="197"/>
    </row>
    <row r="1284" spans="1:15" hidden="1">
      <c r="A1284" s="188" t="s">
        <v>137</v>
      </c>
      <c r="B1284" s="189" t="s">
        <v>138</v>
      </c>
      <c r="C1284" s="189" t="s">
        <v>1613</v>
      </c>
      <c r="D1284" s="189" t="s">
        <v>669</v>
      </c>
      <c r="E1284" s="223" t="s">
        <v>1616</v>
      </c>
      <c r="F1284" s="189" t="s">
        <v>142</v>
      </c>
      <c r="G1284" s="258">
        <v>-30</v>
      </c>
      <c r="H1284" s="260">
        <v>-30</v>
      </c>
      <c r="I1284" s="188" t="s">
        <v>90</v>
      </c>
      <c r="J1284" s="198" t="s">
        <v>246</v>
      </c>
      <c r="K1284" s="188"/>
      <c r="L1284" s="197"/>
      <c r="M1284" s="197"/>
      <c r="N1284" s="197"/>
      <c r="O1284" s="197"/>
    </row>
    <row r="1285" spans="1:15" ht="38.25" hidden="1">
      <c r="A1285" s="195" t="s">
        <v>137</v>
      </c>
      <c r="B1285" s="189" t="s">
        <v>138</v>
      </c>
      <c r="C1285" s="189" t="s">
        <v>1613</v>
      </c>
      <c r="D1285" s="189" t="s">
        <v>1617</v>
      </c>
      <c r="E1285" s="223" t="s">
        <v>1618</v>
      </c>
      <c r="F1285" s="189" t="s">
        <v>153</v>
      </c>
      <c r="G1285" s="258">
        <v>-735</v>
      </c>
      <c r="H1285" s="260">
        <v>-735</v>
      </c>
      <c r="I1285" s="195" t="s">
        <v>90</v>
      </c>
      <c r="J1285" s="195" t="s">
        <v>246</v>
      </c>
      <c r="K1285" s="188"/>
      <c r="L1285" s="197"/>
      <c r="M1285" s="197"/>
      <c r="N1285" s="197"/>
      <c r="O1285" s="197"/>
    </row>
    <row r="1286" spans="1:15" hidden="1">
      <c r="A1286" s="195" t="s">
        <v>137</v>
      </c>
      <c r="B1286" s="189" t="s">
        <v>138</v>
      </c>
      <c r="C1286" s="189" t="s">
        <v>1613</v>
      </c>
      <c r="D1286" s="189" t="s">
        <v>1617</v>
      </c>
      <c r="E1286" s="223" t="s">
        <v>1619</v>
      </c>
      <c r="F1286" s="189" t="s">
        <v>146</v>
      </c>
      <c r="G1286" s="225">
        <v>-690</v>
      </c>
      <c r="H1286" s="226">
        <v>-690</v>
      </c>
      <c r="I1286" s="198" t="s">
        <v>90</v>
      </c>
      <c r="J1286" s="198" t="s">
        <v>246</v>
      </c>
      <c r="K1286" s="188"/>
      <c r="L1286" s="197"/>
      <c r="M1286" s="197"/>
      <c r="N1286" s="197"/>
      <c r="O1286" s="197"/>
    </row>
    <row r="1287" spans="1:15" hidden="1">
      <c r="A1287" s="188" t="s">
        <v>137</v>
      </c>
      <c r="B1287" s="199" t="s">
        <v>138</v>
      </c>
      <c r="C1287" s="199" t="s">
        <v>1613</v>
      </c>
      <c r="D1287" s="199" t="s">
        <v>1617</v>
      </c>
      <c r="E1287" s="205" t="s">
        <v>1620</v>
      </c>
      <c r="F1287" s="205" t="s">
        <v>149</v>
      </c>
      <c r="G1287" s="225">
        <v>-15</v>
      </c>
      <c r="H1287" s="226">
        <v>-15</v>
      </c>
      <c r="I1287" s="198" t="s">
        <v>90</v>
      </c>
      <c r="J1287" s="198" t="s">
        <v>246</v>
      </c>
      <c r="K1287" s="188"/>
      <c r="L1287" s="197"/>
      <c r="M1287" s="197"/>
      <c r="N1287" s="197"/>
      <c r="O1287" s="197"/>
    </row>
    <row r="1288" spans="1:15" hidden="1">
      <c r="A1288" s="188" t="s">
        <v>137</v>
      </c>
      <c r="B1288" s="199" t="s">
        <v>138</v>
      </c>
      <c r="C1288" s="199" t="s">
        <v>1613</v>
      </c>
      <c r="D1288" s="199" t="s">
        <v>1617</v>
      </c>
      <c r="E1288" s="205" t="s">
        <v>1621</v>
      </c>
      <c r="F1288" s="205" t="s">
        <v>149</v>
      </c>
      <c r="G1288" s="225">
        <v>-20</v>
      </c>
      <c r="H1288" s="226">
        <v>-20</v>
      </c>
      <c r="I1288" s="198" t="s">
        <v>90</v>
      </c>
      <c r="J1288" s="198" t="s">
        <v>246</v>
      </c>
      <c r="K1288" s="188"/>
      <c r="L1288" s="197"/>
      <c r="M1288" s="197"/>
      <c r="N1288" s="197"/>
      <c r="O1288" s="197"/>
    </row>
    <row r="1289" spans="1:15" hidden="1">
      <c r="A1289" s="195" t="s">
        <v>137</v>
      </c>
      <c r="B1289" s="189" t="s">
        <v>138</v>
      </c>
      <c r="C1289" s="189" t="s">
        <v>1613</v>
      </c>
      <c r="D1289" s="189" t="s">
        <v>1622</v>
      </c>
      <c r="E1289" s="223" t="s">
        <v>1623</v>
      </c>
      <c r="F1289" s="189" t="s">
        <v>153</v>
      </c>
      <c r="G1289" s="258">
        <v>-683.22</v>
      </c>
      <c r="H1289" s="260">
        <v>-683.22</v>
      </c>
      <c r="I1289" s="195" t="s">
        <v>90</v>
      </c>
      <c r="J1289" s="250" t="s">
        <v>246</v>
      </c>
      <c r="K1289" s="188"/>
      <c r="L1289" s="197"/>
      <c r="M1289" s="197"/>
      <c r="N1289" s="197"/>
      <c r="O1289" s="197"/>
    </row>
    <row r="1290" spans="1:15" hidden="1">
      <c r="A1290" s="195" t="s">
        <v>137</v>
      </c>
      <c r="B1290" s="189" t="s">
        <v>138</v>
      </c>
      <c r="C1290" s="189" t="s">
        <v>1613</v>
      </c>
      <c r="D1290" s="189" t="s">
        <v>1622</v>
      </c>
      <c r="E1290" s="223" t="s">
        <v>1624</v>
      </c>
      <c r="F1290" s="189" t="s">
        <v>146</v>
      </c>
      <c r="G1290" s="258">
        <v>-682.6</v>
      </c>
      <c r="H1290" s="260">
        <v>-682.6</v>
      </c>
      <c r="I1290" s="198" t="s">
        <v>90</v>
      </c>
      <c r="J1290" s="198" t="s">
        <v>246</v>
      </c>
      <c r="K1290" s="188"/>
      <c r="L1290" s="197"/>
      <c r="M1290" s="197"/>
      <c r="N1290" s="197"/>
      <c r="O1290" s="197"/>
    </row>
    <row r="1291" spans="1:15" hidden="1">
      <c r="A1291" s="188" t="s">
        <v>137</v>
      </c>
      <c r="B1291" s="199" t="s">
        <v>138</v>
      </c>
      <c r="C1291" s="199" t="s">
        <v>1613</v>
      </c>
      <c r="D1291" s="199" t="s">
        <v>1622</v>
      </c>
      <c r="E1291" s="205" t="s">
        <v>1625</v>
      </c>
      <c r="F1291" s="205" t="s">
        <v>149</v>
      </c>
      <c r="G1291" s="258">
        <v>-682.5</v>
      </c>
      <c r="H1291" s="260">
        <v>-682.5</v>
      </c>
      <c r="I1291" s="198" t="s">
        <v>90</v>
      </c>
      <c r="J1291" s="198" t="s">
        <v>246</v>
      </c>
      <c r="K1291" s="213"/>
      <c r="L1291" s="197"/>
      <c r="M1291" s="197"/>
      <c r="N1291" s="197"/>
      <c r="O1291" s="197"/>
    </row>
    <row r="1292" spans="1:15" hidden="1">
      <c r="A1292" s="188" t="s">
        <v>137</v>
      </c>
      <c r="B1292" s="189" t="s">
        <v>138</v>
      </c>
      <c r="C1292" s="189" t="s">
        <v>1613</v>
      </c>
      <c r="D1292" s="189" t="s">
        <v>1622</v>
      </c>
      <c r="E1292" s="223" t="s">
        <v>1626</v>
      </c>
      <c r="F1292" s="189" t="s">
        <v>142</v>
      </c>
      <c r="G1292" s="258">
        <v>-682.7</v>
      </c>
      <c r="H1292" s="260">
        <v>-682.7</v>
      </c>
      <c r="I1292" s="188" t="s">
        <v>90</v>
      </c>
      <c r="J1292" s="198" t="s">
        <v>246</v>
      </c>
      <c r="K1292" s="188"/>
      <c r="L1292" s="197"/>
      <c r="M1292" s="197"/>
      <c r="N1292" s="197"/>
      <c r="O1292" s="197"/>
    </row>
    <row r="1293" spans="1:15" hidden="1">
      <c r="A1293" s="188" t="s">
        <v>137</v>
      </c>
      <c r="B1293" s="189" t="s">
        <v>138</v>
      </c>
      <c r="C1293" s="189" t="s">
        <v>139</v>
      </c>
      <c r="D1293" s="189" t="s">
        <v>1627</v>
      </c>
      <c r="E1293" s="223" t="s">
        <v>1628</v>
      </c>
      <c r="F1293" s="189" t="s">
        <v>153</v>
      </c>
      <c r="G1293" s="258">
        <v>-143</v>
      </c>
      <c r="H1293" s="260">
        <v>-143</v>
      </c>
      <c r="I1293" s="188" t="s">
        <v>84</v>
      </c>
      <c r="J1293" s="198" t="s">
        <v>164</v>
      </c>
      <c r="K1293" s="188"/>
      <c r="L1293" s="197"/>
      <c r="M1293" s="197"/>
      <c r="N1293" s="197"/>
      <c r="O1293" s="197"/>
    </row>
    <row r="1294" spans="1:15" ht="51" hidden="1">
      <c r="A1294" s="188" t="s">
        <v>137</v>
      </c>
      <c r="B1294" s="189" t="s">
        <v>138</v>
      </c>
      <c r="C1294" s="189" t="s">
        <v>84</v>
      </c>
      <c r="D1294" s="189" t="s">
        <v>618</v>
      </c>
      <c r="E1294" s="223" t="s">
        <v>1629</v>
      </c>
      <c r="F1294" s="189" t="s">
        <v>153</v>
      </c>
      <c r="G1294" s="258">
        <v>-12.41</v>
      </c>
      <c r="H1294" s="260">
        <v>-12.41</v>
      </c>
      <c r="I1294" s="188" t="s">
        <v>84</v>
      </c>
      <c r="J1294" s="198" t="s">
        <v>246</v>
      </c>
      <c r="K1294" s="188"/>
      <c r="L1294" s="197"/>
      <c r="M1294" s="197"/>
      <c r="N1294" s="197"/>
      <c r="O1294" s="197"/>
    </row>
    <row r="1295" spans="1:15" hidden="1">
      <c r="A1295" s="188" t="s">
        <v>232</v>
      </c>
      <c r="B1295" s="189" t="s">
        <v>138</v>
      </c>
      <c r="C1295" s="189" t="s">
        <v>491</v>
      </c>
      <c r="D1295" s="189" t="s">
        <v>655</v>
      </c>
      <c r="E1295" s="223" t="s">
        <v>1259</v>
      </c>
      <c r="F1295" s="189" t="s">
        <v>153</v>
      </c>
      <c r="G1295" s="258">
        <v>-310.17</v>
      </c>
      <c r="H1295" s="260">
        <v>-310.17</v>
      </c>
      <c r="I1295" s="188" t="s">
        <v>107</v>
      </c>
      <c r="J1295" s="198" t="s">
        <v>164</v>
      </c>
      <c r="K1295" s="188"/>
      <c r="L1295" s="197"/>
      <c r="M1295" s="197"/>
      <c r="N1295" s="197"/>
      <c r="O1295" s="197"/>
    </row>
    <row r="1296" spans="1:15" hidden="1">
      <c r="A1296" s="188" t="s">
        <v>232</v>
      </c>
      <c r="B1296" s="189" t="s">
        <v>138</v>
      </c>
      <c r="C1296" s="189" t="s">
        <v>491</v>
      </c>
      <c r="D1296" s="189" t="s">
        <v>655</v>
      </c>
      <c r="E1296" s="223" t="s">
        <v>1259</v>
      </c>
      <c r="F1296" s="189" t="s">
        <v>153</v>
      </c>
      <c r="G1296" s="258">
        <v>-377.9</v>
      </c>
      <c r="H1296" s="260">
        <v>-377.9</v>
      </c>
      <c r="I1296" s="188" t="s">
        <v>107</v>
      </c>
      <c r="J1296" s="198" t="s">
        <v>164</v>
      </c>
      <c r="K1296" s="188"/>
      <c r="L1296" s="197"/>
      <c r="M1296" s="197"/>
      <c r="N1296" s="197"/>
      <c r="O1296" s="197"/>
    </row>
    <row r="1297" spans="1:15" hidden="1">
      <c r="A1297" s="188" t="s">
        <v>137</v>
      </c>
      <c r="B1297" s="189" t="s">
        <v>138</v>
      </c>
      <c r="C1297" s="189" t="s">
        <v>491</v>
      </c>
      <c r="D1297" s="189" t="s">
        <v>655</v>
      </c>
      <c r="E1297" s="223" t="s">
        <v>1630</v>
      </c>
      <c r="F1297" s="189" t="s">
        <v>153</v>
      </c>
      <c r="G1297" s="258">
        <v>-0.12</v>
      </c>
      <c r="H1297" s="260">
        <v>-0.12</v>
      </c>
      <c r="I1297" s="188" t="s">
        <v>107</v>
      </c>
      <c r="J1297" s="198" t="s">
        <v>164</v>
      </c>
      <c r="K1297" s="188"/>
      <c r="L1297" s="197"/>
      <c r="M1297" s="197"/>
      <c r="N1297" s="197"/>
      <c r="O1297" s="197"/>
    </row>
    <row r="1298" spans="1:15" hidden="1">
      <c r="A1298" s="188" t="s">
        <v>137</v>
      </c>
      <c r="B1298" s="189" t="s">
        <v>138</v>
      </c>
      <c r="C1298" s="189" t="s">
        <v>491</v>
      </c>
      <c r="D1298" s="189" t="s">
        <v>655</v>
      </c>
      <c r="E1298" s="223" t="s">
        <v>1259</v>
      </c>
      <c r="F1298" s="189" t="s">
        <v>153</v>
      </c>
      <c r="G1298" s="258">
        <v>-151.71</v>
      </c>
      <c r="H1298" s="260">
        <v>-151.71</v>
      </c>
      <c r="I1298" s="188" t="s">
        <v>107</v>
      </c>
      <c r="J1298" s="198" t="s">
        <v>164</v>
      </c>
      <c r="K1298" s="188"/>
      <c r="L1298" s="197"/>
      <c r="M1298" s="197"/>
      <c r="N1298" s="197"/>
      <c r="O1298" s="197"/>
    </row>
    <row r="1299" spans="1:15" hidden="1">
      <c r="A1299" s="188" t="s">
        <v>137</v>
      </c>
      <c r="B1299" s="189" t="s">
        <v>138</v>
      </c>
      <c r="C1299" s="189" t="s">
        <v>491</v>
      </c>
      <c r="D1299" s="189" t="s">
        <v>655</v>
      </c>
      <c r="E1299" s="223" t="s">
        <v>1259</v>
      </c>
      <c r="F1299" s="189" t="s">
        <v>153</v>
      </c>
      <c r="G1299" s="258">
        <v>-0.08</v>
      </c>
      <c r="H1299" s="260">
        <v>-0.08</v>
      </c>
      <c r="I1299" s="188" t="s">
        <v>107</v>
      </c>
      <c r="J1299" s="198" t="s">
        <v>164</v>
      </c>
      <c r="K1299" s="188"/>
      <c r="L1299" s="197"/>
      <c r="M1299" s="197"/>
      <c r="N1299" s="197"/>
      <c r="O1299" s="197"/>
    </row>
    <row r="1300" spans="1:15" hidden="1">
      <c r="A1300" s="188" t="s">
        <v>137</v>
      </c>
      <c r="B1300" s="189" t="s">
        <v>138</v>
      </c>
      <c r="C1300" s="189" t="s">
        <v>61</v>
      </c>
      <c r="D1300" s="189" t="s">
        <v>562</v>
      </c>
      <c r="E1300" s="223" t="s">
        <v>1631</v>
      </c>
      <c r="F1300" s="189" t="s">
        <v>153</v>
      </c>
      <c r="G1300" s="258">
        <v>-330</v>
      </c>
      <c r="H1300" s="260">
        <v>-330</v>
      </c>
      <c r="I1300" s="188" t="s">
        <v>61</v>
      </c>
      <c r="J1300" s="189" t="s">
        <v>316</v>
      </c>
      <c r="K1300" s="188"/>
      <c r="L1300" s="197"/>
      <c r="M1300" s="197"/>
      <c r="N1300" s="197"/>
      <c r="O1300" s="197"/>
    </row>
    <row r="1301" spans="1:15" hidden="1">
      <c r="A1301" s="188" t="s">
        <v>137</v>
      </c>
      <c r="B1301" s="189" t="s">
        <v>138</v>
      </c>
      <c r="C1301" s="189" t="s">
        <v>570</v>
      </c>
      <c r="D1301" s="189" t="s">
        <v>1632</v>
      </c>
      <c r="E1301" s="223" t="s">
        <v>1633</v>
      </c>
      <c r="F1301" s="189" t="s">
        <v>153</v>
      </c>
      <c r="G1301" s="258">
        <v>-500</v>
      </c>
      <c r="H1301" s="260">
        <v>-500</v>
      </c>
      <c r="I1301" s="188" t="s">
        <v>55</v>
      </c>
      <c r="J1301" s="198" t="s">
        <v>476</v>
      </c>
      <c r="K1301" s="188"/>
      <c r="L1301" s="197"/>
      <c r="M1301" s="197"/>
      <c r="N1301" s="197"/>
      <c r="O1301" s="197"/>
    </row>
    <row r="1302" spans="1:15" ht="25.5" hidden="1">
      <c r="A1302" s="188" t="s">
        <v>137</v>
      </c>
      <c r="B1302" s="189" t="s">
        <v>138</v>
      </c>
      <c r="C1302" s="189" t="s">
        <v>570</v>
      </c>
      <c r="D1302" s="189" t="s">
        <v>540</v>
      </c>
      <c r="E1302" s="223" t="s">
        <v>1634</v>
      </c>
      <c r="F1302" s="189" t="s">
        <v>153</v>
      </c>
      <c r="G1302" s="258">
        <v>-20.309999999999999</v>
      </c>
      <c r="H1302" s="260">
        <v>-20.309999999999999</v>
      </c>
      <c r="I1302" s="188" t="s">
        <v>61</v>
      </c>
      <c r="J1302" s="198" t="s">
        <v>422</v>
      </c>
      <c r="K1302" s="188"/>
      <c r="L1302" s="197"/>
      <c r="M1302" s="197"/>
      <c r="N1302" s="197"/>
      <c r="O1302" s="197"/>
    </row>
    <row r="1303" spans="1:15" hidden="1">
      <c r="A1303" s="188" t="s">
        <v>137</v>
      </c>
      <c r="B1303" s="189" t="s">
        <v>138</v>
      </c>
      <c r="C1303" s="189" t="s">
        <v>570</v>
      </c>
      <c r="D1303" s="189" t="s">
        <v>595</v>
      </c>
      <c r="E1303" s="223" t="s">
        <v>1635</v>
      </c>
      <c r="F1303" s="189" t="s">
        <v>153</v>
      </c>
      <c r="G1303" s="258">
        <v>-250</v>
      </c>
      <c r="H1303" s="260">
        <v>-250</v>
      </c>
      <c r="I1303" s="188" t="s">
        <v>55</v>
      </c>
      <c r="J1303" s="198" t="s">
        <v>476</v>
      </c>
      <c r="K1303" s="188"/>
      <c r="L1303" s="197"/>
      <c r="M1303" s="197"/>
      <c r="N1303" s="197"/>
      <c r="O1303" s="197"/>
    </row>
    <row r="1304" spans="1:15" hidden="1">
      <c r="A1304" s="188" t="s">
        <v>137</v>
      </c>
      <c r="B1304" s="189" t="s">
        <v>138</v>
      </c>
      <c r="C1304" s="189" t="s">
        <v>570</v>
      </c>
      <c r="D1304" s="189" t="s">
        <v>856</v>
      </c>
      <c r="E1304" s="223" t="s">
        <v>1636</v>
      </c>
      <c r="F1304" s="189" t="s">
        <v>153</v>
      </c>
      <c r="G1304" s="258">
        <v>-100</v>
      </c>
      <c r="H1304" s="260">
        <v>-100</v>
      </c>
      <c r="I1304" s="188" t="s">
        <v>55</v>
      </c>
      <c r="J1304" s="198" t="s">
        <v>476</v>
      </c>
      <c r="K1304" s="188"/>
      <c r="L1304" s="197"/>
      <c r="M1304" s="197"/>
      <c r="N1304" s="197"/>
      <c r="O1304" s="197"/>
    </row>
    <row r="1305" spans="1:15" hidden="1">
      <c r="A1305" s="189" t="s">
        <v>137</v>
      </c>
      <c r="B1305" s="189" t="s">
        <v>138</v>
      </c>
      <c r="C1305" s="189" t="s">
        <v>139</v>
      </c>
      <c r="D1305" s="189" t="s">
        <v>151</v>
      </c>
      <c r="E1305" s="189" t="s">
        <v>152</v>
      </c>
      <c r="F1305" s="189" t="s">
        <v>261</v>
      </c>
      <c r="G1305" s="258">
        <v>-1051.8599999999999</v>
      </c>
      <c r="H1305" s="260">
        <v>-1051.8599999999999</v>
      </c>
      <c r="I1305" s="198" t="s">
        <v>84</v>
      </c>
      <c r="J1305" s="189" t="s">
        <v>143</v>
      </c>
      <c r="K1305" s="188"/>
      <c r="L1305" s="197"/>
      <c r="M1305" s="197"/>
      <c r="N1305" s="197"/>
      <c r="O1305" s="197"/>
    </row>
    <row r="1306" spans="1:15" hidden="1">
      <c r="A1306" s="189" t="s">
        <v>137</v>
      </c>
      <c r="B1306" s="189" t="s">
        <v>138</v>
      </c>
      <c r="C1306" s="189" t="s">
        <v>139</v>
      </c>
      <c r="D1306" s="189" t="s">
        <v>151</v>
      </c>
      <c r="E1306" s="189" t="s">
        <v>1637</v>
      </c>
      <c r="F1306" s="189" t="s">
        <v>261</v>
      </c>
      <c r="G1306" s="258">
        <v>-896.19</v>
      </c>
      <c r="H1306" s="260">
        <v>-896.19</v>
      </c>
      <c r="I1306" s="198" t="s">
        <v>84</v>
      </c>
      <c r="J1306" s="189" t="s">
        <v>143</v>
      </c>
      <c r="K1306" s="188"/>
      <c r="L1306" s="197"/>
      <c r="M1306" s="197"/>
      <c r="N1306" s="197"/>
      <c r="O1306" s="197"/>
    </row>
    <row r="1307" spans="1:15" hidden="1">
      <c r="A1307" s="189" t="s">
        <v>137</v>
      </c>
      <c r="B1307" s="189" t="s">
        <v>138</v>
      </c>
      <c r="C1307" s="189" t="s">
        <v>139</v>
      </c>
      <c r="D1307" s="189" t="s">
        <v>160</v>
      </c>
      <c r="E1307" s="189" t="s">
        <v>1638</v>
      </c>
      <c r="F1307" s="189" t="s">
        <v>261</v>
      </c>
      <c r="G1307" s="258">
        <v>-50</v>
      </c>
      <c r="H1307" s="260">
        <v>-50</v>
      </c>
      <c r="I1307" s="198" t="s">
        <v>84</v>
      </c>
      <c r="J1307" s="189" t="s">
        <v>143</v>
      </c>
      <c r="K1307" s="188"/>
      <c r="L1307" s="197"/>
      <c r="M1307" s="197"/>
      <c r="N1307" s="197"/>
      <c r="O1307" s="197"/>
    </row>
    <row r="1308" spans="1:15" hidden="1">
      <c r="A1308" s="189" t="s">
        <v>137</v>
      </c>
      <c r="B1308" s="189" t="s">
        <v>138</v>
      </c>
      <c r="C1308" s="189" t="s">
        <v>139</v>
      </c>
      <c r="D1308" s="189" t="s">
        <v>160</v>
      </c>
      <c r="E1308" s="189" t="s">
        <v>1639</v>
      </c>
      <c r="F1308" s="189" t="s">
        <v>261</v>
      </c>
      <c r="G1308" s="258">
        <v>-50</v>
      </c>
      <c r="H1308" s="260">
        <v>-50</v>
      </c>
      <c r="I1308" s="198" t="s">
        <v>84</v>
      </c>
      <c r="J1308" s="189" t="s">
        <v>143</v>
      </c>
      <c r="K1308" s="188"/>
      <c r="L1308" s="197"/>
      <c r="M1308" s="197"/>
      <c r="N1308" s="197"/>
      <c r="O1308" s="197"/>
    </row>
    <row r="1309" spans="1:15" hidden="1">
      <c r="A1309" s="189" t="s">
        <v>137</v>
      </c>
      <c r="B1309" s="189" t="s">
        <v>138</v>
      </c>
      <c r="C1309" s="189" t="s">
        <v>139</v>
      </c>
      <c r="D1309" s="189" t="s">
        <v>160</v>
      </c>
      <c r="E1309" s="189" t="s">
        <v>1640</v>
      </c>
      <c r="F1309" s="189" t="s">
        <v>261</v>
      </c>
      <c r="G1309" s="258">
        <v>-50</v>
      </c>
      <c r="H1309" s="260">
        <v>-50</v>
      </c>
      <c r="I1309" s="198" t="s">
        <v>84</v>
      </c>
      <c r="J1309" s="189" t="s">
        <v>143</v>
      </c>
      <c r="K1309" s="188"/>
      <c r="L1309" s="197"/>
      <c r="M1309" s="197"/>
      <c r="N1309" s="197"/>
      <c r="O1309" s="197"/>
    </row>
    <row r="1310" spans="1:15" hidden="1">
      <c r="A1310" s="189" t="s">
        <v>137</v>
      </c>
      <c r="B1310" s="189" t="s">
        <v>138</v>
      </c>
      <c r="C1310" s="189" t="s">
        <v>139</v>
      </c>
      <c r="D1310" s="189" t="s">
        <v>214</v>
      </c>
      <c r="E1310" s="189" t="s">
        <v>1641</v>
      </c>
      <c r="F1310" s="189" t="s">
        <v>261</v>
      </c>
      <c r="G1310" s="258">
        <v>-125</v>
      </c>
      <c r="H1310" s="260">
        <v>-125</v>
      </c>
      <c r="I1310" s="198" t="s">
        <v>84</v>
      </c>
      <c r="J1310" s="189" t="s">
        <v>143</v>
      </c>
      <c r="K1310" s="188"/>
      <c r="L1310" s="197"/>
      <c r="M1310" s="197"/>
      <c r="N1310" s="197"/>
      <c r="O1310" s="197"/>
    </row>
    <row r="1311" spans="1:15" hidden="1">
      <c r="A1311" s="189" t="s">
        <v>137</v>
      </c>
      <c r="B1311" s="189" t="s">
        <v>138</v>
      </c>
      <c r="C1311" s="189" t="s">
        <v>139</v>
      </c>
      <c r="D1311" s="189" t="s">
        <v>181</v>
      </c>
      <c r="E1311" s="189" t="s">
        <v>1642</v>
      </c>
      <c r="F1311" s="189" t="s">
        <v>261</v>
      </c>
      <c r="G1311" s="258">
        <v>-84</v>
      </c>
      <c r="H1311" s="260">
        <v>-84</v>
      </c>
      <c r="I1311" s="198" t="s">
        <v>84</v>
      </c>
      <c r="J1311" s="189" t="s">
        <v>143</v>
      </c>
      <c r="K1311" s="188"/>
      <c r="L1311" s="197"/>
      <c r="M1311" s="197"/>
      <c r="N1311" s="197"/>
      <c r="O1311" s="197"/>
    </row>
    <row r="1312" spans="1:15" hidden="1">
      <c r="A1312" s="189" t="s">
        <v>137</v>
      </c>
      <c r="B1312" s="189" t="s">
        <v>138</v>
      </c>
      <c r="C1312" s="189" t="s">
        <v>139</v>
      </c>
      <c r="D1312" s="189" t="s">
        <v>1643</v>
      </c>
      <c r="E1312" s="189" t="s">
        <v>175</v>
      </c>
      <c r="F1312" s="189" t="s">
        <v>261</v>
      </c>
      <c r="G1312" s="258">
        <v>-80</v>
      </c>
      <c r="H1312" s="260">
        <v>-80</v>
      </c>
      <c r="I1312" s="198" t="s">
        <v>84</v>
      </c>
      <c r="J1312" s="189" t="s">
        <v>143</v>
      </c>
      <c r="K1312" s="188"/>
      <c r="L1312" s="197"/>
      <c r="M1312" s="197"/>
      <c r="N1312" s="197"/>
      <c r="O1312" s="197"/>
    </row>
    <row r="1313" spans="1:15" hidden="1">
      <c r="A1313" s="189" t="s">
        <v>137</v>
      </c>
      <c r="B1313" s="189" t="s">
        <v>138</v>
      </c>
      <c r="C1313" s="189" t="s">
        <v>139</v>
      </c>
      <c r="D1313" s="189" t="s">
        <v>1627</v>
      </c>
      <c r="E1313" s="189" t="s">
        <v>1644</v>
      </c>
      <c r="F1313" s="189" t="s">
        <v>261</v>
      </c>
      <c r="G1313" s="258">
        <v>-140.80000000000001</v>
      </c>
      <c r="H1313" s="260">
        <v>-140.80000000000001</v>
      </c>
      <c r="I1313" s="198" t="s">
        <v>84</v>
      </c>
      <c r="J1313" s="189" t="s">
        <v>164</v>
      </c>
      <c r="K1313" s="188"/>
      <c r="L1313" s="197"/>
      <c r="M1313" s="197"/>
      <c r="N1313" s="197"/>
      <c r="O1313" s="197"/>
    </row>
    <row r="1314" spans="1:15" hidden="1">
      <c r="A1314" s="189" t="s">
        <v>137</v>
      </c>
      <c r="B1314" s="189" t="s">
        <v>138</v>
      </c>
      <c r="C1314" s="189" t="s">
        <v>139</v>
      </c>
      <c r="D1314" s="189" t="s">
        <v>226</v>
      </c>
      <c r="E1314" s="189" t="s">
        <v>1645</v>
      </c>
      <c r="F1314" s="189" t="s">
        <v>261</v>
      </c>
      <c r="G1314" s="258">
        <v>-70</v>
      </c>
      <c r="H1314" s="260">
        <v>-70</v>
      </c>
      <c r="I1314" s="198" t="s">
        <v>84</v>
      </c>
      <c r="J1314" s="189" t="s">
        <v>143</v>
      </c>
      <c r="K1314" s="188"/>
      <c r="L1314" s="197"/>
      <c r="M1314" s="197"/>
      <c r="N1314" s="197"/>
      <c r="O1314" s="197"/>
    </row>
    <row r="1315" spans="1:15" hidden="1">
      <c r="A1315" s="189" t="s">
        <v>137</v>
      </c>
      <c r="B1315" s="189" t="s">
        <v>138</v>
      </c>
      <c r="C1315" s="189" t="s">
        <v>84</v>
      </c>
      <c r="D1315" s="189" t="s">
        <v>1646</v>
      </c>
      <c r="E1315" s="189" t="s">
        <v>1647</v>
      </c>
      <c r="F1315" s="189" t="s">
        <v>261</v>
      </c>
      <c r="G1315" s="258">
        <v>-96</v>
      </c>
      <c r="H1315" s="260">
        <v>-96</v>
      </c>
      <c r="I1315" s="198" t="s">
        <v>84</v>
      </c>
      <c r="J1315" s="189" t="s">
        <v>143</v>
      </c>
      <c r="K1315" s="188"/>
      <c r="L1315" s="197"/>
      <c r="M1315" s="197"/>
      <c r="N1315" s="197"/>
      <c r="O1315" s="197"/>
    </row>
    <row r="1316" spans="1:15" hidden="1">
      <c r="A1316" s="189" t="s">
        <v>137</v>
      </c>
      <c r="B1316" s="189" t="s">
        <v>138</v>
      </c>
      <c r="C1316" s="189" t="s">
        <v>84</v>
      </c>
      <c r="D1316" s="189" t="s">
        <v>1648</v>
      </c>
      <c r="E1316" s="189" t="s">
        <v>1649</v>
      </c>
      <c r="F1316" s="189" t="s">
        <v>261</v>
      </c>
      <c r="G1316" s="258">
        <v>-41</v>
      </c>
      <c r="H1316" s="260">
        <v>-41</v>
      </c>
      <c r="I1316" s="198" t="s">
        <v>84</v>
      </c>
      <c r="J1316" s="189" t="s">
        <v>143</v>
      </c>
      <c r="K1316" s="188"/>
      <c r="L1316" s="197"/>
      <c r="M1316" s="197"/>
      <c r="N1316" s="197"/>
      <c r="O1316" s="197"/>
    </row>
    <row r="1317" spans="1:15" hidden="1">
      <c r="A1317" s="189" t="s">
        <v>137</v>
      </c>
      <c r="B1317" s="189" t="s">
        <v>138</v>
      </c>
      <c r="C1317" s="189" t="s">
        <v>84</v>
      </c>
      <c r="D1317" s="189" t="s">
        <v>1650</v>
      </c>
      <c r="E1317" s="189" t="s">
        <v>1651</v>
      </c>
      <c r="F1317" s="189" t="s">
        <v>261</v>
      </c>
      <c r="G1317" s="258">
        <v>-155.47999999999999</v>
      </c>
      <c r="H1317" s="260">
        <v>-155.47999999999999</v>
      </c>
      <c r="I1317" s="198" t="s">
        <v>84</v>
      </c>
      <c r="J1317" s="189" t="s">
        <v>143</v>
      </c>
      <c r="K1317" s="188"/>
      <c r="L1317" s="197"/>
      <c r="M1317" s="197"/>
      <c r="N1317" s="197"/>
      <c r="O1317" s="197"/>
    </row>
    <row r="1318" spans="1:15" hidden="1">
      <c r="A1318" s="189" t="s">
        <v>137</v>
      </c>
      <c r="B1318" s="189" t="s">
        <v>138</v>
      </c>
      <c r="C1318" s="189" t="s">
        <v>84</v>
      </c>
      <c r="D1318" s="189" t="s">
        <v>618</v>
      </c>
      <c r="E1318" s="244" t="s">
        <v>1652</v>
      </c>
      <c r="F1318" s="189" t="s">
        <v>261</v>
      </c>
      <c r="G1318" s="258">
        <v>-184.71</v>
      </c>
      <c r="H1318" s="260">
        <v>-184.71</v>
      </c>
      <c r="I1318" s="198" t="s">
        <v>84</v>
      </c>
      <c r="J1318" s="189" t="s">
        <v>143</v>
      </c>
      <c r="K1318" s="188"/>
      <c r="L1318" s="197"/>
      <c r="M1318" s="197"/>
      <c r="N1318" s="197"/>
      <c r="O1318" s="197"/>
    </row>
    <row r="1319" spans="1:15" hidden="1">
      <c r="A1319" s="189" t="s">
        <v>137</v>
      </c>
      <c r="B1319" s="189" t="s">
        <v>138</v>
      </c>
      <c r="C1319" s="189" t="s">
        <v>84</v>
      </c>
      <c r="D1319" s="189" t="s">
        <v>442</v>
      </c>
      <c r="E1319" s="189" t="s">
        <v>1653</v>
      </c>
      <c r="F1319" s="189" t="s">
        <v>261</v>
      </c>
      <c r="G1319" s="258">
        <v>-5894.1</v>
      </c>
      <c r="H1319" s="260">
        <v>-5894.1</v>
      </c>
      <c r="I1319" s="198" t="s">
        <v>84</v>
      </c>
      <c r="J1319" s="189" t="s">
        <v>143</v>
      </c>
      <c r="K1319" s="188"/>
      <c r="L1319" s="197"/>
      <c r="M1319" s="197"/>
      <c r="N1319" s="197"/>
      <c r="O1319" s="197"/>
    </row>
    <row r="1320" spans="1:15" hidden="1">
      <c r="A1320" s="189" t="s">
        <v>232</v>
      </c>
      <c r="B1320" s="189" t="s">
        <v>138</v>
      </c>
      <c r="C1320" s="189" t="s">
        <v>94</v>
      </c>
      <c r="D1320" s="189" t="s">
        <v>233</v>
      </c>
      <c r="E1320" s="189" t="s">
        <v>1654</v>
      </c>
      <c r="F1320" s="189" t="s">
        <v>261</v>
      </c>
      <c r="G1320" s="258">
        <v>-1621</v>
      </c>
      <c r="H1320" s="260">
        <v>-1621</v>
      </c>
      <c r="I1320" s="198" t="s">
        <v>94</v>
      </c>
      <c r="J1320" s="189" t="s">
        <v>206</v>
      </c>
      <c r="K1320" s="188"/>
      <c r="L1320" s="197"/>
      <c r="M1320" s="197"/>
      <c r="N1320" s="197"/>
      <c r="O1320" s="197"/>
    </row>
    <row r="1321" spans="1:15" hidden="1">
      <c r="A1321" s="189" t="s">
        <v>137</v>
      </c>
      <c r="B1321" s="189" t="s">
        <v>138</v>
      </c>
      <c r="C1321" s="189" t="s">
        <v>94</v>
      </c>
      <c r="D1321" s="189" t="s">
        <v>238</v>
      </c>
      <c r="E1321" s="189" t="s">
        <v>1655</v>
      </c>
      <c r="F1321" s="189" t="s">
        <v>261</v>
      </c>
      <c r="G1321" s="258">
        <v>-5664.66</v>
      </c>
      <c r="H1321" s="260">
        <v>-5664.66</v>
      </c>
      <c r="I1321" s="198" t="s">
        <v>94</v>
      </c>
      <c r="J1321" s="189" t="s">
        <v>206</v>
      </c>
      <c r="K1321" s="188"/>
      <c r="L1321" s="197"/>
      <c r="M1321" s="197"/>
      <c r="N1321" s="197"/>
      <c r="O1321" s="197"/>
    </row>
    <row r="1322" spans="1:15" hidden="1">
      <c r="A1322" s="189" t="s">
        <v>137</v>
      </c>
      <c r="B1322" s="189" t="s">
        <v>138</v>
      </c>
      <c r="C1322" s="189" t="s">
        <v>94</v>
      </c>
      <c r="D1322" s="189" t="s">
        <v>238</v>
      </c>
      <c r="E1322" s="189" t="s">
        <v>1656</v>
      </c>
      <c r="F1322" s="189" t="s">
        <v>261</v>
      </c>
      <c r="G1322" s="258">
        <v>-360.65</v>
      </c>
      <c r="H1322" s="260">
        <v>-360.65</v>
      </c>
      <c r="I1322" s="198" t="s">
        <v>94</v>
      </c>
      <c r="J1322" s="189" t="s">
        <v>206</v>
      </c>
      <c r="K1322" s="188"/>
      <c r="L1322" s="197"/>
      <c r="M1322" s="197"/>
      <c r="N1322" s="197"/>
      <c r="O1322" s="197"/>
    </row>
    <row r="1323" spans="1:15" hidden="1">
      <c r="A1323" s="199" t="s">
        <v>243</v>
      </c>
      <c r="B1323" s="199" t="s">
        <v>138</v>
      </c>
      <c r="C1323" s="199" t="s">
        <v>96</v>
      </c>
      <c r="D1323" s="199" t="s">
        <v>1657</v>
      </c>
      <c r="E1323" s="205" t="s">
        <v>1658</v>
      </c>
      <c r="F1323" s="205" t="s">
        <v>146</v>
      </c>
      <c r="G1323" s="225">
        <f>-(1*249.85+3*188.19)</f>
        <v>-814.42</v>
      </c>
      <c r="H1323" s="226">
        <v>-5279.68</v>
      </c>
      <c r="I1323" s="188" t="s">
        <v>96</v>
      </c>
      <c r="J1323" s="250" t="s">
        <v>164</v>
      </c>
      <c r="K1323" s="188" t="s">
        <v>1659</v>
      </c>
      <c r="L1323" s="197"/>
      <c r="M1323" s="197"/>
      <c r="N1323" s="197"/>
      <c r="O1323" s="197"/>
    </row>
    <row r="1324" spans="1:15" hidden="1">
      <c r="A1324" s="189" t="s">
        <v>232</v>
      </c>
      <c r="B1324" s="189" t="s">
        <v>138</v>
      </c>
      <c r="C1324" s="189" t="s">
        <v>88</v>
      </c>
      <c r="D1324" s="189" t="s">
        <v>247</v>
      </c>
      <c r="E1324" s="189" t="s">
        <v>1660</v>
      </c>
      <c r="F1324" s="189" t="s">
        <v>261</v>
      </c>
      <c r="G1324" s="258">
        <v>-276.68</v>
      </c>
      <c r="H1324" s="260">
        <v>-276.68</v>
      </c>
      <c r="I1324" s="188" t="s">
        <v>88</v>
      </c>
      <c r="J1324" s="189" t="s">
        <v>206</v>
      </c>
      <c r="K1324" s="188"/>
      <c r="L1324" s="197"/>
      <c r="M1324" s="197"/>
      <c r="N1324" s="197"/>
      <c r="O1324" s="197"/>
    </row>
    <row r="1325" spans="1:15" hidden="1">
      <c r="A1325" s="189" t="s">
        <v>137</v>
      </c>
      <c r="B1325" s="189" t="s">
        <v>138</v>
      </c>
      <c r="C1325" s="189" t="s">
        <v>88</v>
      </c>
      <c r="D1325" s="189" t="s">
        <v>252</v>
      </c>
      <c r="E1325" s="189" t="s">
        <v>1661</v>
      </c>
      <c r="F1325" s="189" t="s">
        <v>261</v>
      </c>
      <c r="G1325" s="258">
        <v>-16000</v>
      </c>
      <c r="H1325" s="260">
        <v>-16000</v>
      </c>
      <c r="I1325" s="188" t="s">
        <v>88</v>
      </c>
      <c r="J1325" s="189" t="s">
        <v>206</v>
      </c>
      <c r="K1325" s="188"/>
      <c r="L1325" s="197"/>
      <c r="M1325" s="197"/>
      <c r="N1325" s="197"/>
      <c r="O1325" s="197"/>
    </row>
    <row r="1326" spans="1:15" ht="25.5" hidden="1">
      <c r="A1326" s="199" t="s">
        <v>243</v>
      </c>
      <c r="B1326" s="199" t="s">
        <v>138</v>
      </c>
      <c r="C1326" s="199" t="s">
        <v>96</v>
      </c>
      <c r="D1326" s="199" t="s">
        <v>1657</v>
      </c>
      <c r="E1326" s="205" t="s">
        <v>1662</v>
      </c>
      <c r="F1326" s="205" t="s">
        <v>149</v>
      </c>
      <c r="G1326" s="225">
        <f>-(1*249.85+3*188.19)</f>
        <v>-814.42</v>
      </c>
      <c r="H1326" s="226">
        <v>-5259.78</v>
      </c>
      <c r="I1326" s="198" t="s">
        <v>96</v>
      </c>
      <c r="J1326" s="250" t="s">
        <v>164</v>
      </c>
      <c r="K1326" s="188" t="s">
        <v>1659</v>
      </c>
      <c r="L1326" s="197"/>
      <c r="M1326" s="197"/>
      <c r="N1326" s="197"/>
      <c r="O1326" s="197"/>
    </row>
    <row r="1327" spans="1:15" hidden="1">
      <c r="A1327" s="189" t="s">
        <v>137</v>
      </c>
      <c r="B1327" s="189" t="s">
        <v>138</v>
      </c>
      <c r="C1327" s="189" t="s">
        <v>74</v>
      </c>
      <c r="D1327" s="189" t="s">
        <v>257</v>
      </c>
      <c r="E1327" s="189" t="s">
        <v>1663</v>
      </c>
      <c r="F1327" s="189" t="s">
        <v>261</v>
      </c>
      <c r="G1327" s="258">
        <v>-802.39</v>
      </c>
      <c r="H1327" s="260">
        <v>-844.62</v>
      </c>
      <c r="I1327" s="215" t="s">
        <v>74</v>
      </c>
      <c r="J1327" s="189" t="s">
        <v>143</v>
      </c>
      <c r="K1327" s="188"/>
      <c r="L1327" s="197"/>
      <c r="M1327" s="197"/>
      <c r="N1327" s="197"/>
      <c r="O1327" s="197"/>
    </row>
    <row r="1328" spans="1:15" hidden="1">
      <c r="A1328" s="189" t="s">
        <v>232</v>
      </c>
      <c r="B1328" s="189" t="s">
        <v>138</v>
      </c>
      <c r="C1328" s="189" t="s">
        <v>74</v>
      </c>
      <c r="D1328" s="189" t="s">
        <v>257</v>
      </c>
      <c r="E1328" s="189" t="s">
        <v>1664</v>
      </c>
      <c r="F1328" s="189" t="s">
        <v>261</v>
      </c>
      <c r="G1328" s="258">
        <v>-114.23</v>
      </c>
      <c r="H1328" s="260">
        <v>-114.23</v>
      </c>
      <c r="I1328" s="215" t="s">
        <v>74</v>
      </c>
      <c r="J1328" s="189" t="s">
        <v>143</v>
      </c>
      <c r="K1328" s="213"/>
      <c r="L1328" s="197"/>
      <c r="M1328" s="197"/>
      <c r="N1328" s="197"/>
      <c r="O1328" s="197"/>
    </row>
    <row r="1329" spans="1:15" hidden="1">
      <c r="A1329" s="189" t="s">
        <v>137</v>
      </c>
      <c r="B1329" s="189" t="s">
        <v>138</v>
      </c>
      <c r="C1329" s="189" t="s">
        <v>271</v>
      </c>
      <c r="D1329" s="189" t="s">
        <v>272</v>
      </c>
      <c r="E1329" s="189" t="s">
        <v>1665</v>
      </c>
      <c r="F1329" s="189" t="s">
        <v>261</v>
      </c>
      <c r="G1329" s="258">
        <v>-400</v>
      </c>
      <c r="H1329" s="260">
        <v>-400</v>
      </c>
      <c r="I1329" s="198" t="s">
        <v>101</v>
      </c>
      <c r="J1329" s="189" t="s">
        <v>206</v>
      </c>
      <c r="K1329" s="188"/>
      <c r="L1329" s="197"/>
      <c r="M1329" s="197"/>
      <c r="N1329" s="197"/>
      <c r="O1329" s="197"/>
    </row>
    <row r="1330" spans="1:15" hidden="1">
      <c r="A1330" s="189" t="s">
        <v>137</v>
      </c>
      <c r="B1330" s="189" t="s">
        <v>138</v>
      </c>
      <c r="C1330" s="189" t="s">
        <v>271</v>
      </c>
      <c r="D1330" s="189" t="s">
        <v>278</v>
      </c>
      <c r="E1330" s="189" t="s">
        <v>1666</v>
      </c>
      <c r="F1330" s="189" t="s">
        <v>261</v>
      </c>
      <c r="G1330" s="258">
        <v>-694</v>
      </c>
      <c r="H1330" s="260">
        <v>-694</v>
      </c>
      <c r="I1330" s="198" t="s">
        <v>101</v>
      </c>
      <c r="J1330" s="189" t="s">
        <v>206</v>
      </c>
      <c r="K1330" s="188"/>
      <c r="L1330" s="197"/>
      <c r="M1330" s="197"/>
      <c r="N1330" s="197"/>
      <c r="O1330" s="197"/>
    </row>
    <row r="1331" spans="1:15" ht="25.5" hidden="1">
      <c r="A1331" s="235" t="s">
        <v>137</v>
      </c>
      <c r="B1331" s="236" t="s">
        <v>138</v>
      </c>
      <c r="C1331" s="237" t="s">
        <v>287</v>
      </c>
      <c r="D1331" s="237" t="s">
        <v>1667</v>
      </c>
      <c r="E1331" s="238" t="s">
        <v>1668</v>
      </c>
      <c r="F1331" s="239" t="s">
        <v>261</v>
      </c>
      <c r="G1331" s="240">
        <v>-444.95</v>
      </c>
      <c r="H1331" s="240">
        <v>-444.95</v>
      </c>
      <c r="I1331" s="235" t="s">
        <v>290</v>
      </c>
      <c r="J1331" s="235" t="s">
        <v>293</v>
      </c>
      <c r="K1331" s="235"/>
      <c r="L1331" s="197"/>
      <c r="M1331" s="197"/>
      <c r="N1331" s="197"/>
      <c r="O1331" s="197"/>
    </row>
    <row r="1332" spans="1:15" ht="25.5" hidden="1">
      <c r="A1332" s="235" t="s">
        <v>137</v>
      </c>
      <c r="B1332" s="236" t="s">
        <v>138</v>
      </c>
      <c r="C1332" s="237" t="s">
        <v>287</v>
      </c>
      <c r="D1332" s="237" t="s">
        <v>1669</v>
      </c>
      <c r="E1332" s="238" t="s">
        <v>1670</v>
      </c>
      <c r="F1332" s="239" t="s">
        <v>261</v>
      </c>
      <c r="G1332" s="240">
        <v>-420</v>
      </c>
      <c r="H1332" s="240">
        <v>-420</v>
      </c>
      <c r="I1332" s="235" t="s">
        <v>290</v>
      </c>
      <c r="J1332" s="235" t="s">
        <v>293</v>
      </c>
      <c r="K1332" s="235"/>
      <c r="L1332" s="197"/>
      <c r="M1332" s="197"/>
      <c r="N1332" s="197"/>
      <c r="O1332" s="197"/>
    </row>
    <row r="1333" spans="1:15" hidden="1">
      <c r="A1333" s="235" t="s">
        <v>137</v>
      </c>
      <c r="B1333" s="236" t="s">
        <v>138</v>
      </c>
      <c r="C1333" s="237" t="s">
        <v>308</v>
      </c>
      <c r="D1333" s="237" t="s">
        <v>1121</v>
      </c>
      <c r="E1333" s="238" t="s">
        <v>1671</v>
      </c>
      <c r="F1333" s="239" t="s">
        <v>261</v>
      </c>
      <c r="G1333" s="240">
        <v>-234.32</v>
      </c>
      <c r="H1333" s="240">
        <v>-234.32</v>
      </c>
      <c r="I1333" s="235" t="s">
        <v>290</v>
      </c>
      <c r="J1333" s="235" t="s">
        <v>293</v>
      </c>
      <c r="K1333" s="235"/>
      <c r="L1333" s="197"/>
      <c r="M1333" s="197"/>
      <c r="N1333" s="197"/>
      <c r="O1333" s="197"/>
    </row>
    <row r="1334" spans="1:15" hidden="1">
      <c r="A1334" s="189" t="s">
        <v>137</v>
      </c>
      <c r="B1334" s="189" t="s">
        <v>138</v>
      </c>
      <c r="C1334" s="189" t="s">
        <v>313</v>
      </c>
      <c r="D1334" s="189" t="s">
        <v>157</v>
      </c>
      <c r="E1334" s="189" t="s">
        <v>1672</v>
      </c>
      <c r="F1334" s="189" t="s">
        <v>261</v>
      </c>
      <c r="G1334" s="258">
        <v>-10200</v>
      </c>
      <c r="H1334" s="260">
        <v>-10200</v>
      </c>
      <c r="I1334" s="215" t="s">
        <v>53</v>
      </c>
      <c r="J1334" s="189" t="s">
        <v>159</v>
      </c>
      <c r="K1334" s="188"/>
      <c r="L1334" s="197"/>
      <c r="M1334" s="197"/>
      <c r="N1334" s="197"/>
      <c r="O1334" s="197"/>
    </row>
    <row r="1335" spans="1:15" hidden="1">
      <c r="A1335" s="189" t="s">
        <v>137</v>
      </c>
      <c r="B1335" s="189" t="s">
        <v>138</v>
      </c>
      <c r="C1335" s="189" t="s">
        <v>313</v>
      </c>
      <c r="D1335" s="189" t="s">
        <v>232</v>
      </c>
      <c r="E1335" s="189" t="s">
        <v>1673</v>
      </c>
      <c r="F1335" s="189" t="s">
        <v>261</v>
      </c>
      <c r="G1335" s="258">
        <v>-400</v>
      </c>
      <c r="H1335" s="260">
        <v>-400</v>
      </c>
      <c r="I1335" s="198" t="s">
        <v>61</v>
      </c>
      <c r="J1335" s="189" t="s">
        <v>316</v>
      </c>
      <c r="K1335" s="188"/>
      <c r="L1335" s="197"/>
      <c r="M1335" s="197"/>
      <c r="N1335" s="197"/>
      <c r="O1335" s="197"/>
    </row>
    <row r="1336" spans="1:15" hidden="1">
      <c r="A1336" s="189" t="s">
        <v>232</v>
      </c>
      <c r="B1336" s="189" t="s">
        <v>138</v>
      </c>
      <c r="C1336" s="189" t="s">
        <v>313</v>
      </c>
      <c r="D1336" s="189" t="s">
        <v>333</v>
      </c>
      <c r="E1336" s="189" t="s">
        <v>1674</v>
      </c>
      <c r="F1336" s="189" t="s">
        <v>261</v>
      </c>
      <c r="G1336" s="258">
        <v>-26.5</v>
      </c>
      <c r="H1336" s="260">
        <v>-26.5</v>
      </c>
      <c r="I1336" s="198" t="s">
        <v>61</v>
      </c>
      <c r="J1336" s="189" t="s">
        <v>316</v>
      </c>
      <c r="K1336" s="188" t="s">
        <v>128</v>
      </c>
      <c r="L1336" s="197"/>
      <c r="M1336" s="197"/>
      <c r="N1336" s="197"/>
      <c r="O1336" s="197"/>
    </row>
    <row r="1337" spans="1:15" hidden="1">
      <c r="A1337" s="189" t="s">
        <v>137</v>
      </c>
      <c r="B1337" s="189" t="s">
        <v>138</v>
      </c>
      <c r="C1337" s="189" t="s">
        <v>313</v>
      </c>
      <c r="D1337" s="189" t="s">
        <v>336</v>
      </c>
      <c r="E1337" s="189" t="s">
        <v>1675</v>
      </c>
      <c r="F1337" s="189" t="s">
        <v>261</v>
      </c>
      <c r="G1337" s="258">
        <v>-200</v>
      </c>
      <c r="H1337" s="260">
        <v>-200</v>
      </c>
      <c r="I1337" s="198" t="s">
        <v>61</v>
      </c>
      <c r="J1337" s="189" t="s">
        <v>316</v>
      </c>
      <c r="K1337" s="188" t="s">
        <v>128</v>
      </c>
      <c r="L1337" s="197"/>
      <c r="M1337" s="197"/>
      <c r="N1337" s="197"/>
      <c r="O1337" s="197"/>
    </row>
    <row r="1338" spans="1:15" hidden="1">
      <c r="A1338" s="189" t="s">
        <v>137</v>
      </c>
      <c r="B1338" s="189" t="s">
        <v>138</v>
      </c>
      <c r="C1338" s="189" t="s">
        <v>339</v>
      </c>
      <c r="D1338" s="189" t="s">
        <v>340</v>
      </c>
      <c r="E1338" s="189" t="s">
        <v>1676</v>
      </c>
      <c r="F1338" s="189" t="s">
        <v>261</v>
      </c>
      <c r="G1338" s="258">
        <v>-587.77</v>
      </c>
      <c r="H1338" s="260">
        <v>-587.77</v>
      </c>
      <c r="I1338" s="188" t="s">
        <v>88</v>
      </c>
      <c r="J1338" s="189" t="s">
        <v>206</v>
      </c>
      <c r="K1338" s="188"/>
      <c r="L1338" s="197"/>
      <c r="M1338" s="197"/>
      <c r="N1338" s="197"/>
      <c r="O1338" s="197"/>
    </row>
    <row r="1339" spans="1:15" hidden="1">
      <c r="A1339" s="189" t="s">
        <v>137</v>
      </c>
      <c r="B1339" s="189" t="s">
        <v>138</v>
      </c>
      <c r="C1339" s="189" t="s">
        <v>100</v>
      </c>
      <c r="D1339" s="189" t="s">
        <v>398</v>
      </c>
      <c r="E1339" s="189" t="s">
        <v>1677</v>
      </c>
      <c r="F1339" s="189" t="s">
        <v>261</v>
      </c>
      <c r="G1339" s="258">
        <v>-147</v>
      </c>
      <c r="H1339" s="260">
        <v>-147</v>
      </c>
      <c r="I1339" s="215" t="s">
        <v>100</v>
      </c>
      <c r="J1339" s="189" t="s">
        <v>143</v>
      </c>
      <c r="K1339" s="188"/>
      <c r="L1339" s="197"/>
      <c r="M1339" s="197"/>
      <c r="N1339" s="197"/>
      <c r="O1339" s="197"/>
    </row>
    <row r="1340" spans="1:15" hidden="1">
      <c r="A1340" s="189" t="s">
        <v>137</v>
      </c>
      <c r="B1340" s="189" t="s">
        <v>138</v>
      </c>
      <c r="C1340" s="189" t="s">
        <v>100</v>
      </c>
      <c r="D1340" s="189" t="s">
        <v>1678</v>
      </c>
      <c r="E1340" s="189" t="s">
        <v>1679</v>
      </c>
      <c r="F1340" s="189" t="s">
        <v>261</v>
      </c>
      <c r="G1340" s="258">
        <v>-25000</v>
      </c>
      <c r="H1340" s="260">
        <v>-25000</v>
      </c>
      <c r="I1340" s="215" t="s">
        <v>100</v>
      </c>
      <c r="J1340" s="189" t="s">
        <v>422</v>
      </c>
      <c r="K1340" s="188" t="s">
        <v>128</v>
      </c>
      <c r="L1340" s="197"/>
      <c r="M1340" s="197"/>
      <c r="N1340" s="197"/>
      <c r="O1340" s="197"/>
    </row>
    <row r="1341" spans="1:15" hidden="1">
      <c r="A1341" s="189" t="s">
        <v>137</v>
      </c>
      <c r="B1341" s="189" t="s">
        <v>138</v>
      </c>
      <c r="C1341" s="189" t="s">
        <v>349</v>
      </c>
      <c r="D1341" s="189" t="s">
        <v>350</v>
      </c>
      <c r="E1341" s="189" t="s">
        <v>1680</v>
      </c>
      <c r="F1341" s="189" t="s">
        <v>261</v>
      </c>
      <c r="G1341" s="258">
        <v>-92.65</v>
      </c>
      <c r="H1341" s="260">
        <v>-92.65</v>
      </c>
      <c r="I1341" s="215" t="s">
        <v>100</v>
      </c>
      <c r="J1341" s="189" t="s">
        <v>143</v>
      </c>
      <c r="K1341" s="188" t="s">
        <v>128</v>
      </c>
      <c r="L1341" s="197"/>
      <c r="M1341" s="197"/>
      <c r="N1341" s="197"/>
      <c r="O1341" s="197"/>
    </row>
    <row r="1342" spans="1:15" hidden="1">
      <c r="A1342" s="189" t="s">
        <v>137</v>
      </c>
      <c r="B1342" s="189" t="s">
        <v>138</v>
      </c>
      <c r="C1342" s="189" t="s">
        <v>349</v>
      </c>
      <c r="D1342" s="189" t="s">
        <v>356</v>
      </c>
      <c r="E1342" s="189" t="s">
        <v>1681</v>
      </c>
      <c r="F1342" s="189" t="s">
        <v>261</v>
      </c>
      <c r="G1342" s="258">
        <v>-119</v>
      </c>
      <c r="H1342" s="260">
        <v>-119</v>
      </c>
      <c r="I1342" s="215" t="s">
        <v>100</v>
      </c>
      <c r="J1342" s="189" t="s">
        <v>143</v>
      </c>
      <c r="K1342" s="188" t="s">
        <v>128</v>
      </c>
      <c r="L1342" s="197"/>
      <c r="M1342" s="197"/>
      <c r="N1342" s="197"/>
      <c r="O1342" s="197"/>
    </row>
    <row r="1343" spans="1:15" hidden="1">
      <c r="A1343" s="189" t="s">
        <v>137</v>
      </c>
      <c r="B1343" s="189" t="s">
        <v>138</v>
      </c>
      <c r="C1343" s="189" t="s">
        <v>139</v>
      </c>
      <c r="D1343" s="189" t="s">
        <v>1682</v>
      </c>
      <c r="E1343" s="189" t="s">
        <v>1683</v>
      </c>
      <c r="F1343" s="189" t="s">
        <v>265</v>
      </c>
      <c r="G1343" s="260">
        <v>-50</v>
      </c>
      <c r="H1343" s="260">
        <v>-50</v>
      </c>
      <c r="I1343" s="198" t="s">
        <v>84</v>
      </c>
      <c r="J1343" s="189" t="s">
        <v>143</v>
      </c>
      <c r="K1343" s="188" t="s">
        <v>361</v>
      </c>
      <c r="L1343" s="197"/>
      <c r="M1343" s="197"/>
      <c r="N1343" s="197"/>
      <c r="O1343" s="197"/>
    </row>
    <row r="1344" spans="1:15" hidden="1">
      <c r="A1344" s="189" t="s">
        <v>137</v>
      </c>
      <c r="B1344" s="189" t="s">
        <v>138</v>
      </c>
      <c r="C1344" s="189" t="s">
        <v>349</v>
      </c>
      <c r="D1344" s="189" t="s">
        <v>1684</v>
      </c>
      <c r="E1344" s="189" t="s">
        <v>1685</v>
      </c>
      <c r="F1344" s="189" t="s">
        <v>261</v>
      </c>
      <c r="G1344" s="258">
        <v>-2590</v>
      </c>
      <c r="H1344" s="260">
        <v>-2590</v>
      </c>
      <c r="I1344" s="215" t="s">
        <v>100</v>
      </c>
      <c r="J1344" s="189" t="s">
        <v>143</v>
      </c>
      <c r="K1344" s="188" t="s">
        <v>128</v>
      </c>
      <c r="L1344" s="197"/>
      <c r="M1344" s="197"/>
      <c r="N1344" s="197"/>
      <c r="O1344" s="197"/>
    </row>
    <row r="1345" spans="1:15" hidden="1">
      <c r="A1345" s="189" t="s">
        <v>137</v>
      </c>
      <c r="B1345" s="189" t="s">
        <v>138</v>
      </c>
      <c r="C1345" s="189" t="s">
        <v>93</v>
      </c>
      <c r="D1345" s="189" t="s">
        <v>364</v>
      </c>
      <c r="E1345" s="189" t="s">
        <v>1686</v>
      </c>
      <c r="F1345" s="189" t="s">
        <v>261</v>
      </c>
      <c r="G1345" s="258">
        <v>-1052.6400000000001</v>
      </c>
      <c r="H1345" s="260">
        <v>-1052.6400000000001</v>
      </c>
      <c r="I1345" s="215" t="s">
        <v>93</v>
      </c>
      <c r="J1345" s="189" t="s">
        <v>164</v>
      </c>
      <c r="K1345" s="188"/>
      <c r="L1345" s="197"/>
      <c r="M1345" s="197"/>
      <c r="N1345" s="197"/>
      <c r="O1345" s="197"/>
    </row>
    <row r="1346" spans="1:15" hidden="1">
      <c r="A1346" s="189" t="s">
        <v>232</v>
      </c>
      <c r="B1346" s="189" t="s">
        <v>138</v>
      </c>
      <c r="C1346" s="189" t="s">
        <v>93</v>
      </c>
      <c r="D1346" s="189" t="s">
        <v>364</v>
      </c>
      <c r="E1346" s="189" t="s">
        <v>1687</v>
      </c>
      <c r="F1346" s="189" t="s">
        <v>261</v>
      </c>
      <c r="G1346" s="258">
        <v>-122.4</v>
      </c>
      <c r="H1346" s="260">
        <v>-122.4</v>
      </c>
      <c r="I1346" s="215" t="s">
        <v>93</v>
      </c>
      <c r="J1346" s="189" t="s">
        <v>164</v>
      </c>
      <c r="K1346" s="188" t="s">
        <v>128</v>
      </c>
      <c r="L1346" s="197"/>
      <c r="M1346" s="197"/>
      <c r="N1346" s="197"/>
      <c r="O1346" s="197"/>
    </row>
    <row r="1347" spans="1:15" hidden="1">
      <c r="A1347" s="189" t="s">
        <v>232</v>
      </c>
      <c r="B1347" s="189" t="s">
        <v>138</v>
      </c>
      <c r="C1347" s="189" t="s">
        <v>93</v>
      </c>
      <c r="D1347" s="189" t="s">
        <v>372</v>
      </c>
      <c r="E1347" s="189" t="s">
        <v>1688</v>
      </c>
      <c r="F1347" s="189" t="s">
        <v>261</v>
      </c>
      <c r="G1347" s="258">
        <v>-2647.76</v>
      </c>
      <c r="H1347" s="260">
        <v>-2647.76</v>
      </c>
      <c r="I1347" s="215" t="s">
        <v>93</v>
      </c>
      <c r="J1347" s="189" t="s">
        <v>164</v>
      </c>
      <c r="K1347" s="188"/>
      <c r="L1347" s="197"/>
      <c r="M1347" s="197"/>
      <c r="N1347" s="197"/>
      <c r="O1347" s="197"/>
    </row>
    <row r="1348" spans="1:15" hidden="1">
      <c r="A1348" s="189" t="s">
        <v>137</v>
      </c>
      <c r="B1348" s="189" t="s">
        <v>138</v>
      </c>
      <c r="C1348" s="189" t="s">
        <v>93</v>
      </c>
      <c r="D1348" s="189" t="s">
        <v>372</v>
      </c>
      <c r="E1348" s="189" t="s">
        <v>1689</v>
      </c>
      <c r="F1348" s="189" t="s">
        <v>261</v>
      </c>
      <c r="G1348" s="258">
        <v>-2144.65</v>
      </c>
      <c r="H1348" s="260">
        <v>-2144.65</v>
      </c>
      <c r="I1348" s="215" t="s">
        <v>93</v>
      </c>
      <c r="J1348" s="189" t="s">
        <v>164</v>
      </c>
      <c r="K1348" s="188"/>
      <c r="L1348" s="197"/>
      <c r="M1348" s="197"/>
      <c r="N1348" s="197"/>
      <c r="O1348" s="197"/>
    </row>
    <row r="1349" spans="1:15" hidden="1">
      <c r="A1349" s="189" t="s">
        <v>137</v>
      </c>
      <c r="B1349" s="189" t="s">
        <v>138</v>
      </c>
      <c r="C1349" s="189" t="s">
        <v>93</v>
      </c>
      <c r="D1349" s="189" t="s">
        <v>372</v>
      </c>
      <c r="E1349" s="189" t="s">
        <v>1690</v>
      </c>
      <c r="F1349" s="189" t="s">
        <v>261</v>
      </c>
      <c r="G1349" s="258">
        <v>-800</v>
      </c>
      <c r="H1349" s="260">
        <v>-800</v>
      </c>
      <c r="I1349" s="215" t="s">
        <v>93</v>
      </c>
      <c r="J1349" s="189" t="s">
        <v>164</v>
      </c>
      <c r="K1349" s="188"/>
      <c r="L1349" s="197"/>
      <c r="M1349" s="197"/>
      <c r="N1349" s="197"/>
      <c r="O1349" s="197"/>
    </row>
    <row r="1350" spans="1:15" hidden="1">
      <c r="A1350" s="189" t="s">
        <v>137</v>
      </c>
      <c r="B1350" s="189" t="s">
        <v>138</v>
      </c>
      <c r="C1350" s="189" t="s">
        <v>93</v>
      </c>
      <c r="D1350" s="189" t="s">
        <v>372</v>
      </c>
      <c r="E1350" s="189" t="s">
        <v>1691</v>
      </c>
      <c r="F1350" s="189" t="s">
        <v>261</v>
      </c>
      <c r="G1350" s="258">
        <v>-130</v>
      </c>
      <c r="H1350" s="260">
        <v>-130</v>
      </c>
      <c r="I1350" s="215" t="s">
        <v>93</v>
      </c>
      <c r="J1350" s="189" t="s">
        <v>164</v>
      </c>
      <c r="K1350" s="188"/>
      <c r="L1350" s="197"/>
      <c r="M1350" s="197"/>
      <c r="N1350" s="197"/>
      <c r="O1350" s="197"/>
    </row>
    <row r="1351" spans="1:15" ht="25.5" hidden="1">
      <c r="A1351" s="199" t="s">
        <v>243</v>
      </c>
      <c r="B1351" s="199" t="s">
        <v>138</v>
      </c>
      <c r="C1351" s="199" t="s">
        <v>96</v>
      </c>
      <c r="D1351" s="199" t="s">
        <v>1657</v>
      </c>
      <c r="E1351" s="205" t="s">
        <v>1692</v>
      </c>
      <c r="F1351" s="205" t="s">
        <v>142</v>
      </c>
      <c r="G1351" s="225">
        <f>-(1*249.85+3*188.19)</f>
        <v>-814.42</v>
      </c>
      <c r="H1351" s="226">
        <v>-5386.3</v>
      </c>
      <c r="I1351" s="188" t="s">
        <v>96</v>
      </c>
      <c r="J1351" s="250" t="s">
        <v>164</v>
      </c>
      <c r="K1351" s="188" t="s">
        <v>1659</v>
      </c>
      <c r="L1351" s="197"/>
      <c r="M1351" s="197"/>
      <c r="N1351" s="197"/>
      <c r="O1351" s="197"/>
    </row>
    <row r="1352" spans="1:15" hidden="1">
      <c r="A1352" s="189" t="s">
        <v>137</v>
      </c>
      <c r="B1352" s="189" t="s">
        <v>138</v>
      </c>
      <c r="C1352" s="189" t="s">
        <v>83</v>
      </c>
      <c r="D1352" s="189" t="s">
        <v>157</v>
      </c>
      <c r="E1352" s="189" t="s">
        <v>1693</v>
      </c>
      <c r="F1352" s="189" t="s">
        <v>261</v>
      </c>
      <c r="G1352" s="258">
        <v>-6750</v>
      </c>
      <c r="H1352" s="260">
        <v>-6750</v>
      </c>
      <c r="I1352" s="215" t="s">
        <v>83</v>
      </c>
      <c r="J1352" s="189" t="s">
        <v>159</v>
      </c>
      <c r="K1352" s="188" t="s">
        <v>195</v>
      </c>
      <c r="L1352" s="197"/>
      <c r="M1352" s="197"/>
      <c r="N1352" s="197"/>
      <c r="O1352" s="197"/>
    </row>
    <row r="1353" spans="1:15" hidden="1">
      <c r="A1353" s="189" t="s">
        <v>232</v>
      </c>
      <c r="B1353" s="189" t="s">
        <v>138</v>
      </c>
      <c r="C1353" s="189" t="s">
        <v>83</v>
      </c>
      <c r="D1353" s="189" t="s">
        <v>393</v>
      </c>
      <c r="E1353" s="189" t="s">
        <v>1694</v>
      </c>
      <c r="F1353" s="189" t="s">
        <v>261</v>
      </c>
      <c r="G1353" s="258">
        <v>-450</v>
      </c>
      <c r="H1353" s="260">
        <v>-450</v>
      </c>
      <c r="I1353" s="215" t="s">
        <v>83</v>
      </c>
      <c r="J1353" s="189" t="s">
        <v>164</v>
      </c>
      <c r="K1353" s="188" t="s">
        <v>195</v>
      </c>
      <c r="L1353" s="197"/>
      <c r="M1353" s="197"/>
      <c r="N1353" s="197"/>
      <c r="O1353" s="197"/>
    </row>
    <row r="1354" spans="1:15" hidden="1">
      <c r="A1354" s="189" t="s">
        <v>137</v>
      </c>
      <c r="B1354" s="189" t="s">
        <v>138</v>
      </c>
      <c r="C1354" s="189" t="s">
        <v>517</v>
      </c>
      <c r="D1354" s="189" t="s">
        <v>157</v>
      </c>
      <c r="E1354" s="189" t="s">
        <v>1693</v>
      </c>
      <c r="F1354" s="189" t="s">
        <v>261</v>
      </c>
      <c r="G1354" s="258">
        <v>-3250</v>
      </c>
      <c r="H1354" s="260">
        <v>-3250</v>
      </c>
      <c r="I1354" s="215" t="s">
        <v>83</v>
      </c>
      <c r="J1354" s="189" t="s">
        <v>159</v>
      </c>
      <c r="K1354" s="213"/>
      <c r="L1354" s="197"/>
      <c r="M1354" s="197"/>
      <c r="N1354" s="197"/>
      <c r="O1354" s="197"/>
    </row>
    <row r="1355" spans="1:15" hidden="1">
      <c r="A1355" s="189" t="s">
        <v>137</v>
      </c>
      <c r="B1355" s="189" t="s">
        <v>138</v>
      </c>
      <c r="C1355" s="189" t="s">
        <v>109</v>
      </c>
      <c r="D1355" s="189" t="s">
        <v>426</v>
      </c>
      <c r="E1355" s="189" t="s">
        <v>1695</v>
      </c>
      <c r="F1355" s="189" t="s">
        <v>261</v>
      </c>
      <c r="G1355" s="258">
        <v>-124.7</v>
      </c>
      <c r="H1355" s="260">
        <v>-124.7</v>
      </c>
      <c r="I1355" s="215" t="s">
        <v>109</v>
      </c>
      <c r="J1355" s="189" t="s">
        <v>206</v>
      </c>
      <c r="K1355" s="213"/>
      <c r="L1355" s="197"/>
      <c r="M1355" s="197"/>
      <c r="N1355" s="197"/>
      <c r="O1355" s="197"/>
    </row>
    <row r="1356" spans="1:15" hidden="1">
      <c r="A1356" s="189" t="s">
        <v>137</v>
      </c>
      <c r="B1356" s="189" t="s">
        <v>138</v>
      </c>
      <c r="C1356" s="189" t="s">
        <v>89</v>
      </c>
      <c r="D1356" s="189" t="s">
        <v>433</v>
      </c>
      <c r="E1356" s="189" t="s">
        <v>1696</v>
      </c>
      <c r="F1356" s="189" t="s">
        <v>261</v>
      </c>
      <c r="G1356" s="258">
        <v>-2448.71</v>
      </c>
      <c r="H1356" s="260">
        <v>-2448.71</v>
      </c>
      <c r="I1356" s="188" t="s">
        <v>89</v>
      </c>
      <c r="J1356" s="189" t="s">
        <v>246</v>
      </c>
      <c r="K1356" s="188"/>
      <c r="L1356" s="197"/>
      <c r="M1356" s="197"/>
      <c r="N1356" s="197"/>
      <c r="O1356" s="197"/>
    </row>
    <row r="1357" spans="1:15" ht="25.5" hidden="1">
      <c r="A1357" s="235" t="s">
        <v>137</v>
      </c>
      <c r="B1357" s="236" t="s">
        <v>138</v>
      </c>
      <c r="C1357" s="237" t="s">
        <v>438</v>
      </c>
      <c r="D1357" s="237" t="s">
        <v>439</v>
      </c>
      <c r="E1357" s="238" t="s">
        <v>1697</v>
      </c>
      <c r="F1357" s="239" t="s">
        <v>261</v>
      </c>
      <c r="G1357" s="240">
        <v>-574.9</v>
      </c>
      <c r="H1357" s="240">
        <v>-574.9</v>
      </c>
      <c r="I1357" s="235" t="s">
        <v>290</v>
      </c>
      <c r="J1357" s="235" t="s">
        <v>293</v>
      </c>
      <c r="K1357" s="235"/>
      <c r="L1357" s="197"/>
      <c r="M1357" s="197"/>
      <c r="N1357" s="197"/>
      <c r="O1357" s="197"/>
    </row>
    <row r="1358" spans="1:15" ht="25.5" hidden="1">
      <c r="A1358" s="235" t="s">
        <v>137</v>
      </c>
      <c r="B1358" s="236" t="s">
        <v>138</v>
      </c>
      <c r="C1358" s="237" t="s">
        <v>438</v>
      </c>
      <c r="D1358" s="237" t="s">
        <v>439</v>
      </c>
      <c r="E1358" s="238" t="s">
        <v>1698</v>
      </c>
      <c r="F1358" s="255" t="s">
        <v>265</v>
      </c>
      <c r="G1358" s="240">
        <v>-574.9</v>
      </c>
      <c r="H1358" s="240">
        <v>-574.9</v>
      </c>
      <c r="I1358" s="235" t="s">
        <v>290</v>
      </c>
      <c r="J1358" s="235" t="s">
        <v>293</v>
      </c>
      <c r="K1358" s="235"/>
      <c r="L1358" s="197"/>
      <c r="M1358" s="197"/>
      <c r="N1358" s="197"/>
      <c r="O1358" s="197"/>
    </row>
    <row r="1359" spans="1:15" hidden="1">
      <c r="A1359" s="189" t="s">
        <v>137</v>
      </c>
      <c r="B1359" s="189" t="s">
        <v>138</v>
      </c>
      <c r="C1359" s="189" t="s">
        <v>99</v>
      </c>
      <c r="D1359" s="189" t="s">
        <v>446</v>
      </c>
      <c r="E1359" s="189" t="s">
        <v>1699</v>
      </c>
      <c r="F1359" s="189" t="s">
        <v>261</v>
      </c>
      <c r="G1359" s="258">
        <v>-367.21</v>
      </c>
      <c r="H1359" s="260">
        <v>-376</v>
      </c>
      <c r="I1359" s="215" t="s">
        <v>99</v>
      </c>
      <c r="J1359" s="189" t="s">
        <v>143</v>
      </c>
      <c r="K1359" s="188"/>
      <c r="L1359" s="197"/>
      <c r="M1359" s="197"/>
      <c r="N1359" s="197"/>
      <c r="O1359" s="197"/>
    </row>
    <row r="1360" spans="1:15" hidden="1">
      <c r="A1360" s="189" t="s">
        <v>137</v>
      </c>
      <c r="B1360" s="189" t="s">
        <v>138</v>
      </c>
      <c r="C1360" s="189" t="s">
        <v>452</v>
      </c>
      <c r="D1360" s="189" t="s">
        <v>455</v>
      </c>
      <c r="E1360" s="189" t="s">
        <v>1700</v>
      </c>
      <c r="F1360" s="189" t="s">
        <v>261</v>
      </c>
      <c r="G1360" s="258">
        <v>-32</v>
      </c>
      <c r="H1360" s="260">
        <v>-32</v>
      </c>
      <c r="I1360" s="215" t="s">
        <v>99</v>
      </c>
      <c r="J1360" s="189" t="s">
        <v>164</v>
      </c>
      <c r="K1360" s="213"/>
      <c r="L1360" s="197"/>
      <c r="M1360" s="197"/>
      <c r="N1360" s="197"/>
      <c r="O1360" s="197"/>
    </row>
    <row r="1361" spans="1:15" hidden="1">
      <c r="A1361" s="189" t="s">
        <v>137</v>
      </c>
      <c r="B1361" s="189" t="s">
        <v>138</v>
      </c>
      <c r="C1361" s="189" t="s">
        <v>452</v>
      </c>
      <c r="D1361" s="189" t="s">
        <v>455</v>
      </c>
      <c r="E1361" s="189" t="s">
        <v>1701</v>
      </c>
      <c r="F1361" s="189" t="s">
        <v>261</v>
      </c>
      <c r="G1361" s="258">
        <v>-18</v>
      </c>
      <c r="H1361" s="260">
        <v>-18</v>
      </c>
      <c r="I1361" s="215" t="s">
        <v>99</v>
      </c>
      <c r="J1361" s="189" t="s">
        <v>164</v>
      </c>
      <c r="K1361" s="188" t="s">
        <v>128</v>
      </c>
      <c r="L1361" s="197"/>
      <c r="M1361" s="197"/>
      <c r="N1361" s="197"/>
      <c r="O1361" s="197"/>
    </row>
    <row r="1362" spans="1:15" hidden="1">
      <c r="A1362" s="189" t="s">
        <v>137</v>
      </c>
      <c r="B1362" s="189" t="s">
        <v>138</v>
      </c>
      <c r="C1362" s="189" t="s">
        <v>452</v>
      </c>
      <c r="D1362" s="189" t="s">
        <v>1702</v>
      </c>
      <c r="E1362" s="189" t="s">
        <v>1703</v>
      </c>
      <c r="F1362" s="189" t="s">
        <v>261</v>
      </c>
      <c r="G1362" s="258">
        <v>-185.38</v>
      </c>
      <c r="H1362" s="260">
        <v>-185.38</v>
      </c>
      <c r="I1362" s="215" t="s">
        <v>99</v>
      </c>
      <c r="J1362" s="189" t="s">
        <v>143</v>
      </c>
      <c r="K1362" s="188" t="s">
        <v>128</v>
      </c>
      <c r="L1362" s="197"/>
      <c r="M1362" s="197"/>
      <c r="N1362" s="197"/>
      <c r="O1362" s="197"/>
    </row>
    <row r="1363" spans="1:15" hidden="1">
      <c r="A1363" s="189" t="s">
        <v>137</v>
      </c>
      <c r="B1363" s="189" t="s">
        <v>138</v>
      </c>
      <c r="C1363" s="189" t="s">
        <v>452</v>
      </c>
      <c r="D1363" s="189" t="s">
        <v>201</v>
      </c>
      <c r="E1363" s="189" t="s">
        <v>1704</v>
      </c>
      <c r="F1363" s="189" t="s">
        <v>261</v>
      </c>
      <c r="G1363" s="258">
        <v>-27.21</v>
      </c>
      <c r="H1363" s="260">
        <v>-27.21</v>
      </c>
      <c r="I1363" s="215" t="s">
        <v>99</v>
      </c>
      <c r="J1363" s="189" t="s">
        <v>143</v>
      </c>
      <c r="K1363" s="188"/>
      <c r="L1363" s="197"/>
      <c r="M1363" s="197"/>
      <c r="N1363" s="197"/>
      <c r="O1363" s="197"/>
    </row>
    <row r="1364" spans="1:15" hidden="1">
      <c r="A1364" s="189" t="s">
        <v>137</v>
      </c>
      <c r="B1364" s="189" t="s">
        <v>138</v>
      </c>
      <c r="C1364" s="189" t="s">
        <v>452</v>
      </c>
      <c r="D1364" s="189" t="s">
        <v>201</v>
      </c>
      <c r="E1364" s="189" t="s">
        <v>1705</v>
      </c>
      <c r="F1364" s="189" t="s">
        <v>261</v>
      </c>
      <c r="G1364" s="258">
        <v>-12.67</v>
      </c>
      <c r="H1364" s="260">
        <v>-12.67</v>
      </c>
      <c r="I1364" s="215" t="s">
        <v>99</v>
      </c>
      <c r="J1364" s="189" t="s">
        <v>143</v>
      </c>
      <c r="K1364" s="188"/>
      <c r="L1364" s="197"/>
      <c r="M1364" s="197"/>
      <c r="N1364" s="197"/>
      <c r="O1364" s="197"/>
    </row>
    <row r="1365" spans="1:15" hidden="1">
      <c r="A1365" s="189" t="s">
        <v>137</v>
      </c>
      <c r="B1365" s="189" t="s">
        <v>138</v>
      </c>
      <c r="C1365" s="189" t="s">
        <v>491</v>
      </c>
      <c r="D1365" s="189" t="s">
        <v>655</v>
      </c>
      <c r="E1365" s="189" t="s">
        <v>1258</v>
      </c>
      <c r="F1365" s="189" t="s">
        <v>261</v>
      </c>
      <c r="G1365" s="260">
        <v>-26.74</v>
      </c>
      <c r="H1365" s="260">
        <v>-26.74</v>
      </c>
      <c r="I1365" s="215" t="s">
        <v>107</v>
      </c>
      <c r="J1365" s="189" t="s">
        <v>164</v>
      </c>
      <c r="K1365" s="188"/>
      <c r="L1365" s="197"/>
      <c r="M1365" s="197"/>
      <c r="N1365" s="197"/>
      <c r="O1365" s="197"/>
    </row>
    <row r="1366" spans="1:15" hidden="1">
      <c r="A1366" s="199" t="s">
        <v>243</v>
      </c>
      <c r="B1366" s="189" t="s">
        <v>138</v>
      </c>
      <c r="C1366" s="189" t="s">
        <v>96</v>
      </c>
      <c r="D1366" s="189" t="s">
        <v>1657</v>
      </c>
      <c r="E1366" s="189" t="s">
        <v>1706</v>
      </c>
      <c r="F1366" s="189" t="s">
        <v>261</v>
      </c>
      <c r="G1366" s="258">
        <f>-(1*249.85+3*188.19)</f>
        <v>-814.42</v>
      </c>
      <c r="H1366" s="260">
        <v>-6000</v>
      </c>
      <c r="I1366" s="198" t="s">
        <v>96</v>
      </c>
      <c r="J1366" s="250" t="s">
        <v>164</v>
      </c>
      <c r="K1366" s="188" t="s">
        <v>361</v>
      </c>
      <c r="L1366" s="197"/>
      <c r="M1366" s="197"/>
      <c r="N1366" s="197"/>
      <c r="O1366" s="197"/>
    </row>
    <row r="1367" spans="1:15" hidden="1">
      <c r="A1367" s="189" t="s">
        <v>137</v>
      </c>
      <c r="B1367" s="189" t="s">
        <v>138</v>
      </c>
      <c r="C1367" s="189" t="s">
        <v>491</v>
      </c>
      <c r="D1367" s="189" t="s">
        <v>655</v>
      </c>
      <c r="E1367" s="189" t="s">
        <v>1258</v>
      </c>
      <c r="F1367" s="189" t="s">
        <v>261</v>
      </c>
      <c r="G1367" s="260">
        <v>-0.39</v>
      </c>
      <c r="H1367" s="260">
        <v>-0.39</v>
      </c>
      <c r="I1367" s="215" t="s">
        <v>107</v>
      </c>
      <c r="J1367" s="189" t="s">
        <v>164</v>
      </c>
      <c r="K1367" s="188"/>
      <c r="L1367" s="197"/>
      <c r="M1367" s="197"/>
      <c r="N1367" s="197"/>
      <c r="O1367" s="197"/>
    </row>
    <row r="1368" spans="1:15" hidden="1">
      <c r="A1368" s="189" t="s">
        <v>137</v>
      </c>
      <c r="B1368" s="189" t="s">
        <v>138</v>
      </c>
      <c r="C1368" s="189" t="s">
        <v>491</v>
      </c>
      <c r="D1368" s="189" t="s">
        <v>655</v>
      </c>
      <c r="E1368" s="189" t="s">
        <v>1707</v>
      </c>
      <c r="F1368" s="189" t="s">
        <v>261</v>
      </c>
      <c r="G1368" s="260">
        <v>-0.12</v>
      </c>
      <c r="H1368" s="260">
        <v>-0.12</v>
      </c>
      <c r="I1368" s="215" t="s">
        <v>107</v>
      </c>
      <c r="J1368" s="189" t="s">
        <v>164</v>
      </c>
      <c r="K1368" s="188"/>
      <c r="L1368" s="197"/>
      <c r="M1368" s="197"/>
      <c r="N1368" s="197"/>
      <c r="O1368" s="197"/>
    </row>
    <row r="1369" spans="1:15" hidden="1">
      <c r="A1369" s="189" t="s">
        <v>137</v>
      </c>
      <c r="B1369" s="189" t="s">
        <v>138</v>
      </c>
      <c r="C1369" s="189" t="s">
        <v>491</v>
      </c>
      <c r="D1369" s="189" t="s">
        <v>655</v>
      </c>
      <c r="E1369" s="189" t="s">
        <v>1708</v>
      </c>
      <c r="F1369" s="189" t="s">
        <v>261</v>
      </c>
      <c r="G1369" s="260">
        <v>-0.02</v>
      </c>
      <c r="H1369" s="260">
        <v>-0.02</v>
      </c>
      <c r="I1369" s="215" t="s">
        <v>107</v>
      </c>
      <c r="J1369" s="189" t="s">
        <v>164</v>
      </c>
      <c r="K1369" s="188"/>
      <c r="L1369" s="197"/>
      <c r="M1369" s="197"/>
      <c r="N1369" s="197"/>
      <c r="O1369" s="197"/>
    </row>
    <row r="1370" spans="1:15" hidden="1">
      <c r="A1370" s="199" t="s">
        <v>232</v>
      </c>
      <c r="B1370" s="199" t="s">
        <v>138</v>
      </c>
      <c r="C1370" s="199" t="s">
        <v>501</v>
      </c>
      <c r="D1370" s="199" t="s">
        <v>655</v>
      </c>
      <c r="E1370" s="205" t="s">
        <v>1349</v>
      </c>
      <c r="F1370" s="205" t="s">
        <v>261</v>
      </c>
      <c r="G1370" s="226">
        <v>-507.85</v>
      </c>
      <c r="H1370" s="226">
        <v>-507.85</v>
      </c>
      <c r="I1370" s="198" t="s">
        <v>503</v>
      </c>
      <c r="J1370" s="198" t="s">
        <v>206</v>
      </c>
      <c r="K1370" s="188"/>
      <c r="L1370" s="197"/>
      <c r="M1370" s="197"/>
      <c r="N1370" s="197"/>
      <c r="O1370" s="197"/>
    </row>
    <row r="1371" spans="1:15" hidden="1">
      <c r="A1371" s="199" t="s">
        <v>137</v>
      </c>
      <c r="B1371" s="199" t="s">
        <v>138</v>
      </c>
      <c r="C1371" s="199" t="s">
        <v>501</v>
      </c>
      <c r="D1371" s="199" t="s">
        <v>655</v>
      </c>
      <c r="E1371" s="205" t="s">
        <v>1349</v>
      </c>
      <c r="F1371" s="205" t="s">
        <v>261</v>
      </c>
      <c r="G1371" s="226">
        <v>-49.49</v>
      </c>
      <c r="H1371" s="226">
        <v>-49.49</v>
      </c>
      <c r="I1371" s="198" t="s">
        <v>503</v>
      </c>
      <c r="J1371" s="198" t="s">
        <v>206</v>
      </c>
      <c r="K1371" s="188"/>
      <c r="L1371" s="197"/>
      <c r="M1371" s="197"/>
      <c r="N1371" s="197"/>
      <c r="O1371" s="197"/>
    </row>
    <row r="1372" spans="1:15" hidden="1">
      <c r="A1372" s="199" t="s">
        <v>243</v>
      </c>
      <c r="B1372" s="189" t="s">
        <v>138</v>
      </c>
      <c r="C1372" s="189" t="s">
        <v>96</v>
      </c>
      <c r="D1372" s="189" t="s">
        <v>1657</v>
      </c>
      <c r="E1372" s="223" t="s">
        <v>1706</v>
      </c>
      <c r="F1372" s="189" t="s">
        <v>153</v>
      </c>
      <c r="G1372" s="258">
        <f>-(1*249.85+3*188.19)</f>
        <v>-814.42</v>
      </c>
      <c r="H1372" s="260">
        <v>-5574.49</v>
      </c>
      <c r="I1372" s="198" t="s">
        <v>96</v>
      </c>
      <c r="J1372" s="198" t="s">
        <v>164</v>
      </c>
      <c r="K1372" s="188" t="s">
        <v>1659</v>
      </c>
      <c r="L1372" s="197"/>
      <c r="M1372" s="197"/>
      <c r="N1372" s="197"/>
      <c r="O1372" s="197"/>
    </row>
    <row r="1373" spans="1:15" hidden="1">
      <c r="A1373" s="199" t="s">
        <v>137</v>
      </c>
      <c r="B1373" s="199" t="s">
        <v>138</v>
      </c>
      <c r="C1373" s="199" t="s">
        <v>501</v>
      </c>
      <c r="D1373" s="199" t="s">
        <v>655</v>
      </c>
      <c r="E1373" s="205" t="s">
        <v>1349</v>
      </c>
      <c r="F1373" s="205" t="s">
        <v>261</v>
      </c>
      <c r="G1373" s="226">
        <v>-17.47</v>
      </c>
      <c r="H1373" s="226">
        <v>-17.47</v>
      </c>
      <c r="I1373" s="198" t="s">
        <v>503</v>
      </c>
      <c r="J1373" s="198" t="s">
        <v>206</v>
      </c>
      <c r="K1373" s="188"/>
      <c r="L1373" s="197"/>
      <c r="M1373" s="197"/>
      <c r="N1373" s="197"/>
      <c r="O1373" s="197"/>
    </row>
    <row r="1374" spans="1:15" hidden="1">
      <c r="A1374" s="199" t="s">
        <v>137</v>
      </c>
      <c r="B1374" s="199" t="s">
        <v>138</v>
      </c>
      <c r="C1374" s="199" t="s">
        <v>501</v>
      </c>
      <c r="D1374" s="199" t="s">
        <v>655</v>
      </c>
      <c r="E1374" s="205" t="s">
        <v>1709</v>
      </c>
      <c r="F1374" s="205" t="s">
        <v>261</v>
      </c>
      <c r="G1374" s="226">
        <v>-2.71</v>
      </c>
      <c r="H1374" s="226">
        <v>-2.71</v>
      </c>
      <c r="I1374" s="198" t="s">
        <v>503</v>
      </c>
      <c r="J1374" s="198" t="s">
        <v>206</v>
      </c>
      <c r="K1374" s="188"/>
      <c r="L1374" s="197"/>
      <c r="M1374" s="197"/>
      <c r="N1374" s="197"/>
      <c r="O1374" s="197"/>
    </row>
    <row r="1375" spans="1:15" hidden="1">
      <c r="A1375" s="195" t="s">
        <v>137</v>
      </c>
      <c r="B1375" s="190" t="s">
        <v>138</v>
      </c>
      <c r="C1375" s="191" t="s">
        <v>520</v>
      </c>
      <c r="D1375" s="191" t="s">
        <v>525</v>
      </c>
      <c r="E1375" s="191" t="s">
        <v>1710</v>
      </c>
      <c r="F1375" s="191" t="s">
        <v>261</v>
      </c>
      <c r="G1375" s="193">
        <v>-395</v>
      </c>
      <c r="H1375" s="194">
        <v>-395</v>
      </c>
      <c r="I1375" s="188" t="s">
        <v>91</v>
      </c>
      <c r="J1375" s="195" t="s">
        <v>143</v>
      </c>
      <c r="K1375" s="235"/>
      <c r="L1375" s="197"/>
      <c r="M1375" s="197"/>
      <c r="N1375" s="197"/>
      <c r="O1375" s="197"/>
    </row>
    <row r="1376" spans="1:15" hidden="1">
      <c r="A1376" s="189" t="s">
        <v>137</v>
      </c>
      <c r="B1376" s="189" t="s">
        <v>138</v>
      </c>
      <c r="C1376" s="189" t="s">
        <v>520</v>
      </c>
      <c r="D1376" s="189" t="s">
        <v>525</v>
      </c>
      <c r="E1376" s="189" t="s">
        <v>1711</v>
      </c>
      <c r="F1376" s="189" t="s">
        <v>261</v>
      </c>
      <c r="G1376" s="258">
        <v>-320</v>
      </c>
      <c r="H1376" s="260">
        <v>-320</v>
      </c>
      <c r="I1376" s="188" t="s">
        <v>91</v>
      </c>
      <c r="J1376" s="189" t="s">
        <v>143</v>
      </c>
      <c r="K1376" s="188"/>
      <c r="L1376" s="197"/>
      <c r="M1376" s="197"/>
      <c r="N1376" s="197"/>
      <c r="O1376" s="197"/>
    </row>
    <row r="1377" spans="1:15" hidden="1">
      <c r="A1377" s="189" t="s">
        <v>137</v>
      </c>
      <c r="B1377" s="189" t="s">
        <v>138</v>
      </c>
      <c r="C1377" s="189" t="s">
        <v>520</v>
      </c>
      <c r="D1377" s="189" t="s">
        <v>525</v>
      </c>
      <c r="E1377" s="189" t="s">
        <v>1712</v>
      </c>
      <c r="F1377" s="189" t="s">
        <v>261</v>
      </c>
      <c r="G1377" s="258">
        <v>-320</v>
      </c>
      <c r="H1377" s="260">
        <v>-320</v>
      </c>
      <c r="I1377" s="188" t="s">
        <v>91</v>
      </c>
      <c r="J1377" s="189" t="s">
        <v>143</v>
      </c>
      <c r="K1377" s="188"/>
      <c r="L1377" s="197"/>
      <c r="M1377" s="197"/>
      <c r="N1377" s="197"/>
      <c r="O1377" s="197"/>
    </row>
    <row r="1378" spans="1:15" hidden="1">
      <c r="A1378" s="189" t="s">
        <v>137</v>
      </c>
      <c r="B1378" s="189" t="s">
        <v>138</v>
      </c>
      <c r="C1378" s="189" t="s">
        <v>520</v>
      </c>
      <c r="D1378" s="189" t="s">
        <v>525</v>
      </c>
      <c r="E1378" s="189" t="s">
        <v>1713</v>
      </c>
      <c r="F1378" s="189" t="s">
        <v>261</v>
      </c>
      <c r="G1378" s="258">
        <v>-220</v>
      </c>
      <c r="H1378" s="260">
        <v>-220</v>
      </c>
      <c r="I1378" s="188" t="s">
        <v>91</v>
      </c>
      <c r="J1378" s="189" t="s">
        <v>143</v>
      </c>
      <c r="K1378" s="188"/>
      <c r="L1378" s="197"/>
      <c r="M1378" s="197"/>
      <c r="N1378" s="197"/>
      <c r="O1378" s="197"/>
    </row>
    <row r="1379" spans="1:15" hidden="1">
      <c r="A1379" s="189" t="s">
        <v>137</v>
      </c>
      <c r="B1379" s="189" t="s">
        <v>138</v>
      </c>
      <c r="C1379" s="189" t="s">
        <v>520</v>
      </c>
      <c r="D1379" s="189" t="s">
        <v>639</v>
      </c>
      <c r="E1379" s="189" t="s">
        <v>1714</v>
      </c>
      <c r="F1379" s="189" t="s">
        <v>261</v>
      </c>
      <c r="G1379" s="258">
        <v>-43.1</v>
      </c>
      <c r="H1379" s="260">
        <v>-43.1</v>
      </c>
      <c r="I1379" s="188" t="s">
        <v>91</v>
      </c>
      <c r="J1379" s="189" t="s">
        <v>143</v>
      </c>
      <c r="K1379" s="188"/>
      <c r="L1379" s="197"/>
      <c r="M1379" s="197"/>
      <c r="N1379" s="197"/>
      <c r="O1379" s="197"/>
    </row>
    <row r="1380" spans="1:15" hidden="1">
      <c r="A1380" s="308" t="s">
        <v>137</v>
      </c>
      <c r="B1380" s="308" t="s">
        <v>138</v>
      </c>
      <c r="C1380" s="308" t="s">
        <v>520</v>
      </c>
      <c r="D1380" s="308" t="s">
        <v>1715</v>
      </c>
      <c r="E1380" s="309" t="s">
        <v>1716</v>
      </c>
      <c r="F1380" s="263" t="s">
        <v>261</v>
      </c>
      <c r="G1380" s="310">
        <v>-980</v>
      </c>
      <c r="H1380" s="310">
        <v>-980</v>
      </c>
      <c r="I1380" s="235" t="s">
        <v>290</v>
      </c>
      <c r="J1380" s="308" t="s">
        <v>293</v>
      </c>
      <c r="K1380" s="188"/>
      <c r="L1380" s="197"/>
      <c r="M1380" s="197"/>
      <c r="N1380" s="197"/>
      <c r="O1380" s="197"/>
    </row>
    <row r="1381" spans="1:15" hidden="1">
      <c r="A1381" s="189" t="s">
        <v>137</v>
      </c>
      <c r="B1381" s="189" t="s">
        <v>138</v>
      </c>
      <c r="C1381" s="189" t="s">
        <v>61</v>
      </c>
      <c r="D1381" s="189" t="s">
        <v>1717</v>
      </c>
      <c r="E1381" s="189" t="s">
        <v>1718</v>
      </c>
      <c r="F1381" s="189" t="s">
        <v>261</v>
      </c>
      <c r="G1381" s="258">
        <v>-700</v>
      </c>
      <c r="H1381" s="260">
        <v>-700</v>
      </c>
      <c r="I1381" s="215" t="s">
        <v>61</v>
      </c>
      <c r="J1381" s="189" t="s">
        <v>316</v>
      </c>
      <c r="K1381" s="188"/>
      <c r="L1381" s="197"/>
      <c r="M1381" s="197"/>
      <c r="N1381" s="197"/>
      <c r="O1381" s="197"/>
    </row>
    <row r="1382" spans="1:15" hidden="1">
      <c r="A1382" s="189" t="s">
        <v>137</v>
      </c>
      <c r="B1382" s="189" t="s">
        <v>138</v>
      </c>
      <c r="C1382" s="189" t="s">
        <v>61</v>
      </c>
      <c r="D1382" s="189" t="s">
        <v>1717</v>
      </c>
      <c r="E1382" s="189" t="s">
        <v>1719</v>
      </c>
      <c r="F1382" s="189" t="s">
        <v>261</v>
      </c>
      <c r="G1382" s="258">
        <v>-700</v>
      </c>
      <c r="H1382" s="260">
        <v>-700</v>
      </c>
      <c r="I1382" s="215" t="s">
        <v>61</v>
      </c>
      <c r="J1382" s="189" t="s">
        <v>316</v>
      </c>
      <c r="K1382" s="188"/>
      <c r="L1382" s="197"/>
      <c r="M1382" s="197"/>
      <c r="N1382" s="197"/>
      <c r="O1382" s="197"/>
    </row>
    <row r="1383" spans="1:15" hidden="1">
      <c r="A1383" s="189" t="s">
        <v>137</v>
      </c>
      <c r="B1383" s="189" t="s">
        <v>138</v>
      </c>
      <c r="C1383" s="189" t="s">
        <v>61</v>
      </c>
      <c r="D1383" s="189" t="s">
        <v>1717</v>
      </c>
      <c r="E1383" s="189" t="s">
        <v>1720</v>
      </c>
      <c r="F1383" s="189" t="s">
        <v>261</v>
      </c>
      <c r="G1383" s="258">
        <v>-300</v>
      </c>
      <c r="H1383" s="260">
        <v>-300</v>
      </c>
      <c r="I1383" s="215" t="s">
        <v>61</v>
      </c>
      <c r="J1383" s="189" t="s">
        <v>316</v>
      </c>
      <c r="K1383" s="188"/>
      <c r="L1383" s="197"/>
      <c r="M1383" s="197"/>
      <c r="N1383" s="197"/>
      <c r="O1383" s="197"/>
    </row>
    <row r="1384" spans="1:15" hidden="1">
      <c r="A1384" s="189" t="s">
        <v>137</v>
      </c>
      <c r="B1384" s="189" t="s">
        <v>138</v>
      </c>
      <c r="C1384" s="189" t="s">
        <v>61</v>
      </c>
      <c r="D1384" s="189" t="s">
        <v>1648</v>
      </c>
      <c r="E1384" s="189" t="s">
        <v>1721</v>
      </c>
      <c r="F1384" s="189" t="s">
        <v>261</v>
      </c>
      <c r="G1384" s="258">
        <v>-12.5</v>
      </c>
      <c r="H1384" s="260">
        <v>-12.5</v>
      </c>
      <c r="I1384" s="215" t="s">
        <v>61</v>
      </c>
      <c r="J1384" s="189" t="s">
        <v>316</v>
      </c>
      <c r="K1384" s="188"/>
      <c r="L1384" s="197"/>
      <c r="M1384" s="197"/>
      <c r="N1384" s="197"/>
      <c r="O1384" s="197"/>
    </row>
    <row r="1385" spans="1:15" hidden="1">
      <c r="A1385" s="189" t="s">
        <v>137</v>
      </c>
      <c r="B1385" s="189" t="s">
        <v>138</v>
      </c>
      <c r="C1385" s="189" t="s">
        <v>61</v>
      </c>
      <c r="D1385" s="189" t="s">
        <v>1648</v>
      </c>
      <c r="E1385" s="189" t="s">
        <v>1722</v>
      </c>
      <c r="F1385" s="189" t="s">
        <v>261</v>
      </c>
      <c r="G1385" s="258">
        <v>-5</v>
      </c>
      <c r="H1385" s="260">
        <v>-5</v>
      </c>
      <c r="I1385" s="215" t="s">
        <v>61</v>
      </c>
      <c r="J1385" s="189" t="s">
        <v>316</v>
      </c>
      <c r="K1385" s="188"/>
      <c r="L1385" s="197"/>
      <c r="M1385" s="197"/>
      <c r="N1385" s="197"/>
      <c r="O1385" s="197"/>
    </row>
    <row r="1386" spans="1:15" hidden="1">
      <c r="A1386" s="189" t="s">
        <v>137</v>
      </c>
      <c r="B1386" s="189" t="s">
        <v>138</v>
      </c>
      <c r="C1386" s="189" t="s">
        <v>61</v>
      </c>
      <c r="D1386" s="189" t="s">
        <v>1648</v>
      </c>
      <c r="E1386" s="189" t="s">
        <v>1722</v>
      </c>
      <c r="F1386" s="189" t="s">
        <v>261</v>
      </c>
      <c r="G1386" s="258">
        <v>-5</v>
      </c>
      <c r="H1386" s="260">
        <v>-5</v>
      </c>
      <c r="I1386" s="215" t="s">
        <v>61</v>
      </c>
      <c r="J1386" s="189" t="s">
        <v>316</v>
      </c>
      <c r="K1386" s="188"/>
      <c r="L1386" s="197"/>
      <c r="M1386" s="197"/>
      <c r="N1386" s="197"/>
      <c r="O1386" s="197"/>
    </row>
    <row r="1387" spans="1:15" hidden="1">
      <c r="A1387" s="189" t="s">
        <v>137</v>
      </c>
      <c r="B1387" s="189" t="s">
        <v>138</v>
      </c>
      <c r="C1387" s="189" t="s">
        <v>61</v>
      </c>
      <c r="D1387" s="189" t="s">
        <v>536</v>
      </c>
      <c r="E1387" s="189" t="s">
        <v>1723</v>
      </c>
      <c r="F1387" s="189" t="s">
        <v>261</v>
      </c>
      <c r="G1387" s="258">
        <v>-1293.1199999999999</v>
      </c>
      <c r="H1387" s="260">
        <v>-1293.1199999999999</v>
      </c>
      <c r="I1387" s="215" t="s">
        <v>61</v>
      </c>
      <c r="J1387" s="189" t="s">
        <v>422</v>
      </c>
      <c r="K1387" s="188"/>
      <c r="L1387" s="197"/>
      <c r="M1387" s="197"/>
      <c r="N1387" s="197"/>
      <c r="O1387" s="197"/>
    </row>
    <row r="1388" spans="1:15" hidden="1">
      <c r="A1388" s="189" t="s">
        <v>137</v>
      </c>
      <c r="B1388" s="189" t="s">
        <v>138</v>
      </c>
      <c r="C1388" s="189" t="s">
        <v>61</v>
      </c>
      <c r="D1388" s="189" t="s">
        <v>548</v>
      </c>
      <c r="E1388" s="189" t="s">
        <v>1724</v>
      </c>
      <c r="F1388" s="189" t="s">
        <v>261</v>
      </c>
      <c r="G1388" s="258">
        <v>-35.86</v>
      </c>
      <c r="H1388" s="260">
        <v>-35.86</v>
      </c>
      <c r="I1388" s="215" t="s">
        <v>61</v>
      </c>
      <c r="J1388" s="189" t="s">
        <v>316</v>
      </c>
      <c r="K1388" s="188"/>
      <c r="L1388" s="197"/>
      <c r="M1388" s="197"/>
      <c r="N1388" s="197"/>
      <c r="O1388" s="197"/>
    </row>
    <row r="1389" spans="1:15" hidden="1">
      <c r="A1389" s="189" t="s">
        <v>137</v>
      </c>
      <c r="B1389" s="189" t="s">
        <v>138</v>
      </c>
      <c r="C1389" s="189" t="s">
        <v>61</v>
      </c>
      <c r="D1389" s="189" t="s">
        <v>550</v>
      </c>
      <c r="E1389" s="189" t="s">
        <v>551</v>
      </c>
      <c r="F1389" s="189" t="s">
        <v>261</v>
      </c>
      <c r="G1389" s="258">
        <v>-1593.15</v>
      </c>
      <c r="H1389" s="260">
        <v>-1593.15</v>
      </c>
      <c r="I1389" s="215" t="s">
        <v>61</v>
      </c>
      <c r="J1389" s="189" t="s">
        <v>198</v>
      </c>
      <c r="K1389" s="188"/>
      <c r="L1389" s="197"/>
      <c r="M1389" s="197"/>
      <c r="N1389" s="197"/>
      <c r="O1389" s="197"/>
    </row>
    <row r="1390" spans="1:15" hidden="1">
      <c r="A1390" s="189" t="s">
        <v>137</v>
      </c>
      <c r="B1390" s="189" t="s">
        <v>138</v>
      </c>
      <c r="C1390" s="189" t="s">
        <v>61</v>
      </c>
      <c r="D1390" s="189" t="s">
        <v>556</v>
      </c>
      <c r="E1390" s="267" t="s">
        <v>1725</v>
      </c>
      <c r="F1390" s="189" t="s">
        <v>261</v>
      </c>
      <c r="G1390" s="258">
        <v>-584.28</v>
      </c>
      <c r="H1390" s="260">
        <v>-584.28</v>
      </c>
      <c r="I1390" s="215" t="s">
        <v>61</v>
      </c>
      <c r="J1390" s="189" t="s">
        <v>143</v>
      </c>
      <c r="K1390" s="188"/>
      <c r="L1390" s="197"/>
      <c r="M1390" s="197"/>
      <c r="N1390" s="197"/>
      <c r="O1390" s="197"/>
    </row>
    <row r="1391" spans="1:15" hidden="1">
      <c r="A1391" s="189" t="s">
        <v>209</v>
      </c>
      <c r="B1391" s="189" t="s">
        <v>138</v>
      </c>
      <c r="C1391" s="189" t="s">
        <v>61</v>
      </c>
      <c r="D1391" s="189" t="s">
        <v>565</v>
      </c>
      <c r="E1391" s="189" t="s">
        <v>1726</v>
      </c>
      <c r="F1391" s="189" t="s">
        <v>261</v>
      </c>
      <c r="G1391" s="258">
        <v>-700</v>
      </c>
      <c r="H1391" s="260">
        <v>-700</v>
      </c>
      <c r="I1391" s="188" t="s">
        <v>83</v>
      </c>
      <c r="J1391" s="189" t="s">
        <v>316</v>
      </c>
      <c r="K1391" s="188"/>
      <c r="L1391" s="197"/>
      <c r="M1391" s="197"/>
      <c r="N1391" s="197"/>
      <c r="O1391" s="197"/>
    </row>
    <row r="1392" spans="1:15" hidden="1">
      <c r="A1392" s="189" t="s">
        <v>209</v>
      </c>
      <c r="B1392" s="189" t="s">
        <v>138</v>
      </c>
      <c r="C1392" s="189" t="s">
        <v>61</v>
      </c>
      <c r="D1392" s="189" t="s">
        <v>565</v>
      </c>
      <c r="E1392" s="189" t="s">
        <v>1727</v>
      </c>
      <c r="F1392" s="189" t="s">
        <v>261</v>
      </c>
      <c r="G1392" s="242">
        <v>-700</v>
      </c>
      <c r="H1392" s="260">
        <v>-700</v>
      </c>
      <c r="I1392" s="188" t="s">
        <v>83</v>
      </c>
      <c r="J1392" s="189" t="s">
        <v>316</v>
      </c>
      <c r="K1392" s="188"/>
      <c r="L1392" s="311"/>
      <c r="M1392" s="311"/>
      <c r="N1392" s="311"/>
      <c r="O1392" s="311"/>
    </row>
    <row r="1393" spans="1:15" hidden="1">
      <c r="A1393" s="189" t="s">
        <v>137</v>
      </c>
      <c r="B1393" s="189" t="s">
        <v>138</v>
      </c>
      <c r="C1393" s="189" t="s">
        <v>570</v>
      </c>
      <c r="D1393" s="189" t="s">
        <v>521</v>
      </c>
      <c r="E1393" s="189" t="s">
        <v>1728</v>
      </c>
      <c r="F1393" s="189" t="s">
        <v>261</v>
      </c>
      <c r="G1393" s="242">
        <v>-1382.8</v>
      </c>
      <c r="H1393" s="260">
        <v>-1382.8</v>
      </c>
      <c r="I1393" s="215" t="s">
        <v>61</v>
      </c>
      <c r="J1393" s="189" t="s">
        <v>316</v>
      </c>
      <c r="K1393" s="188"/>
      <c r="L1393" s="311"/>
      <c r="M1393" s="311"/>
      <c r="N1393" s="311"/>
      <c r="O1393" s="311"/>
    </row>
    <row r="1394" spans="1:15">
      <c r="A1394" s="189" t="s">
        <v>137</v>
      </c>
      <c r="B1394" s="189" t="s">
        <v>138</v>
      </c>
      <c r="C1394" s="189" t="s">
        <v>570</v>
      </c>
      <c r="D1394" s="274" t="s">
        <v>577</v>
      </c>
      <c r="E1394" s="244" t="s">
        <v>1729</v>
      </c>
      <c r="F1394" s="244" t="s">
        <v>268</v>
      </c>
      <c r="G1394" s="305">
        <v>1738</v>
      </c>
      <c r="H1394" s="260">
        <v>-1738</v>
      </c>
      <c r="I1394" s="215" t="s">
        <v>61</v>
      </c>
      <c r="J1394" s="189" t="s">
        <v>422</v>
      </c>
      <c r="K1394" s="213"/>
      <c r="L1394" s="311"/>
      <c r="M1394" s="311"/>
      <c r="N1394" s="311"/>
      <c r="O1394" s="311"/>
    </row>
    <row r="1395" spans="1:15" hidden="1">
      <c r="A1395" s="189" t="s">
        <v>137</v>
      </c>
      <c r="B1395" s="189" t="s">
        <v>138</v>
      </c>
      <c r="C1395" s="189" t="s">
        <v>570</v>
      </c>
      <c r="D1395" s="189" t="s">
        <v>1702</v>
      </c>
      <c r="E1395" s="189" t="s">
        <v>1730</v>
      </c>
      <c r="F1395" s="189" t="s">
        <v>261</v>
      </c>
      <c r="G1395" s="242">
        <v>-20.22</v>
      </c>
      <c r="H1395" s="260">
        <v>-20.22</v>
      </c>
      <c r="I1395" s="215" t="s">
        <v>61</v>
      </c>
      <c r="J1395" s="189" t="s">
        <v>316</v>
      </c>
      <c r="K1395" s="188"/>
      <c r="L1395" s="311"/>
      <c r="M1395" s="311"/>
      <c r="N1395" s="311"/>
      <c r="O1395" s="311"/>
    </row>
    <row r="1396" spans="1:15" hidden="1">
      <c r="A1396" s="189" t="s">
        <v>137</v>
      </c>
      <c r="B1396" s="189" t="s">
        <v>138</v>
      </c>
      <c r="C1396" s="189" t="s">
        <v>570</v>
      </c>
      <c r="D1396" s="189" t="s">
        <v>1731</v>
      </c>
      <c r="E1396" s="189" t="s">
        <v>1732</v>
      </c>
      <c r="F1396" s="189" t="s">
        <v>261</v>
      </c>
      <c r="G1396" s="242">
        <v>-1244.96</v>
      </c>
      <c r="H1396" s="260">
        <v>-1244.96</v>
      </c>
      <c r="I1396" s="215" t="s">
        <v>61</v>
      </c>
      <c r="J1396" s="189" t="s">
        <v>476</v>
      </c>
      <c r="K1396" s="188"/>
      <c r="L1396" s="311"/>
      <c r="M1396" s="311"/>
      <c r="N1396" s="311"/>
      <c r="O1396" s="311"/>
    </row>
    <row r="1397" spans="1:15" hidden="1">
      <c r="A1397" s="189" t="s">
        <v>137</v>
      </c>
      <c r="B1397" s="189" t="s">
        <v>138</v>
      </c>
      <c r="C1397" s="189" t="s">
        <v>570</v>
      </c>
      <c r="D1397" s="189" t="s">
        <v>581</v>
      </c>
      <c r="E1397" s="189" t="s">
        <v>1733</v>
      </c>
      <c r="F1397" s="189" t="s">
        <v>261</v>
      </c>
      <c r="G1397" s="242">
        <v>-100</v>
      </c>
      <c r="H1397" s="260">
        <v>-100</v>
      </c>
      <c r="I1397" s="215" t="s">
        <v>61</v>
      </c>
      <c r="J1397" s="189" t="s">
        <v>422</v>
      </c>
      <c r="K1397" s="188"/>
      <c r="L1397" s="311"/>
      <c r="M1397" s="311"/>
      <c r="N1397" s="311"/>
      <c r="O1397" s="311"/>
    </row>
    <row r="1398" spans="1:15" hidden="1">
      <c r="A1398" s="261" t="s">
        <v>137</v>
      </c>
      <c r="B1398" s="261" t="s">
        <v>138</v>
      </c>
      <c r="C1398" s="261" t="s">
        <v>570</v>
      </c>
      <c r="D1398" s="261" t="s">
        <v>588</v>
      </c>
      <c r="E1398" s="261" t="s">
        <v>1734</v>
      </c>
      <c r="F1398" s="261" t="s">
        <v>261</v>
      </c>
      <c r="G1398" s="312" t="s">
        <v>1735</v>
      </c>
      <c r="H1398" s="264">
        <v>-308</v>
      </c>
      <c r="I1398" s="313" t="s">
        <v>61</v>
      </c>
      <c r="J1398" s="261" t="s">
        <v>422</v>
      </c>
      <c r="K1398" s="213"/>
      <c r="L1398" s="311"/>
      <c r="M1398" s="311"/>
      <c r="N1398" s="311"/>
      <c r="O1398" s="311"/>
    </row>
    <row r="1399" spans="1:15" hidden="1">
      <c r="A1399" s="261" t="s">
        <v>137</v>
      </c>
      <c r="B1399" s="261" t="s">
        <v>138</v>
      </c>
      <c r="C1399" s="261" t="s">
        <v>570</v>
      </c>
      <c r="D1399" s="261" t="s">
        <v>588</v>
      </c>
      <c r="E1399" s="261" t="s">
        <v>1736</v>
      </c>
      <c r="F1399" s="261" t="s">
        <v>261</v>
      </c>
      <c r="G1399" s="312" t="s">
        <v>1735</v>
      </c>
      <c r="H1399" s="314">
        <v>-42</v>
      </c>
      <c r="I1399" s="313" t="s">
        <v>61</v>
      </c>
      <c r="J1399" s="261" t="s">
        <v>422</v>
      </c>
      <c r="K1399" s="265" t="s">
        <v>1735</v>
      </c>
      <c r="L1399" s="311"/>
      <c r="M1399" s="311"/>
      <c r="N1399" s="311"/>
      <c r="O1399" s="311"/>
    </row>
    <row r="1400" spans="1:15" hidden="1">
      <c r="A1400" s="261" t="s">
        <v>137</v>
      </c>
      <c r="B1400" s="261" t="s">
        <v>138</v>
      </c>
      <c r="C1400" s="261" t="s">
        <v>570</v>
      </c>
      <c r="D1400" s="261" t="s">
        <v>588</v>
      </c>
      <c r="E1400" s="261" t="s">
        <v>1736</v>
      </c>
      <c r="F1400" s="261" t="s">
        <v>261</v>
      </c>
      <c r="G1400" s="312" t="s">
        <v>1735</v>
      </c>
      <c r="H1400" s="264">
        <v>-42</v>
      </c>
      <c r="I1400" s="313" t="s">
        <v>61</v>
      </c>
      <c r="J1400" s="261" t="s">
        <v>422</v>
      </c>
      <c r="K1400" s="265" t="s">
        <v>1735</v>
      </c>
      <c r="L1400" s="311"/>
      <c r="M1400" s="311"/>
      <c r="N1400" s="311"/>
      <c r="O1400" s="311"/>
    </row>
    <row r="1401" spans="1:15" hidden="1">
      <c r="A1401" s="261" t="s">
        <v>137</v>
      </c>
      <c r="B1401" s="261" t="s">
        <v>138</v>
      </c>
      <c r="C1401" s="261" t="s">
        <v>570</v>
      </c>
      <c r="D1401" s="261" t="s">
        <v>588</v>
      </c>
      <c r="E1401" s="261" t="s">
        <v>1737</v>
      </c>
      <c r="F1401" s="261" t="s">
        <v>261</v>
      </c>
      <c r="G1401" s="314" t="s">
        <v>1735</v>
      </c>
      <c r="H1401" s="264">
        <v>-92.6</v>
      </c>
      <c r="I1401" s="313" t="s">
        <v>61</v>
      </c>
      <c r="J1401" s="261" t="s">
        <v>422</v>
      </c>
      <c r="K1401" s="265" t="s">
        <v>1735</v>
      </c>
      <c r="L1401" s="197"/>
      <c r="M1401" s="197"/>
      <c r="N1401" s="197"/>
      <c r="O1401" s="197"/>
    </row>
    <row r="1402" spans="1:15" hidden="1">
      <c r="A1402" s="261" t="s">
        <v>137</v>
      </c>
      <c r="B1402" s="261" t="s">
        <v>138</v>
      </c>
      <c r="C1402" s="261" t="s">
        <v>570</v>
      </c>
      <c r="D1402" s="261" t="s">
        <v>588</v>
      </c>
      <c r="E1402" s="261" t="s">
        <v>1734</v>
      </c>
      <c r="F1402" s="261" t="s">
        <v>261</v>
      </c>
      <c r="G1402" s="314" t="s">
        <v>1735</v>
      </c>
      <c r="H1402" s="264">
        <v>-308</v>
      </c>
      <c r="I1402" s="313" t="s">
        <v>61</v>
      </c>
      <c r="J1402" s="261" t="s">
        <v>422</v>
      </c>
      <c r="K1402" s="265" t="s">
        <v>1735</v>
      </c>
      <c r="L1402" s="197"/>
      <c r="M1402" s="197"/>
      <c r="N1402" s="197"/>
      <c r="O1402" s="197"/>
    </row>
    <row r="1403" spans="1:15" hidden="1">
      <c r="A1403" s="261" t="s">
        <v>137</v>
      </c>
      <c r="B1403" s="261" t="s">
        <v>138</v>
      </c>
      <c r="C1403" s="261" t="s">
        <v>570</v>
      </c>
      <c r="D1403" s="261" t="s">
        <v>588</v>
      </c>
      <c r="E1403" s="261" t="s">
        <v>1738</v>
      </c>
      <c r="F1403" s="261" t="s">
        <v>261</v>
      </c>
      <c r="G1403" s="314" t="s">
        <v>1735</v>
      </c>
      <c r="H1403" s="264">
        <v>-120.67</v>
      </c>
      <c r="I1403" s="313" t="s">
        <v>61</v>
      </c>
      <c r="J1403" s="261" t="s">
        <v>422</v>
      </c>
      <c r="K1403" s="265" t="s">
        <v>1735</v>
      </c>
      <c r="L1403" s="197"/>
      <c r="M1403" s="197"/>
      <c r="N1403" s="197"/>
      <c r="O1403" s="197"/>
    </row>
    <row r="1404" spans="1:15" hidden="1">
      <c r="A1404" s="261" t="s">
        <v>137</v>
      </c>
      <c r="B1404" s="261" t="s">
        <v>138</v>
      </c>
      <c r="C1404" s="261" t="s">
        <v>570</v>
      </c>
      <c r="D1404" s="261" t="s">
        <v>362</v>
      </c>
      <c r="E1404" s="261" t="s">
        <v>1739</v>
      </c>
      <c r="F1404" s="261" t="s">
        <v>261</v>
      </c>
      <c r="G1404" s="314" t="s">
        <v>1735</v>
      </c>
      <c r="H1404" s="264">
        <v>-518.21</v>
      </c>
      <c r="I1404" s="313" t="s">
        <v>61</v>
      </c>
      <c r="J1404" s="261" t="s">
        <v>422</v>
      </c>
      <c r="K1404" s="265" t="s">
        <v>1735</v>
      </c>
      <c r="L1404" s="197"/>
      <c r="M1404" s="197"/>
      <c r="N1404" s="197"/>
      <c r="O1404" s="197"/>
    </row>
    <row r="1405" spans="1:15" hidden="1">
      <c r="A1405" s="261" t="s">
        <v>137</v>
      </c>
      <c r="B1405" s="261" t="s">
        <v>138</v>
      </c>
      <c r="C1405" s="261" t="s">
        <v>570</v>
      </c>
      <c r="D1405" s="261" t="s">
        <v>362</v>
      </c>
      <c r="E1405" s="261" t="s">
        <v>1740</v>
      </c>
      <c r="F1405" s="261" t="s">
        <v>261</v>
      </c>
      <c r="G1405" s="314" t="s">
        <v>1735</v>
      </c>
      <c r="H1405" s="264">
        <v>-708</v>
      </c>
      <c r="I1405" s="313" t="s">
        <v>61</v>
      </c>
      <c r="J1405" s="261" t="s">
        <v>422</v>
      </c>
      <c r="K1405" s="213"/>
      <c r="L1405" s="197"/>
      <c r="M1405" s="197"/>
      <c r="N1405" s="197"/>
      <c r="O1405" s="197"/>
    </row>
    <row r="1406" spans="1:15" hidden="1">
      <c r="A1406" s="261" t="s">
        <v>137</v>
      </c>
      <c r="B1406" s="261" t="s">
        <v>138</v>
      </c>
      <c r="C1406" s="261" t="s">
        <v>570</v>
      </c>
      <c r="D1406" s="261" t="s">
        <v>362</v>
      </c>
      <c r="E1406" s="261" t="s">
        <v>1741</v>
      </c>
      <c r="F1406" s="261" t="s">
        <v>261</v>
      </c>
      <c r="G1406" s="314" t="s">
        <v>1735</v>
      </c>
      <c r="H1406" s="264">
        <v>-17</v>
      </c>
      <c r="I1406" s="313" t="s">
        <v>61</v>
      </c>
      <c r="J1406" s="261" t="s">
        <v>422</v>
      </c>
      <c r="K1406" s="265" t="s">
        <v>1735</v>
      </c>
      <c r="L1406" s="197"/>
      <c r="M1406" s="197"/>
      <c r="N1406" s="197"/>
      <c r="O1406" s="197"/>
    </row>
    <row r="1407" spans="1:15" hidden="1">
      <c r="A1407" s="189" t="s">
        <v>137</v>
      </c>
      <c r="B1407" s="189" t="s">
        <v>138</v>
      </c>
      <c r="C1407" s="189" t="s">
        <v>599</v>
      </c>
      <c r="D1407" s="189" t="s">
        <v>1669</v>
      </c>
      <c r="E1407" s="189" t="s">
        <v>1742</v>
      </c>
      <c r="F1407" s="189" t="s">
        <v>261</v>
      </c>
      <c r="G1407" s="258">
        <v>-44</v>
      </c>
      <c r="H1407" s="260">
        <v>-44</v>
      </c>
      <c r="I1407" s="188" t="s">
        <v>290</v>
      </c>
      <c r="J1407" s="189" t="s">
        <v>246</v>
      </c>
      <c r="K1407" s="265" t="s">
        <v>1735</v>
      </c>
      <c r="L1407" s="197"/>
      <c r="M1407" s="197"/>
      <c r="N1407" s="197"/>
      <c r="O1407" s="197"/>
    </row>
    <row r="1408" spans="1:15" hidden="1">
      <c r="A1408" s="189" t="s">
        <v>137</v>
      </c>
      <c r="B1408" s="189" t="s">
        <v>138</v>
      </c>
      <c r="C1408" s="189" t="s">
        <v>98</v>
      </c>
      <c r="D1408" s="189" t="s">
        <v>1743</v>
      </c>
      <c r="E1408" s="189" t="s">
        <v>1744</v>
      </c>
      <c r="F1408" s="189" t="s">
        <v>261</v>
      </c>
      <c r="G1408" s="258">
        <v>-100.06</v>
      </c>
      <c r="H1408" s="260">
        <v>-100.06</v>
      </c>
      <c r="I1408" s="188" t="s">
        <v>98</v>
      </c>
      <c r="J1408" s="189" t="s">
        <v>246</v>
      </c>
      <c r="K1408" s="265" t="s">
        <v>1735</v>
      </c>
      <c r="L1408" s="197"/>
      <c r="M1408" s="197"/>
      <c r="N1408" s="197"/>
      <c r="O1408" s="197"/>
    </row>
    <row r="1409" spans="1:15" hidden="1">
      <c r="A1409" s="195" t="s">
        <v>137</v>
      </c>
      <c r="B1409" s="190" t="s">
        <v>138</v>
      </c>
      <c r="C1409" s="191" t="s">
        <v>98</v>
      </c>
      <c r="D1409" s="191" t="s">
        <v>1745</v>
      </c>
      <c r="E1409" s="191" t="s">
        <v>1746</v>
      </c>
      <c r="F1409" s="191" t="s">
        <v>261</v>
      </c>
      <c r="G1409" s="193">
        <v>-32.799999999999997</v>
      </c>
      <c r="H1409" s="194">
        <v>-32.799999999999997</v>
      </c>
      <c r="I1409" s="188" t="s">
        <v>98</v>
      </c>
      <c r="J1409" s="195" t="s">
        <v>246</v>
      </c>
      <c r="K1409" s="235" t="s">
        <v>195</v>
      </c>
      <c r="L1409" s="197"/>
      <c r="M1409" s="197"/>
      <c r="N1409" s="197"/>
      <c r="O1409" s="197"/>
    </row>
    <row r="1410" spans="1:15" hidden="1">
      <c r="A1410" s="189" t="s">
        <v>137</v>
      </c>
      <c r="B1410" s="189" t="s">
        <v>138</v>
      </c>
      <c r="C1410" s="189" t="s">
        <v>98</v>
      </c>
      <c r="D1410" s="189" t="s">
        <v>1747</v>
      </c>
      <c r="E1410" s="189" t="s">
        <v>1748</v>
      </c>
      <c r="F1410" s="189" t="s">
        <v>261</v>
      </c>
      <c r="G1410" s="258">
        <v>-204.99</v>
      </c>
      <c r="H1410" s="260">
        <v>-204.99</v>
      </c>
      <c r="I1410" s="188" t="s">
        <v>98</v>
      </c>
      <c r="J1410" s="189" t="s">
        <v>246</v>
      </c>
      <c r="K1410" s="188"/>
      <c r="L1410" s="197"/>
      <c r="M1410" s="197"/>
      <c r="N1410" s="197"/>
      <c r="O1410" s="197"/>
    </row>
    <row r="1411" spans="1:15" hidden="1">
      <c r="A1411" s="189" t="s">
        <v>137</v>
      </c>
      <c r="B1411" s="189" t="s">
        <v>138</v>
      </c>
      <c r="C1411" s="189" t="s">
        <v>98</v>
      </c>
      <c r="D1411" s="189" t="s">
        <v>1648</v>
      </c>
      <c r="E1411" s="189" t="s">
        <v>1749</v>
      </c>
      <c r="F1411" s="189" t="s">
        <v>261</v>
      </c>
      <c r="G1411" s="258">
        <v>-20</v>
      </c>
      <c r="H1411" s="260">
        <v>-20</v>
      </c>
      <c r="I1411" s="188" t="s">
        <v>98</v>
      </c>
      <c r="J1411" s="189" t="s">
        <v>246</v>
      </c>
      <c r="K1411" s="213"/>
      <c r="L1411" s="197"/>
      <c r="M1411" s="197"/>
      <c r="N1411" s="197"/>
      <c r="O1411" s="197"/>
    </row>
    <row r="1412" spans="1:15" hidden="1">
      <c r="A1412" s="189" t="s">
        <v>137</v>
      </c>
      <c r="B1412" s="189" t="s">
        <v>138</v>
      </c>
      <c r="C1412" s="189" t="s">
        <v>98</v>
      </c>
      <c r="D1412" s="189" t="s">
        <v>1750</v>
      </c>
      <c r="E1412" s="189" t="s">
        <v>1751</v>
      </c>
      <c r="F1412" s="189" t="s">
        <v>261</v>
      </c>
      <c r="G1412" s="315">
        <v>-62.68</v>
      </c>
      <c r="H1412" s="260">
        <v>-62.68</v>
      </c>
      <c r="I1412" s="188" t="s">
        <v>98</v>
      </c>
      <c r="J1412" s="189" t="s">
        <v>246</v>
      </c>
      <c r="K1412" s="213"/>
      <c r="L1412" s="197"/>
      <c r="M1412" s="197"/>
      <c r="N1412" s="197"/>
      <c r="O1412" s="197"/>
    </row>
    <row r="1413" spans="1:15" hidden="1">
      <c r="A1413" s="189" t="s">
        <v>137</v>
      </c>
      <c r="B1413" s="189" t="s">
        <v>138</v>
      </c>
      <c r="C1413" s="189" t="s">
        <v>98</v>
      </c>
      <c r="D1413" s="189" t="s">
        <v>1669</v>
      </c>
      <c r="E1413" s="189" t="s">
        <v>1752</v>
      </c>
      <c r="F1413" s="189" t="s">
        <v>261</v>
      </c>
      <c r="G1413" s="258">
        <v>-499</v>
      </c>
      <c r="H1413" s="260">
        <v>-499</v>
      </c>
      <c r="I1413" s="188" t="s">
        <v>290</v>
      </c>
      <c r="J1413" s="189" t="s">
        <v>246</v>
      </c>
      <c r="K1413" s="188"/>
      <c r="L1413" s="197"/>
      <c r="M1413" s="197"/>
      <c r="N1413" s="197"/>
      <c r="O1413" s="197"/>
    </row>
    <row r="1414" spans="1:15" hidden="1">
      <c r="A1414" s="189" t="s">
        <v>137</v>
      </c>
      <c r="B1414" s="189" t="s">
        <v>138</v>
      </c>
      <c r="C1414" s="189" t="s">
        <v>98</v>
      </c>
      <c r="D1414" s="189" t="s">
        <v>607</v>
      </c>
      <c r="E1414" s="189" t="s">
        <v>1753</v>
      </c>
      <c r="F1414" s="189" t="s">
        <v>261</v>
      </c>
      <c r="G1414" s="258">
        <v>-69.790000000000006</v>
      </c>
      <c r="H1414" s="260">
        <v>-69.790000000000006</v>
      </c>
      <c r="I1414" s="188" t="s">
        <v>98</v>
      </c>
      <c r="J1414" s="189" t="s">
        <v>246</v>
      </c>
      <c r="K1414" s="188"/>
      <c r="L1414" s="197"/>
      <c r="M1414" s="197"/>
      <c r="N1414" s="197"/>
      <c r="O1414" s="197"/>
    </row>
    <row r="1415" spans="1:15" hidden="1">
      <c r="A1415" s="189" t="s">
        <v>137</v>
      </c>
      <c r="B1415" s="189" t="s">
        <v>138</v>
      </c>
      <c r="C1415" s="189" t="s">
        <v>98</v>
      </c>
      <c r="D1415" s="189" t="s">
        <v>612</v>
      </c>
      <c r="E1415" s="189" t="s">
        <v>1754</v>
      </c>
      <c r="F1415" s="189" t="s">
        <v>261</v>
      </c>
      <c r="G1415" s="258">
        <v>-1081.3</v>
      </c>
      <c r="H1415" s="260">
        <v>-1081.3</v>
      </c>
      <c r="I1415" s="188" t="s">
        <v>98</v>
      </c>
      <c r="J1415" s="189" t="s">
        <v>246</v>
      </c>
      <c r="K1415" s="188"/>
      <c r="L1415" s="197"/>
      <c r="M1415" s="197"/>
      <c r="N1415" s="197"/>
      <c r="O1415" s="197"/>
    </row>
    <row r="1416" spans="1:15" hidden="1">
      <c r="A1416" s="189" t="s">
        <v>137</v>
      </c>
      <c r="B1416" s="189" t="s">
        <v>138</v>
      </c>
      <c r="C1416" s="189" t="s">
        <v>98</v>
      </c>
      <c r="D1416" s="189" t="s">
        <v>612</v>
      </c>
      <c r="E1416" s="189" t="s">
        <v>1755</v>
      </c>
      <c r="F1416" s="189" t="s">
        <v>261</v>
      </c>
      <c r="G1416" s="258">
        <v>-47.88</v>
      </c>
      <c r="H1416" s="260">
        <v>-47.88</v>
      </c>
      <c r="I1416" s="188" t="s">
        <v>98</v>
      </c>
      <c r="J1416" s="189" t="s">
        <v>246</v>
      </c>
      <c r="K1416" s="188"/>
      <c r="L1416" s="197"/>
      <c r="M1416" s="197"/>
      <c r="N1416" s="197"/>
      <c r="O1416" s="197"/>
    </row>
    <row r="1417" spans="1:15" hidden="1">
      <c r="A1417" s="189" t="s">
        <v>137</v>
      </c>
      <c r="B1417" s="189" t="s">
        <v>138</v>
      </c>
      <c r="C1417" s="189" t="s">
        <v>98</v>
      </c>
      <c r="D1417" s="189" t="s">
        <v>1756</v>
      </c>
      <c r="E1417" s="189" t="s">
        <v>1757</v>
      </c>
      <c r="F1417" s="189" t="s">
        <v>261</v>
      </c>
      <c r="G1417" s="258">
        <v>-71.7</v>
      </c>
      <c r="H1417" s="260">
        <v>-71.7</v>
      </c>
      <c r="I1417" s="188" t="s">
        <v>98</v>
      </c>
      <c r="J1417" s="189" t="s">
        <v>246</v>
      </c>
      <c r="K1417" s="188"/>
      <c r="L1417" s="197"/>
      <c r="M1417" s="197"/>
      <c r="N1417" s="197"/>
      <c r="O1417" s="197"/>
    </row>
    <row r="1418" spans="1:15" hidden="1">
      <c r="A1418" s="189" t="s">
        <v>137</v>
      </c>
      <c r="B1418" s="189" t="s">
        <v>138</v>
      </c>
      <c r="C1418" s="189" t="s">
        <v>98</v>
      </c>
      <c r="D1418" s="189" t="s">
        <v>618</v>
      </c>
      <c r="E1418" s="189" t="s">
        <v>1758</v>
      </c>
      <c r="F1418" s="189" t="s">
        <v>261</v>
      </c>
      <c r="G1418" s="258">
        <v>-1573.52</v>
      </c>
      <c r="H1418" s="260">
        <v>-1573.52</v>
      </c>
      <c r="I1418" s="188" t="s">
        <v>98</v>
      </c>
      <c r="J1418" s="189" t="s">
        <v>246</v>
      </c>
      <c r="K1418" s="188"/>
      <c r="L1418" s="197"/>
      <c r="M1418" s="197"/>
      <c r="N1418" s="197"/>
      <c r="O1418" s="197"/>
    </row>
    <row r="1419" spans="1:15" hidden="1">
      <c r="A1419" s="189" t="s">
        <v>137</v>
      </c>
      <c r="B1419" s="189" t="s">
        <v>138</v>
      </c>
      <c r="C1419" s="189" t="s">
        <v>98</v>
      </c>
      <c r="D1419" s="189" t="s">
        <v>625</v>
      </c>
      <c r="E1419" s="189" t="s">
        <v>1759</v>
      </c>
      <c r="F1419" s="189" t="s">
        <v>261</v>
      </c>
      <c r="G1419" s="258">
        <v>-339.6</v>
      </c>
      <c r="H1419" s="260">
        <v>-339.6</v>
      </c>
      <c r="I1419" s="188" t="s">
        <v>98</v>
      </c>
      <c r="J1419" s="189" t="s">
        <v>246</v>
      </c>
      <c r="K1419" s="188"/>
      <c r="L1419" s="197"/>
      <c r="M1419" s="197"/>
      <c r="N1419" s="197"/>
      <c r="O1419" s="197"/>
    </row>
    <row r="1420" spans="1:15" hidden="1">
      <c r="A1420" s="189" t="s">
        <v>232</v>
      </c>
      <c r="B1420" s="189" t="s">
        <v>138</v>
      </c>
      <c r="C1420" s="189" t="s">
        <v>98</v>
      </c>
      <c r="D1420" s="189" t="s">
        <v>1760</v>
      </c>
      <c r="E1420" s="189" t="s">
        <v>643</v>
      </c>
      <c r="F1420" s="189" t="s">
        <v>261</v>
      </c>
      <c r="G1420" s="258">
        <v>-200</v>
      </c>
      <c r="H1420" s="260">
        <v>-200</v>
      </c>
      <c r="I1420" s="188" t="s">
        <v>98</v>
      </c>
      <c r="J1420" s="189" t="s">
        <v>246</v>
      </c>
      <c r="K1420" s="188"/>
      <c r="L1420" s="197"/>
      <c r="M1420" s="197"/>
      <c r="N1420" s="197"/>
      <c r="O1420" s="197"/>
    </row>
    <row r="1421" spans="1:15" hidden="1">
      <c r="A1421" s="189" t="s">
        <v>137</v>
      </c>
      <c r="B1421" s="189" t="s">
        <v>138</v>
      </c>
      <c r="C1421" s="189" t="s">
        <v>98</v>
      </c>
      <c r="D1421" s="189" t="s">
        <v>1761</v>
      </c>
      <c r="E1421" s="189" t="s">
        <v>1762</v>
      </c>
      <c r="F1421" s="189" t="s">
        <v>261</v>
      </c>
      <c r="G1421" s="258">
        <v>-101.02</v>
      </c>
      <c r="H1421" s="260">
        <v>-101.02</v>
      </c>
      <c r="I1421" s="188" t="s">
        <v>98</v>
      </c>
      <c r="J1421" s="189" t="s">
        <v>246</v>
      </c>
      <c r="K1421" s="188"/>
      <c r="L1421" s="197"/>
      <c r="M1421" s="197"/>
      <c r="N1421" s="197"/>
      <c r="O1421" s="197"/>
    </row>
    <row r="1422" spans="1:15" ht="25.5" hidden="1">
      <c r="A1422" s="308" t="s">
        <v>137</v>
      </c>
      <c r="B1422" s="308" t="s">
        <v>138</v>
      </c>
      <c r="C1422" s="308" t="s">
        <v>98</v>
      </c>
      <c r="D1422" s="308" t="s">
        <v>1763</v>
      </c>
      <c r="E1422" s="309" t="s">
        <v>1764</v>
      </c>
      <c r="F1422" s="263" t="s">
        <v>261</v>
      </c>
      <c r="G1422" s="310">
        <v>-178</v>
      </c>
      <c r="H1422" s="310">
        <v>-178</v>
      </c>
      <c r="I1422" s="235" t="s">
        <v>290</v>
      </c>
      <c r="J1422" s="308" t="s">
        <v>293</v>
      </c>
      <c r="K1422" s="188"/>
      <c r="L1422" s="197"/>
      <c r="M1422" s="197"/>
      <c r="N1422" s="197"/>
      <c r="O1422" s="197"/>
    </row>
    <row r="1423" spans="1:15" hidden="1">
      <c r="A1423" s="189" t="s">
        <v>137</v>
      </c>
      <c r="B1423" s="189" t="s">
        <v>138</v>
      </c>
      <c r="C1423" s="189" t="s">
        <v>98</v>
      </c>
      <c r="D1423" s="189" t="s">
        <v>1765</v>
      </c>
      <c r="E1423" s="189" t="s">
        <v>1766</v>
      </c>
      <c r="F1423" s="189" t="s">
        <v>261</v>
      </c>
      <c r="G1423" s="258">
        <v>-229.5</v>
      </c>
      <c r="H1423" s="260">
        <v>-229.5</v>
      </c>
      <c r="I1423" s="188" t="s">
        <v>290</v>
      </c>
      <c r="J1423" s="189" t="s">
        <v>246</v>
      </c>
      <c r="K1423" s="188"/>
      <c r="L1423" s="197"/>
      <c r="M1423" s="197"/>
      <c r="N1423" s="197"/>
      <c r="O1423" s="197"/>
    </row>
    <row r="1424" spans="1:15" hidden="1">
      <c r="A1424" s="189" t="s">
        <v>137</v>
      </c>
      <c r="B1424" s="189" t="s">
        <v>138</v>
      </c>
      <c r="C1424" s="189" t="s">
        <v>98</v>
      </c>
      <c r="D1424" s="189" t="s">
        <v>1765</v>
      </c>
      <c r="E1424" s="189" t="s">
        <v>1767</v>
      </c>
      <c r="F1424" s="189" t="s">
        <v>261</v>
      </c>
      <c r="G1424" s="258">
        <v>-91.8</v>
      </c>
      <c r="H1424" s="260">
        <v>-91.8</v>
      </c>
      <c r="I1424" s="188" t="s">
        <v>290</v>
      </c>
      <c r="J1424" s="189" t="s">
        <v>246</v>
      </c>
      <c r="K1424" s="188" t="s">
        <v>195</v>
      </c>
      <c r="L1424" s="197"/>
      <c r="M1424" s="197"/>
      <c r="N1424" s="197"/>
      <c r="O1424" s="197"/>
    </row>
    <row r="1425" spans="1:15" hidden="1">
      <c r="A1425" s="189" t="s">
        <v>137</v>
      </c>
      <c r="B1425" s="189" t="s">
        <v>138</v>
      </c>
      <c r="C1425" s="189" t="s">
        <v>98</v>
      </c>
      <c r="D1425" s="189" t="s">
        <v>1768</v>
      </c>
      <c r="E1425" s="189" t="s">
        <v>1769</v>
      </c>
      <c r="F1425" s="189" t="s">
        <v>261</v>
      </c>
      <c r="G1425" s="258">
        <v>-44.9</v>
      </c>
      <c r="H1425" s="260">
        <v>-44.9</v>
      </c>
      <c r="I1425" s="188" t="s">
        <v>98</v>
      </c>
      <c r="J1425" s="189" t="s">
        <v>246</v>
      </c>
      <c r="K1425" s="188"/>
      <c r="L1425" s="197"/>
      <c r="M1425" s="197"/>
      <c r="N1425" s="197"/>
      <c r="O1425" s="197"/>
    </row>
    <row r="1426" spans="1:15" hidden="1">
      <c r="A1426" s="189" t="s">
        <v>137</v>
      </c>
      <c r="B1426" s="189" t="s">
        <v>138</v>
      </c>
      <c r="C1426" s="189" t="s">
        <v>98</v>
      </c>
      <c r="D1426" s="189" t="s">
        <v>1770</v>
      </c>
      <c r="E1426" s="189" t="s">
        <v>1771</v>
      </c>
      <c r="F1426" s="189" t="s">
        <v>261</v>
      </c>
      <c r="G1426" s="258">
        <v>-176.89</v>
      </c>
      <c r="H1426" s="260">
        <v>-176.89</v>
      </c>
      <c r="I1426" s="188" t="s">
        <v>98</v>
      </c>
      <c r="J1426" s="189" t="s">
        <v>246</v>
      </c>
      <c r="K1426" s="213"/>
      <c r="L1426" s="197"/>
      <c r="M1426" s="197"/>
      <c r="N1426" s="197"/>
      <c r="O1426" s="197"/>
    </row>
    <row r="1427" spans="1:15" hidden="1">
      <c r="A1427" s="189" t="s">
        <v>137</v>
      </c>
      <c r="B1427" s="189" t="s">
        <v>138</v>
      </c>
      <c r="C1427" s="189" t="s">
        <v>1772</v>
      </c>
      <c r="D1427" s="189" t="s">
        <v>1773</v>
      </c>
      <c r="E1427" s="189" t="s">
        <v>1774</v>
      </c>
      <c r="F1427" s="189" t="s">
        <v>261</v>
      </c>
      <c r="G1427" s="258">
        <v>-6250</v>
      </c>
      <c r="H1427" s="260">
        <v>-6250</v>
      </c>
      <c r="I1427" s="198" t="s">
        <v>290</v>
      </c>
      <c r="J1427" s="189" t="s">
        <v>206</v>
      </c>
      <c r="K1427" s="188"/>
      <c r="L1427" s="197"/>
      <c r="M1427" s="197"/>
      <c r="N1427" s="197"/>
      <c r="O1427" s="197"/>
    </row>
    <row r="1428" spans="1:15" hidden="1">
      <c r="A1428" s="189" t="s">
        <v>137</v>
      </c>
      <c r="B1428" s="189" t="s">
        <v>138</v>
      </c>
      <c r="C1428" s="189" t="s">
        <v>97</v>
      </c>
      <c r="D1428" s="189" t="s">
        <v>618</v>
      </c>
      <c r="E1428" s="189" t="s">
        <v>1758</v>
      </c>
      <c r="F1428" s="189" t="s">
        <v>261</v>
      </c>
      <c r="G1428" s="242">
        <v>-751.73</v>
      </c>
      <c r="H1428" s="260">
        <v>-751.73</v>
      </c>
      <c r="I1428" s="215" t="s">
        <v>97</v>
      </c>
      <c r="J1428" s="189" t="s">
        <v>143</v>
      </c>
      <c r="K1428" s="188"/>
      <c r="L1428" s="311"/>
      <c r="M1428" s="311"/>
      <c r="N1428" s="311"/>
      <c r="O1428" s="311"/>
    </row>
    <row r="1429" spans="1:15" hidden="1">
      <c r="A1429" s="189" t="s">
        <v>137</v>
      </c>
      <c r="B1429" s="189" t="s">
        <v>138</v>
      </c>
      <c r="C1429" s="189" t="s">
        <v>652</v>
      </c>
      <c r="D1429" s="189" t="s">
        <v>160</v>
      </c>
      <c r="E1429" s="189" t="s">
        <v>1775</v>
      </c>
      <c r="F1429" s="189" t="s">
        <v>261</v>
      </c>
      <c r="G1429" s="242">
        <v>-550</v>
      </c>
      <c r="H1429" s="260">
        <v>-550</v>
      </c>
      <c r="I1429" s="215" t="s">
        <v>97</v>
      </c>
      <c r="J1429" s="189" t="s">
        <v>143</v>
      </c>
      <c r="K1429" s="188"/>
      <c r="L1429" s="311"/>
      <c r="M1429" s="311"/>
      <c r="N1429" s="311"/>
      <c r="O1429" s="311"/>
    </row>
    <row r="1430" spans="1:15" hidden="1">
      <c r="A1430" s="189" t="s">
        <v>137</v>
      </c>
      <c r="B1430" s="189" t="s">
        <v>138</v>
      </c>
      <c r="C1430" s="189" t="s">
        <v>652</v>
      </c>
      <c r="D1430" s="189" t="s">
        <v>160</v>
      </c>
      <c r="E1430" s="189" t="s">
        <v>1776</v>
      </c>
      <c r="F1430" s="189" t="s">
        <v>261</v>
      </c>
      <c r="G1430" s="242">
        <v>-550</v>
      </c>
      <c r="H1430" s="260">
        <v>-550</v>
      </c>
      <c r="I1430" s="215" t="s">
        <v>97</v>
      </c>
      <c r="J1430" s="189" t="s">
        <v>143</v>
      </c>
      <c r="K1430" s="188"/>
      <c r="L1430" s="311"/>
      <c r="M1430" s="311"/>
      <c r="N1430" s="311"/>
      <c r="O1430" s="311"/>
    </row>
    <row r="1431" spans="1:15" hidden="1">
      <c r="A1431" s="189" t="s">
        <v>137</v>
      </c>
      <c r="B1431" s="189" t="s">
        <v>138</v>
      </c>
      <c r="C1431" s="189" t="s">
        <v>652</v>
      </c>
      <c r="D1431" s="189" t="s">
        <v>160</v>
      </c>
      <c r="E1431" s="189" t="s">
        <v>1777</v>
      </c>
      <c r="F1431" s="189" t="s">
        <v>261</v>
      </c>
      <c r="G1431" s="242">
        <v>-120</v>
      </c>
      <c r="H1431" s="260">
        <v>-120</v>
      </c>
      <c r="I1431" s="215" t="s">
        <v>97</v>
      </c>
      <c r="J1431" s="189" t="s">
        <v>143</v>
      </c>
      <c r="K1431" s="213"/>
      <c r="L1431" s="311"/>
      <c r="M1431" s="311"/>
      <c r="N1431" s="311"/>
      <c r="O1431" s="311"/>
    </row>
    <row r="1432" spans="1:15" hidden="1">
      <c r="A1432" s="189" t="s">
        <v>137</v>
      </c>
      <c r="B1432" s="189" t="s">
        <v>138</v>
      </c>
      <c r="C1432" s="189" t="s">
        <v>652</v>
      </c>
      <c r="D1432" s="189" t="s">
        <v>160</v>
      </c>
      <c r="E1432" s="189" t="s">
        <v>1778</v>
      </c>
      <c r="F1432" s="189" t="s">
        <v>261</v>
      </c>
      <c r="G1432" s="242">
        <v>-120</v>
      </c>
      <c r="H1432" s="260">
        <v>-120</v>
      </c>
      <c r="I1432" s="215" t="s">
        <v>97</v>
      </c>
      <c r="J1432" s="189" t="s">
        <v>143</v>
      </c>
      <c r="K1432" s="188"/>
      <c r="L1432" s="311"/>
      <c r="M1432" s="311"/>
      <c r="N1432" s="311"/>
      <c r="O1432" s="311"/>
    </row>
    <row r="1433" spans="1:15" hidden="1">
      <c r="A1433" s="189" t="s">
        <v>137</v>
      </c>
      <c r="B1433" s="189" t="s">
        <v>138</v>
      </c>
      <c r="C1433" s="189" t="s">
        <v>652</v>
      </c>
      <c r="D1433" s="189" t="s">
        <v>1121</v>
      </c>
      <c r="E1433" s="189" t="s">
        <v>1779</v>
      </c>
      <c r="F1433" s="189" t="s">
        <v>261</v>
      </c>
      <c r="G1433" s="242">
        <v>-488.19</v>
      </c>
      <c r="H1433" s="260">
        <v>-488.19</v>
      </c>
      <c r="I1433" s="215" t="s">
        <v>97</v>
      </c>
      <c r="J1433" s="189" t="s">
        <v>206</v>
      </c>
      <c r="K1433" s="188"/>
      <c r="L1433" s="311"/>
      <c r="M1433" s="311"/>
      <c r="N1433" s="311"/>
      <c r="O1433" s="311"/>
    </row>
    <row r="1434" spans="1:15" hidden="1">
      <c r="A1434" s="261" t="s">
        <v>137</v>
      </c>
      <c r="B1434" s="261" t="s">
        <v>138</v>
      </c>
      <c r="C1434" s="261" t="s">
        <v>652</v>
      </c>
      <c r="D1434" s="261" t="s">
        <v>362</v>
      </c>
      <c r="E1434" s="261" t="s">
        <v>1780</v>
      </c>
      <c r="F1434" s="261" t="s">
        <v>261</v>
      </c>
      <c r="G1434" s="312" t="s">
        <v>1735</v>
      </c>
      <c r="H1434" s="264">
        <v>-515.4</v>
      </c>
      <c r="I1434" s="313" t="s">
        <v>97</v>
      </c>
      <c r="J1434" s="261" t="s">
        <v>206</v>
      </c>
      <c r="K1434" s="265" t="s">
        <v>1735</v>
      </c>
      <c r="L1434" s="311"/>
      <c r="M1434" s="311"/>
      <c r="N1434" s="311"/>
      <c r="O1434" s="311"/>
    </row>
    <row r="1435" spans="1:15" hidden="1">
      <c r="A1435" s="261" t="s">
        <v>137</v>
      </c>
      <c r="B1435" s="261" t="s">
        <v>138</v>
      </c>
      <c r="C1435" s="261" t="s">
        <v>652</v>
      </c>
      <c r="D1435" s="261" t="s">
        <v>362</v>
      </c>
      <c r="E1435" s="261" t="s">
        <v>1781</v>
      </c>
      <c r="F1435" s="261" t="s">
        <v>261</v>
      </c>
      <c r="G1435" s="312" t="s">
        <v>1735</v>
      </c>
      <c r="H1435" s="264">
        <v>-576.17999999999995</v>
      </c>
      <c r="I1435" s="313" t="s">
        <v>97</v>
      </c>
      <c r="J1435" s="261" t="s">
        <v>206</v>
      </c>
      <c r="K1435" s="265" t="s">
        <v>1735</v>
      </c>
      <c r="L1435" s="311"/>
      <c r="M1435" s="311"/>
      <c r="N1435" s="311"/>
      <c r="O1435" s="311"/>
    </row>
    <row r="1436" spans="1:15" hidden="1">
      <c r="A1436" s="261" t="s">
        <v>137</v>
      </c>
      <c r="B1436" s="261" t="s">
        <v>138</v>
      </c>
      <c r="C1436" s="261" t="s">
        <v>652</v>
      </c>
      <c r="D1436" s="261" t="s">
        <v>362</v>
      </c>
      <c r="E1436" s="261" t="s">
        <v>1782</v>
      </c>
      <c r="F1436" s="261" t="s">
        <v>261</v>
      </c>
      <c r="G1436" s="312" t="s">
        <v>1735</v>
      </c>
      <c r="H1436" s="264">
        <v>-2157.2800000000002</v>
      </c>
      <c r="I1436" s="313" t="s">
        <v>97</v>
      </c>
      <c r="J1436" s="261" t="s">
        <v>206</v>
      </c>
      <c r="K1436" s="265" t="s">
        <v>1735</v>
      </c>
      <c r="L1436" s="311"/>
      <c r="M1436" s="311"/>
      <c r="N1436" s="311"/>
      <c r="O1436" s="311"/>
    </row>
    <row r="1437" spans="1:15" hidden="1">
      <c r="A1437" s="261" t="s">
        <v>137</v>
      </c>
      <c r="B1437" s="261" t="s">
        <v>138</v>
      </c>
      <c r="C1437" s="261" t="s">
        <v>652</v>
      </c>
      <c r="D1437" s="261" t="s">
        <v>362</v>
      </c>
      <c r="E1437" s="261" t="s">
        <v>1783</v>
      </c>
      <c r="F1437" s="261" t="s">
        <v>261</v>
      </c>
      <c r="G1437" s="312" t="s">
        <v>1735</v>
      </c>
      <c r="H1437" s="264">
        <v>-527.72</v>
      </c>
      <c r="I1437" s="313" t="s">
        <v>97</v>
      </c>
      <c r="J1437" s="261" t="s">
        <v>206</v>
      </c>
      <c r="K1437" s="265" t="s">
        <v>1735</v>
      </c>
      <c r="L1437" s="311"/>
      <c r="M1437" s="311"/>
      <c r="N1437" s="311"/>
      <c r="O1437" s="311"/>
    </row>
    <row r="1438" spans="1:15" hidden="1">
      <c r="A1438" s="261" t="s">
        <v>137</v>
      </c>
      <c r="B1438" s="261" t="s">
        <v>138</v>
      </c>
      <c r="C1438" s="261" t="s">
        <v>652</v>
      </c>
      <c r="D1438" s="261" t="s">
        <v>362</v>
      </c>
      <c r="E1438" s="261" t="s">
        <v>1784</v>
      </c>
      <c r="F1438" s="261" t="s">
        <v>261</v>
      </c>
      <c r="G1438" s="314" t="s">
        <v>1735</v>
      </c>
      <c r="H1438" s="264">
        <v>-1163.04</v>
      </c>
      <c r="I1438" s="313" t="s">
        <v>97</v>
      </c>
      <c r="J1438" s="261" t="s">
        <v>206</v>
      </c>
      <c r="K1438" s="265" t="s">
        <v>1735</v>
      </c>
      <c r="L1438" s="197"/>
      <c r="M1438" s="197"/>
      <c r="N1438" s="197"/>
      <c r="O1438" s="197"/>
    </row>
    <row r="1439" spans="1:15" hidden="1">
      <c r="A1439" s="261" t="s">
        <v>137</v>
      </c>
      <c r="B1439" s="261" t="s">
        <v>138</v>
      </c>
      <c r="C1439" s="261" t="s">
        <v>652</v>
      </c>
      <c r="D1439" s="261" t="s">
        <v>362</v>
      </c>
      <c r="E1439" s="261" t="s">
        <v>1785</v>
      </c>
      <c r="F1439" s="261" t="s">
        <v>261</v>
      </c>
      <c r="G1439" s="314" t="s">
        <v>1735</v>
      </c>
      <c r="H1439" s="264">
        <v>-646.5</v>
      </c>
      <c r="I1439" s="313" t="s">
        <v>97</v>
      </c>
      <c r="J1439" s="261" t="s">
        <v>206</v>
      </c>
      <c r="K1439" s="265" t="s">
        <v>1735</v>
      </c>
      <c r="L1439" s="197"/>
      <c r="M1439" s="197"/>
      <c r="N1439" s="197"/>
      <c r="O1439" s="197"/>
    </row>
    <row r="1440" spans="1:15" hidden="1">
      <c r="A1440" s="261" t="s">
        <v>137</v>
      </c>
      <c r="B1440" s="261" t="s">
        <v>138</v>
      </c>
      <c r="C1440" s="261" t="s">
        <v>652</v>
      </c>
      <c r="D1440" s="261" t="s">
        <v>362</v>
      </c>
      <c r="E1440" s="261" t="s">
        <v>1786</v>
      </c>
      <c r="F1440" s="261" t="s">
        <v>261</v>
      </c>
      <c r="G1440" s="314" t="s">
        <v>1735</v>
      </c>
      <c r="H1440" s="264">
        <v>-385.17</v>
      </c>
      <c r="I1440" s="313" t="s">
        <v>97</v>
      </c>
      <c r="J1440" s="261" t="s">
        <v>206</v>
      </c>
      <c r="K1440" s="265" t="s">
        <v>1735</v>
      </c>
      <c r="L1440" s="197"/>
      <c r="M1440" s="197"/>
      <c r="N1440" s="197"/>
      <c r="O1440" s="197"/>
    </row>
    <row r="1441" spans="1:15" hidden="1">
      <c r="A1441" s="261" t="s">
        <v>137</v>
      </c>
      <c r="B1441" s="261" t="s">
        <v>138</v>
      </c>
      <c r="C1441" s="261" t="s">
        <v>652</v>
      </c>
      <c r="D1441" s="261" t="s">
        <v>362</v>
      </c>
      <c r="E1441" s="261" t="s">
        <v>1787</v>
      </c>
      <c r="F1441" s="261" t="s">
        <v>261</v>
      </c>
      <c r="G1441" s="314" t="s">
        <v>1735</v>
      </c>
      <c r="H1441" s="264">
        <v>-490.65</v>
      </c>
      <c r="I1441" s="313" t="s">
        <v>97</v>
      </c>
      <c r="J1441" s="261" t="s">
        <v>206</v>
      </c>
      <c r="K1441" s="265" t="s">
        <v>1735</v>
      </c>
      <c r="L1441" s="197"/>
      <c r="M1441" s="197"/>
      <c r="N1441" s="197"/>
      <c r="O1441" s="197"/>
    </row>
    <row r="1442" spans="1:15" hidden="1">
      <c r="A1442" s="261" t="s">
        <v>137</v>
      </c>
      <c r="B1442" s="261" t="s">
        <v>138</v>
      </c>
      <c r="C1442" s="261" t="s">
        <v>652</v>
      </c>
      <c r="D1442" s="261" t="s">
        <v>362</v>
      </c>
      <c r="E1442" s="261" t="s">
        <v>1788</v>
      </c>
      <c r="F1442" s="261" t="s">
        <v>261</v>
      </c>
      <c r="G1442" s="314" t="s">
        <v>1735</v>
      </c>
      <c r="H1442" s="264">
        <v>-1262.8399999999999</v>
      </c>
      <c r="I1442" s="313" t="s">
        <v>97</v>
      </c>
      <c r="J1442" s="261" t="s">
        <v>206</v>
      </c>
      <c r="K1442" s="265" t="s">
        <v>1735</v>
      </c>
      <c r="L1442" s="197"/>
      <c r="M1442" s="197"/>
      <c r="N1442" s="197"/>
      <c r="O1442" s="197"/>
    </row>
    <row r="1443" spans="1:15" hidden="1">
      <c r="A1443" s="261" t="s">
        <v>137</v>
      </c>
      <c r="B1443" s="261" t="s">
        <v>138</v>
      </c>
      <c r="C1443" s="261" t="s">
        <v>652</v>
      </c>
      <c r="D1443" s="261" t="s">
        <v>362</v>
      </c>
      <c r="E1443" s="261" t="s">
        <v>1789</v>
      </c>
      <c r="F1443" s="261" t="s">
        <v>261</v>
      </c>
      <c r="G1443" s="314" t="s">
        <v>1735</v>
      </c>
      <c r="H1443" s="264">
        <v>-1573.3</v>
      </c>
      <c r="I1443" s="313" t="s">
        <v>97</v>
      </c>
      <c r="J1443" s="261" t="s">
        <v>206</v>
      </c>
      <c r="K1443" s="265" t="s">
        <v>1735</v>
      </c>
      <c r="L1443" s="197"/>
      <c r="M1443" s="197"/>
      <c r="N1443" s="197"/>
      <c r="O1443" s="197"/>
    </row>
    <row r="1444" spans="1:15" hidden="1">
      <c r="A1444" s="189" t="s">
        <v>137</v>
      </c>
      <c r="B1444" s="189" t="s">
        <v>683</v>
      </c>
      <c r="C1444" s="189" t="s">
        <v>684</v>
      </c>
      <c r="D1444" s="189" t="s">
        <v>689</v>
      </c>
      <c r="E1444" s="189" t="s">
        <v>1790</v>
      </c>
      <c r="F1444" s="189" t="s">
        <v>261</v>
      </c>
      <c r="G1444" s="282">
        <v>103.18</v>
      </c>
      <c r="H1444" s="282">
        <v>103.18</v>
      </c>
      <c r="I1444" s="198" t="s">
        <v>112</v>
      </c>
      <c r="J1444" s="250" t="s">
        <v>143</v>
      </c>
      <c r="K1444" s="195" t="s">
        <v>687</v>
      </c>
      <c r="L1444" s="197"/>
      <c r="M1444" s="197"/>
      <c r="N1444" s="197"/>
      <c r="O1444" s="197"/>
    </row>
    <row r="1445" spans="1:15" hidden="1">
      <c r="A1445" s="189" t="s">
        <v>137</v>
      </c>
      <c r="B1445" s="189" t="s">
        <v>683</v>
      </c>
      <c r="C1445" s="189" t="s">
        <v>684</v>
      </c>
      <c r="D1445" s="189" t="s">
        <v>694</v>
      </c>
      <c r="E1445" s="189" t="s">
        <v>1791</v>
      </c>
      <c r="F1445" s="189" t="s">
        <v>261</v>
      </c>
      <c r="G1445" s="282">
        <v>7.37</v>
      </c>
      <c r="H1445" s="282">
        <v>7.37</v>
      </c>
      <c r="I1445" s="198" t="s">
        <v>112</v>
      </c>
      <c r="J1445" s="250" t="s">
        <v>143</v>
      </c>
      <c r="K1445" s="195" t="s">
        <v>687</v>
      </c>
      <c r="L1445" s="197"/>
      <c r="M1445" s="197"/>
      <c r="N1445" s="197"/>
      <c r="O1445" s="197"/>
    </row>
    <row r="1446" spans="1:15" hidden="1">
      <c r="A1446" s="189" t="s">
        <v>137</v>
      </c>
      <c r="B1446" s="189" t="s">
        <v>683</v>
      </c>
      <c r="C1446" s="189" t="s">
        <v>684</v>
      </c>
      <c r="D1446" s="189" t="s">
        <v>699</v>
      </c>
      <c r="E1446" s="189" t="s">
        <v>1792</v>
      </c>
      <c r="F1446" s="189" t="s">
        <v>261</v>
      </c>
      <c r="G1446" s="282">
        <v>73.7</v>
      </c>
      <c r="H1446" s="282">
        <v>73.7</v>
      </c>
      <c r="I1446" s="198" t="s">
        <v>112</v>
      </c>
      <c r="J1446" s="250" t="s">
        <v>143</v>
      </c>
      <c r="K1446" s="195" t="s">
        <v>687</v>
      </c>
      <c r="L1446" s="197"/>
      <c r="M1446" s="197"/>
      <c r="N1446" s="197"/>
      <c r="O1446" s="197"/>
    </row>
    <row r="1447" spans="1:15" hidden="1">
      <c r="A1447" s="189" t="s">
        <v>137</v>
      </c>
      <c r="B1447" s="189" t="s">
        <v>683</v>
      </c>
      <c r="C1447" s="189" t="s">
        <v>684</v>
      </c>
      <c r="D1447" s="189" t="s">
        <v>704</v>
      </c>
      <c r="E1447" s="189" t="s">
        <v>1793</v>
      </c>
      <c r="F1447" s="189" t="s">
        <v>261</v>
      </c>
      <c r="G1447" s="282">
        <v>22.11</v>
      </c>
      <c r="H1447" s="282">
        <v>22.11</v>
      </c>
      <c r="I1447" s="198" t="s">
        <v>112</v>
      </c>
      <c r="J1447" s="250" t="s">
        <v>143</v>
      </c>
      <c r="K1447" s="195" t="s">
        <v>687</v>
      </c>
      <c r="L1447" s="197"/>
      <c r="M1447" s="197"/>
      <c r="N1447" s="197"/>
      <c r="O1447" s="197"/>
    </row>
    <row r="1448" spans="1:15" hidden="1">
      <c r="A1448" s="189" t="s">
        <v>137</v>
      </c>
      <c r="B1448" s="189" t="s">
        <v>683</v>
      </c>
      <c r="C1448" s="189" t="s">
        <v>684</v>
      </c>
      <c r="D1448" s="189" t="s">
        <v>709</v>
      </c>
      <c r="E1448" s="189" t="s">
        <v>1794</v>
      </c>
      <c r="F1448" s="189" t="s">
        <v>261</v>
      </c>
      <c r="G1448" s="282">
        <v>22.11</v>
      </c>
      <c r="H1448" s="282">
        <v>22.11</v>
      </c>
      <c r="I1448" s="198" t="s">
        <v>112</v>
      </c>
      <c r="J1448" s="250" t="s">
        <v>143</v>
      </c>
      <c r="K1448" s="195" t="s">
        <v>687</v>
      </c>
      <c r="L1448" s="197"/>
      <c r="M1448" s="197"/>
      <c r="N1448" s="197"/>
      <c r="O1448" s="197"/>
    </row>
    <row r="1449" spans="1:15" hidden="1">
      <c r="A1449" s="189" t="s">
        <v>137</v>
      </c>
      <c r="B1449" s="189" t="s">
        <v>683</v>
      </c>
      <c r="C1449" s="189" t="s">
        <v>684</v>
      </c>
      <c r="D1449" s="189" t="s">
        <v>322</v>
      </c>
      <c r="E1449" s="189" t="s">
        <v>1795</v>
      </c>
      <c r="F1449" s="189" t="s">
        <v>261</v>
      </c>
      <c r="G1449" s="282">
        <v>51.59</v>
      </c>
      <c r="H1449" s="282">
        <v>51.59</v>
      </c>
      <c r="I1449" s="198" t="s">
        <v>112</v>
      </c>
      <c r="J1449" s="250" t="s">
        <v>143</v>
      </c>
      <c r="K1449" s="195" t="s">
        <v>687</v>
      </c>
      <c r="L1449" s="197"/>
      <c r="M1449" s="197"/>
      <c r="N1449" s="197"/>
      <c r="O1449" s="197"/>
    </row>
    <row r="1450" spans="1:15" hidden="1">
      <c r="A1450" s="189" t="s">
        <v>137</v>
      </c>
      <c r="B1450" s="189" t="s">
        <v>683</v>
      </c>
      <c r="C1450" s="189" t="s">
        <v>684</v>
      </c>
      <c r="D1450" s="189" t="s">
        <v>718</v>
      </c>
      <c r="E1450" s="189" t="s">
        <v>1796</v>
      </c>
      <c r="F1450" s="189" t="s">
        <v>261</v>
      </c>
      <c r="G1450" s="282">
        <v>14.74</v>
      </c>
      <c r="H1450" s="282">
        <v>14.74</v>
      </c>
      <c r="I1450" s="198" t="s">
        <v>112</v>
      </c>
      <c r="J1450" s="250" t="s">
        <v>143</v>
      </c>
      <c r="K1450" s="195" t="s">
        <v>687</v>
      </c>
      <c r="L1450" s="197"/>
      <c r="M1450" s="197"/>
      <c r="N1450" s="197"/>
      <c r="O1450" s="197"/>
    </row>
    <row r="1451" spans="1:15" hidden="1">
      <c r="A1451" s="189" t="s">
        <v>137</v>
      </c>
      <c r="B1451" s="189" t="s">
        <v>683</v>
      </c>
      <c r="C1451" s="189" t="s">
        <v>684</v>
      </c>
      <c r="D1451" s="189" t="s">
        <v>721</v>
      </c>
      <c r="E1451" s="189" t="s">
        <v>1797</v>
      </c>
      <c r="F1451" s="189" t="s">
        <v>261</v>
      </c>
      <c r="G1451" s="282">
        <v>22.11</v>
      </c>
      <c r="H1451" s="282">
        <v>22.11</v>
      </c>
      <c r="I1451" s="198" t="s">
        <v>112</v>
      </c>
      <c r="J1451" s="250" t="s">
        <v>143</v>
      </c>
      <c r="K1451" s="195" t="s">
        <v>687</v>
      </c>
      <c r="L1451" s="197"/>
      <c r="M1451" s="197"/>
      <c r="N1451" s="197"/>
      <c r="O1451" s="197"/>
    </row>
    <row r="1452" spans="1:15" hidden="1">
      <c r="A1452" s="189" t="s">
        <v>137</v>
      </c>
      <c r="B1452" s="189" t="s">
        <v>683</v>
      </c>
      <c r="C1452" s="189" t="s">
        <v>684</v>
      </c>
      <c r="D1452" s="189" t="s">
        <v>726</v>
      </c>
      <c r="E1452" s="189" t="s">
        <v>1798</v>
      </c>
      <c r="F1452" s="189" t="s">
        <v>261</v>
      </c>
      <c r="G1452" s="282">
        <v>36.85</v>
      </c>
      <c r="H1452" s="282">
        <v>36.85</v>
      </c>
      <c r="I1452" s="198" t="s">
        <v>112</v>
      </c>
      <c r="J1452" s="250" t="s">
        <v>143</v>
      </c>
      <c r="K1452" s="195" t="s">
        <v>687</v>
      </c>
      <c r="L1452" s="197"/>
      <c r="M1452" s="197"/>
      <c r="N1452" s="197"/>
      <c r="O1452" s="197"/>
    </row>
    <row r="1453" spans="1:15" hidden="1">
      <c r="A1453" s="189" t="s">
        <v>137</v>
      </c>
      <c r="B1453" s="189" t="s">
        <v>683</v>
      </c>
      <c r="C1453" s="189" t="s">
        <v>684</v>
      </c>
      <c r="D1453" s="189" t="s">
        <v>731</v>
      </c>
      <c r="E1453" s="189" t="s">
        <v>1799</v>
      </c>
      <c r="F1453" s="189" t="s">
        <v>261</v>
      </c>
      <c r="G1453" s="282">
        <v>22.11</v>
      </c>
      <c r="H1453" s="282">
        <v>22.11</v>
      </c>
      <c r="I1453" s="198" t="s">
        <v>112</v>
      </c>
      <c r="J1453" s="250" t="s">
        <v>143</v>
      </c>
      <c r="K1453" s="195" t="s">
        <v>687</v>
      </c>
      <c r="L1453" s="197"/>
      <c r="M1453" s="197"/>
      <c r="N1453" s="197"/>
      <c r="O1453" s="197"/>
    </row>
    <row r="1454" spans="1:15" hidden="1">
      <c r="A1454" s="189" t="s">
        <v>137</v>
      </c>
      <c r="B1454" s="189" t="s">
        <v>683</v>
      </c>
      <c r="C1454" s="189" t="s">
        <v>684</v>
      </c>
      <c r="D1454" s="189" t="s">
        <v>736</v>
      </c>
      <c r="E1454" s="189" t="s">
        <v>1800</v>
      </c>
      <c r="F1454" s="189" t="s">
        <v>261</v>
      </c>
      <c r="G1454" s="282">
        <v>51.59</v>
      </c>
      <c r="H1454" s="282">
        <v>51.59</v>
      </c>
      <c r="I1454" s="198" t="s">
        <v>112</v>
      </c>
      <c r="J1454" s="250" t="s">
        <v>143</v>
      </c>
      <c r="K1454" s="195" t="s">
        <v>687</v>
      </c>
      <c r="L1454" s="197"/>
      <c r="M1454" s="197"/>
      <c r="N1454" s="197"/>
      <c r="O1454" s="197"/>
    </row>
    <row r="1455" spans="1:15" hidden="1">
      <c r="A1455" s="189" t="s">
        <v>137</v>
      </c>
      <c r="B1455" s="189" t="s">
        <v>683</v>
      </c>
      <c r="C1455" s="189" t="s">
        <v>684</v>
      </c>
      <c r="D1455" s="189" t="s">
        <v>1801</v>
      </c>
      <c r="E1455" s="189" t="s">
        <v>1802</v>
      </c>
      <c r="F1455" s="189" t="s">
        <v>261</v>
      </c>
      <c r="G1455" s="282">
        <v>14.74</v>
      </c>
      <c r="H1455" s="282">
        <v>14.74</v>
      </c>
      <c r="I1455" s="198" t="s">
        <v>112</v>
      </c>
      <c r="J1455" s="250" t="s">
        <v>143</v>
      </c>
      <c r="K1455" s="195" t="s">
        <v>687</v>
      </c>
      <c r="L1455" s="197"/>
      <c r="M1455" s="197"/>
      <c r="N1455" s="197"/>
      <c r="O1455" s="197"/>
    </row>
    <row r="1456" spans="1:15" hidden="1">
      <c r="A1456" s="189" t="s">
        <v>137</v>
      </c>
      <c r="B1456" s="189" t="s">
        <v>683</v>
      </c>
      <c r="C1456" s="189" t="s">
        <v>684</v>
      </c>
      <c r="D1456" s="189" t="s">
        <v>749</v>
      </c>
      <c r="E1456" s="189" t="s">
        <v>1803</v>
      </c>
      <c r="F1456" s="189" t="s">
        <v>261</v>
      </c>
      <c r="G1456" s="282">
        <v>14.74</v>
      </c>
      <c r="H1456" s="282">
        <v>14.74</v>
      </c>
      <c r="I1456" s="198" t="s">
        <v>112</v>
      </c>
      <c r="J1456" s="250" t="s">
        <v>143</v>
      </c>
      <c r="K1456" s="195" t="s">
        <v>687</v>
      </c>
      <c r="L1456" s="197"/>
      <c r="M1456" s="197"/>
      <c r="N1456" s="197"/>
      <c r="O1456" s="197"/>
    </row>
    <row r="1457" spans="1:15" hidden="1">
      <c r="A1457" s="189" t="s">
        <v>137</v>
      </c>
      <c r="B1457" s="189" t="s">
        <v>683</v>
      </c>
      <c r="C1457" s="189" t="s">
        <v>684</v>
      </c>
      <c r="D1457" s="189" t="s">
        <v>754</v>
      </c>
      <c r="E1457" s="189" t="s">
        <v>1804</v>
      </c>
      <c r="F1457" s="189" t="s">
        <v>261</v>
      </c>
      <c r="G1457" s="282">
        <v>117.92</v>
      </c>
      <c r="H1457" s="282">
        <v>117.92</v>
      </c>
      <c r="I1457" s="198" t="s">
        <v>112</v>
      </c>
      <c r="J1457" s="250" t="s">
        <v>143</v>
      </c>
      <c r="K1457" s="195" t="s">
        <v>687</v>
      </c>
      <c r="L1457" s="197"/>
      <c r="M1457" s="197"/>
      <c r="N1457" s="197"/>
      <c r="O1457" s="197"/>
    </row>
    <row r="1458" spans="1:15" hidden="1">
      <c r="A1458" s="189" t="s">
        <v>137</v>
      </c>
      <c r="B1458" s="189" t="s">
        <v>683</v>
      </c>
      <c r="C1458" s="189" t="s">
        <v>684</v>
      </c>
      <c r="D1458" s="189" t="s">
        <v>759</v>
      </c>
      <c r="E1458" s="189" t="s">
        <v>1805</v>
      </c>
      <c r="F1458" s="189" t="s">
        <v>261</v>
      </c>
      <c r="G1458" s="282">
        <v>51.59</v>
      </c>
      <c r="H1458" s="282">
        <v>51.59</v>
      </c>
      <c r="I1458" s="198" t="s">
        <v>112</v>
      </c>
      <c r="J1458" s="250" t="s">
        <v>143</v>
      </c>
      <c r="K1458" s="195" t="s">
        <v>687</v>
      </c>
      <c r="L1458" s="197"/>
      <c r="M1458" s="197"/>
      <c r="N1458" s="197"/>
      <c r="O1458" s="197"/>
    </row>
    <row r="1459" spans="1:15" hidden="1">
      <c r="A1459" s="189" t="s">
        <v>137</v>
      </c>
      <c r="B1459" s="189" t="s">
        <v>683</v>
      </c>
      <c r="C1459" s="189" t="s">
        <v>684</v>
      </c>
      <c r="D1459" s="189" t="s">
        <v>764</v>
      </c>
      <c r="E1459" s="189" t="s">
        <v>1806</v>
      </c>
      <c r="F1459" s="189" t="s">
        <v>261</v>
      </c>
      <c r="G1459" s="282">
        <v>29.48</v>
      </c>
      <c r="H1459" s="282">
        <v>29.48</v>
      </c>
      <c r="I1459" s="198" t="s">
        <v>112</v>
      </c>
      <c r="J1459" s="250" t="s">
        <v>143</v>
      </c>
      <c r="K1459" s="195" t="s">
        <v>687</v>
      </c>
      <c r="L1459" s="197"/>
      <c r="M1459" s="197"/>
      <c r="N1459" s="197"/>
      <c r="O1459" s="197"/>
    </row>
    <row r="1460" spans="1:15" hidden="1">
      <c r="A1460" s="189" t="s">
        <v>137</v>
      </c>
      <c r="B1460" s="189" t="s">
        <v>683</v>
      </c>
      <c r="C1460" s="189" t="s">
        <v>684</v>
      </c>
      <c r="D1460" s="189" t="s">
        <v>769</v>
      </c>
      <c r="E1460" s="189" t="s">
        <v>1807</v>
      </c>
      <c r="F1460" s="189" t="s">
        <v>261</v>
      </c>
      <c r="G1460" s="282">
        <v>44.22</v>
      </c>
      <c r="H1460" s="282">
        <v>44.22</v>
      </c>
      <c r="I1460" s="198" t="s">
        <v>112</v>
      </c>
      <c r="J1460" s="250" t="s">
        <v>143</v>
      </c>
      <c r="K1460" s="195" t="s">
        <v>687</v>
      </c>
      <c r="L1460" s="197"/>
      <c r="M1460" s="197"/>
      <c r="N1460" s="197"/>
      <c r="O1460" s="197"/>
    </row>
    <row r="1461" spans="1:15" hidden="1">
      <c r="A1461" s="189" t="s">
        <v>137</v>
      </c>
      <c r="B1461" s="189" t="s">
        <v>683</v>
      </c>
      <c r="C1461" s="189" t="s">
        <v>684</v>
      </c>
      <c r="D1461" s="189" t="s">
        <v>774</v>
      </c>
      <c r="E1461" s="189" t="s">
        <v>1808</v>
      </c>
      <c r="F1461" s="189" t="s">
        <v>261</v>
      </c>
      <c r="G1461" s="282">
        <v>36.85</v>
      </c>
      <c r="H1461" s="282">
        <v>36.85</v>
      </c>
      <c r="I1461" s="198" t="s">
        <v>112</v>
      </c>
      <c r="J1461" s="250" t="s">
        <v>143</v>
      </c>
      <c r="K1461" s="195" t="s">
        <v>687</v>
      </c>
      <c r="L1461" s="197"/>
      <c r="M1461" s="197"/>
      <c r="N1461" s="197"/>
      <c r="O1461" s="197"/>
    </row>
    <row r="1462" spans="1:15" hidden="1">
      <c r="A1462" s="189" t="s">
        <v>137</v>
      </c>
      <c r="B1462" s="189" t="s">
        <v>683</v>
      </c>
      <c r="C1462" s="189" t="s">
        <v>684</v>
      </c>
      <c r="D1462" s="189" t="s">
        <v>779</v>
      </c>
      <c r="E1462" s="189" t="s">
        <v>1809</v>
      </c>
      <c r="F1462" s="189" t="s">
        <v>261</v>
      </c>
      <c r="G1462" s="282">
        <v>7.37</v>
      </c>
      <c r="H1462" s="282">
        <v>7.37</v>
      </c>
      <c r="I1462" s="198" t="s">
        <v>112</v>
      </c>
      <c r="J1462" s="250" t="s">
        <v>143</v>
      </c>
      <c r="K1462" s="195" t="s">
        <v>687</v>
      </c>
      <c r="L1462" s="197"/>
      <c r="M1462" s="197"/>
      <c r="N1462" s="197"/>
      <c r="O1462" s="197"/>
    </row>
    <row r="1463" spans="1:15" hidden="1">
      <c r="A1463" s="189" t="s">
        <v>137</v>
      </c>
      <c r="B1463" s="189" t="s">
        <v>683</v>
      </c>
      <c r="C1463" s="189" t="s">
        <v>684</v>
      </c>
      <c r="D1463" s="189" t="s">
        <v>784</v>
      </c>
      <c r="E1463" s="189" t="s">
        <v>1810</v>
      </c>
      <c r="F1463" s="189" t="s">
        <v>261</v>
      </c>
      <c r="G1463" s="282">
        <v>22.11</v>
      </c>
      <c r="H1463" s="282">
        <v>22.11</v>
      </c>
      <c r="I1463" s="198" t="s">
        <v>112</v>
      </c>
      <c r="J1463" s="250" t="s">
        <v>143</v>
      </c>
      <c r="K1463" s="195" t="s">
        <v>687</v>
      </c>
      <c r="L1463" s="197"/>
      <c r="M1463" s="197"/>
      <c r="N1463" s="197"/>
      <c r="O1463" s="197"/>
    </row>
    <row r="1464" spans="1:15" hidden="1">
      <c r="A1464" s="189" t="s">
        <v>137</v>
      </c>
      <c r="B1464" s="189" t="s">
        <v>683</v>
      </c>
      <c r="C1464" s="189" t="s">
        <v>684</v>
      </c>
      <c r="D1464" s="189" t="s">
        <v>789</v>
      </c>
      <c r="E1464" s="189" t="s">
        <v>1811</v>
      </c>
      <c r="F1464" s="189" t="s">
        <v>261</v>
      </c>
      <c r="G1464" s="282">
        <v>66.33</v>
      </c>
      <c r="H1464" s="282">
        <v>66.33</v>
      </c>
      <c r="I1464" s="198" t="s">
        <v>112</v>
      </c>
      <c r="J1464" s="250" t="s">
        <v>143</v>
      </c>
      <c r="K1464" s="195" t="s">
        <v>687</v>
      </c>
      <c r="L1464" s="197"/>
      <c r="M1464" s="197"/>
      <c r="N1464" s="197"/>
      <c r="O1464" s="197"/>
    </row>
    <row r="1465" spans="1:15" hidden="1">
      <c r="A1465" s="189" t="s">
        <v>137</v>
      </c>
      <c r="B1465" s="189" t="s">
        <v>683</v>
      </c>
      <c r="C1465" s="189" t="s">
        <v>684</v>
      </c>
      <c r="D1465" s="189" t="s">
        <v>403</v>
      </c>
      <c r="E1465" s="189" t="s">
        <v>1812</v>
      </c>
      <c r="F1465" s="189" t="s">
        <v>261</v>
      </c>
      <c r="G1465" s="282">
        <v>110.55</v>
      </c>
      <c r="H1465" s="282">
        <v>110.55</v>
      </c>
      <c r="I1465" s="198" t="s">
        <v>112</v>
      </c>
      <c r="J1465" s="250" t="s">
        <v>143</v>
      </c>
      <c r="K1465" s="195" t="s">
        <v>687</v>
      </c>
      <c r="L1465" s="197"/>
      <c r="M1465" s="197"/>
      <c r="N1465" s="197"/>
      <c r="O1465" s="197"/>
    </row>
    <row r="1466" spans="1:15" hidden="1">
      <c r="A1466" s="189" t="s">
        <v>137</v>
      </c>
      <c r="B1466" s="189" t="s">
        <v>683</v>
      </c>
      <c r="C1466" s="189" t="s">
        <v>684</v>
      </c>
      <c r="D1466" s="189" t="s">
        <v>425</v>
      </c>
      <c r="E1466" s="189" t="s">
        <v>1813</v>
      </c>
      <c r="F1466" s="189" t="s">
        <v>261</v>
      </c>
      <c r="G1466" s="282">
        <v>140.03</v>
      </c>
      <c r="H1466" s="282">
        <v>140.03</v>
      </c>
      <c r="I1466" s="198" t="s">
        <v>112</v>
      </c>
      <c r="J1466" s="250" t="s">
        <v>143</v>
      </c>
      <c r="K1466" s="195" t="s">
        <v>687</v>
      </c>
      <c r="L1466" s="197"/>
      <c r="M1466" s="197"/>
      <c r="N1466" s="197"/>
      <c r="O1466" s="197"/>
    </row>
    <row r="1467" spans="1:15" hidden="1">
      <c r="A1467" s="189" t="s">
        <v>137</v>
      </c>
      <c r="B1467" s="189" t="s">
        <v>683</v>
      </c>
      <c r="C1467" s="189" t="s">
        <v>684</v>
      </c>
      <c r="D1467" s="189" t="s">
        <v>598</v>
      </c>
      <c r="E1467" s="189" t="s">
        <v>1814</v>
      </c>
      <c r="F1467" s="189" t="s">
        <v>261</v>
      </c>
      <c r="G1467" s="282">
        <v>51.59</v>
      </c>
      <c r="H1467" s="282">
        <v>51.59</v>
      </c>
      <c r="I1467" s="198" t="s">
        <v>112</v>
      </c>
      <c r="J1467" s="250" t="s">
        <v>143</v>
      </c>
      <c r="K1467" s="195" t="s">
        <v>687</v>
      </c>
      <c r="L1467" s="197"/>
      <c r="M1467" s="197"/>
      <c r="N1467" s="197"/>
      <c r="O1467" s="197"/>
    </row>
    <row r="1468" spans="1:15" hidden="1">
      <c r="A1468" s="189" t="s">
        <v>137</v>
      </c>
      <c r="B1468" s="189" t="s">
        <v>683</v>
      </c>
      <c r="C1468" s="189" t="s">
        <v>684</v>
      </c>
      <c r="D1468" s="189" t="s">
        <v>808</v>
      </c>
      <c r="E1468" s="189" t="s">
        <v>1815</v>
      </c>
      <c r="F1468" s="189" t="s">
        <v>261</v>
      </c>
      <c r="G1468" s="282">
        <v>36.85</v>
      </c>
      <c r="H1468" s="282">
        <v>36.85</v>
      </c>
      <c r="I1468" s="198" t="s">
        <v>112</v>
      </c>
      <c r="J1468" s="250" t="s">
        <v>143</v>
      </c>
      <c r="K1468" s="195" t="s">
        <v>687</v>
      </c>
      <c r="L1468" s="197"/>
      <c r="M1468" s="197"/>
      <c r="N1468" s="197"/>
      <c r="O1468" s="197"/>
    </row>
    <row r="1469" spans="1:15" hidden="1">
      <c r="A1469" s="189" t="s">
        <v>137</v>
      </c>
      <c r="B1469" s="189" t="s">
        <v>683</v>
      </c>
      <c r="C1469" s="189" t="s">
        <v>684</v>
      </c>
      <c r="D1469" s="189" t="s">
        <v>815</v>
      </c>
      <c r="E1469" s="189" t="s">
        <v>1816</v>
      </c>
      <c r="F1469" s="189" t="s">
        <v>261</v>
      </c>
      <c r="G1469" s="282">
        <v>22.11</v>
      </c>
      <c r="H1469" s="282">
        <v>22.11</v>
      </c>
      <c r="I1469" s="198" t="s">
        <v>112</v>
      </c>
      <c r="J1469" s="250" t="s">
        <v>143</v>
      </c>
      <c r="K1469" s="195" t="s">
        <v>687</v>
      </c>
      <c r="L1469" s="197"/>
      <c r="M1469" s="197"/>
      <c r="N1469" s="197"/>
      <c r="O1469" s="197"/>
    </row>
    <row r="1470" spans="1:15" hidden="1">
      <c r="A1470" s="189" t="s">
        <v>137</v>
      </c>
      <c r="B1470" s="189" t="s">
        <v>683</v>
      </c>
      <c r="C1470" s="189" t="s">
        <v>684</v>
      </c>
      <c r="D1470" s="189" t="s">
        <v>817</v>
      </c>
      <c r="E1470" s="189" t="s">
        <v>1817</v>
      </c>
      <c r="F1470" s="189" t="s">
        <v>261</v>
      </c>
      <c r="G1470" s="282">
        <v>29.48</v>
      </c>
      <c r="H1470" s="282">
        <v>29.48</v>
      </c>
      <c r="I1470" s="198" t="s">
        <v>112</v>
      </c>
      <c r="J1470" s="250" t="s">
        <v>143</v>
      </c>
      <c r="K1470" s="195" t="s">
        <v>687</v>
      </c>
      <c r="L1470" s="197"/>
      <c r="M1470" s="197"/>
      <c r="N1470" s="197"/>
      <c r="O1470" s="197"/>
    </row>
    <row r="1471" spans="1:15" hidden="1">
      <c r="A1471" s="189" t="s">
        <v>137</v>
      </c>
      <c r="B1471" s="189" t="s">
        <v>683</v>
      </c>
      <c r="C1471" s="189" t="s">
        <v>684</v>
      </c>
      <c r="D1471" s="189" t="s">
        <v>819</v>
      </c>
      <c r="E1471" s="189" t="s">
        <v>1818</v>
      </c>
      <c r="F1471" s="189" t="s">
        <v>261</v>
      </c>
      <c r="G1471" s="282">
        <v>44.22</v>
      </c>
      <c r="H1471" s="282">
        <v>44.22</v>
      </c>
      <c r="I1471" s="198" t="s">
        <v>112</v>
      </c>
      <c r="J1471" s="250" t="s">
        <v>143</v>
      </c>
      <c r="K1471" s="195" t="s">
        <v>687</v>
      </c>
      <c r="L1471" s="197"/>
      <c r="M1471" s="197"/>
      <c r="N1471" s="197"/>
      <c r="O1471" s="197"/>
    </row>
    <row r="1472" spans="1:15" hidden="1">
      <c r="A1472" s="189" t="s">
        <v>137</v>
      </c>
      <c r="B1472" s="189" t="s">
        <v>683</v>
      </c>
      <c r="C1472" s="189" t="s">
        <v>684</v>
      </c>
      <c r="D1472" s="189" t="s">
        <v>824</v>
      </c>
      <c r="E1472" s="189" t="s">
        <v>1819</v>
      </c>
      <c r="F1472" s="189" t="s">
        <v>261</v>
      </c>
      <c r="G1472" s="282">
        <v>29.48</v>
      </c>
      <c r="H1472" s="282">
        <v>29.48</v>
      </c>
      <c r="I1472" s="198" t="s">
        <v>112</v>
      </c>
      <c r="J1472" s="250" t="s">
        <v>143</v>
      </c>
      <c r="K1472" s="195" t="s">
        <v>687</v>
      </c>
      <c r="L1472" s="197"/>
      <c r="M1472" s="197"/>
      <c r="N1472" s="197"/>
      <c r="O1472" s="197"/>
    </row>
    <row r="1473" spans="1:15" hidden="1">
      <c r="A1473" s="189" t="s">
        <v>137</v>
      </c>
      <c r="B1473" s="189" t="s">
        <v>683</v>
      </c>
      <c r="C1473" s="189" t="s">
        <v>684</v>
      </c>
      <c r="D1473" s="189" t="s">
        <v>828</v>
      </c>
      <c r="E1473" s="189" t="s">
        <v>1820</v>
      </c>
      <c r="F1473" s="189" t="s">
        <v>261</v>
      </c>
      <c r="G1473" s="282">
        <v>29.48</v>
      </c>
      <c r="H1473" s="282">
        <v>29.48</v>
      </c>
      <c r="I1473" s="198" t="s">
        <v>112</v>
      </c>
      <c r="J1473" s="250" t="s">
        <v>143</v>
      </c>
      <c r="K1473" s="195" t="s">
        <v>687</v>
      </c>
      <c r="L1473" s="197"/>
      <c r="M1473" s="197"/>
      <c r="N1473" s="197"/>
      <c r="O1473" s="197"/>
    </row>
    <row r="1474" spans="1:15" hidden="1">
      <c r="A1474" s="189" t="s">
        <v>137</v>
      </c>
      <c r="B1474" s="189" t="s">
        <v>683</v>
      </c>
      <c r="C1474" s="189" t="s">
        <v>684</v>
      </c>
      <c r="D1474" s="189" t="s">
        <v>410</v>
      </c>
      <c r="E1474" s="189" t="s">
        <v>1821</v>
      </c>
      <c r="F1474" s="189" t="s">
        <v>261</v>
      </c>
      <c r="G1474" s="282">
        <v>58.96</v>
      </c>
      <c r="H1474" s="282">
        <v>58.96</v>
      </c>
      <c r="I1474" s="198" t="s">
        <v>112</v>
      </c>
      <c r="J1474" s="250" t="s">
        <v>143</v>
      </c>
      <c r="K1474" s="195" t="s">
        <v>687</v>
      </c>
      <c r="L1474" s="197"/>
      <c r="M1474" s="197"/>
      <c r="N1474" s="197"/>
      <c r="O1474" s="197"/>
    </row>
    <row r="1475" spans="1:15" hidden="1">
      <c r="A1475" s="189" t="s">
        <v>137</v>
      </c>
      <c r="B1475" s="189" t="s">
        <v>683</v>
      </c>
      <c r="C1475" s="189" t="s">
        <v>684</v>
      </c>
      <c r="D1475" s="189" t="s">
        <v>837</v>
      </c>
      <c r="E1475" s="189" t="s">
        <v>1822</v>
      </c>
      <c r="F1475" s="189" t="s">
        <v>261</v>
      </c>
      <c r="G1475" s="282">
        <v>36.85</v>
      </c>
      <c r="H1475" s="282">
        <v>36.85</v>
      </c>
      <c r="I1475" s="198" t="s">
        <v>112</v>
      </c>
      <c r="J1475" s="250" t="s">
        <v>143</v>
      </c>
      <c r="K1475" s="195" t="s">
        <v>687</v>
      </c>
      <c r="L1475" s="197"/>
      <c r="M1475" s="197"/>
      <c r="N1475" s="197"/>
      <c r="O1475" s="197"/>
    </row>
    <row r="1476" spans="1:15" hidden="1">
      <c r="A1476" s="189" t="s">
        <v>137</v>
      </c>
      <c r="B1476" s="189" t="s">
        <v>683</v>
      </c>
      <c r="C1476" s="189" t="s">
        <v>684</v>
      </c>
      <c r="D1476" s="189" t="s">
        <v>842</v>
      </c>
      <c r="E1476" s="189" t="s">
        <v>1823</v>
      </c>
      <c r="F1476" s="189" t="s">
        <v>261</v>
      </c>
      <c r="G1476" s="282">
        <v>51.59</v>
      </c>
      <c r="H1476" s="282">
        <v>51.59</v>
      </c>
      <c r="I1476" s="198" t="s">
        <v>112</v>
      </c>
      <c r="J1476" s="250" t="s">
        <v>143</v>
      </c>
      <c r="K1476" s="195" t="s">
        <v>687</v>
      </c>
      <c r="L1476" s="197"/>
      <c r="M1476" s="197"/>
      <c r="N1476" s="197"/>
      <c r="O1476" s="197"/>
    </row>
    <row r="1477" spans="1:15" hidden="1">
      <c r="A1477" s="189" t="s">
        <v>137</v>
      </c>
      <c r="B1477" s="189" t="s">
        <v>683</v>
      </c>
      <c r="C1477" s="189" t="s">
        <v>684</v>
      </c>
      <c r="D1477" s="189" t="s">
        <v>338</v>
      </c>
      <c r="E1477" s="189" t="s">
        <v>1824</v>
      </c>
      <c r="F1477" s="189" t="s">
        <v>261</v>
      </c>
      <c r="G1477" s="282">
        <v>44.22</v>
      </c>
      <c r="H1477" s="282">
        <v>44.22</v>
      </c>
      <c r="I1477" s="198" t="s">
        <v>112</v>
      </c>
      <c r="J1477" s="250" t="s">
        <v>143</v>
      </c>
      <c r="K1477" s="195" t="s">
        <v>687</v>
      </c>
      <c r="L1477" s="197"/>
      <c r="M1477" s="197"/>
      <c r="N1477" s="197"/>
      <c r="O1477" s="197"/>
    </row>
    <row r="1478" spans="1:15" hidden="1">
      <c r="A1478" s="189" t="s">
        <v>137</v>
      </c>
      <c r="B1478" s="189" t="s">
        <v>683</v>
      </c>
      <c r="C1478" s="189" t="s">
        <v>684</v>
      </c>
      <c r="D1478" s="189" t="s">
        <v>851</v>
      </c>
      <c r="E1478" s="189" t="s">
        <v>1825</v>
      </c>
      <c r="F1478" s="189" t="s">
        <v>261</v>
      </c>
      <c r="G1478" s="282">
        <v>7.37</v>
      </c>
      <c r="H1478" s="282">
        <v>7.37</v>
      </c>
      <c r="I1478" s="198" t="s">
        <v>112</v>
      </c>
      <c r="J1478" s="250" t="s">
        <v>143</v>
      </c>
      <c r="K1478" s="195" t="s">
        <v>687</v>
      </c>
      <c r="L1478" s="197"/>
      <c r="M1478" s="197"/>
      <c r="N1478" s="197"/>
      <c r="O1478" s="197"/>
    </row>
    <row r="1479" spans="1:15" hidden="1">
      <c r="A1479" s="189" t="s">
        <v>137</v>
      </c>
      <c r="B1479" s="189" t="s">
        <v>683</v>
      </c>
      <c r="C1479" s="189" t="s">
        <v>684</v>
      </c>
      <c r="D1479" s="189" t="s">
        <v>856</v>
      </c>
      <c r="E1479" s="189" t="s">
        <v>1826</v>
      </c>
      <c r="F1479" s="189" t="s">
        <v>261</v>
      </c>
      <c r="G1479" s="282">
        <v>22.11</v>
      </c>
      <c r="H1479" s="282">
        <v>22.11</v>
      </c>
      <c r="I1479" s="198" t="s">
        <v>112</v>
      </c>
      <c r="J1479" s="250" t="s">
        <v>143</v>
      </c>
      <c r="K1479" s="195" t="s">
        <v>687</v>
      </c>
      <c r="L1479" s="197"/>
      <c r="M1479" s="197"/>
      <c r="N1479" s="197"/>
      <c r="O1479" s="197"/>
    </row>
    <row r="1480" spans="1:15" hidden="1">
      <c r="A1480" s="189" t="s">
        <v>137</v>
      </c>
      <c r="B1480" s="189" t="s">
        <v>683</v>
      </c>
      <c r="C1480" s="189" t="s">
        <v>684</v>
      </c>
      <c r="D1480" s="189" t="s">
        <v>859</v>
      </c>
      <c r="E1480" s="189" t="s">
        <v>1827</v>
      </c>
      <c r="F1480" s="189" t="s">
        <v>261</v>
      </c>
      <c r="G1480" s="282">
        <v>44.22</v>
      </c>
      <c r="H1480" s="282">
        <v>44.22</v>
      </c>
      <c r="I1480" s="198" t="s">
        <v>112</v>
      </c>
      <c r="J1480" s="250" t="s">
        <v>143</v>
      </c>
      <c r="K1480" s="195" t="s">
        <v>687</v>
      </c>
      <c r="L1480" s="197"/>
      <c r="M1480" s="197"/>
      <c r="N1480" s="197"/>
      <c r="O1480" s="197"/>
    </row>
    <row r="1481" spans="1:15" hidden="1">
      <c r="A1481" s="189" t="s">
        <v>137</v>
      </c>
      <c r="B1481" s="189" t="s">
        <v>683</v>
      </c>
      <c r="C1481" s="189" t="s">
        <v>684</v>
      </c>
      <c r="D1481" s="189" t="s">
        <v>864</v>
      </c>
      <c r="E1481" s="189" t="s">
        <v>1828</v>
      </c>
      <c r="F1481" s="189" t="s">
        <v>261</v>
      </c>
      <c r="G1481" s="282">
        <v>66.33</v>
      </c>
      <c r="H1481" s="282">
        <v>66.33</v>
      </c>
      <c r="I1481" s="198" t="s">
        <v>112</v>
      </c>
      <c r="J1481" s="250" t="s">
        <v>143</v>
      </c>
      <c r="K1481" s="195" t="s">
        <v>687</v>
      </c>
      <c r="L1481" s="197"/>
      <c r="M1481" s="197"/>
      <c r="N1481" s="197"/>
      <c r="O1481" s="197"/>
    </row>
    <row r="1482" spans="1:15" hidden="1">
      <c r="A1482" s="189" t="s">
        <v>137</v>
      </c>
      <c r="B1482" s="189" t="s">
        <v>683</v>
      </c>
      <c r="C1482" s="189" t="s">
        <v>684</v>
      </c>
      <c r="D1482" s="189" t="s">
        <v>869</v>
      </c>
      <c r="E1482" s="189" t="s">
        <v>1829</v>
      </c>
      <c r="F1482" s="189" t="s">
        <v>261</v>
      </c>
      <c r="G1482" s="282">
        <v>58.96</v>
      </c>
      <c r="H1482" s="282">
        <v>58.96</v>
      </c>
      <c r="I1482" s="198" t="s">
        <v>112</v>
      </c>
      <c r="J1482" s="250" t="s">
        <v>143</v>
      </c>
      <c r="K1482" s="195" t="s">
        <v>687</v>
      </c>
      <c r="L1482" s="197"/>
      <c r="M1482" s="197"/>
      <c r="N1482" s="197"/>
      <c r="O1482" s="197"/>
    </row>
    <row r="1483" spans="1:15" hidden="1">
      <c r="A1483" s="189" t="s">
        <v>137</v>
      </c>
      <c r="B1483" s="189" t="s">
        <v>683</v>
      </c>
      <c r="C1483" s="189" t="s">
        <v>684</v>
      </c>
      <c r="D1483" s="189" t="s">
        <v>874</v>
      </c>
      <c r="E1483" s="189" t="s">
        <v>1830</v>
      </c>
      <c r="F1483" s="189" t="s">
        <v>261</v>
      </c>
      <c r="G1483" s="282">
        <v>88.44</v>
      </c>
      <c r="H1483" s="282">
        <v>88.44</v>
      </c>
      <c r="I1483" s="198" t="s">
        <v>112</v>
      </c>
      <c r="J1483" s="250" t="s">
        <v>143</v>
      </c>
      <c r="K1483" s="195" t="s">
        <v>687</v>
      </c>
      <c r="L1483" s="197"/>
      <c r="M1483" s="197"/>
      <c r="N1483" s="197"/>
      <c r="O1483" s="197"/>
    </row>
    <row r="1484" spans="1:15" hidden="1">
      <c r="A1484" s="189" t="s">
        <v>137</v>
      </c>
      <c r="B1484" s="189" t="s">
        <v>683</v>
      </c>
      <c r="C1484" s="189" t="s">
        <v>684</v>
      </c>
      <c r="D1484" s="189" t="s">
        <v>413</v>
      </c>
      <c r="E1484" s="189" t="s">
        <v>1831</v>
      </c>
      <c r="F1484" s="189" t="s">
        <v>261</v>
      </c>
      <c r="G1484" s="282">
        <v>162.13999999999999</v>
      </c>
      <c r="H1484" s="282">
        <v>162.13999999999999</v>
      </c>
      <c r="I1484" s="198" t="s">
        <v>112</v>
      </c>
      <c r="J1484" s="250" t="s">
        <v>143</v>
      </c>
      <c r="K1484" s="195" t="s">
        <v>687</v>
      </c>
      <c r="L1484" s="197"/>
      <c r="M1484" s="197"/>
      <c r="N1484" s="197"/>
      <c r="O1484" s="197"/>
    </row>
    <row r="1485" spans="1:15" hidden="1">
      <c r="A1485" s="189" t="s">
        <v>137</v>
      </c>
      <c r="B1485" s="189" t="s">
        <v>138</v>
      </c>
      <c r="C1485" s="189" t="s">
        <v>82</v>
      </c>
      <c r="D1485" s="189" t="s">
        <v>883</v>
      </c>
      <c r="E1485" s="189" t="s">
        <v>1832</v>
      </c>
      <c r="F1485" s="189" t="s">
        <v>261</v>
      </c>
      <c r="G1485" s="258">
        <v>-316.43</v>
      </c>
      <c r="H1485" s="260">
        <v>-322.92</v>
      </c>
      <c r="I1485" s="215" t="s">
        <v>82</v>
      </c>
      <c r="J1485" s="189" t="s">
        <v>143</v>
      </c>
      <c r="K1485" s="195" t="s">
        <v>687</v>
      </c>
      <c r="L1485" s="197"/>
      <c r="M1485" s="197"/>
      <c r="N1485" s="197"/>
      <c r="O1485" s="197"/>
    </row>
    <row r="1486" spans="1:15" hidden="1">
      <c r="A1486" s="199" t="s">
        <v>243</v>
      </c>
      <c r="B1486" s="189" t="s">
        <v>138</v>
      </c>
      <c r="C1486" s="189" t="s">
        <v>96</v>
      </c>
      <c r="D1486" s="189" t="s">
        <v>1657</v>
      </c>
      <c r="E1486" s="189" t="s">
        <v>1706</v>
      </c>
      <c r="F1486" s="205" t="s">
        <v>265</v>
      </c>
      <c r="G1486" s="258">
        <f>-(1*249.85+3*188.19)</f>
        <v>-814.42</v>
      </c>
      <c r="H1486" s="260">
        <v>-6000</v>
      </c>
      <c r="I1486" s="198" t="s">
        <v>96</v>
      </c>
      <c r="J1486" s="250" t="s">
        <v>164</v>
      </c>
      <c r="K1486" s="188" t="s">
        <v>361</v>
      </c>
      <c r="L1486" s="197"/>
      <c r="M1486" s="197"/>
      <c r="N1486" s="197"/>
      <c r="O1486" s="197"/>
    </row>
    <row r="1487" spans="1:15" hidden="1">
      <c r="A1487" s="189" t="s">
        <v>232</v>
      </c>
      <c r="B1487" s="189" t="s">
        <v>138</v>
      </c>
      <c r="C1487" s="189" t="s">
        <v>82</v>
      </c>
      <c r="D1487" s="189" t="s">
        <v>883</v>
      </c>
      <c r="E1487" s="189" t="s">
        <v>1833</v>
      </c>
      <c r="F1487" s="189" t="s">
        <v>261</v>
      </c>
      <c r="G1487" s="258">
        <v>-87.99</v>
      </c>
      <c r="H1487" s="260">
        <v>-87.99</v>
      </c>
      <c r="I1487" s="215" t="s">
        <v>82</v>
      </c>
      <c r="J1487" s="189" t="s">
        <v>143</v>
      </c>
      <c r="K1487" s="195" t="s">
        <v>687</v>
      </c>
      <c r="L1487" s="197"/>
      <c r="M1487" s="197"/>
      <c r="N1487" s="197"/>
      <c r="O1487" s="197"/>
    </row>
    <row r="1488" spans="1:15" hidden="1">
      <c r="A1488" s="189" t="s">
        <v>137</v>
      </c>
      <c r="B1488" s="189" t="s">
        <v>683</v>
      </c>
      <c r="C1488" s="189" t="s">
        <v>894</v>
      </c>
      <c r="D1488" s="189" t="s">
        <v>764</v>
      </c>
      <c r="E1488" s="189" t="s">
        <v>655</v>
      </c>
      <c r="F1488" s="189" t="s">
        <v>261</v>
      </c>
      <c r="G1488" s="282">
        <v>4538.6899999999996</v>
      </c>
      <c r="H1488" s="282">
        <v>4538.6899999999996</v>
      </c>
      <c r="I1488" s="188" t="s">
        <v>112</v>
      </c>
      <c r="J1488" s="189" t="s">
        <v>206</v>
      </c>
      <c r="K1488" s="188" t="s">
        <v>195</v>
      </c>
      <c r="L1488" s="197"/>
      <c r="M1488" s="197"/>
      <c r="N1488" s="197"/>
      <c r="O1488" s="197"/>
    </row>
    <row r="1489" spans="1:15" hidden="1">
      <c r="A1489" s="189" t="s">
        <v>209</v>
      </c>
      <c r="B1489" s="189" t="s">
        <v>683</v>
      </c>
      <c r="C1489" s="189" t="s">
        <v>894</v>
      </c>
      <c r="D1489" s="189" t="s">
        <v>869</v>
      </c>
      <c r="E1489" s="189" t="s">
        <v>1202</v>
      </c>
      <c r="F1489" s="189" t="s">
        <v>261</v>
      </c>
      <c r="G1489" s="282">
        <v>6703.22</v>
      </c>
      <c r="H1489" s="282">
        <v>6703.22</v>
      </c>
      <c r="I1489" s="188" t="s">
        <v>112</v>
      </c>
      <c r="J1489" s="189" t="s">
        <v>206</v>
      </c>
      <c r="K1489" s="195" t="s">
        <v>687</v>
      </c>
      <c r="L1489" s="197"/>
      <c r="M1489" s="197"/>
      <c r="N1489" s="197"/>
      <c r="O1489" s="197"/>
    </row>
    <row r="1490" spans="1:15" hidden="1">
      <c r="A1490" s="189" t="s">
        <v>209</v>
      </c>
      <c r="B1490" s="189" t="s">
        <v>683</v>
      </c>
      <c r="C1490" s="189" t="s">
        <v>898</v>
      </c>
      <c r="D1490" s="189" t="s">
        <v>869</v>
      </c>
      <c r="E1490" s="189" t="s">
        <v>901</v>
      </c>
      <c r="F1490" s="189" t="s">
        <v>261</v>
      </c>
      <c r="G1490" s="282">
        <v>0.01</v>
      </c>
      <c r="H1490" s="282">
        <v>0.01</v>
      </c>
      <c r="I1490" s="188" t="s">
        <v>112</v>
      </c>
      <c r="J1490" s="189" t="s">
        <v>206</v>
      </c>
      <c r="K1490" s="195" t="s">
        <v>687</v>
      </c>
      <c r="L1490" s="197"/>
      <c r="M1490" s="197"/>
      <c r="N1490" s="197"/>
      <c r="O1490" s="197"/>
    </row>
    <row r="1491" spans="1:15" hidden="1">
      <c r="A1491" s="189" t="s">
        <v>137</v>
      </c>
      <c r="B1491" s="189" t="s">
        <v>138</v>
      </c>
      <c r="C1491" s="189" t="s">
        <v>78</v>
      </c>
      <c r="D1491" s="189" t="s">
        <v>903</v>
      </c>
      <c r="E1491" s="189" t="s">
        <v>1834</v>
      </c>
      <c r="F1491" s="189" t="s">
        <v>261</v>
      </c>
      <c r="G1491" s="258">
        <v>-2430</v>
      </c>
      <c r="H1491" s="260">
        <v>-2430</v>
      </c>
      <c r="I1491" s="215" t="s">
        <v>78</v>
      </c>
      <c r="J1491" s="189" t="s">
        <v>143</v>
      </c>
      <c r="K1491" s="188"/>
      <c r="L1491" s="197"/>
      <c r="M1491" s="197"/>
      <c r="N1491" s="197"/>
      <c r="O1491" s="197"/>
    </row>
    <row r="1492" spans="1:15" hidden="1">
      <c r="A1492" s="189" t="s">
        <v>137</v>
      </c>
      <c r="B1492" s="189" t="s">
        <v>138</v>
      </c>
      <c r="C1492" s="189" t="s">
        <v>78</v>
      </c>
      <c r="D1492" s="189" t="s">
        <v>903</v>
      </c>
      <c r="E1492" s="189" t="s">
        <v>1835</v>
      </c>
      <c r="F1492" s="189" t="s">
        <v>261</v>
      </c>
      <c r="G1492" s="258">
        <v>-2142</v>
      </c>
      <c r="H1492" s="260">
        <v>-2142</v>
      </c>
      <c r="I1492" s="215" t="s">
        <v>78</v>
      </c>
      <c r="J1492" s="189" t="s">
        <v>143</v>
      </c>
      <c r="K1492" s="188"/>
      <c r="L1492" s="197"/>
      <c r="M1492" s="197"/>
      <c r="N1492" s="197"/>
      <c r="O1492" s="197"/>
    </row>
    <row r="1493" spans="1:15" hidden="1">
      <c r="A1493" s="189" t="s">
        <v>232</v>
      </c>
      <c r="B1493" s="189" t="s">
        <v>138</v>
      </c>
      <c r="C1493" s="189" t="s">
        <v>78</v>
      </c>
      <c r="D1493" s="189" t="s">
        <v>903</v>
      </c>
      <c r="E1493" s="189" t="s">
        <v>1836</v>
      </c>
      <c r="F1493" s="189" t="s">
        <v>261</v>
      </c>
      <c r="G1493" s="258">
        <v>-1620</v>
      </c>
      <c r="H1493" s="260">
        <v>-1620</v>
      </c>
      <c r="I1493" s="215" t="s">
        <v>78</v>
      </c>
      <c r="J1493" s="189" t="s">
        <v>143</v>
      </c>
      <c r="K1493" s="188"/>
      <c r="L1493" s="197"/>
      <c r="M1493" s="197"/>
      <c r="N1493" s="197"/>
      <c r="O1493" s="197"/>
    </row>
    <row r="1494" spans="1:15" hidden="1">
      <c r="A1494" s="189" t="s">
        <v>232</v>
      </c>
      <c r="B1494" s="189" t="s">
        <v>138</v>
      </c>
      <c r="C1494" s="189" t="s">
        <v>78</v>
      </c>
      <c r="D1494" s="189" t="s">
        <v>903</v>
      </c>
      <c r="E1494" s="189" t="s">
        <v>1837</v>
      </c>
      <c r="F1494" s="189" t="s">
        <v>261</v>
      </c>
      <c r="G1494" s="258">
        <v>-1512</v>
      </c>
      <c r="H1494" s="260">
        <v>-1512</v>
      </c>
      <c r="I1494" s="215" t="s">
        <v>78</v>
      </c>
      <c r="J1494" s="189" t="s">
        <v>143</v>
      </c>
      <c r="K1494" s="188"/>
      <c r="L1494" s="197"/>
      <c r="M1494" s="197"/>
      <c r="N1494" s="197"/>
      <c r="O1494" s="197"/>
    </row>
    <row r="1495" spans="1:15" hidden="1">
      <c r="A1495" s="189" t="s">
        <v>137</v>
      </c>
      <c r="B1495" s="189" t="s">
        <v>138</v>
      </c>
      <c r="C1495" s="189" t="s">
        <v>139</v>
      </c>
      <c r="D1495" s="189" t="s">
        <v>151</v>
      </c>
      <c r="E1495" s="189" t="s">
        <v>152</v>
      </c>
      <c r="F1495" s="189" t="s">
        <v>265</v>
      </c>
      <c r="G1495" s="260">
        <v>-1051.8599999999999</v>
      </c>
      <c r="H1495" s="260">
        <v>-1051.8599999999999</v>
      </c>
      <c r="I1495" s="198" t="s">
        <v>84</v>
      </c>
      <c r="J1495" s="189" t="s">
        <v>143</v>
      </c>
      <c r="K1495" s="188" t="s">
        <v>361</v>
      </c>
      <c r="L1495" s="197"/>
      <c r="M1495" s="197"/>
      <c r="N1495" s="197"/>
      <c r="O1495" s="197"/>
    </row>
    <row r="1496" spans="1:15" hidden="1">
      <c r="A1496" s="189" t="s">
        <v>137</v>
      </c>
      <c r="B1496" s="189" t="s">
        <v>138</v>
      </c>
      <c r="C1496" s="189" t="s">
        <v>78</v>
      </c>
      <c r="D1496" s="189" t="s">
        <v>922</v>
      </c>
      <c r="E1496" s="189" t="s">
        <v>1838</v>
      </c>
      <c r="F1496" s="189" t="s">
        <v>261</v>
      </c>
      <c r="G1496" s="258">
        <v>-2636.4</v>
      </c>
      <c r="H1496" s="260">
        <v>-2636.4</v>
      </c>
      <c r="I1496" s="215" t="s">
        <v>78</v>
      </c>
      <c r="J1496" s="189" t="s">
        <v>143</v>
      </c>
      <c r="K1496" s="188"/>
      <c r="L1496" s="197"/>
      <c r="M1496" s="197"/>
      <c r="N1496" s="197"/>
      <c r="O1496" s="197"/>
    </row>
    <row r="1497" spans="1:15" hidden="1">
      <c r="A1497" s="189" t="s">
        <v>137</v>
      </c>
      <c r="B1497" s="189" t="s">
        <v>138</v>
      </c>
      <c r="C1497" s="189" t="s">
        <v>139</v>
      </c>
      <c r="D1497" s="189" t="s">
        <v>151</v>
      </c>
      <c r="E1497" s="189" t="s">
        <v>1839</v>
      </c>
      <c r="F1497" s="189" t="s">
        <v>265</v>
      </c>
      <c r="G1497" s="260">
        <v>-896.19</v>
      </c>
      <c r="H1497" s="260">
        <v>-896.19</v>
      </c>
      <c r="I1497" s="198" t="s">
        <v>84</v>
      </c>
      <c r="J1497" s="189" t="s">
        <v>143</v>
      </c>
      <c r="K1497" s="188" t="s">
        <v>361</v>
      </c>
      <c r="L1497" s="197"/>
      <c r="M1497" s="197"/>
      <c r="N1497" s="197"/>
      <c r="O1497" s="197"/>
    </row>
    <row r="1498" spans="1:15" hidden="1">
      <c r="A1498" s="189" t="s">
        <v>137</v>
      </c>
      <c r="B1498" s="189" t="s">
        <v>138</v>
      </c>
      <c r="C1498" s="189" t="s">
        <v>78</v>
      </c>
      <c r="D1498" s="189" t="s">
        <v>922</v>
      </c>
      <c r="E1498" s="189" t="s">
        <v>1840</v>
      </c>
      <c r="F1498" s="189" t="s">
        <v>261</v>
      </c>
      <c r="G1498" s="258">
        <v>-2501.1999999999998</v>
      </c>
      <c r="H1498" s="260">
        <v>-2501.1999999999998</v>
      </c>
      <c r="I1498" s="215" t="s">
        <v>78</v>
      </c>
      <c r="J1498" s="189" t="s">
        <v>143</v>
      </c>
      <c r="K1498" s="188"/>
      <c r="L1498" s="197"/>
      <c r="M1498" s="197"/>
      <c r="N1498" s="197"/>
      <c r="O1498" s="197"/>
    </row>
    <row r="1499" spans="1:15" hidden="1">
      <c r="A1499" s="189" t="s">
        <v>232</v>
      </c>
      <c r="B1499" s="189" t="s">
        <v>138</v>
      </c>
      <c r="C1499" s="189" t="s">
        <v>78</v>
      </c>
      <c r="D1499" s="189" t="s">
        <v>922</v>
      </c>
      <c r="E1499" s="189" t="s">
        <v>1841</v>
      </c>
      <c r="F1499" s="189" t="s">
        <v>261</v>
      </c>
      <c r="G1499" s="258">
        <v>-2028</v>
      </c>
      <c r="H1499" s="260">
        <v>-2028</v>
      </c>
      <c r="I1499" s="215" t="s">
        <v>78</v>
      </c>
      <c r="J1499" s="189" t="s">
        <v>143</v>
      </c>
      <c r="K1499" s="188"/>
      <c r="L1499" s="197"/>
      <c r="M1499" s="197"/>
      <c r="N1499" s="197"/>
      <c r="O1499" s="197"/>
    </row>
    <row r="1500" spans="1:15" hidden="1">
      <c r="A1500" s="189" t="s">
        <v>137</v>
      </c>
      <c r="B1500" s="189" t="s">
        <v>138</v>
      </c>
      <c r="C1500" s="189" t="s">
        <v>139</v>
      </c>
      <c r="D1500" s="189" t="s">
        <v>160</v>
      </c>
      <c r="E1500" s="189" t="s">
        <v>1842</v>
      </c>
      <c r="F1500" s="189" t="s">
        <v>265</v>
      </c>
      <c r="G1500" s="260">
        <v>-5</v>
      </c>
      <c r="H1500" s="260">
        <v>-5</v>
      </c>
      <c r="I1500" s="198" t="s">
        <v>84</v>
      </c>
      <c r="J1500" s="189" t="s">
        <v>164</v>
      </c>
      <c r="K1500" s="188" t="s">
        <v>361</v>
      </c>
      <c r="L1500" s="197"/>
      <c r="M1500" s="197"/>
      <c r="N1500" s="197"/>
      <c r="O1500" s="197"/>
    </row>
    <row r="1501" spans="1:15" hidden="1">
      <c r="A1501" s="189" t="s">
        <v>137</v>
      </c>
      <c r="B1501" s="189" t="s">
        <v>138</v>
      </c>
      <c r="C1501" s="189" t="s">
        <v>139</v>
      </c>
      <c r="D1501" s="189" t="s">
        <v>166</v>
      </c>
      <c r="E1501" s="189" t="s">
        <v>1843</v>
      </c>
      <c r="F1501" s="189" t="s">
        <v>265</v>
      </c>
      <c r="G1501" s="260">
        <v>-52.68</v>
      </c>
      <c r="H1501" s="260">
        <v>-52.68</v>
      </c>
      <c r="I1501" s="198" t="s">
        <v>84</v>
      </c>
      <c r="J1501" s="189" t="s">
        <v>164</v>
      </c>
      <c r="K1501" s="188" t="s">
        <v>361</v>
      </c>
      <c r="L1501" s="197"/>
      <c r="M1501" s="197"/>
      <c r="N1501" s="197"/>
      <c r="O1501" s="197"/>
    </row>
    <row r="1502" spans="1:15" hidden="1">
      <c r="A1502" s="189" t="s">
        <v>232</v>
      </c>
      <c r="B1502" s="189" t="s">
        <v>138</v>
      </c>
      <c r="C1502" s="189" t="s">
        <v>78</v>
      </c>
      <c r="D1502" s="189" t="s">
        <v>922</v>
      </c>
      <c r="E1502" s="189" t="s">
        <v>1844</v>
      </c>
      <c r="F1502" s="189" t="s">
        <v>261</v>
      </c>
      <c r="G1502" s="258">
        <v>-2028</v>
      </c>
      <c r="H1502" s="260">
        <v>-2028</v>
      </c>
      <c r="I1502" s="215" t="s">
        <v>78</v>
      </c>
      <c r="J1502" s="189" t="s">
        <v>143</v>
      </c>
      <c r="K1502" s="188"/>
      <c r="L1502" s="197"/>
      <c r="M1502" s="197"/>
      <c r="N1502" s="197"/>
      <c r="O1502" s="197"/>
    </row>
    <row r="1503" spans="1:15" hidden="1">
      <c r="A1503" s="199" t="s">
        <v>137</v>
      </c>
      <c r="B1503" s="199" t="s">
        <v>683</v>
      </c>
      <c r="C1503" s="199" t="s">
        <v>943</v>
      </c>
      <c r="D1503" s="199" t="s">
        <v>655</v>
      </c>
      <c r="E1503" s="205" t="s">
        <v>1845</v>
      </c>
      <c r="F1503" s="205" t="s">
        <v>261</v>
      </c>
      <c r="G1503" s="306">
        <v>0.08</v>
      </c>
      <c r="H1503" s="306">
        <v>0.08</v>
      </c>
      <c r="I1503" s="198" t="s">
        <v>945</v>
      </c>
      <c r="J1503" s="198" t="s">
        <v>206</v>
      </c>
      <c r="K1503" s="188" t="s">
        <v>1846</v>
      </c>
      <c r="L1503" s="197"/>
      <c r="M1503" s="197"/>
      <c r="N1503" s="197"/>
      <c r="O1503" s="197"/>
    </row>
    <row r="1504" spans="1:15" hidden="1">
      <c r="A1504" s="199" t="s">
        <v>137</v>
      </c>
      <c r="B1504" s="199" t="s">
        <v>683</v>
      </c>
      <c r="C1504" s="199" t="s">
        <v>943</v>
      </c>
      <c r="D1504" s="199" t="s">
        <v>655</v>
      </c>
      <c r="E1504" s="205" t="s">
        <v>1847</v>
      </c>
      <c r="F1504" s="205" t="s">
        <v>261</v>
      </c>
      <c r="G1504" s="292">
        <v>4.6500000000000004</v>
      </c>
      <c r="H1504" s="292">
        <v>4.6500000000000004</v>
      </c>
      <c r="I1504" s="198" t="s">
        <v>945</v>
      </c>
      <c r="J1504" s="198" t="s">
        <v>206</v>
      </c>
      <c r="K1504" s="188" t="s">
        <v>1594</v>
      </c>
      <c r="L1504" s="197"/>
      <c r="M1504" s="197"/>
      <c r="N1504" s="197"/>
      <c r="O1504" s="197"/>
    </row>
    <row r="1505" spans="1:15" hidden="1">
      <c r="A1505" s="189" t="s">
        <v>137</v>
      </c>
      <c r="B1505" s="189" t="s">
        <v>138</v>
      </c>
      <c r="C1505" s="189" t="s">
        <v>139</v>
      </c>
      <c r="D1505" s="189" t="s">
        <v>166</v>
      </c>
      <c r="E1505" s="189" t="s">
        <v>1843</v>
      </c>
      <c r="F1505" s="189" t="s">
        <v>265</v>
      </c>
      <c r="G1505" s="260">
        <v>-52.67</v>
      </c>
      <c r="H1505" s="260">
        <v>-52.67</v>
      </c>
      <c r="I1505" s="198" t="s">
        <v>84</v>
      </c>
      <c r="J1505" s="189" t="s">
        <v>1848</v>
      </c>
      <c r="K1505" s="188" t="s">
        <v>361</v>
      </c>
      <c r="L1505" s="197"/>
      <c r="M1505" s="197"/>
      <c r="N1505" s="197"/>
      <c r="O1505" s="197"/>
    </row>
    <row r="1506" spans="1:15" hidden="1">
      <c r="A1506" s="199" t="s">
        <v>137</v>
      </c>
      <c r="B1506" s="199" t="s">
        <v>683</v>
      </c>
      <c r="C1506" s="199" t="s">
        <v>943</v>
      </c>
      <c r="D1506" s="199" t="s">
        <v>655</v>
      </c>
      <c r="E1506" s="205" t="s">
        <v>1593</v>
      </c>
      <c r="F1506" s="205" t="s">
        <v>261</v>
      </c>
      <c r="G1506" s="292">
        <v>12.67</v>
      </c>
      <c r="H1506" s="292">
        <v>12.67</v>
      </c>
      <c r="I1506" s="198" t="s">
        <v>945</v>
      </c>
      <c r="J1506" s="198" t="s">
        <v>206</v>
      </c>
      <c r="K1506" s="188" t="s">
        <v>1846</v>
      </c>
      <c r="L1506" s="197"/>
      <c r="M1506" s="197"/>
      <c r="N1506" s="197"/>
      <c r="O1506" s="197"/>
    </row>
    <row r="1507" spans="1:15" hidden="1">
      <c r="A1507" s="189" t="s">
        <v>137</v>
      </c>
      <c r="B1507" s="189" t="s">
        <v>138</v>
      </c>
      <c r="C1507" s="189" t="s">
        <v>139</v>
      </c>
      <c r="D1507" s="189" t="s">
        <v>1849</v>
      </c>
      <c r="E1507" s="189" t="s">
        <v>1850</v>
      </c>
      <c r="F1507" s="189" t="s">
        <v>265</v>
      </c>
      <c r="G1507" s="260">
        <v>-118.15</v>
      </c>
      <c r="H1507" s="260">
        <v>-118.15</v>
      </c>
      <c r="I1507" s="198" t="s">
        <v>84</v>
      </c>
      <c r="J1507" s="189" t="s">
        <v>143</v>
      </c>
      <c r="K1507" s="188" t="s">
        <v>361</v>
      </c>
      <c r="L1507" s="197"/>
      <c r="M1507" s="197"/>
      <c r="N1507" s="197"/>
      <c r="O1507" s="197"/>
    </row>
    <row r="1508" spans="1:15" hidden="1">
      <c r="A1508" s="199" t="s">
        <v>137</v>
      </c>
      <c r="B1508" s="199" t="s">
        <v>683</v>
      </c>
      <c r="C1508" s="199" t="s">
        <v>943</v>
      </c>
      <c r="D1508" s="199" t="s">
        <v>655</v>
      </c>
      <c r="E1508" s="205" t="s">
        <v>1593</v>
      </c>
      <c r="F1508" s="205" t="s">
        <v>261</v>
      </c>
      <c r="G1508" s="292">
        <v>64.34</v>
      </c>
      <c r="H1508" s="292">
        <v>64.34</v>
      </c>
      <c r="I1508" s="198" t="s">
        <v>945</v>
      </c>
      <c r="J1508" s="198" t="s">
        <v>206</v>
      </c>
      <c r="K1508" s="188" t="s">
        <v>1851</v>
      </c>
      <c r="L1508" s="197"/>
      <c r="M1508" s="197"/>
      <c r="N1508" s="197"/>
      <c r="O1508" s="197"/>
    </row>
    <row r="1509" spans="1:15">
      <c r="A1509" s="199" t="s">
        <v>243</v>
      </c>
      <c r="B1509" s="288" t="s">
        <v>138</v>
      </c>
      <c r="C1509" s="288" t="s">
        <v>96</v>
      </c>
      <c r="D1509" s="288" t="s">
        <v>1657</v>
      </c>
      <c r="E1509" s="288" t="s">
        <v>1658</v>
      </c>
      <c r="F1509" s="267" t="s">
        <v>268</v>
      </c>
      <c r="G1509" s="258">
        <f>-(1*249.85+3*188.19)</f>
        <v>-814.42</v>
      </c>
      <c r="H1509" s="289">
        <v>-5516.97</v>
      </c>
      <c r="I1509" s="198" t="s">
        <v>96</v>
      </c>
      <c r="J1509" s="198" t="s">
        <v>164</v>
      </c>
      <c r="K1509" s="233"/>
      <c r="L1509" s="197"/>
      <c r="M1509" s="197"/>
      <c r="N1509" s="197"/>
      <c r="O1509" s="197"/>
    </row>
    <row r="1510" spans="1:15" hidden="1">
      <c r="A1510" s="189" t="s">
        <v>137</v>
      </c>
      <c r="B1510" s="189" t="s">
        <v>138</v>
      </c>
      <c r="C1510" s="189" t="s">
        <v>139</v>
      </c>
      <c r="D1510" s="189" t="s">
        <v>1852</v>
      </c>
      <c r="E1510" s="189" t="s">
        <v>1853</v>
      </c>
      <c r="F1510" s="189" t="s">
        <v>265</v>
      </c>
      <c r="G1510" s="260">
        <v>-400</v>
      </c>
      <c r="H1510" s="260">
        <v>-400</v>
      </c>
      <c r="I1510" s="198" t="s">
        <v>84</v>
      </c>
      <c r="J1510" s="189" t="s">
        <v>143</v>
      </c>
      <c r="K1510" s="188" t="s">
        <v>361</v>
      </c>
      <c r="L1510" s="197"/>
      <c r="M1510" s="197"/>
      <c r="N1510" s="197"/>
      <c r="O1510" s="197"/>
    </row>
    <row r="1511" spans="1:15" hidden="1">
      <c r="A1511" s="279" t="s">
        <v>209</v>
      </c>
      <c r="B1511" s="279" t="s">
        <v>683</v>
      </c>
      <c r="C1511" s="279" t="s">
        <v>943</v>
      </c>
      <c r="D1511" s="279" t="s">
        <v>655</v>
      </c>
      <c r="E1511" s="267" t="s">
        <v>655</v>
      </c>
      <c r="F1511" s="267" t="s">
        <v>261</v>
      </c>
      <c r="G1511" s="306">
        <v>644.55999999999995</v>
      </c>
      <c r="H1511" s="306">
        <v>644.55999999999995</v>
      </c>
      <c r="I1511" s="198" t="s">
        <v>945</v>
      </c>
      <c r="J1511" s="198" t="s">
        <v>206</v>
      </c>
      <c r="K1511" s="188"/>
      <c r="L1511" s="197"/>
      <c r="M1511" s="197"/>
      <c r="N1511" s="197"/>
      <c r="O1511" s="197"/>
    </row>
    <row r="1512" spans="1:15" hidden="1">
      <c r="A1512" s="199" t="s">
        <v>232</v>
      </c>
      <c r="B1512" s="199" t="s">
        <v>683</v>
      </c>
      <c r="C1512" s="199" t="s">
        <v>943</v>
      </c>
      <c r="D1512" s="199" t="s">
        <v>655</v>
      </c>
      <c r="E1512" s="205" t="s">
        <v>1593</v>
      </c>
      <c r="F1512" s="205" t="s">
        <v>261</v>
      </c>
      <c r="G1512" s="292">
        <v>2494.98</v>
      </c>
      <c r="H1512" s="292">
        <v>2494.98</v>
      </c>
      <c r="I1512" s="198" t="s">
        <v>945</v>
      </c>
      <c r="J1512" s="198" t="s">
        <v>206</v>
      </c>
      <c r="K1512" s="188"/>
      <c r="L1512" s="197"/>
      <c r="M1512" s="197"/>
      <c r="N1512" s="197"/>
      <c r="O1512" s="197"/>
    </row>
    <row r="1513" spans="1:15" hidden="1">
      <c r="A1513" s="189" t="s">
        <v>137</v>
      </c>
      <c r="B1513" s="189" t="s">
        <v>138</v>
      </c>
      <c r="C1513" s="189" t="s">
        <v>96</v>
      </c>
      <c r="D1513" s="189" t="s">
        <v>952</v>
      </c>
      <c r="E1513" s="189" t="s">
        <v>1854</v>
      </c>
      <c r="F1513" s="189" t="s">
        <v>261</v>
      </c>
      <c r="G1513" s="258">
        <v>-243.76</v>
      </c>
      <c r="H1513" s="260">
        <v>-243.76</v>
      </c>
      <c r="I1513" s="215" t="s">
        <v>96</v>
      </c>
      <c r="J1513" s="189" t="s">
        <v>192</v>
      </c>
      <c r="K1513" s="188"/>
      <c r="L1513" s="197"/>
      <c r="M1513" s="197"/>
      <c r="N1513" s="197"/>
      <c r="O1513" s="197"/>
    </row>
    <row r="1514" spans="1:15" hidden="1">
      <c r="A1514" s="189" t="s">
        <v>232</v>
      </c>
      <c r="B1514" s="189" t="s">
        <v>138</v>
      </c>
      <c r="C1514" s="189" t="s">
        <v>96</v>
      </c>
      <c r="D1514" s="189" t="s">
        <v>957</v>
      </c>
      <c r="E1514" s="189" t="s">
        <v>1855</v>
      </c>
      <c r="F1514" s="189" t="s">
        <v>261</v>
      </c>
      <c r="G1514" s="258">
        <v>-277.10000000000002</v>
      </c>
      <c r="H1514" s="260">
        <v>-277.10000000000002</v>
      </c>
      <c r="I1514" s="215" t="s">
        <v>96</v>
      </c>
      <c r="J1514" s="189" t="s">
        <v>164</v>
      </c>
      <c r="K1514" s="188"/>
      <c r="L1514" s="197"/>
      <c r="M1514" s="197"/>
      <c r="N1514" s="197"/>
      <c r="O1514" s="197"/>
    </row>
    <row r="1515" spans="1:15" hidden="1">
      <c r="A1515" s="189" t="s">
        <v>137</v>
      </c>
      <c r="B1515" s="189" t="s">
        <v>138</v>
      </c>
      <c r="C1515" s="189" t="s">
        <v>96</v>
      </c>
      <c r="D1515" s="199" t="s">
        <v>974</v>
      </c>
      <c r="E1515" s="189" t="s">
        <v>1856</v>
      </c>
      <c r="F1515" s="189" t="s">
        <v>261</v>
      </c>
      <c r="G1515" s="258">
        <v>-836.75</v>
      </c>
      <c r="H1515" s="260">
        <v>-836.75</v>
      </c>
      <c r="I1515" s="215" t="s">
        <v>96</v>
      </c>
      <c r="J1515" s="189" t="s">
        <v>964</v>
      </c>
      <c r="K1515" s="188" t="s">
        <v>361</v>
      </c>
      <c r="L1515" s="197"/>
      <c r="M1515" s="197"/>
      <c r="N1515" s="197"/>
      <c r="O1515" s="197"/>
    </row>
    <row r="1516" spans="1:15" hidden="1">
      <c r="A1516" s="189" t="s">
        <v>232</v>
      </c>
      <c r="B1516" s="189" t="s">
        <v>138</v>
      </c>
      <c r="C1516" s="189" t="s">
        <v>96</v>
      </c>
      <c r="D1516" s="199" t="s">
        <v>974</v>
      </c>
      <c r="E1516" s="189" t="s">
        <v>1857</v>
      </c>
      <c r="F1516" s="189" t="s">
        <v>261</v>
      </c>
      <c r="G1516" s="258">
        <v>-111.25</v>
      </c>
      <c r="H1516" s="260">
        <v>-111.25</v>
      </c>
      <c r="I1516" s="215" t="s">
        <v>96</v>
      </c>
      <c r="J1516" s="189" t="s">
        <v>143</v>
      </c>
      <c r="K1516" s="188" t="s">
        <v>361</v>
      </c>
      <c r="L1516" s="197"/>
      <c r="M1516" s="197"/>
      <c r="N1516" s="197"/>
      <c r="O1516" s="197"/>
    </row>
    <row r="1517" spans="1:15" hidden="1">
      <c r="A1517" s="189" t="s">
        <v>137</v>
      </c>
      <c r="B1517" s="189" t="s">
        <v>138</v>
      </c>
      <c r="C1517" s="189" t="s">
        <v>139</v>
      </c>
      <c r="D1517" s="189" t="s">
        <v>181</v>
      </c>
      <c r="E1517" s="189" t="s">
        <v>1858</v>
      </c>
      <c r="F1517" s="189" t="s">
        <v>265</v>
      </c>
      <c r="G1517" s="260">
        <v>-60</v>
      </c>
      <c r="H1517" s="260">
        <v>-60</v>
      </c>
      <c r="I1517" s="198" t="s">
        <v>84</v>
      </c>
      <c r="J1517" s="189" t="s">
        <v>143</v>
      </c>
      <c r="K1517" s="188" t="s">
        <v>361</v>
      </c>
      <c r="L1517" s="197"/>
      <c r="M1517" s="197"/>
      <c r="N1517" s="197"/>
      <c r="O1517" s="197"/>
    </row>
    <row r="1518" spans="1:15" hidden="1">
      <c r="A1518" s="189" t="s">
        <v>232</v>
      </c>
      <c r="B1518" s="189" t="s">
        <v>138</v>
      </c>
      <c r="C1518" s="189" t="s">
        <v>96</v>
      </c>
      <c r="D1518" s="189" t="s">
        <v>969</v>
      </c>
      <c r="E1518" s="189" t="s">
        <v>1859</v>
      </c>
      <c r="F1518" s="189" t="s">
        <v>261</v>
      </c>
      <c r="G1518" s="258">
        <v>-501.1</v>
      </c>
      <c r="H1518" s="260">
        <v>-501.1</v>
      </c>
      <c r="I1518" s="215" t="s">
        <v>96</v>
      </c>
      <c r="J1518" s="189" t="s">
        <v>164</v>
      </c>
      <c r="K1518" s="188" t="s">
        <v>361</v>
      </c>
      <c r="L1518" s="197"/>
      <c r="M1518" s="197"/>
      <c r="N1518" s="197"/>
      <c r="O1518" s="197"/>
    </row>
    <row r="1519" spans="1:15" hidden="1">
      <c r="A1519" s="189" t="s">
        <v>137</v>
      </c>
      <c r="B1519" s="189" t="s">
        <v>138</v>
      </c>
      <c r="C1519" s="189" t="s">
        <v>139</v>
      </c>
      <c r="D1519" s="189" t="s">
        <v>1860</v>
      </c>
      <c r="E1519" s="189" t="s">
        <v>1861</v>
      </c>
      <c r="F1519" s="189" t="s">
        <v>265</v>
      </c>
      <c r="G1519" s="260">
        <v>-25.89</v>
      </c>
      <c r="H1519" s="260">
        <v>-25.89</v>
      </c>
      <c r="I1519" s="198" t="s">
        <v>84</v>
      </c>
      <c r="J1519" s="189" t="s">
        <v>1848</v>
      </c>
      <c r="K1519" s="188" t="s">
        <v>361</v>
      </c>
      <c r="L1519" s="197"/>
      <c r="M1519" s="197"/>
      <c r="N1519" s="197"/>
      <c r="O1519" s="197"/>
    </row>
    <row r="1520" spans="1:15" hidden="1">
      <c r="A1520" s="189" t="s">
        <v>137</v>
      </c>
      <c r="B1520" s="189" t="s">
        <v>138</v>
      </c>
      <c r="C1520" s="189" t="s">
        <v>96</v>
      </c>
      <c r="D1520" s="189" t="s">
        <v>976</v>
      </c>
      <c r="E1520" s="189" t="s">
        <v>1862</v>
      </c>
      <c r="F1520" s="189" t="s">
        <v>261</v>
      </c>
      <c r="G1520" s="258">
        <v>-60.25</v>
      </c>
      <c r="H1520" s="260">
        <v>-60.25</v>
      </c>
      <c r="I1520" s="215" t="s">
        <v>96</v>
      </c>
      <c r="J1520" s="189" t="s">
        <v>206</v>
      </c>
      <c r="K1520" s="188" t="s">
        <v>361</v>
      </c>
      <c r="L1520" s="197"/>
      <c r="M1520" s="197"/>
      <c r="N1520" s="197"/>
      <c r="O1520" s="197"/>
    </row>
    <row r="1521" spans="1:15" hidden="1">
      <c r="A1521" s="189" t="s">
        <v>137</v>
      </c>
      <c r="B1521" s="189" t="s">
        <v>138</v>
      </c>
      <c r="C1521" s="189" t="s">
        <v>96</v>
      </c>
      <c r="D1521" s="189" t="s">
        <v>983</v>
      </c>
      <c r="E1521" s="189" t="s">
        <v>1863</v>
      </c>
      <c r="F1521" s="189" t="s">
        <v>261</v>
      </c>
      <c r="G1521" s="258">
        <v>-469.63</v>
      </c>
      <c r="H1521" s="260">
        <v>-469.63</v>
      </c>
      <c r="I1521" s="215" t="s">
        <v>96</v>
      </c>
      <c r="J1521" s="189" t="s">
        <v>162</v>
      </c>
      <c r="K1521" s="188" t="s">
        <v>361</v>
      </c>
      <c r="L1521" s="197"/>
      <c r="M1521" s="197"/>
      <c r="N1521" s="197"/>
      <c r="O1521" s="197"/>
    </row>
    <row r="1522" spans="1:15" hidden="1">
      <c r="A1522" s="189" t="s">
        <v>137</v>
      </c>
      <c r="B1522" s="189" t="s">
        <v>138</v>
      </c>
      <c r="C1522" s="189" t="s">
        <v>96</v>
      </c>
      <c r="D1522" s="189" t="s">
        <v>987</v>
      </c>
      <c r="E1522" s="189" t="s">
        <v>1864</v>
      </c>
      <c r="F1522" s="189" t="s">
        <v>261</v>
      </c>
      <c r="G1522" s="258">
        <v>-199</v>
      </c>
      <c r="H1522" s="260">
        <v>-199</v>
      </c>
      <c r="I1522" s="215" t="s">
        <v>96</v>
      </c>
      <c r="J1522" s="189" t="s">
        <v>422</v>
      </c>
      <c r="K1522" s="188"/>
      <c r="L1522" s="197"/>
      <c r="M1522" s="197"/>
      <c r="N1522" s="197"/>
      <c r="O1522" s="197"/>
    </row>
    <row r="1523" spans="1:15" hidden="1">
      <c r="A1523" s="189" t="s">
        <v>137</v>
      </c>
      <c r="B1523" s="189" t="s">
        <v>138</v>
      </c>
      <c r="C1523" s="189" t="s">
        <v>96</v>
      </c>
      <c r="D1523" s="189" t="s">
        <v>996</v>
      </c>
      <c r="E1523" s="189" t="s">
        <v>1865</v>
      </c>
      <c r="F1523" s="189" t="s">
        <v>261</v>
      </c>
      <c r="G1523" s="258">
        <v>-1505</v>
      </c>
      <c r="H1523" s="260">
        <v>-1505</v>
      </c>
      <c r="I1523" s="215" t="s">
        <v>96</v>
      </c>
      <c r="J1523" s="189" t="s">
        <v>162</v>
      </c>
      <c r="K1523" s="188"/>
      <c r="L1523" s="197"/>
      <c r="M1523" s="197"/>
      <c r="N1523" s="197"/>
      <c r="O1523" s="197"/>
    </row>
    <row r="1524" spans="1:15" hidden="1">
      <c r="A1524" s="189" t="s">
        <v>137</v>
      </c>
      <c r="B1524" s="189" t="s">
        <v>138</v>
      </c>
      <c r="C1524" s="189" t="s">
        <v>96</v>
      </c>
      <c r="D1524" s="189" t="s">
        <v>996</v>
      </c>
      <c r="E1524" s="189" t="s">
        <v>1866</v>
      </c>
      <c r="F1524" s="189" t="s">
        <v>261</v>
      </c>
      <c r="G1524" s="258">
        <v>-138.72999999999999</v>
      </c>
      <c r="H1524" s="260">
        <v>-138.72999999999999</v>
      </c>
      <c r="I1524" s="215" t="s">
        <v>96</v>
      </c>
      <c r="J1524" s="189" t="s">
        <v>964</v>
      </c>
      <c r="K1524" s="188"/>
      <c r="L1524" s="197"/>
      <c r="M1524" s="197"/>
      <c r="N1524" s="197"/>
      <c r="O1524" s="197"/>
    </row>
    <row r="1525" spans="1:15" hidden="1">
      <c r="A1525" s="189" t="s">
        <v>137</v>
      </c>
      <c r="B1525" s="189" t="s">
        <v>138</v>
      </c>
      <c r="C1525" s="189" t="s">
        <v>96</v>
      </c>
      <c r="D1525" s="189" t="s">
        <v>1867</v>
      </c>
      <c r="E1525" s="189" t="s">
        <v>1868</v>
      </c>
      <c r="F1525" s="189" t="s">
        <v>261</v>
      </c>
      <c r="G1525" s="258">
        <v>-1400</v>
      </c>
      <c r="H1525" s="260">
        <v>-1400</v>
      </c>
      <c r="I1525" s="215" t="s">
        <v>96</v>
      </c>
      <c r="J1525" s="189" t="s">
        <v>143</v>
      </c>
      <c r="K1525" s="188"/>
      <c r="L1525" s="197"/>
      <c r="M1525" s="197"/>
      <c r="N1525" s="197"/>
      <c r="O1525" s="197"/>
    </row>
    <row r="1526" spans="1:15" hidden="1">
      <c r="A1526" s="189" t="s">
        <v>137</v>
      </c>
      <c r="B1526" s="189" t="s">
        <v>138</v>
      </c>
      <c r="C1526" s="189" t="s">
        <v>96</v>
      </c>
      <c r="D1526" s="189" t="s">
        <v>1011</v>
      </c>
      <c r="E1526" s="189" t="s">
        <v>1869</v>
      </c>
      <c r="F1526" s="189" t="s">
        <v>261</v>
      </c>
      <c r="G1526" s="277">
        <v>-2312.61</v>
      </c>
      <c r="H1526" s="260">
        <v>-2409.46</v>
      </c>
      <c r="I1526" s="215" t="s">
        <v>96</v>
      </c>
      <c r="J1526" s="189" t="s">
        <v>192</v>
      </c>
      <c r="K1526" s="188" t="s">
        <v>361</v>
      </c>
      <c r="L1526" s="197"/>
      <c r="M1526" s="197"/>
      <c r="N1526" s="197"/>
      <c r="O1526" s="197"/>
    </row>
    <row r="1527" spans="1:15" hidden="1">
      <c r="A1527" s="189" t="s">
        <v>137</v>
      </c>
      <c r="B1527" s="189" t="s">
        <v>138</v>
      </c>
      <c r="C1527" s="189" t="s">
        <v>96</v>
      </c>
      <c r="D1527" s="189" t="s">
        <v>1011</v>
      </c>
      <c r="E1527" s="189" t="s">
        <v>1870</v>
      </c>
      <c r="F1527" s="189" t="s">
        <v>261</v>
      </c>
      <c r="G1527" s="277">
        <v>0</v>
      </c>
      <c r="H1527" s="260">
        <v>-176.12</v>
      </c>
      <c r="I1527" s="215" t="s">
        <v>96</v>
      </c>
      <c r="J1527" s="189" t="s">
        <v>192</v>
      </c>
      <c r="K1527" s="188" t="s">
        <v>361</v>
      </c>
      <c r="L1527" s="197"/>
      <c r="M1527" s="197"/>
      <c r="N1527" s="197"/>
      <c r="O1527" s="197"/>
    </row>
    <row r="1528" spans="1:15" hidden="1">
      <c r="A1528" s="189" t="s">
        <v>137</v>
      </c>
      <c r="B1528" s="189" t="s">
        <v>138</v>
      </c>
      <c r="C1528" s="189" t="s">
        <v>96</v>
      </c>
      <c r="D1528" s="189" t="s">
        <v>1019</v>
      </c>
      <c r="E1528" s="189" t="s">
        <v>1871</v>
      </c>
      <c r="F1528" s="189" t="s">
        <v>261</v>
      </c>
      <c r="G1528" s="258">
        <v>-119.9</v>
      </c>
      <c r="H1528" s="260">
        <v>-119.9</v>
      </c>
      <c r="I1528" s="215" t="s">
        <v>96</v>
      </c>
      <c r="J1528" s="189" t="s">
        <v>206</v>
      </c>
      <c r="K1528" s="188" t="s">
        <v>361</v>
      </c>
      <c r="L1528" s="197"/>
      <c r="M1528" s="197"/>
      <c r="N1528" s="197"/>
      <c r="O1528" s="197"/>
    </row>
    <row r="1529" spans="1:15" hidden="1">
      <c r="A1529" s="189" t="s">
        <v>137</v>
      </c>
      <c r="B1529" s="189" t="s">
        <v>138</v>
      </c>
      <c r="C1529" s="189" t="s">
        <v>139</v>
      </c>
      <c r="D1529" s="189" t="s">
        <v>1860</v>
      </c>
      <c r="E1529" s="189" t="s">
        <v>1861</v>
      </c>
      <c r="F1529" s="189" t="s">
        <v>265</v>
      </c>
      <c r="G1529" s="260">
        <v>-25.89</v>
      </c>
      <c r="H1529" s="260">
        <v>-25.89</v>
      </c>
      <c r="I1529" s="198" t="s">
        <v>84</v>
      </c>
      <c r="J1529" s="189" t="s">
        <v>164</v>
      </c>
      <c r="K1529" s="188" t="s">
        <v>361</v>
      </c>
      <c r="L1529" s="197"/>
      <c r="M1529" s="197"/>
      <c r="N1529" s="197"/>
      <c r="O1529" s="197"/>
    </row>
    <row r="1530" spans="1:15" hidden="1">
      <c r="A1530" s="199" t="s">
        <v>243</v>
      </c>
      <c r="B1530" s="189" t="s">
        <v>138</v>
      </c>
      <c r="C1530" s="189" t="s">
        <v>106</v>
      </c>
      <c r="D1530" s="189" t="s">
        <v>655</v>
      </c>
      <c r="E1530" s="189" t="s">
        <v>1872</v>
      </c>
      <c r="F1530" s="189" t="s">
        <v>261</v>
      </c>
      <c r="G1530" s="260">
        <v>-93.1</v>
      </c>
      <c r="H1530" s="260">
        <v>-93.1</v>
      </c>
      <c r="I1530" s="198" t="s">
        <v>106</v>
      </c>
      <c r="J1530" s="189" t="s">
        <v>164</v>
      </c>
      <c r="K1530" s="188"/>
      <c r="L1530" s="197"/>
      <c r="M1530" s="197"/>
      <c r="N1530" s="197"/>
      <c r="O1530" s="197"/>
    </row>
    <row r="1531" spans="1:15" hidden="1">
      <c r="A1531" s="189" t="s">
        <v>137</v>
      </c>
      <c r="B1531" s="189" t="s">
        <v>138</v>
      </c>
      <c r="C1531" s="189" t="s">
        <v>96</v>
      </c>
      <c r="D1531" s="189" t="s">
        <v>362</v>
      </c>
      <c r="E1531" s="189" t="s">
        <v>1873</v>
      </c>
      <c r="F1531" s="189" t="s">
        <v>261</v>
      </c>
      <c r="G1531" s="258">
        <v>-399.99</v>
      </c>
      <c r="H1531" s="260">
        <v>-399.99</v>
      </c>
      <c r="I1531" s="215" t="s">
        <v>96</v>
      </c>
      <c r="J1531" s="189" t="s">
        <v>143</v>
      </c>
      <c r="K1531" s="188" t="s">
        <v>361</v>
      </c>
      <c r="L1531" s="197"/>
      <c r="M1531" s="197"/>
      <c r="N1531" s="197"/>
      <c r="O1531" s="197"/>
    </row>
    <row r="1532" spans="1:15" hidden="1">
      <c r="A1532" s="189" t="s">
        <v>137</v>
      </c>
      <c r="B1532" s="189" t="s">
        <v>138</v>
      </c>
      <c r="C1532" s="189" t="s">
        <v>96</v>
      </c>
      <c r="D1532" s="189" t="s">
        <v>1032</v>
      </c>
      <c r="E1532" s="189" t="s">
        <v>1874</v>
      </c>
      <c r="F1532" s="189" t="s">
        <v>261</v>
      </c>
      <c r="G1532" s="258">
        <v>-190</v>
      </c>
      <c r="H1532" s="260">
        <v>-190</v>
      </c>
      <c r="I1532" s="215" t="s">
        <v>96</v>
      </c>
      <c r="J1532" s="189" t="s">
        <v>164</v>
      </c>
      <c r="K1532" s="188" t="s">
        <v>361</v>
      </c>
      <c r="L1532" s="197"/>
      <c r="M1532" s="197"/>
      <c r="N1532" s="197"/>
      <c r="O1532" s="197"/>
    </row>
    <row r="1533" spans="1:15" hidden="1">
      <c r="A1533" s="189" t="s">
        <v>137</v>
      </c>
      <c r="B1533" s="189" t="s">
        <v>138</v>
      </c>
      <c r="C1533" s="189" t="s">
        <v>96</v>
      </c>
      <c r="D1533" s="189" t="s">
        <v>1034</v>
      </c>
      <c r="E1533" s="189" t="s">
        <v>1875</v>
      </c>
      <c r="F1533" s="189" t="s">
        <v>261</v>
      </c>
      <c r="G1533" s="258">
        <v>-450</v>
      </c>
      <c r="H1533" s="260">
        <v>-450</v>
      </c>
      <c r="I1533" s="215" t="s">
        <v>96</v>
      </c>
      <c r="J1533" s="189" t="s">
        <v>159</v>
      </c>
      <c r="K1533" s="188"/>
      <c r="L1533" s="197"/>
      <c r="M1533" s="197"/>
      <c r="N1533" s="197"/>
      <c r="O1533" s="197"/>
    </row>
    <row r="1534" spans="1:15" hidden="1">
      <c r="A1534" s="189" t="s">
        <v>137</v>
      </c>
      <c r="B1534" s="189" t="s">
        <v>138</v>
      </c>
      <c r="C1534" s="189" t="s">
        <v>139</v>
      </c>
      <c r="D1534" s="189" t="s">
        <v>226</v>
      </c>
      <c r="E1534" s="189" t="s">
        <v>1876</v>
      </c>
      <c r="F1534" s="189" t="s">
        <v>265</v>
      </c>
      <c r="G1534" s="260">
        <v>-71.900000000000006</v>
      </c>
      <c r="H1534" s="260">
        <v>-71.900000000000006</v>
      </c>
      <c r="I1534" s="198" t="s">
        <v>84</v>
      </c>
      <c r="J1534" s="189" t="s">
        <v>143</v>
      </c>
      <c r="K1534" s="188" t="s">
        <v>361</v>
      </c>
      <c r="L1534" s="197"/>
      <c r="M1534" s="197"/>
      <c r="N1534" s="197"/>
      <c r="O1534" s="197"/>
    </row>
    <row r="1535" spans="1:15" hidden="1">
      <c r="A1535" s="189" t="s">
        <v>137</v>
      </c>
      <c r="B1535" s="189" t="s">
        <v>138</v>
      </c>
      <c r="C1535" s="189" t="s">
        <v>96</v>
      </c>
      <c r="D1535" s="189" t="s">
        <v>1038</v>
      </c>
      <c r="E1535" s="189" t="s">
        <v>1877</v>
      </c>
      <c r="F1535" s="189" t="s">
        <v>261</v>
      </c>
      <c r="G1535" s="258">
        <v>-3219.53</v>
      </c>
      <c r="H1535" s="260">
        <v>-3219.53</v>
      </c>
      <c r="I1535" s="215" t="s">
        <v>96</v>
      </c>
      <c r="J1535" s="189" t="s">
        <v>143</v>
      </c>
      <c r="K1535" s="188"/>
      <c r="L1535" s="197"/>
      <c r="M1535" s="197"/>
      <c r="N1535" s="197"/>
      <c r="O1535" s="197"/>
    </row>
    <row r="1536" spans="1:15" hidden="1">
      <c r="A1536" s="189" t="s">
        <v>137</v>
      </c>
      <c r="B1536" s="189" t="s">
        <v>138</v>
      </c>
      <c r="C1536" s="189" t="s">
        <v>96</v>
      </c>
      <c r="D1536" s="189" t="s">
        <v>1038</v>
      </c>
      <c r="E1536" s="189" t="s">
        <v>1877</v>
      </c>
      <c r="F1536" s="189" t="s">
        <v>261</v>
      </c>
      <c r="G1536" s="258">
        <v>-95.13</v>
      </c>
      <c r="H1536" s="260">
        <v>-95.13</v>
      </c>
      <c r="I1536" s="215" t="s">
        <v>96</v>
      </c>
      <c r="J1536" s="189" t="s">
        <v>143</v>
      </c>
      <c r="K1536" s="188"/>
      <c r="L1536" s="197"/>
      <c r="M1536" s="197"/>
      <c r="N1536" s="197"/>
      <c r="O1536" s="197"/>
    </row>
    <row r="1537" spans="1:15">
      <c r="A1537" s="199" t="s">
        <v>209</v>
      </c>
      <c r="B1537" s="199" t="s">
        <v>683</v>
      </c>
      <c r="C1537" s="199" t="s">
        <v>898</v>
      </c>
      <c r="D1537" s="199" t="s">
        <v>869</v>
      </c>
      <c r="E1537" s="199" t="s">
        <v>902</v>
      </c>
      <c r="F1537" s="205" t="s">
        <v>268</v>
      </c>
      <c r="G1537" s="292">
        <v>0.01</v>
      </c>
      <c r="H1537" s="292">
        <v>0.01</v>
      </c>
      <c r="I1537" s="257" t="s">
        <v>112</v>
      </c>
      <c r="J1537" s="227" t="s">
        <v>206</v>
      </c>
      <c r="K1537" s="188"/>
      <c r="L1537" s="197"/>
      <c r="M1537" s="197"/>
      <c r="N1537" s="197"/>
      <c r="O1537" s="197"/>
    </row>
    <row r="1538" spans="1:15" hidden="1">
      <c r="A1538" s="189" t="s">
        <v>137</v>
      </c>
      <c r="B1538" s="189" t="s">
        <v>138</v>
      </c>
      <c r="C1538" s="189" t="s">
        <v>96</v>
      </c>
      <c r="D1538" s="189" t="s">
        <v>1044</v>
      </c>
      <c r="E1538" s="189" t="s">
        <v>1878</v>
      </c>
      <c r="F1538" s="189" t="s">
        <v>261</v>
      </c>
      <c r="G1538" s="258">
        <v>-2621.14</v>
      </c>
      <c r="H1538" s="260">
        <v>-2621.14</v>
      </c>
      <c r="I1538" s="215" t="s">
        <v>96</v>
      </c>
      <c r="J1538" s="189" t="s">
        <v>476</v>
      </c>
      <c r="K1538" s="188"/>
      <c r="L1538" s="197"/>
      <c r="M1538" s="197"/>
      <c r="N1538" s="197"/>
      <c r="O1538" s="197"/>
    </row>
    <row r="1539" spans="1:15" hidden="1">
      <c r="A1539" s="189" t="s">
        <v>137</v>
      </c>
      <c r="B1539" s="189" t="s">
        <v>138</v>
      </c>
      <c r="C1539" s="189" t="s">
        <v>96</v>
      </c>
      <c r="D1539" s="189" t="s">
        <v>1053</v>
      </c>
      <c r="E1539" s="189" t="s">
        <v>1879</v>
      </c>
      <c r="F1539" s="189" t="s">
        <v>261</v>
      </c>
      <c r="G1539" s="258">
        <v>-35.9</v>
      </c>
      <c r="H1539" s="260">
        <v>-35.9</v>
      </c>
      <c r="I1539" s="215" t="s">
        <v>96</v>
      </c>
      <c r="J1539" s="189" t="s">
        <v>422</v>
      </c>
      <c r="K1539" s="188"/>
      <c r="L1539" s="197"/>
      <c r="M1539" s="197"/>
      <c r="N1539" s="197"/>
      <c r="O1539" s="197"/>
    </row>
    <row r="1540" spans="1:15" hidden="1">
      <c r="A1540" s="189" t="s">
        <v>137</v>
      </c>
      <c r="B1540" s="189" t="s">
        <v>138</v>
      </c>
      <c r="C1540" s="189" t="s">
        <v>84</v>
      </c>
      <c r="D1540" s="189" t="s">
        <v>1648</v>
      </c>
      <c r="E1540" s="189" t="s">
        <v>1880</v>
      </c>
      <c r="F1540" s="189" t="s">
        <v>265</v>
      </c>
      <c r="G1540" s="260">
        <v>-136</v>
      </c>
      <c r="H1540" s="260">
        <v>-136</v>
      </c>
      <c r="I1540" s="198" t="s">
        <v>84</v>
      </c>
      <c r="J1540" s="189" t="s">
        <v>143</v>
      </c>
      <c r="K1540" s="188" t="s">
        <v>361</v>
      </c>
      <c r="L1540" s="197"/>
      <c r="M1540" s="197"/>
      <c r="N1540" s="197"/>
      <c r="O1540" s="197"/>
    </row>
    <row r="1541" spans="1:15" hidden="1">
      <c r="A1541" s="189" t="s">
        <v>137</v>
      </c>
      <c r="B1541" s="189" t="s">
        <v>138</v>
      </c>
      <c r="C1541" s="189" t="s">
        <v>84</v>
      </c>
      <c r="D1541" s="189" t="s">
        <v>1648</v>
      </c>
      <c r="E1541" s="189" t="s">
        <v>1881</v>
      </c>
      <c r="F1541" s="189" t="s">
        <v>265</v>
      </c>
      <c r="G1541" s="260">
        <v>-8</v>
      </c>
      <c r="H1541" s="260">
        <v>-8</v>
      </c>
      <c r="I1541" s="198" t="s">
        <v>84</v>
      </c>
      <c r="J1541" s="189" t="s">
        <v>143</v>
      </c>
      <c r="K1541" s="188" t="s">
        <v>361</v>
      </c>
      <c r="L1541" s="197"/>
      <c r="M1541" s="197"/>
      <c r="N1541" s="197"/>
      <c r="O1541" s="197"/>
    </row>
    <row r="1542" spans="1:15" hidden="1">
      <c r="A1542" s="189" t="s">
        <v>137</v>
      </c>
      <c r="B1542" s="189" t="s">
        <v>138</v>
      </c>
      <c r="C1542" s="189" t="s">
        <v>973</v>
      </c>
      <c r="D1542" s="199" t="s">
        <v>974</v>
      </c>
      <c r="E1542" s="189" t="s">
        <v>1882</v>
      </c>
      <c r="F1542" s="189" t="s">
        <v>261</v>
      </c>
      <c r="G1542" s="258">
        <v>-1290.17</v>
      </c>
      <c r="H1542" s="260">
        <v>-1290.17</v>
      </c>
      <c r="I1542" s="215" t="s">
        <v>96</v>
      </c>
      <c r="J1542" s="189" t="s">
        <v>964</v>
      </c>
      <c r="K1542" s="188"/>
      <c r="L1542" s="197"/>
      <c r="M1542" s="197"/>
      <c r="N1542" s="197"/>
      <c r="O1542" s="197"/>
    </row>
    <row r="1543" spans="1:15" hidden="1">
      <c r="A1543" s="189" t="s">
        <v>137</v>
      </c>
      <c r="B1543" s="189" t="s">
        <v>138</v>
      </c>
      <c r="C1543" s="189" t="s">
        <v>84</v>
      </c>
      <c r="D1543" s="189" t="s">
        <v>1648</v>
      </c>
      <c r="E1543" s="189" t="s">
        <v>1880</v>
      </c>
      <c r="F1543" s="189" t="s">
        <v>265</v>
      </c>
      <c r="G1543" s="260">
        <v>-6</v>
      </c>
      <c r="H1543" s="260">
        <v>-6</v>
      </c>
      <c r="I1543" s="198" t="s">
        <v>84</v>
      </c>
      <c r="J1543" s="189" t="s">
        <v>143</v>
      </c>
      <c r="K1543" s="188" t="s">
        <v>361</v>
      </c>
      <c r="L1543" s="197"/>
      <c r="M1543" s="197"/>
      <c r="N1543" s="197"/>
      <c r="O1543" s="197"/>
    </row>
    <row r="1544" spans="1:15" hidden="1">
      <c r="A1544" s="189" t="s">
        <v>137</v>
      </c>
      <c r="B1544" s="189" t="s">
        <v>138</v>
      </c>
      <c r="C1544" s="189" t="s">
        <v>973</v>
      </c>
      <c r="D1544" s="199" t="s">
        <v>974</v>
      </c>
      <c r="E1544" s="189" t="s">
        <v>1883</v>
      </c>
      <c r="F1544" s="189" t="s">
        <v>261</v>
      </c>
      <c r="G1544" s="258">
        <v>-1134.47</v>
      </c>
      <c r="H1544" s="260">
        <v>-1134.47</v>
      </c>
      <c r="I1544" s="215" t="s">
        <v>96</v>
      </c>
      <c r="J1544" s="189" t="s">
        <v>964</v>
      </c>
      <c r="K1544" s="188"/>
      <c r="L1544" s="197"/>
      <c r="M1544" s="197"/>
      <c r="N1544" s="197"/>
      <c r="O1544" s="197"/>
    </row>
    <row r="1545" spans="1:15" hidden="1">
      <c r="A1545" s="189" t="s">
        <v>232</v>
      </c>
      <c r="B1545" s="189" t="s">
        <v>138</v>
      </c>
      <c r="C1545" s="189" t="s">
        <v>973</v>
      </c>
      <c r="D1545" s="189" t="s">
        <v>993</v>
      </c>
      <c r="E1545" s="189" t="s">
        <v>1884</v>
      </c>
      <c r="F1545" s="189" t="s">
        <v>261</v>
      </c>
      <c r="G1545" s="258">
        <v>-289.89999999999998</v>
      </c>
      <c r="H1545" s="260">
        <v>-289.89999999999998</v>
      </c>
      <c r="I1545" s="215" t="s">
        <v>96</v>
      </c>
      <c r="J1545" s="189" t="s">
        <v>159</v>
      </c>
      <c r="K1545" s="188" t="s">
        <v>361</v>
      </c>
      <c r="L1545" s="197"/>
      <c r="M1545" s="197"/>
      <c r="N1545" s="197"/>
      <c r="O1545" s="197"/>
    </row>
    <row r="1546" spans="1:15" hidden="1">
      <c r="A1546" s="189" t="s">
        <v>232</v>
      </c>
      <c r="B1546" s="189" t="s">
        <v>138</v>
      </c>
      <c r="C1546" s="189" t="s">
        <v>973</v>
      </c>
      <c r="D1546" s="189" t="s">
        <v>999</v>
      </c>
      <c r="E1546" s="189" t="s">
        <v>1885</v>
      </c>
      <c r="F1546" s="189" t="s">
        <v>261</v>
      </c>
      <c r="G1546" s="258">
        <v>-98.38</v>
      </c>
      <c r="H1546" s="260">
        <v>-98.38</v>
      </c>
      <c r="I1546" s="215" t="s">
        <v>96</v>
      </c>
      <c r="J1546" s="189" t="s">
        <v>964</v>
      </c>
      <c r="K1546" s="188" t="s">
        <v>361</v>
      </c>
      <c r="L1546" s="197"/>
      <c r="M1546" s="197"/>
      <c r="N1546" s="197"/>
      <c r="O1546" s="197"/>
    </row>
    <row r="1547" spans="1:15" hidden="1">
      <c r="A1547" s="189" t="s">
        <v>137</v>
      </c>
      <c r="B1547" s="189" t="s">
        <v>138</v>
      </c>
      <c r="C1547" s="189" t="s">
        <v>973</v>
      </c>
      <c r="D1547" s="189" t="s">
        <v>1004</v>
      </c>
      <c r="E1547" s="189" t="s">
        <v>1886</v>
      </c>
      <c r="F1547" s="189" t="s">
        <v>261</v>
      </c>
      <c r="G1547" s="258">
        <v>-24.15</v>
      </c>
      <c r="H1547" s="260">
        <v>-24.15</v>
      </c>
      <c r="I1547" s="215" t="s">
        <v>96</v>
      </c>
      <c r="J1547" s="189" t="s">
        <v>162</v>
      </c>
      <c r="K1547" s="188"/>
      <c r="L1547" s="197"/>
      <c r="M1547" s="197"/>
      <c r="N1547" s="197"/>
      <c r="O1547" s="197"/>
    </row>
    <row r="1548" spans="1:15" hidden="1">
      <c r="A1548" s="189" t="s">
        <v>232</v>
      </c>
      <c r="B1548" s="189" t="s">
        <v>138</v>
      </c>
      <c r="C1548" s="189" t="s">
        <v>973</v>
      </c>
      <c r="D1548" s="189" t="s">
        <v>1887</v>
      </c>
      <c r="E1548" s="189" t="s">
        <v>1888</v>
      </c>
      <c r="F1548" s="189" t="s">
        <v>261</v>
      </c>
      <c r="G1548" s="258">
        <v>-569.25</v>
      </c>
      <c r="H1548" s="260">
        <v>-569.25</v>
      </c>
      <c r="I1548" s="215" t="s">
        <v>96</v>
      </c>
      <c r="J1548" s="189" t="s">
        <v>964</v>
      </c>
      <c r="K1548" s="188"/>
      <c r="L1548" s="197"/>
      <c r="M1548" s="197"/>
      <c r="N1548" s="197"/>
      <c r="O1548" s="197"/>
    </row>
    <row r="1549" spans="1:15" hidden="1">
      <c r="A1549" s="189" t="s">
        <v>232</v>
      </c>
      <c r="B1549" s="189" t="s">
        <v>138</v>
      </c>
      <c r="C1549" s="189" t="s">
        <v>973</v>
      </c>
      <c r="D1549" s="189" t="s">
        <v>1042</v>
      </c>
      <c r="E1549" s="189" t="s">
        <v>1889</v>
      </c>
      <c r="F1549" s="189" t="s">
        <v>261</v>
      </c>
      <c r="G1549" s="258">
        <v>-210.86</v>
      </c>
      <c r="H1549" s="260">
        <v>-210.86</v>
      </c>
      <c r="I1549" s="215" t="s">
        <v>96</v>
      </c>
      <c r="J1549" s="189" t="s">
        <v>162</v>
      </c>
      <c r="K1549" s="188"/>
      <c r="L1549" s="197"/>
      <c r="M1549" s="197"/>
      <c r="N1549" s="197"/>
      <c r="O1549" s="197"/>
    </row>
    <row r="1550" spans="1:15" hidden="1">
      <c r="A1550" s="189" t="s">
        <v>232</v>
      </c>
      <c r="B1550" s="189" t="s">
        <v>138</v>
      </c>
      <c r="C1550" s="189" t="s">
        <v>973</v>
      </c>
      <c r="D1550" s="189" t="s">
        <v>1042</v>
      </c>
      <c r="E1550" s="189" t="s">
        <v>1890</v>
      </c>
      <c r="F1550" s="189" t="s">
        <v>261</v>
      </c>
      <c r="G1550" s="258">
        <v>-53.91</v>
      </c>
      <c r="H1550" s="260">
        <v>-53.91</v>
      </c>
      <c r="I1550" s="215" t="s">
        <v>96</v>
      </c>
      <c r="J1550" s="189" t="s">
        <v>964</v>
      </c>
      <c r="K1550" s="188"/>
      <c r="L1550" s="197"/>
      <c r="M1550" s="197"/>
      <c r="N1550" s="197"/>
      <c r="O1550" s="197"/>
    </row>
    <row r="1551" spans="1:15" hidden="1">
      <c r="A1551" s="189" t="s">
        <v>209</v>
      </c>
      <c r="B1551" s="189" t="s">
        <v>138</v>
      </c>
      <c r="C1551" s="189" t="s">
        <v>84</v>
      </c>
      <c r="D1551" s="189" t="s">
        <v>160</v>
      </c>
      <c r="E1551" s="189" t="s">
        <v>1891</v>
      </c>
      <c r="F1551" s="189" t="s">
        <v>265</v>
      </c>
      <c r="G1551" s="260">
        <v>-8.99</v>
      </c>
      <c r="H1551" s="260">
        <v>-8.99</v>
      </c>
      <c r="I1551" s="198" t="s">
        <v>84</v>
      </c>
      <c r="J1551" s="189" t="s">
        <v>164</v>
      </c>
      <c r="K1551" s="188" t="s">
        <v>361</v>
      </c>
      <c r="L1551" s="197"/>
      <c r="M1551" s="197"/>
      <c r="N1551" s="197"/>
      <c r="O1551" s="197"/>
    </row>
    <row r="1552" spans="1:15" hidden="1">
      <c r="A1552" s="189" t="s">
        <v>232</v>
      </c>
      <c r="B1552" s="189" t="s">
        <v>138</v>
      </c>
      <c r="C1552" s="189" t="s">
        <v>973</v>
      </c>
      <c r="D1552" s="189" t="s">
        <v>1042</v>
      </c>
      <c r="E1552" s="189" t="s">
        <v>1892</v>
      </c>
      <c r="F1552" s="189" t="s">
        <v>261</v>
      </c>
      <c r="G1552" s="258">
        <v>-53.74</v>
      </c>
      <c r="H1552" s="260">
        <v>-53.74</v>
      </c>
      <c r="I1552" s="215" t="s">
        <v>96</v>
      </c>
      <c r="J1552" s="189" t="s">
        <v>964</v>
      </c>
      <c r="K1552" s="188" t="s">
        <v>361</v>
      </c>
      <c r="L1552" s="197"/>
      <c r="M1552" s="197"/>
      <c r="N1552" s="197"/>
      <c r="O1552" s="197"/>
    </row>
    <row r="1553" spans="1:15" hidden="1">
      <c r="A1553" s="189" t="s">
        <v>232</v>
      </c>
      <c r="B1553" s="189" t="s">
        <v>138</v>
      </c>
      <c r="C1553" s="189" t="s">
        <v>973</v>
      </c>
      <c r="D1553" s="189" t="s">
        <v>1042</v>
      </c>
      <c r="E1553" s="189" t="s">
        <v>1893</v>
      </c>
      <c r="F1553" s="189" t="s">
        <v>261</v>
      </c>
      <c r="G1553" s="258">
        <v>-53.68</v>
      </c>
      <c r="H1553" s="260">
        <v>-53.68</v>
      </c>
      <c r="I1553" s="215" t="s">
        <v>96</v>
      </c>
      <c r="J1553" s="189" t="s">
        <v>964</v>
      </c>
      <c r="K1553" s="188"/>
      <c r="L1553" s="197"/>
      <c r="M1553" s="197"/>
      <c r="N1553" s="197"/>
      <c r="O1553" s="197"/>
    </row>
    <row r="1554" spans="1:15" hidden="1">
      <c r="A1554" s="189" t="s">
        <v>137</v>
      </c>
      <c r="B1554" s="189" t="s">
        <v>138</v>
      </c>
      <c r="C1554" s="189" t="s">
        <v>84</v>
      </c>
      <c r="D1554" s="189" t="s">
        <v>431</v>
      </c>
      <c r="E1554" s="189" t="s">
        <v>1894</v>
      </c>
      <c r="F1554" s="189" t="s">
        <v>265</v>
      </c>
      <c r="G1554" s="260">
        <v>-231.5</v>
      </c>
      <c r="H1554" s="260">
        <v>-231.5</v>
      </c>
      <c r="I1554" s="198" t="s">
        <v>84</v>
      </c>
      <c r="J1554" s="189" t="s">
        <v>143</v>
      </c>
      <c r="K1554" s="188" t="s">
        <v>361</v>
      </c>
      <c r="L1554" s="197"/>
      <c r="M1554" s="197"/>
      <c r="N1554" s="197"/>
      <c r="O1554" s="197"/>
    </row>
    <row r="1555" spans="1:15" hidden="1">
      <c r="A1555" s="189" t="s">
        <v>232</v>
      </c>
      <c r="B1555" s="189" t="s">
        <v>138</v>
      </c>
      <c r="C1555" s="189" t="s">
        <v>973</v>
      </c>
      <c r="D1555" s="189" t="s">
        <v>1042</v>
      </c>
      <c r="E1555" s="189" t="s">
        <v>1895</v>
      </c>
      <c r="F1555" s="189" t="s">
        <v>261</v>
      </c>
      <c r="G1555" s="258">
        <v>-22.65</v>
      </c>
      <c r="H1555" s="260">
        <v>-22.65</v>
      </c>
      <c r="I1555" s="215" t="s">
        <v>96</v>
      </c>
      <c r="J1555" s="189" t="s">
        <v>162</v>
      </c>
      <c r="K1555" s="188"/>
      <c r="L1555" s="197"/>
      <c r="M1555" s="197"/>
      <c r="N1555" s="197"/>
      <c r="O1555" s="197"/>
    </row>
    <row r="1556" spans="1:15" hidden="1">
      <c r="A1556" s="189" t="s">
        <v>232</v>
      </c>
      <c r="B1556" s="189" t="s">
        <v>138</v>
      </c>
      <c r="C1556" s="189" t="s">
        <v>973</v>
      </c>
      <c r="D1556" s="189" t="s">
        <v>1042</v>
      </c>
      <c r="E1556" s="189" t="s">
        <v>1896</v>
      </c>
      <c r="F1556" s="189" t="s">
        <v>261</v>
      </c>
      <c r="G1556" s="258">
        <v>-13.99</v>
      </c>
      <c r="H1556" s="260">
        <v>-13.99</v>
      </c>
      <c r="I1556" s="215" t="s">
        <v>96</v>
      </c>
      <c r="J1556" s="189" t="s">
        <v>162</v>
      </c>
      <c r="K1556" s="188" t="s">
        <v>361</v>
      </c>
      <c r="L1556" s="197"/>
      <c r="M1556" s="197"/>
      <c r="N1556" s="197"/>
      <c r="O1556" s="197"/>
    </row>
    <row r="1557" spans="1:15" hidden="1">
      <c r="A1557" s="189" t="s">
        <v>232</v>
      </c>
      <c r="B1557" s="189" t="s">
        <v>138</v>
      </c>
      <c r="C1557" s="189" t="s">
        <v>973</v>
      </c>
      <c r="D1557" s="189" t="s">
        <v>996</v>
      </c>
      <c r="E1557" s="189" t="s">
        <v>1897</v>
      </c>
      <c r="F1557" s="189" t="s">
        <v>261</v>
      </c>
      <c r="G1557" s="258">
        <v>-99.3</v>
      </c>
      <c r="H1557" s="260">
        <v>-99.3</v>
      </c>
      <c r="I1557" s="215" t="s">
        <v>96</v>
      </c>
      <c r="J1557" s="189" t="s">
        <v>192</v>
      </c>
      <c r="K1557" s="188" t="s">
        <v>361</v>
      </c>
      <c r="L1557" s="197"/>
      <c r="M1557" s="197"/>
      <c r="N1557" s="197"/>
      <c r="O1557" s="197"/>
    </row>
    <row r="1558" spans="1:15" hidden="1">
      <c r="A1558" s="189" t="s">
        <v>232</v>
      </c>
      <c r="B1558" s="189" t="s">
        <v>138</v>
      </c>
      <c r="C1558" s="189" t="s">
        <v>973</v>
      </c>
      <c r="D1558" s="189" t="s">
        <v>1898</v>
      </c>
      <c r="E1558" s="189" t="s">
        <v>1899</v>
      </c>
      <c r="F1558" s="189" t="s">
        <v>261</v>
      </c>
      <c r="G1558" s="258">
        <v>-1345.41</v>
      </c>
      <c r="H1558" s="260">
        <v>-1345.41</v>
      </c>
      <c r="I1558" s="215" t="s">
        <v>96</v>
      </c>
      <c r="J1558" s="189" t="s">
        <v>164</v>
      </c>
      <c r="K1558" s="188" t="s">
        <v>361</v>
      </c>
      <c r="L1558" s="197"/>
      <c r="M1558" s="197"/>
      <c r="N1558" s="197"/>
      <c r="O1558" s="197"/>
    </row>
    <row r="1559" spans="1:15" hidden="1">
      <c r="A1559" s="189" t="s">
        <v>232</v>
      </c>
      <c r="B1559" s="189" t="s">
        <v>138</v>
      </c>
      <c r="C1559" s="189" t="s">
        <v>973</v>
      </c>
      <c r="D1559" s="189" t="s">
        <v>1097</v>
      </c>
      <c r="E1559" s="189" t="s">
        <v>1900</v>
      </c>
      <c r="F1559" s="189" t="s">
        <v>261</v>
      </c>
      <c r="G1559" s="258">
        <v>-26.36</v>
      </c>
      <c r="H1559" s="260">
        <v>-26.36</v>
      </c>
      <c r="I1559" s="215" t="s">
        <v>96</v>
      </c>
      <c r="J1559" s="189" t="s">
        <v>206</v>
      </c>
      <c r="K1559" s="188" t="s">
        <v>361</v>
      </c>
      <c r="L1559" s="197"/>
      <c r="M1559" s="197"/>
      <c r="N1559" s="197"/>
      <c r="O1559" s="197"/>
    </row>
    <row r="1560" spans="1:15" hidden="1">
      <c r="A1560" s="189" t="s">
        <v>232</v>
      </c>
      <c r="B1560" s="189" t="s">
        <v>138</v>
      </c>
      <c r="C1560" s="189" t="s">
        <v>973</v>
      </c>
      <c r="D1560" s="189" t="s">
        <v>1121</v>
      </c>
      <c r="E1560" s="189" t="s">
        <v>1901</v>
      </c>
      <c r="F1560" s="189" t="s">
        <v>261</v>
      </c>
      <c r="G1560" s="258">
        <v>-1013.66</v>
      </c>
      <c r="H1560" s="260">
        <v>-1013.66</v>
      </c>
      <c r="I1560" s="215" t="s">
        <v>96</v>
      </c>
      <c r="J1560" s="189" t="s">
        <v>164</v>
      </c>
      <c r="K1560" s="188"/>
      <c r="L1560" s="197"/>
      <c r="M1560" s="197"/>
      <c r="N1560" s="197"/>
      <c r="O1560" s="197"/>
    </row>
    <row r="1561" spans="1:15" hidden="1">
      <c r="A1561" s="189" t="s">
        <v>232</v>
      </c>
      <c r="B1561" s="189" t="s">
        <v>138</v>
      </c>
      <c r="C1561" s="189" t="s">
        <v>973</v>
      </c>
      <c r="D1561" s="189" t="s">
        <v>1104</v>
      </c>
      <c r="E1561" s="189" t="s">
        <v>1902</v>
      </c>
      <c r="F1561" s="189" t="s">
        <v>261</v>
      </c>
      <c r="G1561" s="258">
        <v>-155.46</v>
      </c>
      <c r="H1561" s="260">
        <v>-155.46</v>
      </c>
      <c r="I1561" s="215" t="s">
        <v>96</v>
      </c>
      <c r="J1561" s="189" t="s">
        <v>164</v>
      </c>
      <c r="K1561" s="188" t="s">
        <v>361</v>
      </c>
      <c r="L1561" s="197"/>
      <c r="M1561" s="197"/>
      <c r="N1561" s="197"/>
      <c r="O1561" s="197"/>
    </row>
    <row r="1562" spans="1:15" hidden="1">
      <c r="A1562" s="189" t="s">
        <v>232</v>
      </c>
      <c r="B1562" s="189" t="s">
        <v>138</v>
      </c>
      <c r="C1562" s="189" t="s">
        <v>973</v>
      </c>
      <c r="D1562" s="189" t="s">
        <v>1112</v>
      </c>
      <c r="E1562" s="189" t="s">
        <v>1903</v>
      </c>
      <c r="F1562" s="189" t="s">
        <v>261</v>
      </c>
      <c r="G1562" s="258">
        <v>-333.29</v>
      </c>
      <c r="H1562" s="260">
        <v>-333.29</v>
      </c>
      <c r="I1562" s="215" t="s">
        <v>96</v>
      </c>
      <c r="J1562" s="189" t="s">
        <v>162</v>
      </c>
      <c r="K1562" s="188"/>
      <c r="L1562" s="197"/>
      <c r="M1562" s="197"/>
      <c r="N1562" s="197"/>
      <c r="O1562" s="197"/>
    </row>
    <row r="1563" spans="1:15" hidden="1">
      <c r="A1563" s="189" t="s">
        <v>232</v>
      </c>
      <c r="B1563" s="189" t="s">
        <v>138</v>
      </c>
      <c r="C1563" s="189" t="s">
        <v>973</v>
      </c>
      <c r="D1563" s="256" t="s">
        <v>1117</v>
      </c>
      <c r="E1563" s="189" t="s">
        <v>1904</v>
      </c>
      <c r="F1563" s="189" t="s">
        <v>261</v>
      </c>
      <c r="G1563" s="258">
        <v>-155.49</v>
      </c>
      <c r="H1563" s="260">
        <v>-155.49</v>
      </c>
      <c r="I1563" s="215" t="s">
        <v>96</v>
      </c>
      <c r="J1563" s="189" t="s">
        <v>164</v>
      </c>
      <c r="K1563" s="188"/>
      <c r="L1563" s="197"/>
      <c r="M1563" s="197"/>
      <c r="N1563" s="197"/>
      <c r="O1563" s="197"/>
    </row>
    <row r="1564" spans="1:15" hidden="1">
      <c r="A1564" s="189" t="s">
        <v>232</v>
      </c>
      <c r="B1564" s="189" t="s">
        <v>138</v>
      </c>
      <c r="C1564" s="189" t="s">
        <v>973</v>
      </c>
      <c r="D1564" s="256" t="s">
        <v>1117</v>
      </c>
      <c r="E1564" s="189" t="s">
        <v>1904</v>
      </c>
      <c r="F1564" s="189" t="s">
        <v>261</v>
      </c>
      <c r="G1564" s="258">
        <v>-155.49</v>
      </c>
      <c r="H1564" s="260">
        <v>-155.49</v>
      </c>
      <c r="I1564" s="215" t="s">
        <v>96</v>
      </c>
      <c r="J1564" s="189" t="s">
        <v>143</v>
      </c>
      <c r="K1564" s="188"/>
      <c r="L1564" s="197"/>
      <c r="M1564" s="197"/>
      <c r="N1564" s="197"/>
      <c r="O1564" s="197"/>
    </row>
    <row r="1565" spans="1:15" hidden="1">
      <c r="A1565" s="189" t="s">
        <v>232</v>
      </c>
      <c r="B1565" s="189" t="s">
        <v>138</v>
      </c>
      <c r="C1565" s="189" t="s">
        <v>973</v>
      </c>
      <c r="D1565" s="189" t="s">
        <v>1124</v>
      </c>
      <c r="E1565" s="189" t="s">
        <v>1905</v>
      </c>
      <c r="F1565" s="189" t="s">
        <v>261</v>
      </c>
      <c r="G1565" s="258">
        <v>-58.85</v>
      </c>
      <c r="H1565" s="260">
        <v>-58.85</v>
      </c>
      <c r="I1565" s="215" t="s">
        <v>96</v>
      </c>
      <c r="J1565" s="189" t="s">
        <v>422</v>
      </c>
      <c r="K1565" s="188"/>
      <c r="L1565" s="197"/>
      <c r="M1565" s="197"/>
      <c r="N1565" s="197"/>
      <c r="O1565" s="197"/>
    </row>
    <row r="1566" spans="1:15" hidden="1">
      <c r="A1566" s="189" t="s">
        <v>232</v>
      </c>
      <c r="B1566" s="189" t="s">
        <v>138</v>
      </c>
      <c r="C1566" s="189" t="s">
        <v>973</v>
      </c>
      <c r="D1566" s="189" t="s">
        <v>1134</v>
      </c>
      <c r="E1566" s="189" t="s">
        <v>1906</v>
      </c>
      <c r="F1566" s="189" t="s">
        <v>261</v>
      </c>
      <c r="G1566" s="258">
        <v>-647.84</v>
      </c>
      <c r="H1566" s="260">
        <v>-647.84</v>
      </c>
      <c r="I1566" s="215" t="s">
        <v>96</v>
      </c>
      <c r="J1566" s="189" t="s">
        <v>964</v>
      </c>
      <c r="K1566" s="188"/>
      <c r="L1566" s="197"/>
      <c r="M1566" s="197"/>
      <c r="N1566" s="197"/>
      <c r="O1566" s="197"/>
    </row>
    <row r="1567" spans="1:15" hidden="1">
      <c r="A1567" s="189" t="s">
        <v>232</v>
      </c>
      <c r="B1567" s="189" t="s">
        <v>138</v>
      </c>
      <c r="C1567" s="189" t="s">
        <v>973</v>
      </c>
      <c r="D1567" s="189" t="s">
        <v>1139</v>
      </c>
      <c r="E1567" s="189" t="s">
        <v>1907</v>
      </c>
      <c r="F1567" s="189" t="s">
        <v>261</v>
      </c>
      <c r="G1567" s="258">
        <v>-53.69</v>
      </c>
      <c r="H1567" s="260">
        <v>-53.69</v>
      </c>
      <c r="I1567" s="215" t="s">
        <v>96</v>
      </c>
      <c r="J1567" s="189" t="s">
        <v>422</v>
      </c>
      <c r="K1567" s="188"/>
      <c r="L1567" s="197"/>
      <c r="M1567" s="197"/>
      <c r="N1567" s="197"/>
      <c r="O1567" s="197"/>
    </row>
    <row r="1568" spans="1:15" hidden="1">
      <c r="A1568" s="189" t="s">
        <v>232</v>
      </c>
      <c r="B1568" s="189" t="s">
        <v>138</v>
      </c>
      <c r="C1568" s="189" t="s">
        <v>973</v>
      </c>
      <c r="D1568" s="189" t="s">
        <v>1908</v>
      </c>
      <c r="E1568" s="189" t="s">
        <v>1909</v>
      </c>
      <c r="F1568" s="189" t="s">
        <v>261</v>
      </c>
      <c r="G1568" s="258">
        <v>-264.13</v>
      </c>
      <c r="H1568" s="260">
        <v>-264.13</v>
      </c>
      <c r="I1568" s="215" t="s">
        <v>96</v>
      </c>
      <c r="J1568" s="189" t="s">
        <v>164</v>
      </c>
      <c r="K1568" s="188" t="s">
        <v>361</v>
      </c>
      <c r="L1568" s="197"/>
      <c r="M1568" s="197"/>
      <c r="N1568" s="197"/>
      <c r="O1568" s="197"/>
    </row>
    <row r="1569" spans="1:15" hidden="1">
      <c r="A1569" s="189" t="s">
        <v>232</v>
      </c>
      <c r="B1569" s="189" t="s">
        <v>138</v>
      </c>
      <c r="C1569" s="189" t="s">
        <v>973</v>
      </c>
      <c r="D1569" s="189" t="s">
        <v>1153</v>
      </c>
      <c r="E1569" s="189" t="s">
        <v>1910</v>
      </c>
      <c r="F1569" s="189" t="s">
        <v>261</v>
      </c>
      <c r="G1569" s="258">
        <v>-130.37</v>
      </c>
      <c r="H1569" s="260">
        <v>-130.37</v>
      </c>
      <c r="I1569" s="215" t="s">
        <v>96</v>
      </c>
      <c r="J1569" s="189" t="s">
        <v>162</v>
      </c>
      <c r="K1569" s="188"/>
      <c r="L1569" s="197"/>
      <c r="M1569" s="197"/>
      <c r="N1569" s="197"/>
      <c r="O1569" s="197"/>
    </row>
    <row r="1570" spans="1:15" hidden="1">
      <c r="A1570" s="189" t="s">
        <v>137</v>
      </c>
      <c r="B1570" s="189" t="s">
        <v>138</v>
      </c>
      <c r="C1570" s="189" t="s">
        <v>973</v>
      </c>
      <c r="D1570" s="189" t="s">
        <v>1911</v>
      </c>
      <c r="E1570" s="189" t="s">
        <v>1912</v>
      </c>
      <c r="F1570" s="189" t="s">
        <v>261</v>
      </c>
      <c r="G1570" s="258">
        <v>-529</v>
      </c>
      <c r="H1570" s="260">
        <v>-529</v>
      </c>
      <c r="I1570" s="215" t="s">
        <v>96</v>
      </c>
      <c r="J1570" s="189" t="s">
        <v>316</v>
      </c>
      <c r="K1570" s="188"/>
      <c r="L1570" s="197"/>
      <c r="M1570" s="197"/>
      <c r="N1570" s="197"/>
      <c r="O1570" s="197"/>
    </row>
    <row r="1571" spans="1:15" hidden="1">
      <c r="A1571" s="189" t="s">
        <v>137</v>
      </c>
      <c r="B1571" s="189" t="s">
        <v>138</v>
      </c>
      <c r="C1571" s="189" t="s">
        <v>106</v>
      </c>
      <c r="D1571" s="189" t="s">
        <v>655</v>
      </c>
      <c r="E1571" s="189" t="s">
        <v>1913</v>
      </c>
      <c r="F1571" s="189" t="s">
        <v>261</v>
      </c>
      <c r="G1571" s="260">
        <v>-224</v>
      </c>
      <c r="H1571" s="260">
        <v>-224</v>
      </c>
      <c r="I1571" s="215" t="s">
        <v>106</v>
      </c>
      <c r="J1571" s="189" t="s">
        <v>164</v>
      </c>
      <c r="K1571" s="188"/>
      <c r="L1571" s="197"/>
      <c r="M1571" s="197"/>
      <c r="N1571" s="197"/>
      <c r="O1571" s="197"/>
    </row>
    <row r="1572" spans="1:15" hidden="1">
      <c r="A1572" s="189" t="s">
        <v>137</v>
      </c>
      <c r="B1572" s="189" t="s">
        <v>138</v>
      </c>
      <c r="C1572" s="189" t="s">
        <v>106</v>
      </c>
      <c r="D1572" s="189" t="s">
        <v>655</v>
      </c>
      <c r="E1572" s="189" t="s">
        <v>1914</v>
      </c>
      <c r="F1572" s="189" t="s">
        <v>261</v>
      </c>
      <c r="G1572" s="260">
        <v>-159.19999999999999</v>
      </c>
      <c r="H1572" s="260">
        <v>-159.19999999999999</v>
      </c>
      <c r="I1572" s="215" t="s">
        <v>106</v>
      </c>
      <c r="J1572" s="189" t="s">
        <v>164</v>
      </c>
      <c r="K1572" s="188"/>
      <c r="L1572" s="197"/>
      <c r="M1572" s="197"/>
      <c r="N1572" s="197"/>
      <c r="O1572" s="197"/>
    </row>
    <row r="1573" spans="1:15" hidden="1">
      <c r="A1573" s="189" t="s">
        <v>232</v>
      </c>
      <c r="B1573" s="189" t="s">
        <v>138</v>
      </c>
      <c r="C1573" s="189" t="s">
        <v>106</v>
      </c>
      <c r="D1573" s="189" t="s">
        <v>655</v>
      </c>
      <c r="E1573" s="189" t="s">
        <v>1915</v>
      </c>
      <c r="F1573" s="189" t="s">
        <v>261</v>
      </c>
      <c r="G1573" s="260">
        <v>-93.1</v>
      </c>
      <c r="H1573" s="260">
        <v>-93.1</v>
      </c>
      <c r="I1573" s="215" t="s">
        <v>106</v>
      </c>
      <c r="J1573" s="189" t="s">
        <v>164</v>
      </c>
      <c r="K1573" s="188"/>
      <c r="L1573" s="197"/>
      <c r="M1573" s="197"/>
      <c r="N1573" s="197"/>
      <c r="O1573" s="197"/>
    </row>
    <row r="1574" spans="1:15" hidden="1">
      <c r="A1574" s="199" t="s">
        <v>243</v>
      </c>
      <c r="B1574" s="199" t="s">
        <v>138</v>
      </c>
      <c r="C1574" s="199" t="s">
        <v>106</v>
      </c>
      <c r="D1574" s="199" t="s">
        <v>655</v>
      </c>
      <c r="E1574" s="199" t="s">
        <v>1916</v>
      </c>
      <c r="F1574" s="205" t="s">
        <v>265</v>
      </c>
      <c r="G1574" s="226">
        <v>-93.1</v>
      </c>
      <c r="H1574" s="226">
        <v>-93.1</v>
      </c>
      <c r="I1574" s="198" t="s">
        <v>106</v>
      </c>
      <c r="J1574" s="250" t="s">
        <v>164</v>
      </c>
      <c r="K1574" s="188"/>
      <c r="L1574" s="197"/>
      <c r="M1574" s="197"/>
      <c r="N1574" s="197"/>
      <c r="O1574" s="197"/>
    </row>
    <row r="1575" spans="1:15" hidden="1">
      <c r="A1575" s="189" t="s">
        <v>232</v>
      </c>
      <c r="B1575" s="189" t="s">
        <v>138</v>
      </c>
      <c r="C1575" s="189" t="s">
        <v>106</v>
      </c>
      <c r="D1575" s="189" t="s">
        <v>655</v>
      </c>
      <c r="E1575" s="189" t="s">
        <v>1337</v>
      </c>
      <c r="F1575" s="189" t="s">
        <v>261</v>
      </c>
      <c r="G1575" s="260">
        <v>-40</v>
      </c>
      <c r="H1575" s="260">
        <v>-40</v>
      </c>
      <c r="I1575" s="215" t="s">
        <v>106</v>
      </c>
      <c r="J1575" s="189" t="s">
        <v>164</v>
      </c>
      <c r="K1575" s="188"/>
      <c r="L1575" s="197"/>
      <c r="M1575" s="197"/>
      <c r="N1575" s="197"/>
      <c r="O1575" s="197"/>
    </row>
    <row r="1576" spans="1:15" hidden="1">
      <c r="A1576" s="189" t="s">
        <v>137</v>
      </c>
      <c r="B1576" s="189" t="s">
        <v>138</v>
      </c>
      <c r="C1576" s="189" t="s">
        <v>106</v>
      </c>
      <c r="D1576" s="189" t="s">
        <v>655</v>
      </c>
      <c r="E1576" s="189" t="s">
        <v>1337</v>
      </c>
      <c r="F1576" s="189" t="s">
        <v>261</v>
      </c>
      <c r="G1576" s="260">
        <v>-40</v>
      </c>
      <c r="H1576" s="260">
        <v>-40</v>
      </c>
      <c r="I1576" s="215" t="s">
        <v>106</v>
      </c>
      <c r="J1576" s="189" t="s">
        <v>164</v>
      </c>
      <c r="K1576" s="188"/>
      <c r="L1576" s="197"/>
      <c r="M1576" s="197"/>
      <c r="N1576" s="197"/>
      <c r="O1576" s="197"/>
    </row>
    <row r="1577" spans="1:15" hidden="1">
      <c r="A1577" s="189" t="s">
        <v>137</v>
      </c>
      <c r="B1577" s="189" t="s">
        <v>138</v>
      </c>
      <c r="C1577" s="189" t="s">
        <v>106</v>
      </c>
      <c r="D1577" s="189" t="s">
        <v>655</v>
      </c>
      <c r="E1577" s="189" t="s">
        <v>1917</v>
      </c>
      <c r="F1577" s="189" t="s">
        <v>261</v>
      </c>
      <c r="G1577" s="260">
        <v>-37.07</v>
      </c>
      <c r="H1577" s="260">
        <v>-37.07</v>
      </c>
      <c r="I1577" s="215" t="s">
        <v>106</v>
      </c>
      <c r="J1577" s="189" t="s">
        <v>164</v>
      </c>
      <c r="K1577" s="188"/>
      <c r="L1577" s="197"/>
      <c r="M1577" s="197"/>
      <c r="N1577" s="197"/>
      <c r="O1577" s="197"/>
    </row>
    <row r="1578" spans="1:15" hidden="1">
      <c r="A1578" s="189" t="s">
        <v>137</v>
      </c>
      <c r="B1578" s="189" t="s">
        <v>138</v>
      </c>
      <c r="C1578" s="189" t="s">
        <v>106</v>
      </c>
      <c r="D1578" s="189" t="s">
        <v>655</v>
      </c>
      <c r="E1578" s="189" t="s">
        <v>1918</v>
      </c>
      <c r="F1578" s="189" t="s">
        <v>261</v>
      </c>
      <c r="G1578" s="260">
        <v>-20</v>
      </c>
      <c r="H1578" s="260">
        <v>-20</v>
      </c>
      <c r="I1578" s="215" t="s">
        <v>106</v>
      </c>
      <c r="J1578" s="189" t="s">
        <v>164</v>
      </c>
      <c r="K1578" s="188"/>
      <c r="L1578" s="197"/>
      <c r="M1578" s="197"/>
      <c r="N1578" s="197"/>
      <c r="O1578" s="197"/>
    </row>
    <row r="1579" spans="1:15" hidden="1">
      <c r="A1579" s="189" t="s">
        <v>137</v>
      </c>
      <c r="B1579" s="189" t="s">
        <v>138</v>
      </c>
      <c r="C1579" s="189" t="s">
        <v>106</v>
      </c>
      <c r="D1579" s="189" t="s">
        <v>655</v>
      </c>
      <c r="E1579" s="189" t="s">
        <v>1333</v>
      </c>
      <c r="F1579" s="189" t="s">
        <v>261</v>
      </c>
      <c r="G1579" s="260">
        <v>-18</v>
      </c>
      <c r="H1579" s="260">
        <v>-18</v>
      </c>
      <c r="I1579" s="215" t="s">
        <v>106</v>
      </c>
      <c r="J1579" s="189" t="s">
        <v>164</v>
      </c>
      <c r="K1579" s="188"/>
      <c r="L1579" s="197"/>
      <c r="M1579" s="197"/>
      <c r="N1579" s="197"/>
      <c r="O1579" s="197"/>
    </row>
    <row r="1580" spans="1:15" hidden="1">
      <c r="A1580" s="189" t="s">
        <v>137</v>
      </c>
      <c r="B1580" s="189" t="s">
        <v>138</v>
      </c>
      <c r="C1580" s="189" t="s">
        <v>106</v>
      </c>
      <c r="D1580" s="189" t="s">
        <v>655</v>
      </c>
      <c r="E1580" s="189" t="s">
        <v>1919</v>
      </c>
      <c r="F1580" s="189" t="s">
        <v>261</v>
      </c>
      <c r="G1580" s="260">
        <v>-10</v>
      </c>
      <c r="H1580" s="260">
        <v>-10</v>
      </c>
      <c r="I1580" s="215" t="s">
        <v>106</v>
      </c>
      <c r="J1580" s="189" t="s">
        <v>164</v>
      </c>
      <c r="K1580" s="188"/>
      <c r="L1580" s="197"/>
      <c r="M1580" s="197"/>
      <c r="N1580" s="197"/>
      <c r="O1580" s="197"/>
    </row>
    <row r="1581" spans="1:15" hidden="1">
      <c r="A1581" s="189" t="s">
        <v>137</v>
      </c>
      <c r="B1581" s="189" t="s">
        <v>138</v>
      </c>
      <c r="C1581" s="189" t="s">
        <v>106</v>
      </c>
      <c r="D1581" s="189" t="s">
        <v>655</v>
      </c>
      <c r="E1581" s="189" t="s">
        <v>1920</v>
      </c>
      <c r="F1581" s="189" t="s">
        <v>261</v>
      </c>
      <c r="G1581" s="260">
        <v>-10</v>
      </c>
      <c r="H1581" s="260">
        <v>-10</v>
      </c>
      <c r="I1581" s="215" t="s">
        <v>106</v>
      </c>
      <c r="J1581" s="189" t="s">
        <v>164</v>
      </c>
      <c r="K1581" s="188"/>
      <c r="L1581" s="197"/>
      <c r="M1581" s="197"/>
      <c r="N1581" s="197"/>
      <c r="O1581" s="197"/>
    </row>
    <row r="1582" spans="1:15" hidden="1">
      <c r="A1582" s="189" t="s">
        <v>137</v>
      </c>
      <c r="B1582" s="189" t="s">
        <v>138</v>
      </c>
      <c r="C1582" s="189" t="s">
        <v>106</v>
      </c>
      <c r="D1582" s="189" t="s">
        <v>655</v>
      </c>
      <c r="E1582" s="189" t="s">
        <v>1921</v>
      </c>
      <c r="F1582" s="189" t="s">
        <v>261</v>
      </c>
      <c r="G1582" s="260">
        <v>-10</v>
      </c>
      <c r="H1582" s="260">
        <v>-10</v>
      </c>
      <c r="I1582" s="215" t="s">
        <v>106</v>
      </c>
      <c r="J1582" s="189" t="s">
        <v>164</v>
      </c>
      <c r="K1582" s="188"/>
      <c r="L1582" s="197"/>
      <c r="M1582" s="197"/>
      <c r="N1582" s="197"/>
      <c r="O1582" s="197"/>
    </row>
    <row r="1583" spans="1:15" hidden="1">
      <c r="A1583" s="189" t="s">
        <v>137</v>
      </c>
      <c r="B1583" s="189" t="s">
        <v>138</v>
      </c>
      <c r="C1583" s="189" t="s">
        <v>106</v>
      </c>
      <c r="D1583" s="189" t="s">
        <v>655</v>
      </c>
      <c r="E1583" s="189" t="s">
        <v>1922</v>
      </c>
      <c r="F1583" s="189" t="s">
        <v>261</v>
      </c>
      <c r="G1583" s="260">
        <v>-10</v>
      </c>
      <c r="H1583" s="260">
        <v>-10</v>
      </c>
      <c r="I1583" s="215" t="s">
        <v>106</v>
      </c>
      <c r="J1583" s="189" t="s">
        <v>164</v>
      </c>
      <c r="K1583" s="188"/>
      <c r="L1583" s="197"/>
      <c r="M1583" s="197"/>
      <c r="N1583" s="197"/>
      <c r="O1583" s="197"/>
    </row>
    <row r="1584" spans="1:15" hidden="1">
      <c r="A1584" s="189" t="s">
        <v>137</v>
      </c>
      <c r="B1584" s="189" t="s">
        <v>138</v>
      </c>
      <c r="C1584" s="189" t="s">
        <v>106</v>
      </c>
      <c r="D1584" s="189" t="s">
        <v>655</v>
      </c>
      <c r="E1584" s="189" t="s">
        <v>1923</v>
      </c>
      <c r="F1584" s="189" t="s">
        <v>261</v>
      </c>
      <c r="G1584" s="260">
        <v>-10</v>
      </c>
      <c r="H1584" s="260">
        <v>-10</v>
      </c>
      <c r="I1584" s="215" t="s">
        <v>106</v>
      </c>
      <c r="J1584" s="189" t="s">
        <v>164</v>
      </c>
      <c r="K1584" s="188"/>
      <c r="L1584" s="197"/>
      <c r="M1584" s="197"/>
      <c r="N1584" s="197"/>
      <c r="O1584" s="197"/>
    </row>
    <row r="1585" spans="1:15" hidden="1">
      <c r="A1585" s="189" t="s">
        <v>232</v>
      </c>
      <c r="B1585" s="189" t="s">
        <v>138</v>
      </c>
      <c r="C1585" s="189" t="s">
        <v>106</v>
      </c>
      <c r="D1585" s="189" t="s">
        <v>655</v>
      </c>
      <c r="E1585" s="189" t="s">
        <v>1924</v>
      </c>
      <c r="F1585" s="189" t="s">
        <v>261</v>
      </c>
      <c r="G1585" s="260">
        <v>-3.5</v>
      </c>
      <c r="H1585" s="260">
        <v>-3.5</v>
      </c>
      <c r="I1585" s="215" t="s">
        <v>106</v>
      </c>
      <c r="J1585" s="189" t="s">
        <v>164</v>
      </c>
      <c r="K1585" s="188"/>
      <c r="L1585" s="197"/>
      <c r="M1585" s="197"/>
      <c r="N1585" s="197"/>
      <c r="O1585" s="197"/>
    </row>
    <row r="1586" spans="1:15" hidden="1">
      <c r="A1586" s="189" t="s">
        <v>232</v>
      </c>
      <c r="B1586" s="189" t="s">
        <v>138</v>
      </c>
      <c r="C1586" s="189" t="s">
        <v>106</v>
      </c>
      <c r="D1586" s="189" t="s">
        <v>655</v>
      </c>
      <c r="E1586" s="189" t="s">
        <v>1923</v>
      </c>
      <c r="F1586" s="189" t="s">
        <v>261</v>
      </c>
      <c r="G1586" s="260">
        <v>-2.72</v>
      </c>
      <c r="H1586" s="260">
        <v>-2.72</v>
      </c>
      <c r="I1586" s="215" t="s">
        <v>106</v>
      </c>
      <c r="J1586" s="189" t="s">
        <v>164</v>
      </c>
      <c r="K1586" s="188"/>
      <c r="L1586" s="197"/>
      <c r="M1586" s="197"/>
      <c r="N1586" s="197"/>
      <c r="O1586" s="197"/>
    </row>
    <row r="1587" spans="1:15" hidden="1">
      <c r="A1587" s="189" t="s">
        <v>137</v>
      </c>
      <c r="B1587" s="189" t="s">
        <v>138</v>
      </c>
      <c r="C1587" s="189" t="s">
        <v>106</v>
      </c>
      <c r="D1587" s="189" t="s">
        <v>655</v>
      </c>
      <c r="E1587" s="189" t="s">
        <v>1925</v>
      </c>
      <c r="F1587" s="189" t="s">
        <v>261</v>
      </c>
      <c r="G1587" s="260">
        <v>-1.99</v>
      </c>
      <c r="H1587" s="260">
        <v>-1.99</v>
      </c>
      <c r="I1587" s="215" t="s">
        <v>106</v>
      </c>
      <c r="J1587" s="189" t="s">
        <v>164</v>
      </c>
      <c r="K1587" s="188"/>
      <c r="L1587" s="197"/>
      <c r="M1587" s="197"/>
      <c r="N1587" s="197"/>
      <c r="O1587" s="197"/>
    </row>
    <row r="1588" spans="1:15" hidden="1">
      <c r="A1588" s="189" t="s">
        <v>137</v>
      </c>
      <c r="B1588" s="189" t="s">
        <v>138</v>
      </c>
      <c r="C1588" s="189" t="s">
        <v>106</v>
      </c>
      <c r="D1588" s="189" t="s">
        <v>655</v>
      </c>
      <c r="E1588" s="189" t="s">
        <v>1926</v>
      </c>
      <c r="F1588" s="189" t="s">
        <v>261</v>
      </c>
      <c r="G1588" s="260">
        <v>-1.99</v>
      </c>
      <c r="H1588" s="260">
        <v>-1.99</v>
      </c>
      <c r="I1588" s="215" t="s">
        <v>106</v>
      </c>
      <c r="J1588" s="189" t="s">
        <v>164</v>
      </c>
      <c r="K1588" s="188"/>
      <c r="L1588" s="197"/>
      <c r="M1588" s="197"/>
      <c r="N1588" s="197"/>
      <c r="O1588" s="197"/>
    </row>
    <row r="1589" spans="1:15" hidden="1">
      <c r="A1589" s="189" t="s">
        <v>137</v>
      </c>
      <c r="B1589" s="189" t="s">
        <v>138</v>
      </c>
      <c r="C1589" s="189" t="s">
        <v>106</v>
      </c>
      <c r="D1589" s="189" t="s">
        <v>655</v>
      </c>
      <c r="E1589" s="189" t="s">
        <v>1927</v>
      </c>
      <c r="F1589" s="189" t="s">
        <v>261</v>
      </c>
      <c r="G1589" s="260">
        <v>-1.99</v>
      </c>
      <c r="H1589" s="260">
        <v>-1.99</v>
      </c>
      <c r="I1589" s="215" t="s">
        <v>106</v>
      </c>
      <c r="J1589" s="189" t="s">
        <v>164</v>
      </c>
      <c r="K1589" s="188"/>
      <c r="L1589" s="197"/>
      <c r="M1589" s="197"/>
      <c r="N1589" s="197"/>
      <c r="O1589" s="197"/>
    </row>
    <row r="1590" spans="1:15" hidden="1">
      <c r="A1590" s="189" t="s">
        <v>137</v>
      </c>
      <c r="B1590" s="189" t="s">
        <v>138</v>
      </c>
      <c r="C1590" s="189" t="s">
        <v>106</v>
      </c>
      <c r="D1590" s="189" t="s">
        <v>655</v>
      </c>
      <c r="E1590" s="189" t="s">
        <v>1928</v>
      </c>
      <c r="F1590" s="189" t="s">
        <v>261</v>
      </c>
      <c r="G1590" s="260">
        <v>-1.99</v>
      </c>
      <c r="H1590" s="260">
        <v>-1.99</v>
      </c>
      <c r="I1590" s="215" t="s">
        <v>106</v>
      </c>
      <c r="J1590" s="189" t="s">
        <v>164</v>
      </c>
      <c r="K1590" s="188"/>
      <c r="L1590" s="197"/>
      <c r="M1590" s="197"/>
      <c r="N1590" s="197"/>
      <c r="O1590" s="197"/>
    </row>
    <row r="1591" spans="1:15" hidden="1">
      <c r="A1591" s="189" t="s">
        <v>137</v>
      </c>
      <c r="B1591" s="189" t="s">
        <v>138</v>
      </c>
      <c r="C1591" s="189" t="s">
        <v>106</v>
      </c>
      <c r="D1591" s="189" t="s">
        <v>655</v>
      </c>
      <c r="E1591" s="189" t="s">
        <v>1929</v>
      </c>
      <c r="F1591" s="189" t="s">
        <v>261</v>
      </c>
      <c r="G1591" s="260">
        <v>-1.99</v>
      </c>
      <c r="H1591" s="260">
        <v>-1.99</v>
      </c>
      <c r="I1591" s="215" t="s">
        <v>106</v>
      </c>
      <c r="J1591" s="189" t="s">
        <v>164</v>
      </c>
      <c r="K1591" s="188"/>
      <c r="L1591" s="197"/>
      <c r="M1591" s="197"/>
      <c r="N1591" s="197"/>
      <c r="O1591" s="197"/>
    </row>
    <row r="1592" spans="1:15" hidden="1">
      <c r="A1592" s="189" t="s">
        <v>137</v>
      </c>
      <c r="B1592" s="189" t="s">
        <v>138</v>
      </c>
      <c r="C1592" s="189" t="s">
        <v>106</v>
      </c>
      <c r="D1592" s="189" t="s">
        <v>655</v>
      </c>
      <c r="E1592" s="189" t="s">
        <v>1930</v>
      </c>
      <c r="F1592" s="189" t="s">
        <v>261</v>
      </c>
      <c r="G1592" s="260">
        <v>-1.99</v>
      </c>
      <c r="H1592" s="260">
        <v>-1.99</v>
      </c>
      <c r="I1592" s="215" t="s">
        <v>106</v>
      </c>
      <c r="J1592" s="189" t="s">
        <v>164</v>
      </c>
      <c r="K1592" s="188"/>
      <c r="L1592" s="197"/>
      <c r="M1592" s="197"/>
      <c r="N1592" s="197"/>
      <c r="O1592" s="197"/>
    </row>
    <row r="1593" spans="1:15">
      <c r="A1593" s="199" t="s">
        <v>243</v>
      </c>
      <c r="B1593" s="288" t="s">
        <v>138</v>
      </c>
      <c r="C1593" s="288" t="s">
        <v>106</v>
      </c>
      <c r="D1593" s="288" t="s">
        <v>655</v>
      </c>
      <c r="E1593" s="288" t="s">
        <v>1931</v>
      </c>
      <c r="F1593" s="267" t="s">
        <v>268</v>
      </c>
      <c r="G1593" s="289">
        <v>-93.1</v>
      </c>
      <c r="H1593" s="289">
        <v>-93.1</v>
      </c>
      <c r="I1593" s="198" t="s">
        <v>106</v>
      </c>
      <c r="J1593" s="250" t="s">
        <v>164</v>
      </c>
      <c r="K1593" s="233"/>
      <c r="L1593" s="197"/>
      <c r="M1593" s="197"/>
      <c r="N1593" s="197"/>
      <c r="O1593" s="197"/>
    </row>
    <row r="1594" spans="1:15" hidden="1">
      <c r="A1594" s="189" t="s">
        <v>232</v>
      </c>
      <c r="B1594" s="189" t="s">
        <v>138</v>
      </c>
      <c r="C1594" s="189" t="s">
        <v>106</v>
      </c>
      <c r="D1594" s="189" t="s">
        <v>655</v>
      </c>
      <c r="E1594" s="189" t="s">
        <v>1932</v>
      </c>
      <c r="F1594" s="189" t="s">
        <v>261</v>
      </c>
      <c r="G1594" s="260">
        <v>-0.85</v>
      </c>
      <c r="H1594" s="260">
        <v>-0.85</v>
      </c>
      <c r="I1594" s="215" t="s">
        <v>106</v>
      </c>
      <c r="J1594" s="189" t="s">
        <v>164</v>
      </c>
      <c r="K1594" s="188"/>
      <c r="L1594" s="197"/>
      <c r="M1594" s="197"/>
      <c r="N1594" s="197"/>
      <c r="O1594" s="197"/>
    </row>
    <row r="1595" spans="1:15" hidden="1">
      <c r="A1595" s="189" t="s">
        <v>232</v>
      </c>
      <c r="B1595" s="189" t="s">
        <v>138</v>
      </c>
      <c r="C1595" s="189" t="s">
        <v>106</v>
      </c>
      <c r="D1595" s="189" t="s">
        <v>655</v>
      </c>
      <c r="E1595" s="189" t="s">
        <v>1933</v>
      </c>
      <c r="F1595" s="189" t="s">
        <v>261</v>
      </c>
      <c r="G1595" s="260">
        <v>-0.5</v>
      </c>
      <c r="H1595" s="260">
        <v>-0.5</v>
      </c>
      <c r="I1595" s="215" t="s">
        <v>106</v>
      </c>
      <c r="J1595" s="189" t="s">
        <v>164</v>
      </c>
      <c r="K1595" s="188"/>
      <c r="L1595" s="197"/>
      <c r="M1595" s="197"/>
      <c r="N1595" s="197"/>
      <c r="O1595" s="197"/>
    </row>
    <row r="1596" spans="1:15" hidden="1">
      <c r="A1596" s="189" t="s">
        <v>232</v>
      </c>
      <c r="B1596" s="189" t="s">
        <v>138</v>
      </c>
      <c r="C1596" s="189" t="s">
        <v>106</v>
      </c>
      <c r="D1596" s="189" t="s">
        <v>655</v>
      </c>
      <c r="E1596" s="189" t="s">
        <v>1934</v>
      </c>
      <c r="F1596" s="189" t="s">
        <v>261</v>
      </c>
      <c r="G1596" s="260">
        <v>-0.5</v>
      </c>
      <c r="H1596" s="260">
        <v>-0.5</v>
      </c>
      <c r="I1596" s="215" t="s">
        <v>106</v>
      </c>
      <c r="J1596" s="189" t="s">
        <v>164</v>
      </c>
      <c r="K1596" s="188"/>
      <c r="L1596" s="197"/>
      <c r="M1596" s="197"/>
      <c r="N1596" s="197"/>
      <c r="O1596" s="197"/>
    </row>
    <row r="1597" spans="1:15" hidden="1">
      <c r="A1597" s="189" t="s">
        <v>232</v>
      </c>
      <c r="B1597" s="189" t="s">
        <v>138</v>
      </c>
      <c r="C1597" s="189" t="s">
        <v>106</v>
      </c>
      <c r="D1597" s="189" t="s">
        <v>655</v>
      </c>
      <c r="E1597" s="189" t="s">
        <v>1935</v>
      </c>
      <c r="F1597" s="189" t="s">
        <v>261</v>
      </c>
      <c r="G1597" s="260">
        <v>-0.5</v>
      </c>
      <c r="H1597" s="260">
        <v>-0.5</v>
      </c>
      <c r="I1597" s="215" t="s">
        <v>106</v>
      </c>
      <c r="J1597" s="189" t="s">
        <v>164</v>
      </c>
      <c r="K1597" s="188"/>
      <c r="L1597" s="197"/>
      <c r="M1597" s="197"/>
      <c r="N1597" s="197"/>
      <c r="O1597" s="197"/>
    </row>
    <row r="1598" spans="1:15" hidden="1">
      <c r="A1598" s="189" t="s">
        <v>232</v>
      </c>
      <c r="B1598" s="189" t="s">
        <v>138</v>
      </c>
      <c r="C1598" s="189" t="s">
        <v>106</v>
      </c>
      <c r="D1598" s="189" t="s">
        <v>655</v>
      </c>
      <c r="E1598" s="189" t="s">
        <v>1936</v>
      </c>
      <c r="F1598" s="189" t="s">
        <v>261</v>
      </c>
      <c r="G1598" s="260">
        <v>-0.5</v>
      </c>
      <c r="H1598" s="260">
        <v>-0.5</v>
      </c>
      <c r="I1598" s="215" t="s">
        <v>106</v>
      </c>
      <c r="J1598" s="189" t="s">
        <v>164</v>
      </c>
      <c r="K1598" s="188"/>
      <c r="L1598" s="197"/>
      <c r="M1598" s="197"/>
      <c r="N1598" s="197"/>
      <c r="O1598" s="197"/>
    </row>
    <row r="1599" spans="1:15" hidden="1">
      <c r="A1599" s="189" t="s">
        <v>232</v>
      </c>
      <c r="B1599" s="189" t="s">
        <v>138</v>
      </c>
      <c r="C1599" s="189" t="s">
        <v>106</v>
      </c>
      <c r="D1599" s="189" t="s">
        <v>655</v>
      </c>
      <c r="E1599" s="189" t="s">
        <v>1937</v>
      </c>
      <c r="F1599" s="189" t="s">
        <v>261</v>
      </c>
      <c r="G1599" s="260">
        <v>-0.5</v>
      </c>
      <c r="H1599" s="260">
        <v>-0.5</v>
      </c>
      <c r="I1599" s="215" t="s">
        <v>106</v>
      </c>
      <c r="J1599" s="189" t="s">
        <v>164</v>
      </c>
      <c r="K1599" s="188"/>
      <c r="L1599" s="197"/>
      <c r="M1599" s="197"/>
      <c r="N1599" s="197"/>
      <c r="O1599" s="197"/>
    </row>
    <row r="1600" spans="1:15" hidden="1">
      <c r="A1600" s="189" t="s">
        <v>232</v>
      </c>
      <c r="B1600" s="189" t="s">
        <v>138</v>
      </c>
      <c r="C1600" s="189" t="s">
        <v>106</v>
      </c>
      <c r="D1600" s="189" t="s">
        <v>655</v>
      </c>
      <c r="E1600" s="189" t="s">
        <v>1938</v>
      </c>
      <c r="F1600" s="189" t="s">
        <v>261</v>
      </c>
      <c r="G1600" s="260">
        <v>-0.5</v>
      </c>
      <c r="H1600" s="260">
        <v>-0.5</v>
      </c>
      <c r="I1600" s="215" t="s">
        <v>106</v>
      </c>
      <c r="J1600" s="189" t="s">
        <v>164</v>
      </c>
      <c r="K1600" s="188"/>
      <c r="L1600" s="197"/>
      <c r="M1600" s="197"/>
      <c r="N1600" s="197"/>
      <c r="O1600" s="197"/>
    </row>
    <row r="1601" spans="1:15" hidden="1">
      <c r="A1601" s="189" t="s">
        <v>232</v>
      </c>
      <c r="B1601" s="189" t="s">
        <v>138</v>
      </c>
      <c r="C1601" s="189" t="s">
        <v>106</v>
      </c>
      <c r="D1601" s="189" t="s">
        <v>655</v>
      </c>
      <c r="E1601" s="189" t="s">
        <v>1939</v>
      </c>
      <c r="F1601" s="189" t="s">
        <v>261</v>
      </c>
      <c r="G1601" s="260">
        <v>-0.5</v>
      </c>
      <c r="H1601" s="260">
        <v>-0.5</v>
      </c>
      <c r="I1601" s="215" t="s">
        <v>106</v>
      </c>
      <c r="J1601" s="189" t="s">
        <v>164</v>
      </c>
      <c r="K1601" s="188"/>
      <c r="L1601" s="197"/>
      <c r="M1601" s="197"/>
      <c r="N1601" s="197"/>
      <c r="O1601" s="197"/>
    </row>
    <row r="1602" spans="1:15" hidden="1">
      <c r="A1602" s="189" t="s">
        <v>232</v>
      </c>
      <c r="B1602" s="189" t="s">
        <v>138</v>
      </c>
      <c r="C1602" s="189" t="s">
        <v>106</v>
      </c>
      <c r="D1602" s="189" t="s">
        <v>655</v>
      </c>
      <c r="E1602" s="189" t="s">
        <v>1940</v>
      </c>
      <c r="F1602" s="189" t="s">
        <v>261</v>
      </c>
      <c r="G1602" s="260">
        <v>-0.5</v>
      </c>
      <c r="H1602" s="260">
        <v>-0.5</v>
      </c>
      <c r="I1602" s="215" t="s">
        <v>106</v>
      </c>
      <c r="J1602" s="189" t="s">
        <v>164</v>
      </c>
      <c r="K1602" s="188"/>
      <c r="L1602" s="197"/>
      <c r="M1602" s="197"/>
      <c r="N1602" s="197"/>
      <c r="O1602" s="197"/>
    </row>
    <row r="1603" spans="1:15" hidden="1">
      <c r="A1603" s="189" t="s">
        <v>232</v>
      </c>
      <c r="B1603" s="189" t="s">
        <v>138</v>
      </c>
      <c r="C1603" s="189" t="s">
        <v>106</v>
      </c>
      <c r="D1603" s="189" t="s">
        <v>655</v>
      </c>
      <c r="E1603" s="189" t="s">
        <v>1941</v>
      </c>
      <c r="F1603" s="189" t="s">
        <v>261</v>
      </c>
      <c r="G1603" s="260">
        <v>-0.5</v>
      </c>
      <c r="H1603" s="260">
        <v>-0.5</v>
      </c>
      <c r="I1603" s="215" t="s">
        <v>106</v>
      </c>
      <c r="J1603" s="189" t="s">
        <v>164</v>
      </c>
      <c r="K1603" s="188"/>
      <c r="L1603" s="197"/>
      <c r="M1603" s="197"/>
      <c r="N1603" s="197"/>
      <c r="O1603" s="197"/>
    </row>
    <row r="1604" spans="1:15" hidden="1">
      <c r="A1604" s="189" t="s">
        <v>232</v>
      </c>
      <c r="B1604" s="189" t="s">
        <v>138</v>
      </c>
      <c r="C1604" s="189" t="s">
        <v>106</v>
      </c>
      <c r="D1604" s="189" t="s">
        <v>655</v>
      </c>
      <c r="E1604" s="189" t="s">
        <v>1942</v>
      </c>
      <c r="F1604" s="189" t="s">
        <v>261</v>
      </c>
      <c r="G1604" s="260">
        <v>-0.5</v>
      </c>
      <c r="H1604" s="260">
        <v>-0.5</v>
      </c>
      <c r="I1604" s="215" t="s">
        <v>106</v>
      </c>
      <c r="J1604" s="189" t="s">
        <v>164</v>
      </c>
      <c r="K1604" s="188"/>
      <c r="L1604" s="197"/>
      <c r="M1604" s="197"/>
      <c r="N1604" s="197"/>
      <c r="O1604" s="197"/>
    </row>
    <row r="1605" spans="1:15" hidden="1">
      <c r="A1605" s="189" t="s">
        <v>232</v>
      </c>
      <c r="B1605" s="189" t="s">
        <v>138</v>
      </c>
      <c r="C1605" s="189" t="s">
        <v>106</v>
      </c>
      <c r="D1605" s="189" t="s">
        <v>655</v>
      </c>
      <c r="E1605" s="189" t="s">
        <v>1943</v>
      </c>
      <c r="F1605" s="189" t="s">
        <v>261</v>
      </c>
      <c r="G1605" s="260">
        <v>-0.5</v>
      </c>
      <c r="H1605" s="260">
        <v>-0.5</v>
      </c>
      <c r="I1605" s="215" t="s">
        <v>106</v>
      </c>
      <c r="J1605" s="189" t="s">
        <v>164</v>
      </c>
      <c r="K1605" s="188"/>
      <c r="L1605" s="197"/>
      <c r="M1605" s="197"/>
      <c r="N1605" s="197"/>
      <c r="O1605" s="197"/>
    </row>
    <row r="1606" spans="1:15" hidden="1">
      <c r="A1606" s="189" t="s">
        <v>232</v>
      </c>
      <c r="B1606" s="189" t="s">
        <v>138</v>
      </c>
      <c r="C1606" s="189" t="s">
        <v>106</v>
      </c>
      <c r="D1606" s="189" t="s">
        <v>655</v>
      </c>
      <c r="E1606" s="189" t="s">
        <v>1944</v>
      </c>
      <c r="F1606" s="189" t="s">
        <v>261</v>
      </c>
      <c r="G1606" s="260">
        <v>-0.5</v>
      </c>
      <c r="H1606" s="260">
        <v>-0.5</v>
      </c>
      <c r="I1606" s="215" t="s">
        <v>106</v>
      </c>
      <c r="J1606" s="189" t="s">
        <v>164</v>
      </c>
      <c r="K1606" s="188"/>
      <c r="L1606" s="197"/>
      <c r="M1606" s="197"/>
      <c r="N1606" s="197"/>
      <c r="O1606" s="197"/>
    </row>
    <row r="1607" spans="1:15" hidden="1">
      <c r="A1607" s="189" t="s">
        <v>232</v>
      </c>
      <c r="B1607" s="189" t="s">
        <v>138</v>
      </c>
      <c r="C1607" s="189" t="s">
        <v>106</v>
      </c>
      <c r="D1607" s="189" t="s">
        <v>655</v>
      </c>
      <c r="E1607" s="189" t="s">
        <v>1945</v>
      </c>
      <c r="F1607" s="189" t="s">
        <v>261</v>
      </c>
      <c r="G1607" s="260">
        <v>-0.5</v>
      </c>
      <c r="H1607" s="260">
        <v>-0.5</v>
      </c>
      <c r="I1607" s="215" t="s">
        <v>106</v>
      </c>
      <c r="J1607" s="189" t="s">
        <v>164</v>
      </c>
      <c r="K1607" s="188"/>
      <c r="L1607" s="197"/>
      <c r="M1607" s="197"/>
      <c r="N1607" s="197"/>
      <c r="O1607" s="197"/>
    </row>
    <row r="1608" spans="1:15" hidden="1">
      <c r="A1608" s="189" t="s">
        <v>232</v>
      </c>
      <c r="B1608" s="189" t="s">
        <v>138</v>
      </c>
      <c r="C1608" s="189" t="s">
        <v>106</v>
      </c>
      <c r="D1608" s="189" t="s">
        <v>655</v>
      </c>
      <c r="E1608" s="189" t="s">
        <v>1946</v>
      </c>
      <c r="F1608" s="189" t="s">
        <v>261</v>
      </c>
      <c r="G1608" s="260">
        <v>-0.5</v>
      </c>
      <c r="H1608" s="260">
        <v>-0.5</v>
      </c>
      <c r="I1608" s="215" t="s">
        <v>106</v>
      </c>
      <c r="J1608" s="189" t="s">
        <v>164</v>
      </c>
      <c r="K1608" s="188"/>
      <c r="L1608" s="197"/>
      <c r="M1608" s="197"/>
      <c r="N1608" s="197"/>
      <c r="O1608" s="197"/>
    </row>
    <row r="1609" spans="1:15" hidden="1">
      <c r="A1609" s="189" t="s">
        <v>232</v>
      </c>
      <c r="B1609" s="189" t="s">
        <v>138</v>
      </c>
      <c r="C1609" s="189" t="s">
        <v>106</v>
      </c>
      <c r="D1609" s="189" t="s">
        <v>655</v>
      </c>
      <c r="E1609" s="189" t="s">
        <v>1947</v>
      </c>
      <c r="F1609" s="189" t="s">
        <v>261</v>
      </c>
      <c r="G1609" s="260">
        <v>-0.5</v>
      </c>
      <c r="H1609" s="260">
        <v>-0.5</v>
      </c>
      <c r="I1609" s="215" t="s">
        <v>106</v>
      </c>
      <c r="J1609" s="189" t="s">
        <v>164</v>
      </c>
      <c r="K1609" s="188"/>
      <c r="L1609" s="197"/>
      <c r="M1609" s="197"/>
      <c r="N1609" s="197"/>
      <c r="O1609" s="197"/>
    </row>
    <row r="1610" spans="1:15" hidden="1">
      <c r="A1610" s="189" t="s">
        <v>137</v>
      </c>
      <c r="B1610" s="189" t="s">
        <v>138</v>
      </c>
      <c r="C1610" s="189" t="s">
        <v>106</v>
      </c>
      <c r="D1610" s="189" t="s">
        <v>655</v>
      </c>
      <c r="E1610" s="189" t="s">
        <v>1948</v>
      </c>
      <c r="F1610" s="189" t="s">
        <v>261</v>
      </c>
      <c r="G1610" s="260">
        <v>-0.5</v>
      </c>
      <c r="H1610" s="260">
        <v>-0.5</v>
      </c>
      <c r="I1610" s="215" t="s">
        <v>106</v>
      </c>
      <c r="J1610" s="189" t="s">
        <v>164</v>
      </c>
      <c r="K1610" s="188"/>
      <c r="L1610" s="197"/>
      <c r="M1610" s="197"/>
      <c r="N1610" s="197"/>
      <c r="O1610" s="197"/>
    </row>
    <row r="1611" spans="1:15" hidden="1">
      <c r="A1611" s="189" t="s">
        <v>137</v>
      </c>
      <c r="B1611" s="189" t="s">
        <v>138</v>
      </c>
      <c r="C1611" s="189" t="s">
        <v>106</v>
      </c>
      <c r="D1611" s="189" t="s">
        <v>655</v>
      </c>
      <c r="E1611" s="189" t="s">
        <v>1949</v>
      </c>
      <c r="F1611" s="189" t="s">
        <v>261</v>
      </c>
      <c r="G1611" s="260">
        <v>-0.5</v>
      </c>
      <c r="H1611" s="260">
        <v>-0.5</v>
      </c>
      <c r="I1611" s="215" t="s">
        <v>106</v>
      </c>
      <c r="J1611" s="189" t="s">
        <v>164</v>
      </c>
      <c r="K1611" s="188"/>
      <c r="L1611" s="197"/>
      <c r="M1611" s="197"/>
      <c r="N1611" s="197"/>
      <c r="O1611" s="197"/>
    </row>
    <row r="1612" spans="1:15" hidden="1">
      <c r="A1612" s="189" t="s">
        <v>137</v>
      </c>
      <c r="B1612" s="189" t="s">
        <v>138</v>
      </c>
      <c r="C1612" s="189" t="s">
        <v>106</v>
      </c>
      <c r="D1612" s="189" t="s">
        <v>655</v>
      </c>
      <c r="E1612" s="189" t="s">
        <v>1950</v>
      </c>
      <c r="F1612" s="189" t="s">
        <v>261</v>
      </c>
      <c r="G1612" s="260">
        <v>-0.5</v>
      </c>
      <c r="H1612" s="260">
        <v>-0.5</v>
      </c>
      <c r="I1612" s="215" t="s">
        <v>106</v>
      </c>
      <c r="J1612" s="189" t="s">
        <v>164</v>
      </c>
      <c r="K1612" s="188"/>
      <c r="L1612" s="197"/>
      <c r="M1612" s="197"/>
      <c r="N1612" s="197"/>
      <c r="O1612" s="197"/>
    </row>
    <row r="1613" spans="1:15" hidden="1">
      <c r="A1613" s="189" t="s">
        <v>137</v>
      </c>
      <c r="B1613" s="189" t="s">
        <v>138</v>
      </c>
      <c r="C1613" s="189" t="s">
        <v>106</v>
      </c>
      <c r="D1613" s="189" t="s">
        <v>655</v>
      </c>
      <c r="E1613" s="189" t="s">
        <v>1951</v>
      </c>
      <c r="F1613" s="189" t="s">
        <v>261</v>
      </c>
      <c r="G1613" s="260">
        <v>-0.5</v>
      </c>
      <c r="H1613" s="260">
        <v>-0.5</v>
      </c>
      <c r="I1613" s="215" t="s">
        <v>106</v>
      </c>
      <c r="J1613" s="189" t="s">
        <v>164</v>
      </c>
      <c r="K1613" s="188"/>
      <c r="L1613" s="197"/>
      <c r="M1613" s="197"/>
      <c r="N1613" s="197"/>
      <c r="O1613" s="197"/>
    </row>
    <row r="1614" spans="1:15" hidden="1">
      <c r="A1614" s="189" t="s">
        <v>137</v>
      </c>
      <c r="B1614" s="189" t="s">
        <v>138</v>
      </c>
      <c r="C1614" s="189" t="s">
        <v>106</v>
      </c>
      <c r="D1614" s="189" t="s">
        <v>655</v>
      </c>
      <c r="E1614" s="189" t="s">
        <v>1952</v>
      </c>
      <c r="F1614" s="189" t="s">
        <v>261</v>
      </c>
      <c r="G1614" s="260">
        <v>-0.5</v>
      </c>
      <c r="H1614" s="260">
        <v>-0.5</v>
      </c>
      <c r="I1614" s="215" t="s">
        <v>106</v>
      </c>
      <c r="J1614" s="189" t="s">
        <v>164</v>
      </c>
      <c r="K1614" s="188"/>
      <c r="L1614" s="197"/>
      <c r="M1614" s="197"/>
      <c r="N1614" s="197"/>
      <c r="O1614" s="197"/>
    </row>
    <row r="1615" spans="1:15" hidden="1">
      <c r="A1615" s="189" t="s">
        <v>137</v>
      </c>
      <c r="B1615" s="189" t="s">
        <v>138</v>
      </c>
      <c r="C1615" s="189" t="s">
        <v>106</v>
      </c>
      <c r="D1615" s="189" t="s">
        <v>655</v>
      </c>
      <c r="E1615" s="189" t="s">
        <v>1953</v>
      </c>
      <c r="F1615" s="189" t="s">
        <v>261</v>
      </c>
      <c r="G1615" s="260">
        <v>-0.5</v>
      </c>
      <c r="H1615" s="260">
        <v>-0.5</v>
      </c>
      <c r="I1615" s="215" t="s">
        <v>106</v>
      </c>
      <c r="J1615" s="189" t="s">
        <v>164</v>
      </c>
      <c r="K1615" s="188"/>
      <c r="L1615" s="197"/>
      <c r="M1615" s="197"/>
      <c r="N1615" s="197"/>
      <c r="O1615" s="197"/>
    </row>
    <row r="1616" spans="1:15" hidden="1">
      <c r="A1616" s="189" t="s">
        <v>137</v>
      </c>
      <c r="B1616" s="189" t="s">
        <v>138</v>
      </c>
      <c r="C1616" s="189" t="s">
        <v>106</v>
      </c>
      <c r="D1616" s="189" t="s">
        <v>655</v>
      </c>
      <c r="E1616" s="189" t="s">
        <v>1954</v>
      </c>
      <c r="F1616" s="189" t="s">
        <v>261</v>
      </c>
      <c r="G1616" s="260">
        <v>-0.5</v>
      </c>
      <c r="H1616" s="260">
        <v>-0.5</v>
      </c>
      <c r="I1616" s="215" t="s">
        <v>106</v>
      </c>
      <c r="J1616" s="189" t="s">
        <v>164</v>
      </c>
      <c r="K1616" s="188"/>
      <c r="L1616" s="197"/>
      <c r="M1616" s="197"/>
      <c r="N1616" s="197"/>
      <c r="O1616" s="197"/>
    </row>
    <row r="1617" spans="1:15" hidden="1">
      <c r="A1617" s="189" t="s">
        <v>137</v>
      </c>
      <c r="B1617" s="189" t="s">
        <v>138</v>
      </c>
      <c r="C1617" s="189" t="s">
        <v>106</v>
      </c>
      <c r="D1617" s="189" t="s">
        <v>655</v>
      </c>
      <c r="E1617" s="189" t="s">
        <v>1955</v>
      </c>
      <c r="F1617" s="189" t="s">
        <v>261</v>
      </c>
      <c r="G1617" s="260">
        <v>-0.5</v>
      </c>
      <c r="H1617" s="260">
        <v>-0.5</v>
      </c>
      <c r="I1617" s="215" t="s">
        <v>106</v>
      </c>
      <c r="J1617" s="189" t="s">
        <v>164</v>
      </c>
      <c r="K1617" s="188"/>
      <c r="L1617" s="197"/>
      <c r="M1617" s="197"/>
      <c r="N1617" s="197"/>
      <c r="O1617" s="197"/>
    </row>
    <row r="1618" spans="1:15" hidden="1">
      <c r="A1618" s="189" t="s">
        <v>137</v>
      </c>
      <c r="B1618" s="189" t="s">
        <v>138</v>
      </c>
      <c r="C1618" s="189" t="s">
        <v>106</v>
      </c>
      <c r="D1618" s="189" t="s">
        <v>655</v>
      </c>
      <c r="E1618" s="189" t="s">
        <v>1956</v>
      </c>
      <c r="F1618" s="189" t="s">
        <v>261</v>
      </c>
      <c r="G1618" s="260">
        <v>-0.5</v>
      </c>
      <c r="H1618" s="260">
        <v>-0.5</v>
      </c>
      <c r="I1618" s="215" t="s">
        <v>106</v>
      </c>
      <c r="J1618" s="189" t="s">
        <v>164</v>
      </c>
      <c r="K1618" s="188"/>
      <c r="L1618" s="197"/>
      <c r="M1618" s="197"/>
      <c r="N1618" s="197"/>
      <c r="O1618" s="197"/>
    </row>
    <row r="1619" spans="1:15" hidden="1">
      <c r="A1619" s="189" t="s">
        <v>137</v>
      </c>
      <c r="B1619" s="189" t="s">
        <v>138</v>
      </c>
      <c r="C1619" s="189" t="s">
        <v>106</v>
      </c>
      <c r="D1619" s="189" t="s">
        <v>655</v>
      </c>
      <c r="E1619" s="189" t="s">
        <v>1957</v>
      </c>
      <c r="F1619" s="189" t="s">
        <v>261</v>
      </c>
      <c r="G1619" s="260">
        <v>-0.5</v>
      </c>
      <c r="H1619" s="260">
        <v>-0.5</v>
      </c>
      <c r="I1619" s="215" t="s">
        <v>106</v>
      </c>
      <c r="J1619" s="189" t="s">
        <v>164</v>
      </c>
      <c r="K1619" s="188"/>
      <c r="L1619" s="197"/>
      <c r="M1619" s="197"/>
      <c r="N1619" s="197"/>
      <c r="O1619" s="197"/>
    </row>
    <row r="1620" spans="1:15" hidden="1">
      <c r="A1620" s="189" t="s">
        <v>137</v>
      </c>
      <c r="B1620" s="189" t="s">
        <v>138</v>
      </c>
      <c r="C1620" s="189" t="s">
        <v>106</v>
      </c>
      <c r="D1620" s="189" t="s">
        <v>655</v>
      </c>
      <c r="E1620" s="189" t="s">
        <v>1958</v>
      </c>
      <c r="F1620" s="189" t="s">
        <v>261</v>
      </c>
      <c r="G1620" s="260">
        <v>-0.5</v>
      </c>
      <c r="H1620" s="260">
        <v>-0.5</v>
      </c>
      <c r="I1620" s="215" t="s">
        <v>106</v>
      </c>
      <c r="J1620" s="189" t="s">
        <v>164</v>
      </c>
      <c r="K1620" s="188"/>
      <c r="L1620" s="197"/>
      <c r="M1620" s="197"/>
      <c r="N1620" s="197"/>
      <c r="O1620" s="197"/>
    </row>
    <row r="1621" spans="1:15" hidden="1">
      <c r="A1621" s="189" t="s">
        <v>137</v>
      </c>
      <c r="B1621" s="189" t="s">
        <v>138</v>
      </c>
      <c r="C1621" s="189" t="s">
        <v>106</v>
      </c>
      <c r="D1621" s="189" t="s">
        <v>655</v>
      </c>
      <c r="E1621" s="189" t="s">
        <v>1959</v>
      </c>
      <c r="F1621" s="189" t="s">
        <v>261</v>
      </c>
      <c r="G1621" s="260">
        <v>-0.5</v>
      </c>
      <c r="H1621" s="260">
        <v>-0.5</v>
      </c>
      <c r="I1621" s="215" t="s">
        <v>106</v>
      </c>
      <c r="J1621" s="189" t="s">
        <v>164</v>
      </c>
      <c r="K1621" s="188"/>
      <c r="L1621" s="197"/>
      <c r="M1621" s="197"/>
      <c r="N1621" s="197"/>
      <c r="O1621" s="197"/>
    </row>
    <row r="1622" spans="1:15" hidden="1">
      <c r="A1622" s="189" t="s">
        <v>137</v>
      </c>
      <c r="B1622" s="189" t="s">
        <v>138</v>
      </c>
      <c r="C1622" s="189" t="s">
        <v>106</v>
      </c>
      <c r="D1622" s="189" t="s">
        <v>655</v>
      </c>
      <c r="E1622" s="189" t="s">
        <v>1960</v>
      </c>
      <c r="F1622" s="189" t="s">
        <v>261</v>
      </c>
      <c r="G1622" s="260">
        <v>-0.5</v>
      </c>
      <c r="H1622" s="260">
        <v>-0.5</v>
      </c>
      <c r="I1622" s="215" t="s">
        <v>106</v>
      </c>
      <c r="J1622" s="189" t="s">
        <v>164</v>
      </c>
      <c r="K1622" s="188"/>
      <c r="L1622" s="197"/>
      <c r="M1622" s="197"/>
      <c r="N1622" s="197"/>
      <c r="O1622" s="197"/>
    </row>
    <row r="1623" spans="1:15" hidden="1">
      <c r="A1623" s="189" t="s">
        <v>137</v>
      </c>
      <c r="B1623" s="189" t="s">
        <v>138</v>
      </c>
      <c r="C1623" s="189" t="s">
        <v>106</v>
      </c>
      <c r="D1623" s="189" t="s">
        <v>655</v>
      </c>
      <c r="E1623" s="189" t="s">
        <v>1961</v>
      </c>
      <c r="F1623" s="189" t="s">
        <v>261</v>
      </c>
      <c r="G1623" s="260">
        <v>-0.5</v>
      </c>
      <c r="H1623" s="260">
        <v>-0.5</v>
      </c>
      <c r="I1623" s="215" t="s">
        <v>106</v>
      </c>
      <c r="J1623" s="189" t="s">
        <v>164</v>
      </c>
      <c r="K1623" s="188"/>
      <c r="L1623" s="197"/>
      <c r="M1623" s="197"/>
      <c r="N1623" s="197"/>
      <c r="O1623" s="197"/>
    </row>
    <row r="1624" spans="1:15" hidden="1">
      <c r="A1624" s="189" t="s">
        <v>137</v>
      </c>
      <c r="B1624" s="189" t="s">
        <v>138</v>
      </c>
      <c r="C1624" s="189" t="s">
        <v>106</v>
      </c>
      <c r="D1624" s="189" t="s">
        <v>655</v>
      </c>
      <c r="E1624" s="189" t="s">
        <v>1962</v>
      </c>
      <c r="F1624" s="189" t="s">
        <v>261</v>
      </c>
      <c r="G1624" s="260">
        <v>-0.5</v>
      </c>
      <c r="H1624" s="260">
        <v>-0.5</v>
      </c>
      <c r="I1624" s="215" t="s">
        <v>106</v>
      </c>
      <c r="J1624" s="189" t="s">
        <v>164</v>
      </c>
      <c r="K1624" s="188"/>
      <c r="L1624" s="197"/>
      <c r="M1624" s="197"/>
      <c r="N1624" s="197"/>
      <c r="O1624" s="197"/>
    </row>
    <row r="1625" spans="1:15" hidden="1">
      <c r="A1625" s="189" t="s">
        <v>137</v>
      </c>
      <c r="B1625" s="189" t="s">
        <v>138</v>
      </c>
      <c r="C1625" s="189" t="s">
        <v>106</v>
      </c>
      <c r="D1625" s="189" t="s">
        <v>655</v>
      </c>
      <c r="E1625" s="189" t="s">
        <v>1963</v>
      </c>
      <c r="F1625" s="189" t="s">
        <v>261</v>
      </c>
      <c r="G1625" s="260">
        <v>-0.5</v>
      </c>
      <c r="H1625" s="260">
        <v>-0.5</v>
      </c>
      <c r="I1625" s="215" t="s">
        <v>106</v>
      </c>
      <c r="J1625" s="189" t="s">
        <v>164</v>
      </c>
      <c r="K1625" s="188"/>
      <c r="L1625" s="197"/>
      <c r="M1625" s="197"/>
      <c r="N1625" s="197"/>
      <c r="O1625" s="197"/>
    </row>
    <row r="1626" spans="1:15" hidden="1">
      <c r="A1626" s="189" t="s">
        <v>137</v>
      </c>
      <c r="B1626" s="189" t="s">
        <v>138</v>
      </c>
      <c r="C1626" s="189" t="s">
        <v>106</v>
      </c>
      <c r="D1626" s="189" t="s">
        <v>655</v>
      </c>
      <c r="E1626" s="189" t="s">
        <v>1964</v>
      </c>
      <c r="F1626" s="189" t="s">
        <v>261</v>
      </c>
      <c r="G1626" s="260">
        <v>-0.5</v>
      </c>
      <c r="H1626" s="260">
        <v>-0.5</v>
      </c>
      <c r="I1626" s="215" t="s">
        <v>106</v>
      </c>
      <c r="J1626" s="189" t="s">
        <v>164</v>
      </c>
      <c r="K1626" s="188"/>
      <c r="L1626" s="197"/>
      <c r="M1626" s="197"/>
      <c r="N1626" s="197"/>
      <c r="O1626" s="197"/>
    </row>
    <row r="1627" spans="1:15" hidden="1">
      <c r="A1627" s="189" t="s">
        <v>137</v>
      </c>
      <c r="B1627" s="189" t="s">
        <v>138</v>
      </c>
      <c r="C1627" s="189" t="s">
        <v>106</v>
      </c>
      <c r="D1627" s="189" t="s">
        <v>655</v>
      </c>
      <c r="E1627" s="189" t="s">
        <v>1965</v>
      </c>
      <c r="F1627" s="189" t="s">
        <v>261</v>
      </c>
      <c r="G1627" s="260">
        <v>-0.5</v>
      </c>
      <c r="H1627" s="260">
        <v>-0.5</v>
      </c>
      <c r="I1627" s="215" t="s">
        <v>106</v>
      </c>
      <c r="J1627" s="189" t="s">
        <v>164</v>
      </c>
      <c r="K1627" s="188"/>
      <c r="L1627" s="197"/>
      <c r="M1627" s="197"/>
      <c r="N1627" s="197"/>
      <c r="O1627" s="197"/>
    </row>
    <row r="1628" spans="1:15" hidden="1">
      <c r="A1628" s="189" t="s">
        <v>137</v>
      </c>
      <c r="B1628" s="189" t="s">
        <v>138</v>
      </c>
      <c r="C1628" s="189" t="s">
        <v>106</v>
      </c>
      <c r="D1628" s="189" t="s">
        <v>655</v>
      </c>
      <c r="E1628" s="189" t="s">
        <v>1966</v>
      </c>
      <c r="F1628" s="189" t="s">
        <v>261</v>
      </c>
      <c r="G1628" s="260">
        <v>-0.5</v>
      </c>
      <c r="H1628" s="260">
        <v>-0.5</v>
      </c>
      <c r="I1628" s="215" t="s">
        <v>106</v>
      </c>
      <c r="J1628" s="189" t="s">
        <v>164</v>
      </c>
      <c r="K1628" s="188"/>
      <c r="L1628" s="197"/>
      <c r="M1628" s="197"/>
      <c r="N1628" s="197"/>
      <c r="O1628" s="197"/>
    </row>
    <row r="1629" spans="1:15" hidden="1">
      <c r="A1629" s="189" t="s">
        <v>137</v>
      </c>
      <c r="B1629" s="189" t="s">
        <v>138</v>
      </c>
      <c r="C1629" s="189" t="s">
        <v>106</v>
      </c>
      <c r="D1629" s="189" t="s">
        <v>655</v>
      </c>
      <c r="E1629" s="189" t="s">
        <v>1967</v>
      </c>
      <c r="F1629" s="189" t="s">
        <v>261</v>
      </c>
      <c r="G1629" s="260">
        <v>-0.5</v>
      </c>
      <c r="H1629" s="260">
        <v>-0.5</v>
      </c>
      <c r="I1629" s="215" t="s">
        <v>106</v>
      </c>
      <c r="J1629" s="189" t="s">
        <v>164</v>
      </c>
      <c r="K1629" s="188"/>
      <c r="L1629" s="197"/>
      <c r="M1629" s="197"/>
      <c r="N1629" s="197"/>
      <c r="O1629" s="197"/>
    </row>
    <row r="1630" spans="1:15" hidden="1">
      <c r="A1630" s="189" t="s">
        <v>137</v>
      </c>
      <c r="B1630" s="189" t="s">
        <v>138</v>
      </c>
      <c r="C1630" s="189" t="s">
        <v>106</v>
      </c>
      <c r="D1630" s="189" t="s">
        <v>655</v>
      </c>
      <c r="E1630" s="189" t="s">
        <v>1968</v>
      </c>
      <c r="F1630" s="189" t="s">
        <v>261</v>
      </c>
      <c r="G1630" s="260">
        <v>-0.5</v>
      </c>
      <c r="H1630" s="260">
        <v>-0.5</v>
      </c>
      <c r="I1630" s="215" t="s">
        <v>106</v>
      </c>
      <c r="J1630" s="189" t="s">
        <v>164</v>
      </c>
      <c r="K1630" s="188"/>
      <c r="L1630" s="197"/>
      <c r="M1630" s="197"/>
      <c r="N1630" s="197"/>
      <c r="O1630" s="197"/>
    </row>
    <row r="1631" spans="1:15" hidden="1">
      <c r="A1631" s="189" t="s">
        <v>137</v>
      </c>
      <c r="B1631" s="189" t="s">
        <v>138</v>
      </c>
      <c r="C1631" s="189" t="s">
        <v>106</v>
      </c>
      <c r="D1631" s="189" t="s">
        <v>655</v>
      </c>
      <c r="E1631" s="189" t="s">
        <v>1969</v>
      </c>
      <c r="F1631" s="189" t="s">
        <v>261</v>
      </c>
      <c r="G1631" s="260">
        <v>-0.5</v>
      </c>
      <c r="H1631" s="260">
        <v>-0.5</v>
      </c>
      <c r="I1631" s="215" t="s">
        <v>106</v>
      </c>
      <c r="J1631" s="189" t="s">
        <v>164</v>
      </c>
      <c r="K1631" s="188"/>
      <c r="L1631" s="197"/>
      <c r="M1631" s="197"/>
      <c r="N1631" s="197"/>
      <c r="O1631" s="197"/>
    </row>
    <row r="1632" spans="1:15" hidden="1">
      <c r="A1632" s="189" t="s">
        <v>137</v>
      </c>
      <c r="B1632" s="189" t="s">
        <v>138</v>
      </c>
      <c r="C1632" s="189" t="s">
        <v>106</v>
      </c>
      <c r="D1632" s="189" t="s">
        <v>655</v>
      </c>
      <c r="E1632" s="189" t="s">
        <v>1970</v>
      </c>
      <c r="F1632" s="189" t="s">
        <v>261</v>
      </c>
      <c r="G1632" s="260">
        <v>-0.5</v>
      </c>
      <c r="H1632" s="260">
        <v>-0.5</v>
      </c>
      <c r="I1632" s="215" t="s">
        <v>106</v>
      </c>
      <c r="J1632" s="189" t="s">
        <v>164</v>
      </c>
      <c r="K1632" s="188"/>
      <c r="L1632" s="197"/>
      <c r="M1632" s="197"/>
      <c r="N1632" s="197"/>
      <c r="O1632" s="197"/>
    </row>
    <row r="1633" spans="1:15" hidden="1">
      <c r="A1633" s="189" t="s">
        <v>137</v>
      </c>
      <c r="B1633" s="189" t="s">
        <v>138</v>
      </c>
      <c r="C1633" s="189" t="s">
        <v>106</v>
      </c>
      <c r="D1633" s="189" t="s">
        <v>655</v>
      </c>
      <c r="E1633" s="189" t="s">
        <v>1971</v>
      </c>
      <c r="F1633" s="189" t="s">
        <v>261</v>
      </c>
      <c r="G1633" s="260">
        <v>-0.5</v>
      </c>
      <c r="H1633" s="260">
        <v>-0.5</v>
      </c>
      <c r="I1633" s="215" t="s">
        <v>106</v>
      </c>
      <c r="J1633" s="189" t="s">
        <v>164</v>
      </c>
      <c r="K1633" s="188"/>
      <c r="L1633" s="197"/>
      <c r="M1633" s="197"/>
      <c r="N1633" s="197"/>
      <c r="O1633" s="197"/>
    </row>
    <row r="1634" spans="1:15" hidden="1">
      <c r="A1634" s="189" t="s">
        <v>137</v>
      </c>
      <c r="B1634" s="189" t="s">
        <v>138</v>
      </c>
      <c r="C1634" s="189" t="s">
        <v>106</v>
      </c>
      <c r="D1634" s="189" t="s">
        <v>655</v>
      </c>
      <c r="E1634" s="189" t="s">
        <v>1972</v>
      </c>
      <c r="F1634" s="189" t="s">
        <v>261</v>
      </c>
      <c r="G1634" s="260">
        <v>-0.5</v>
      </c>
      <c r="H1634" s="260">
        <v>-0.5</v>
      </c>
      <c r="I1634" s="215" t="s">
        <v>106</v>
      </c>
      <c r="J1634" s="189" t="s">
        <v>164</v>
      </c>
      <c r="K1634" s="188"/>
      <c r="L1634" s="197"/>
      <c r="M1634" s="197"/>
      <c r="N1634" s="197"/>
      <c r="O1634" s="197"/>
    </row>
    <row r="1635" spans="1:15" hidden="1">
      <c r="A1635" s="189" t="s">
        <v>137</v>
      </c>
      <c r="B1635" s="189" t="s">
        <v>138</v>
      </c>
      <c r="C1635" s="189" t="s">
        <v>106</v>
      </c>
      <c r="D1635" s="189" t="s">
        <v>655</v>
      </c>
      <c r="E1635" s="189" t="s">
        <v>1973</v>
      </c>
      <c r="F1635" s="189" t="s">
        <v>261</v>
      </c>
      <c r="G1635" s="260">
        <v>-0.5</v>
      </c>
      <c r="H1635" s="260">
        <v>-0.5</v>
      </c>
      <c r="I1635" s="215" t="s">
        <v>106</v>
      </c>
      <c r="J1635" s="189" t="s">
        <v>164</v>
      </c>
      <c r="K1635" s="188"/>
      <c r="L1635" s="197"/>
      <c r="M1635" s="197"/>
      <c r="N1635" s="197"/>
      <c r="O1635" s="197"/>
    </row>
    <row r="1636" spans="1:15" hidden="1">
      <c r="A1636" s="189" t="s">
        <v>137</v>
      </c>
      <c r="B1636" s="189" t="s">
        <v>138</v>
      </c>
      <c r="C1636" s="189" t="s">
        <v>106</v>
      </c>
      <c r="D1636" s="189" t="s">
        <v>655</v>
      </c>
      <c r="E1636" s="189" t="s">
        <v>1974</v>
      </c>
      <c r="F1636" s="189" t="s">
        <v>261</v>
      </c>
      <c r="G1636" s="260">
        <v>-0.5</v>
      </c>
      <c r="H1636" s="260">
        <v>-0.5</v>
      </c>
      <c r="I1636" s="215" t="s">
        <v>106</v>
      </c>
      <c r="J1636" s="189" t="s">
        <v>164</v>
      </c>
      <c r="K1636" s="188"/>
      <c r="L1636" s="197"/>
      <c r="M1636" s="197"/>
      <c r="N1636" s="197"/>
      <c r="O1636" s="197"/>
    </row>
    <row r="1637" spans="1:15" hidden="1">
      <c r="A1637" s="189" t="s">
        <v>137</v>
      </c>
      <c r="B1637" s="189" t="s">
        <v>138</v>
      </c>
      <c r="C1637" s="189" t="s">
        <v>106</v>
      </c>
      <c r="D1637" s="189" t="s">
        <v>655</v>
      </c>
      <c r="E1637" s="189" t="s">
        <v>1975</v>
      </c>
      <c r="F1637" s="189" t="s">
        <v>261</v>
      </c>
      <c r="G1637" s="260">
        <v>-0.5</v>
      </c>
      <c r="H1637" s="260">
        <v>-0.5</v>
      </c>
      <c r="I1637" s="215" t="s">
        <v>106</v>
      </c>
      <c r="J1637" s="189" t="s">
        <v>164</v>
      </c>
      <c r="K1637" s="188"/>
      <c r="L1637" s="197"/>
      <c r="M1637" s="197"/>
      <c r="N1637" s="197"/>
      <c r="O1637" s="197"/>
    </row>
    <row r="1638" spans="1:15" hidden="1">
      <c r="A1638" s="189" t="s">
        <v>137</v>
      </c>
      <c r="B1638" s="189" t="s">
        <v>138</v>
      </c>
      <c r="C1638" s="189" t="s">
        <v>106</v>
      </c>
      <c r="D1638" s="189" t="s">
        <v>655</v>
      </c>
      <c r="E1638" s="189" t="s">
        <v>1976</v>
      </c>
      <c r="F1638" s="189" t="s">
        <v>261</v>
      </c>
      <c r="G1638" s="260">
        <v>-0.5</v>
      </c>
      <c r="H1638" s="260">
        <v>-0.5</v>
      </c>
      <c r="I1638" s="215" t="s">
        <v>106</v>
      </c>
      <c r="J1638" s="189" t="s">
        <v>164</v>
      </c>
      <c r="K1638" s="188"/>
      <c r="L1638" s="197"/>
      <c r="M1638" s="197"/>
      <c r="N1638" s="197"/>
      <c r="O1638" s="197"/>
    </row>
    <row r="1639" spans="1:15" hidden="1">
      <c r="A1639" s="189" t="s">
        <v>137</v>
      </c>
      <c r="B1639" s="189" t="s">
        <v>138</v>
      </c>
      <c r="C1639" s="189" t="s">
        <v>106</v>
      </c>
      <c r="D1639" s="189" t="s">
        <v>655</v>
      </c>
      <c r="E1639" s="189" t="s">
        <v>1977</v>
      </c>
      <c r="F1639" s="189" t="s">
        <v>261</v>
      </c>
      <c r="G1639" s="260">
        <v>-0.5</v>
      </c>
      <c r="H1639" s="260">
        <v>-0.5</v>
      </c>
      <c r="I1639" s="215" t="s">
        <v>106</v>
      </c>
      <c r="J1639" s="189" t="s">
        <v>164</v>
      </c>
      <c r="K1639" s="188"/>
      <c r="L1639" s="197"/>
      <c r="M1639" s="197"/>
      <c r="N1639" s="197"/>
      <c r="O1639" s="197"/>
    </row>
    <row r="1640" spans="1:15" hidden="1">
      <c r="A1640" s="189" t="s">
        <v>137</v>
      </c>
      <c r="B1640" s="189" t="s">
        <v>138</v>
      </c>
      <c r="C1640" s="189" t="s">
        <v>106</v>
      </c>
      <c r="D1640" s="189" t="s">
        <v>655</v>
      </c>
      <c r="E1640" s="189" t="s">
        <v>1978</v>
      </c>
      <c r="F1640" s="189" t="s">
        <v>261</v>
      </c>
      <c r="G1640" s="260">
        <v>-0.5</v>
      </c>
      <c r="H1640" s="260">
        <v>-0.5</v>
      </c>
      <c r="I1640" s="215" t="s">
        <v>106</v>
      </c>
      <c r="J1640" s="189" t="s">
        <v>164</v>
      </c>
      <c r="K1640" s="188"/>
      <c r="L1640" s="197"/>
      <c r="M1640" s="197"/>
      <c r="N1640" s="197"/>
      <c r="O1640" s="197"/>
    </row>
    <row r="1641" spans="1:15" hidden="1">
      <c r="A1641" s="189" t="s">
        <v>137</v>
      </c>
      <c r="B1641" s="189" t="s">
        <v>138</v>
      </c>
      <c r="C1641" s="189" t="s">
        <v>106</v>
      </c>
      <c r="D1641" s="189" t="s">
        <v>655</v>
      </c>
      <c r="E1641" s="189" t="s">
        <v>1979</v>
      </c>
      <c r="F1641" s="189" t="s">
        <v>261</v>
      </c>
      <c r="G1641" s="260">
        <v>-0.5</v>
      </c>
      <c r="H1641" s="260">
        <v>-0.5</v>
      </c>
      <c r="I1641" s="215" t="s">
        <v>106</v>
      </c>
      <c r="J1641" s="189" t="s">
        <v>164</v>
      </c>
      <c r="K1641" s="188"/>
      <c r="L1641" s="197"/>
      <c r="M1641" s="197"/>
      <c r="N1641" s="197"/>
      <c r="O1641" s="197"/>
    </row>
    <row r="1642" spans="1:15" hidden="1">
      <c r="A1642" s="189" t="s">
        <v>137</v>
      </c>
      <c r="B1642" s="189" t="s">
        <v>138</v>
      </c>
      <c r="C1642" s="189" t="s">
        <v>106</v>
      </c>
      <c r="D1642" s="189" t="s">
        <v>655</v>
      </c>
      <c r="E1642" s="189" t="s">
        <v>1980</v>
      </c>
      <c r="F1642" s="189" t="s">
        <v>261</v>
      </c>
      <c r="G1642" s="260">
        <v>-0.5</v>
      </c>
      <c r="H1642" s="260">
        <v>-0.5</v>
      </c>
      <c r="I1642" s="215" t="s">
        <v>106</v>
      </c>
      <c r="J1642" s="189" t="s">
        <v>164</v>
      </c>
      <c r="K1642" s="188"/>
      <c r="L1642" s="197"/>
      <c r="M1642" s="197"/>
      <c r="N1642" s="197"/>
      <c r="O1642" s="197"/>
    </row>
    <row r="1643" spans="1:15" hidden="1">
      <c r="A1643" s="189" t="s">
        <v>137</v>
      </c>
      <c r="B1643" s="189" t="s">
        <v>138</v>
      </c>
      <c r="C1643" s="189" t="s">
        <v>106</v>
      </c>
      <c r="D1643" s="189" t="s">
        <v>655</v>
      </c>
      <c r="E1643" s="189" t="s">
        <v>1981</v>
      </c>
      <c r="F1643" s="189" t="s">
        <v>261</v>
      </c>
      <c r="G1643" s="260">
        <v>-0.5</v>
      </c>
      <c r="H1643" s="260">
        <v>-0.5</v>
      </c>
      <c r="I1643" s="215" t="s">
        <v>106</v>
      </c>
      <c r="J1643" s="189" t="s">
        <v>164</v>
      </c>
      <c r="K1643" s="188"/>
      <c r="L1643" s="197"/>
      <c r="M1643" s="197"/>
      <c r="N1643" s="197"/>
      <c r="O1643" s="197"/>
    </row>
    <row r="1644" spans="1:15" hidden="1">
      <c r="A1644" s="189" t="s">
        <v>137</v>
      </c>
      <c r="B1644" s="189" t="s">
        <v>138</v>
      </c>
      <c r="C1644" s="189" t="s">
        <v>106</v>
      </c>
      <c r="D1644" s="189" t="s">
        <v>655</v>
      </c>
      <c r="E1644" s="189" t="s">
        <v>1982</v>
      </c>
      <c r="F1644" s="189" t="s">
        <v>261</v>
      </c>
      <c r="G1644" s="260">
        <v>-0.5</v>
      </c>
      <c r="H1644" s="260">
        <v>-0.5</v>
      </c>
      <c r="I1644" s="215" t="s">
        <v>106</v>
      </c>
      <c r="J1644" s="189" t="s">
        <v>164</v>
      </c>
      <c r="K1644" s="188"/>
      <c r="L1644" s="197"/>
      <c r="M1644" s="197"/>
      <c r="N1644" s="197"/>
      <c r="O1644" s="197"/>
    </row>
    <row r="1645" spans="1:15" hidden="1">
      <c r="A1645" s="189" t="s">
        <v>137</v>
      </c>
      <c r="B1645" s="189" t="s">
        <v>138</v>
      </c>
      <c r="C1645" s="189" t="s">
        <v>106</v>
      </c>
      <c r="D1645" s="189" t="s">
        <v>655</v>
      </c>
      <c r="E1645" s="189" t="s">
        <v>1983</v>
      </c>
      <c r="F1645" s="189" t="s">
        <v>261</v>
      </c>
      <c r="G1645" s="260">
        <v>-0.5</v>
      </c>
      <c r="H1645" s="260">
        <v>-0.5</v>
      </c>
      <c r="I1645" s="215" t="s">
        <v>106</v>
      </c>
      <c r="J1645" s="189" t="s">
        <v>164</v>
      </c>
      <c r="K1645" s="188"/>
      <c r="L1645" s="197"/>
      <c r="M1645" s="197"/>
      <c r="N1645" s="197"/>
      <c r="O1645" s="197"/>
    </row>
    <row r="1646" spans="1:15" hidden="1">
      <c r="A1646" s="189" t="s">
        <v>137</v>
      </c>
      <c r="B1646" s="189" t="s">
        <v>138</v>
      </c>
      <c r="C1646" s="189" t="s">
        <v>106</v>
      </c>
      <c r="D1646" s="189" t="s">
        <v>655</v>
      </c>
      <c r="E1646" s="189" t="s">
        <v>1984</v>
      </c>
      <c r="F1646" s="189" t="s">
        <v>261</v>
      </c>
      <c r="G1646" s="260">
        <v>-0.5</v>
      </c>
      <c r="H1646" s="260">
        <v>-0.5</v>
      </c>
      <c r="I1646" s="215" t="s">
        <v>106</v>
      </c>
      <c r="J1646" s="189" t="s">
        <v>164</v>
      </c>
      <c r="K1646" s="188"/>
      <c r="L1646" s="197"/>
      <c r="M1646" s="197"/>
      <c r="N1646" s="197"/>
      <c r="O1646" s="197"/>
    </row>
    <row r="1647" spans="1:15" hidden="1">
      <c r="A1647" s="189" t="s">
        <v>137</v>
      </c>
      <c r="B1647" s="189" t="s">
        <v>138</v>
      </c>
      <c r="C1647" s="189" t="s">
        <v>106</v>
      </c>
      <c r="D1647" s="189" t="s">
        <v>655</v>
      </c>
      <c r="E1647" s="189" t="s">
        <v>1985</v>
      </c>
      <c r="F1647" s="189" t="s">
        <v>261</v>
      </c>
      <c r="G1647" s="260">
        <v>-0.5</v>
      </c>
      <c r="H1647" s="260">
        <v>-0.5</v>
      </c>
      <c r="I1647" s="215" t="s">
        <v>106</v>
      </c>
      <c r="J1647" s="189" t="s">
        <v>164</v>
      </c>
      <c r="K1647" s="188"/>
      <c r="L1647" s="197"/>
      <c r="M1647" s="197"/>
      <c r="N1647" s="197"/>
      <c r="O1647" s="197"/>
    </row>
    <row r="1648" spans="1:15" hidden="1">
      <c r="A1648" s="189" t="s">
        <v>137</v>
      </c>
      <c r="B1648" s="189" t="s">
        <v>138</v>
      </c>
      <c r="C1648" s="189" t="s">
        <v>106</v>
      </c>
      <c r="D1648" s="189" t="s">
        <v>655</v>
      </c>
      <c r="E1648" s="189" t="s">
        <v>1986</v>
      </c>
      <c r="F1648" s="189" t="s">
        <v>261</v>
      </c>
      <c r="G1648" s="260">
        <v>-0.5</v>
      </c>
      <c r="H1648" s="260">
        <v>-0.5</v>
      </c>
      <c r="I1648" s="215" t="s">
        <v>106</v>
      </c>
      <c r="J1648" s="189" t="s">
        <v>164</v>
      </c>
      <c r="K1648" s="188"/>
      <c r="L1648" s="197"/>
      <c r="M1648" s="197"/>
      <c r="N1648" s="197"/>
      <c r="O1648" s="197"/>
    </row>
    <row r="1649" spans="1:15" hidden="1">
      <c r="A1649" s="189" t="s">
        <v>137</v>
      </c>
      <c r="B1649" s="189" t="s">
        <v>138</v>
      </c>
      <c r="C1649" s="189" t="s">
        <v>106</v>
      </c>
      <c r="D1649" s="189" t="s">
        <v>655</v>
      </c>
      <c r="E1649" s="189" t="s">
        <v>1987</v>
      </c>
      <c r="F1649" s="189" t="s">
        <v>261</v>
      </c>
      <c r="G1649" s="260">
        <v>-0.5</v>
      </c>
      <c r="H1649" s="260">
        <v>-0.5</v>
      </c>
      <c r="I1649" s="215" t="s">
        <v>106</v>
      </c>
      <c r="J1649" s="189" t="s">
        <v>164</v>
      </c>
      <c r="K1649" s="188"/>
      <c r="L1649" s="197"/>
      <c r="M1649" s="197"/>
      <c r="N1649" s="197"/>
      <c r="O1649" s="197"/>
    </row>
    <row r="1650" spans="1:15" hidden="1">
      <c r="A1650" s="189" t="s">
        <v>137</v>
      </c>
      <c r="B1650" s="189" t="s">
        <v>138</v>
      </c>
      <c r="C1650" s="189" t="s">
        <v>106</v>
      </c>
      <c r="D1650" s="189" t="s">
        <v>655</v>
      </c>
      <c r="E1650" s="189" t="s">
        <v>1988</v>
      </c>
      <c r="F1650" s="189" t="s">
        <v>261</v>
      </c>
      <c r="G1650" s="260">
        <v>-0.5</v>
      </c>
      <c r="H1650" s="260">
        <v>-0.5</v>
      </c>
      <c r="I1650" s="215" t="s">
        <v>106</v>
      </c>
      <c r="J1650" s="189" t="s">
        <v>164</v>
      </c>
      <c r="K1650" s="188"/>
      <c r="L1650" s="197"/>
      <c r="M1650" s="197"/>
      <c r="N1650" s="197"/>
      <c r="O1650" s="197"/>
    </row>
    <row r="1651" spans="1:15" hidden="1">
      <c r="A1651" s="189" t="s">
        <v>137</v>
      </c>
      <c r="B1651" s="189" t="s">
        <v>138</v>
      </c>
      <c r="C1651" s="189" t="s">
        <v>106</v>
      </c>
      <c r="D1651" s="189" t="s">
        <v>655</v>
      </c>
      <c r="E1651" s="189" t="s">
        <v>1989</v>
      </c>
      <c r="F1651" s="189" t="s">
        <v>261</v>
      </c>
      <c r="G1651" s="260">
        <v>-0.5</v>
      </c>
      <c r="H1651" s="260">
        <v>-0.5</v>
      </c>
      <c r="I1651" s="215" t="s">
        <v>106</v>
      </c>
      <c r="J1651" s="189" t="s">
        <v>164</v>
      </c>
      <c r="K1651" s="188"/>
      <c r="L1651" s="197"/>
      <c r="M1651" s="197"/>
      <c r="N1651" s="197"/>
      <c r="O1651" s="197"/>
    </row>
    <row r="1652" spans="1:15" hidden="1">
      <c r="A1652" s="189" t="s">
        <v>137</v>
      </c>
      <c r="B1652" s="189" t="s">
        <v>138</v>
      </c>
      <c r="C1652" s="189" t="s">
        <v>106</v>
      </c>
      <c r="D1652" s="189" t="s">
        <v>655</v>
      </c>
      <c r="E1652" s="189" t="s">
        <v>1990</v>
      </c>
      <c r="F1652" s="189" t="s">
        <v>261</v>
      </c>
      <c r="G1652" s="260">
        <v>-0.5</v>
      </c>
      <c r="H1652" s="260">
        <v>-0.5</v>
      </c>
      <c r="I1652" s="215" t="s">
        <v>106</v>
      </c>
      <c r="J1652" s="189" t="s">
        <v>164</v>
      </c>
      <c r="K1652" s="188"/>
      <c r="L1652" s="197"/>
      <c r="M1652" s="197"/>
      <c r="N1652" s="197"/>
      <c r="O1652" s="197"/>
    </row>
    <row r="1653" spans="1:15" hidden="1">
      <c r="A1653" s="189" t="s">
        <v>137</v>
      </c>
      <c r="B1653" s="189" t="s">
        <v>138</v>
      </c>
      <c r="C1653" s="189" t="s">
        <v>106</v>
      </c>
      <c r="D1653" s="189" t="s">
        <v>655</v>
      </c>
      <c r="E1653" s="189" t="s">
        <v>1991</v>
      </c>
      <c r="F1653" s="189" t="s">
        <v>261</v>
      </c>
      <c r="G1653" s="260">
        <v>-0.5</v>
      </c>
      <c r="H1653" s="260">
        <v>-0.5</v>
      </c>
      <c r="I1653" s="215" t="s">
        <v>106</v>
      </c>
      <c r="J1653" s="189" t="s">
        <v>164</v>
      </c>
      <c r="K1653" s="188"/>
      <c r="L1653" s="197"/>
      <c r="M1653" s="197"/>
      <c r="N1653" s="197"/>
      <c r="O1653" s="197"/>
    </row>
    <row r="1654" spans="1:15" hidden="1">
      <c r="A1654" s="189" t="s">
        <v>137</v>
      </c>
      <c r="B1654" s="189" t="s">
        <v>138</v>
      </c>
      <c r="C1654" s="189" t="s">
        <v>106</v>
      </c>
      <c r="D1654" s="189" t="s">
        <v>655</v>
      </c>
      <c r="E1654" s="189" t="s">
        <v>1992</v>
      </c>
      <c r="F1654" s="189" t="s">
        <v>261</v>
      </c>
      <c r="G1654" s="260">
        <v>-0.5</v>
      </c>
      <c r="H1654" s="260">
        <v>-0.5</v>
      </c>
      <c r="I1654" s="215" t="s">
        <v>106</v>
      </c>
      <c r="J1654" s="189" t="s">
        <v>164</v>
      </c>
      <c r="K1654" s="188"/>
      <c r="L1654" s="197"/>
      <c r="M1654" s="197"/>
      <c r="N1654" s="197"/>
      <c r="O1654" s="197"/>
    </row>
    <row r="1655" spans="1:15" hidden="1">
      <c r="A1655" s="189" t="s">
        <v>137</v>
      </c>
      <c r="B1655" s="189" t="s">
        <v>138</v>
      </c>
      <c r="C1655" s="189" t="s">
        <v>106</v>
      </c>
      <c r="D1655" s="189" t="s">
        <v>655</v>
      </c>
      <c r="E1655" s="189" t="s">
        <v>1993</v>
      </c>
      <c r="F1655" s="189" t="s">
        <v>261</v>
      </c>
      <c r="G1655" s="260">
        <v>-0.5</v>
      </c>
      <c r="H1655" s="260">
        <v>-0.5</v>
      </c>
      <c r="I1655" s="215" t="s">
        <v>106</v>
      </c>
      <c r="J1655" s="189" t="s">
        <v>164</v>
      </c>
      <c r="K1655" s="188"/>
      <c r="L1655" s="197"/>
      <c r="M1655" s="197"/>
      <c r="N1655" s="197"/>
      <c r="O1655" s="197"/>
    </row>
    <row r="1656" spans="1:15" hidden="1">
      <c r="A1656" s="189" t="s">
        <v>137</v>
      </c>
      <c r="B1656" s="189" t="s">
        <v>138</v>
      </c>
      <c r="C1656" s="189" t="s">
        <v>106</v>
      </c>
      <c r="D1656" s="189" t="s">
        <v>655</v>
      </c>
      <c r="E1656" s="189" t="s">
        <v>1994</v>
      </c>
      <c r="F1656" s="189" t="s">
        <v>261</v>
      </c>
      <c r="G1656" s="260">
        <v>-0.5</v>
      </c>
      <c r="H1656" s="260">
        <v>-0.5</v>
      </c>
      <c r="I1656" s="215" t="s">
        <v>106</v>
      </c>
      <c r="J1656" s="189" t="s">
        <v>164</v>
      </c>
      <c r="K1656" s="188"/>
      <c r="L1656" s="197"/>
      <c r="M1656" s="197"/>
      <c r="N1656" s="197"/>
      <c r="O1656" s="197"/>
    </row>
    <row r="1657" spans="1:15" hidden="1">
      <c r="A1657" s="189" t="s">
        <v>137</v>
      </c>
      <c r="B1657" s="189" t="s">
        <v>138</v>
      </c>
      <c r="C1657" s="189" t="s">
        <v>106</v>
      </c>
      <c r="D1657" s="189" t="s">
        <v>655</v>
      </c>
      <c r="E1657" s="189" t="s">
        <v>1995</v>
      </c>
      <c r="F1657" s="189" t="s">
        <v>261</v>
      </c>
      <c r="G1657" s="260">
        <v>-0.5</v>
      </c>
      <c r="H1657" s="260">
        <v>-0.5</v>
      </c>
      <c r="I1657" s="215" t="s">
        <v>106</v>
      </c>
      <c r="J1657" s="189" t="s">
        <v>164</v>
      </c>
      <c r="K1657" s="188"/>
      <c r="L1657" s="197"/>
      <c r="M1657" s="197"/>
      <c r="N1657" s="197"/>
      <c r="O1657" s="197"/>
    </row>
    <row r="1658" spans="1:15" hidden="1">
      <c r="A1658" s="189" t="s">
        <v>137</v>
      </c>
      <c r="B1658" s="189" t="s">
        <v>138</v>
      </c>
      <c r="C1658" s="189" t="s">
        <v>106</v>
      </c>
      <c r="D1658" s="189" t="s">
        <v>655</v>
      </c>
      <c r="E1658" s="189" t="s">
        <v>1996</v>
      </c>
      <c r="F1658" s="189" t="s">
        <v>261</v>
      </c>
      <c r="G1658" s="260">
        <v>-0.5</v>
      </c>
      <c r="H1658" s="260">
        <v>-0.5</v>
      </c>
      <c r="I1658" s="215" t="s">
        <v>106</v>
      </c>
      <c r="J1658" s="189" t="s">
        <v>164</v>
      </c>
      <c r="K1658" s="188"/>
      <c r="L1658" s="197"/>
      <c r="M1658" s="197"/>
      <c r="N1658" s="197"/>
      <c r="O1658" s="197"/>
    </row>
    <row r="1659" spans="1:15" hidden="1">
      <c r="A1659" s="189" t="s">
        <v>137</v>
      </c>
      <c r="B1659" s="189" t="s">
        <v>138</v>
      </c>
      <c r="C1659" s="189" t="s">
        <v>106</v>
      </c>
      <c r="D1659" s="189" t="s">
        <v>655</v>
      </c>
      <c r="E1659" s="189" t="s">
        <v>1997</v>
      </c>
      <c r="F1659" s="189" t="s">
        <v>261</v>
      </c>
      <c r="G1659" s="260">
        <v>-0.5</v>
      </c>
      <c r="H1659" s="260">
        <v>-0.5</v>
      </c>
      <c r="I1659" s="215" t="s">
        <v>106</v>
      </c>
      <c r="J1659" s="189" t="s">
        <v>164</v>
      </c>
      <c r="K1659" s="188"/>
      <c r="L1659" s="197"/>
      <c r="M1659" s="197"/>
      <c r="N1659" s="197"/>
      <c r="O1659" s="197"/>
    </row>
    <row r="1660" spans="1:15" hidden="1">
      <c r="A1660" s="189" t="s">
        <v>137</v>
      </c>
      <c r="B1660" s="189" t="s">
        <v>138</v>
      </c>
      <c r="C1660" s="189" t="s">
        <v>106</v>
      </c>
      <c r="D1660" s="189" t="s">
        <v>655</v>
      </c>
      <c r="E1660" s="189" t="s">
        <v>1998</v>
      </c>
      <c r="F1660" s="189" t="s">
        <v>261</v>
      </c>
      <c r="G1660" s="260">
        <v>-0.5</v>
      </c>
      <c r="H1660" s="260">
        <v>-0.5</v>
      </c>
      <c r="I1660" s="215" t="s">
        <v>106</v>
      </c>
      <c r="J1660" s="189" t="s">
        <v>164</v>
      </c>
      <c r="K1660" s="188"/>
      <c r="L1660" s="197"/>
      <c r="M1660" s="197"/>
      <c r="N1660" s="197"/>
      <c r="O1660" s="197"/>
    </row>
    <row r="1661" spans="1:15" hidden="1">
      <c r="A1661" s="189" t="s">
        <v>137</v>
      </c>
      <c r="B1661" s="189" t="s">
        <v>138</v>
      </c>
      <c r="C1661" s="189" t="s">
        <v>106</v>
      </c>
      <c r="D1661" s="189" t="s">
        <v>655</v>
      </c>
      <c r="E1661" s="189" t="s">
        <v>1999</v>
      </c>
      <c r="F1661" s="189" t="s">
        <v>261</v>
      </c>
      <c r="G1661" s="260">
        <v>-0.5</v>
      </c>
      <c r="H1661" s="260">
        <v>-0.5</v>
      </c>
      <c r="I1661" s="215" t="s">
        <v>106</v>
      </c>
      <c r="J1661" s="189" t="s">
        <v>164</v>
      </c>
      <c r="K1661" s="188"/>
      <c r="L1661" s="197"/>
      <c r="M1661" s="197"/>
      <c r="N1661" s="197"/>
      <c r="O1661" s="197"/>
    </row>
    <row r="1662" spans="1:15" hidden="1">
      <c r="A1662" s="189" t="s">
        <v>137</v>
      </c>
      <c r="B1662" s="189" t="s">
        <v>138</v>
      </c>
      <c r="C1662" s="189" t="s">
        <v>106</v>
      </c>
      <c r="D1662" s="189" t="s">
        <v>655</v>
      </c>
      <c r="E1662" s="189" t="s">
        <v>2000</v>
      </c>
      <c r="F1662" s="189" t="s">
        <v>261</v>
      </c>
      <c r="G1662" s="260">
        <v>-0.5</v>
      </c>
      <c r="H1662" s="260">
        <v>-0.5</v>
      </c>
      <c r="I1662" s="215" t="s">
        <v>106</v>
      </c>
      <c r="J1662" s="189" t="s">
        <v>164</v>
      </c>
      <c r="K1662" s="188"/>
      <c r="L1662" s="197"/>
      <c r="M1662" s="197"/>
      <c r="N1662" s="197"/>
      <c r="O1662" s="197"/>
    </row>
    <row r="1663" spans="1:15" hidden="1">
      <c r="A1663" s="189" t="s">
        <v>137</v>
      </c>
      <c r="B1663" s="189" t="s">
        <v>138</v>
      </c>
      <c r="C1663" s="189" t="s">
        <v>106</v>
      </c>
      <c r="D1663" s="189" t="s">
        <v>655</v>
      </c>
      <c r="E1663" s="189" t="s">
        <v>2001</v>
      </c>
      <c r="F1663" s="189" t="s">
        <v>261</v>
      </c>
      <c r="G1663" s="260">
        <v>-0.5</v>
      </c>
      <c r="H1663" s="260">
        <v>-0.5</v>
      </c>
      <c r="I1663" s="215" t="s">
        <v>106</v>
      </c>
      <c r="J1663" s="189" t="s">
        <v>164</v>
      </c>
      <c r="K1663" s="188"/>
      <c r="L1663" s="197"/>
      <c r="M1663" s="197"/>
      <c r="N1663" s="197"/>
      <c r="O1663" s="197"/>
    </row>
    <row r="1664" spans="1:15" hidden="1">
      <c r="A1664" s="189" t="s">
        <v>137</v>
      </c>
      <c r="B1664" s="189" t="s">
        <v>138</v>
      </c>
      <c r="C1664" s="189" t="s">
        <v>106</v>
      </c>
      <c r="D1664" s="189" t="s">
        <v>655</v>
      </c>
      <c r="E1664" s="189" t="s">
        <v>2002</v>
      </c>
      <c r="F1664" s="189" t="s">
        <v>261</v>
      </c>
      <c r="G1664" s="260">
        <v>-0.5</v>
      </c>
      <c r="H1664" s="260">
        <v>-0.5</v>
      </c>
      <c r="I1664" s="215" t="s">
        <v>106</v>
      </c>
      <c r="J1664" s="189" t="s">
        <v>164</v>
      </c>
      <c r="K1664" s="188"/>
      <c r="L1664" s="197"/>
      <c r="M1664" s="197"/>
      <c r="N1664" s="197"/>
      <c r="O1664" s="197"/>
    </row>
    <row r="1665" spans="1:15" hidden="1">
      <c r="A1665" s="189" t="s">
        <v>137</v>
      </c>
      <c r="B1665" s="189" t="s">
        <v>138</v>
      </c>
      <c r="C1665" s="189" t="s">
        <v>106</v>
      </c>
      <c r="D1665" s="189" t="s">
        <v>655</v>
      </c>
      <c r="E1665" s="189" t="s">
        <v>2003</v>
      </c>
      <c r="F1665" s="189" t="s">
        <v>261</v>
      </c>
      <c r="G1665" s="260">
        <v>-0.5</v>
      </c>
      <c r="H1665" s="260">
        <v>-0.5</v>
      </c>
      <c r="I1665" s="215" t="s">
        <v>106</v>
      </c>
      <c r="J1665" s="189" t="s">
        <v>164</v>
      </c>
      <c r="K1665" s="188"/>
      <c r="L1665" s="197"/>
      <c r="M1665" s="197"/>
      <c r="N1665" s="197"/>
      <c r="O1665" s="197"/>
    </row>
    <row r="1666" spans="1:15" hidden="1">
      <c r="A1666" s="189" t="s">
        <v>137</v>
      </c>
      <c r="B1666" s="189" t="s">
        <v>138</v>
      </c>
      <c r="C1666" s="189" t="s">
        <v>106</v>
      </c>
      <c r="D1666" s="189" t="s">
        <v>655</v>
      </c>
      <c r="E1666" s="189" t="s">
        <v>2004</v>
      </c>
      <c r="F1666" s="189" t="s">
        <v>261</v>
      </c>
      <c r="G1666" s="260">
        <v>-0.5</v>
      </c>
      <c r="H1666" s="260">
        <v>-0.5</v>
      </c>
      <c r="I1666" s="215" t="s">
        <v>106</v>
      </c>
      <c r="J1666" s="189" t="s">
        <v>164</v>
      </c>
      <c r="K1666" s="188"/>
      <c r="L1666" s="197"/>
      <c r="M1666" s="197"/>
      <c r="N1666" s="197"/>
      <c r="O1666" s="197"/>
    </row>
    <row r="1667" spans="1:15" hidden="1">
      <c r="A1667" s="189" t="s">
        <v>137</v>
      </c>
      <c r="B1667" s="189" t="s">
        <v>138</v>
      </c>
      <c r="C1667" s="189" t="s">
        <v>106</v>
      </c>
      <c r="D1667" s="189" t="s">
        <v>655</v>
      </c>
      <c r="E1667" s="189" t="s">
        <v>2005</v>
      </c>
      <c r="F1667" s="189" t="s">
        <v>261</v>
      </c>
      <c r="G1667" s="260">
        <v>-0.5</v>
      </c>
      <c r="H1667" s="260">
        <v>-0.5</v>
      </c>
      <c r="I1667" s="215" t="s">
        <v>106</v>
      </c>
      <c r="J1667" s="189" t="s">
        <v>164</v>
      </c>
      <c r="K1667" s="188"/>
      <c r="L1667" s="197"/>
      <c r="M1667" s="197"/>
      <c r="N1667" s="197"/>
      <c r="O1667" s="197"/>
    </row>
    <row r="1668" spans="1:15" hidden="1">
      <c r="A1668" s="189" t="s">
        <v>137</v>
      </c>
      <c r="B1668" s="189" t="s">
        <v>138</v>
      </c>
      <c r="C1668" s="189" t="s">
        <v>106</v>
      </c>
      <c r="D1668" s="189" t="s">
        <v>655</v>
      </c>
      <c r="E1668" s="189" t="s">
        <v>2006</v>
      </c>
      <c r="F1668" s="189" t="s">
        <v>261</v>
      </c>
      <c r="G1668" s="260">
        <v>-0.5</v>
      </c>
      <c r="H1668" s="260">
        <v>-0.5</v>
      </c>
      <c r="I1668" s="215" t="s">
        <v>106</v>
      </c>
      <c r="J1668" s="189" t="s">
        <v>164</v>
      </c>
      <c r="K1668" s="188"/>
      <c r="L1668" s="197"/>
      <c r="M1668" s="197"/>
      <c r="N1668" s="197"/>
      <c r="O1668" s="197"/>
    </row>
    <row r="1669" spans="1:15" hidden="1">
      <c r="A1669" s="189" t="s">
        <v>137</v>
      </c>
      <c r="B1669" s="189" t="s">
        <v>138</v>
      </c>
      <c r="C1669" s="189" t="s">
        <v>106</v>
      </c>
      <c r="D1669" s="189" t="s">
        <v>655</v>
      </c>
      <c r="E1669" s="189" t="s">
        <v>2007</v>
      </c>
      <c r="F1669" s="189" t="s">
        <v>261</v>
      </c>
      <c r="G1669" s="260">
        <v>-0.5</v>
      </c>
      <c r="H1669" s="260">
        <v>-0.5</v>
      </c>
      <c r="I1669" s="215" t="s">
        <v>106</v>
      </c>
      <c r="J1669" s="189" t="s">
        <v>164</v>
      </c>
      <c r="K1669" s="188"/>
      <c r="L1669" s="197"/>
      <c r="M1669" s="197"/>
      <c r="N1669" s="197"/>
      <c r="O1669" s="197"/>
    </row>
    <row r="1670" spans="1:15" hidden="1">
      <c r="A1670" s="188" t="s">
        <v>137</v>
      </c>
      <c r="B1670" s="188" t="s">
        <v>683</v>
      </c>
      <c r="C1670" s="188" t="s">
        <v>943</v>
      </c>
      <c r="D1670" s="188" t="s">
        <v>655</v>
      </c>
      <c r="E1670" s="234" t="s">
        <v>1592</v>
      </c>
      <c r="F1670" s="234" t="s">
        <v>153</v>
      </c>
      <c r="G1670" s="316">
        <v>643.91999999999996</v>
      </c>
      <c r="H1670" s="316">
        <v>643.91999999999996</v>
      </c>
      <c r="I1670" s="198" t="s">
        <v>945</v>
      </c>
      <c r="J1670" s="198" t="s">
        <v>206</v>
      </c>
      <c r="K1670" s="188" t="s">
        <v>1594</v>
      </c>
      <c r="L1670" s="197"/>
      <c r="M1670" s="197"/>
      <c r="N1670" s="197"/>
      <c r="O1670" s="197"/>
    </row>
    <row r="1671" spans="1:15" hidden="1">
      <c r="A1671" s="188" t="s">
        <v>137</v>
      </c>
      <c r="B1671" s="188" t="s">
        <v>683</v>
      </c>
      <c r="C1671" s="188" t="s">
        <v>943</v>
      </c>
      <c r="D1671" s="188" t="s">
        <v>655</v>
      </c>
      <c r="E1671" s="234" t="s">
        <v>2008</v>
      </c>
      <c r="F1671" s="234" t="s">
        <v>153</v>
      </c>
      <c r="G1671" s="316">
        <v>5</v>
      </c>
      <c r="H1671" s="316">
        <v>5</v>
      </c>
      <c r="I1671" s="198" t="s">
        <v>945</v>
      </c>
      <c r="J1671" s="198" t="s">
        <v>206</v>
      </c>
      <c r="K1671" s="188" t="s">
        <v>1846</v>
      </c>
      <c r="L1671" s="197"/>
      <c r="M1671" s="197"/>
      <c r="N1671" s="197"/>
      <c r="O1671" s="197"/>
    </row>
    <row r="1672" spans="1:15" hidden="1">
      <c r="A1672" s="188" t="s">
        <v>137</v>
      </c>
      <c r="B1672" s="188" t="s">
        <v>683</v>
      </c>
      <c r="C1672" s="188" t="s">
        <v>943</v>
      </c>
      <c r="D1672" s="188" t="s">
        <v>655</v>
      </c>
      <c r="E1672" s="234" t="s">
        <v>1592</v>
      </c>
      <c r="F1672" s="234" t="s">
        <v>153</v>
      </c>
      <c r="G1672" s="316">
        <v>54.35</v>
      </c>
      <c r="H1672" s="316">
        <v>54.35</v>
      </c>
      <c r="I1672" s="198" t="s">
        <v>945</v>
      </c>
      <c r="J1672" s="198" t="s">
        <v>206</v>
      </c>
      <c r="K1672" s="188" t="s">
        <v>1851</v>
      </c>
      <c r="L1672" s="197"/>
      <c r="M1672" s="197"/>
      <c r="N1672" s="197"/>
      <c r="O1672" s="197"/>
    </row>
    <row r="1673" spans="1:15" hidden="1">
      <c r="A1673" s="195" t="s">
        <v>137</v>
      </c>
      <c r="B1673" s="195" t="s">
        <v>138</v>
      </c>
      <c r="C1673" s="195" t="s">
        <v>106</v>
      </c>
      <c r="D1673" s="195" t="s">
        <v>655</v>
      </c>
      <c r="E1673" s="195" t="s">
        <v>2009</v>
      </c>
      <c r="F1673" s="195" t="s">
        <v>261</v>
      </c>
      <c r="G1673" s="243">
        <v>-0.5</v>
      </c>
      <c r="H1673" s="243">
        <v>-0.5</v>
      </c>
      <c r="I1673" s="215" t="s">
        <v>106</v>
      </c>
      <c r="J1673" s="189" t="s">
        <v>164</v>
      </c>
      <c r="K1673" s="188"/>
      <c r="L1673" s="197"/>
      <c r="M1673" s="197"/>
      <c r="N1673" s="197"/>
      <c r="O1673" s="197"/>
    </row>
    <row r="1674" spans="1:15" hidden="1">
      <c r="A1674" s="195" t="s">
        <v>137</v>
      </c>
      <c r="B1674" s="195" t="s">
        <v>138</v>
      </c>
      <c r="C1674" s="195" t="s">
        <v>106</v>
      </c>
      <c r="D1674" s="195" t="s">
        <v>655</v>
      </c>
      <c r="E1674" s="195" t="s">
        <v>2010</v>
      </c>
      <c r="F1674" s="195" t="s">
        <v>261</v>
      </c>
      <c r="G1674" s="243">
        <v>-0.5</v>
      </c>
      <c r="H1674" s="243">
        <v>-0.5</v>
      </c>
      <c r="I1674" s="215" t="s">
        <v>106</v>
      </c>
      <c r="J1674" s="189" t="s">
        <v>164</v>
      </c>
      <c r="K1674" s="188"/>
      <c r="L1674" s="197"/>
      <c r="M1674" s="197"/>
      <c r="N1674" s="197"/>
      <c r="O1674" s="197"/>
    </row>
    <row r="1675" spans="1:15" hidden="1">
      <c r="A1675" s="195" t="s">
        <v>137</v>
      </c>
      <c r="B1675" s="195" t="s">
        <v>138</v>
      </c>
      <c r="C1675" s="195" t="s">
        <v>106</v>
      </c>
      <c r="D1675" s="195" t="s">
        <v>655</v>
      </c>
      <c r="E1675" s="195" t="s">
        <v>2011</v>
      </c>
      <c r="F1675" s="195" t="s">
        <v>261</v>
      </c>
      <c r="G1675" s="243">
        <v>-0.5</v>
      </c>
      <c r="H1675" s="243">
        <v>-0.5</v>
      </c>
      <c r="I1675" s="215" t="s">
        <v>106</v>
      </c>
      <c r="J1675" s="189" t="s">
        <v>164</v>
      </c>
      <c r="K1675" s="188"/>
      <c r="L1675" s="197"/>
      <c r="M1675" s="197"/>
      <c r="N1675" s="197"/>
      <c r="O1675" s="197"/>
    </row>
    <row r="1676" spans="1:15" hidden="1">
      <c r="A1676" s="195" t="s">
        <v>137</v>
      </c>
      <c r="B1676" s="195" t="s">
        <v>138</v>
      </c>
      <c r="C1676" s="195" t="s">
        <v>106</v>
      </c>
      <c r="D1676" s="195" t="s">
        <v>655</v>
      </c>
      <c r="E1676" s="195" t="s">
        <v>2012</v>
      </c>
      <c r="F1676" s="195" t="s">
        <v>261</v>
      </c>
      <c r="G1676" s="243">
        <v>-0.5</v>
      </c>
      <c r="H1676" s="243">
        <v>-0.5</v>
      </c>
      <c r="I1676" s="215" t="s">
        <v>106</v>
      </c>
      <c r="J1676" s="189" t="s">
        <v>164</v>
      </c>
      <c r="K1676" s="188"/>
      <c r="L1676" s="197"/>
      <c r="M1676" s="197"/>
      <c r="N1676" s="197"/>
      <c r="O1676" s="197"/>
    </row>
    <row r="1677" spans="1:15" hidden="1">
      <c r="A1677" s="188" t="s">
        <v>232</v>
      </c>
      <c r="B1677" s="188" t="s">
        <v>683</v>
      </c>
      <c r="C1677" s="188" t="s">
        <v>943</v>
      </c>
      <c r="D1677" s="188" t="s">
        <v>655</v>
      </c>
      <c r="E1677" s="234" t="s">
        <v>1592</v>
      </c>
      <c r="F1677" s="234" t="s">
        <v>153</v>
      </c>
      <c r="G1677" s="316">
        <v>2776.16</v>
      </c>
      <c r="H1677" s="316">
        <v>2776.16</v>
      </c>
      <c r="I1677" s="198" t="s">
        <v>945</v>
      </c>
      <c r="J1677" s="198" t="s">
        <v>206</v>
      </c>
      <c r="K1677" s="188" t="s">
        <v>1594</v>
      </c>
      <c r="L1677" s="197"/>
      <c r="M1677" s="197"/>
      <c r="N1677" s="197"/>
      <c r="O1677" s="197"/>
    </row>
    <row r="1678" spans="1:15" hidden="1">
      <c r="A1678" s="188" t="s">
        <v>232</v>
      </c>
      <c r="B1678" s="188" t="s">
        <v>683</v>
      </c>
      <c r="C1678" s="188" t="s">
        <v>943</v>
      </c>
      <c r="D1678" s="188" t="s">
        <v>655</v>
      </c>
      <c r="E1678" s="234" t="s">
        <v>655</v>
      </c>
      <c r="F1678" s="234" t="s">
        <v>153</v>
      </c>
      <c r="G1678" s="316">
        <v>0.01</v>
      </c>
      <c r="H1678" s="316">
        <v>0.01</v>
      </c>
      <c r="I1678" s="198" t="s">
        <v>945</v>
      </c>
      <c r="J1678" s="198" t="s">
        <v>206</v>
      </c>
      <c r="K1678" s="188" t="s">
        <v>1846</v>
      </c>
      <c r="L1678" s="197"/>
      <c r="M1678" s="197"/>
      <c r="N1678" s="197"/>
      <c r="O1678" s="197"/>
    </row>
    <row r="1679" spans="1:15" hidden="1">
      <c r="A1679" s="195" t="s">
        <v>137</v>
      </c>
      <c r="B1679" s="195" t="s">
        <v>138</v>
      </c>
      <c r="C1679" s="195" t="s">
        <v>106</v>
      </c>
      <c r="D1679" s="195" t="s">
        <v>655</v>
      </c>
      <c r="E1679" s="195" t="s">
        <v>2013</v>
      </c>
      <c r="F1679" s="195" t="s">
        <v>261</v>
      </c>
      <c r="G1679" s="243">
        <v>-0.5</v>
      </c>
      <c r="H1679" s="243">
        <v>-0.5</v>
      </c>
      <c r="I1679" s="215" t="s">
        <v>106</v>
      </c>
      <c r="J1679" s="189" t="s">
        <v>164</v>
      </c>
      <c r="K1679" s="188"/>
      <c r="L1679" s="197"/>
      <c r="M1679" s="197"/>
      <c r="N1679" s="197"/>
      <c r="O1679" s="197"/>
    </row>
    <row r="1680" spans="1:15" hidden="1">
      <c r="A1680" s="188" t="s">
        <v>137</v>
      </c>
      <c r="B1680" s="188" t="s">
        <v>138</v>
      </c>
      <c r="C1680" s="188" t="s">
        <v>501</v>
      </c>
      <c r="D1680" s="188" t="s">
        <v>655</v>
      </c>
      <c r="E1680" s="234" t="s">
        <v>1351</v>
      </c>
      <c r="F1680" s="234" t="s">
        <v>153</v>
      </c>
      <c r="G1680" s="253">
        <v>-0.04</v>
      </c>
      <c r="H1680" s="253">
        <v>-0.04</v>
      </c>
      <c r="I1680" s="198" t="s">
        <v>503</v>
      </c>
      <c r="J1680" s="198" t="s">
        <v>206</v>
      </c>
      <c r="K1680" s="188"/>
      <c r="L1680" s="197"/>
      <c r="M1680" s="197"/>
      <c r="N1680" s="197"/>
      <c r="O1680" s="197"/>
    </row>
    <row r="1681" spans="1:15" hidden="1">
      <c r="A1681" s="188" t="s">
        <v>137</v>
      </c>
      <c r="B1681" s="188" t="s">
        <v>138</v>
      </c>
      <c r="C1681" s="188" t="s">
        <v>501</v>
      </c>
      <c r="D1681" s="188" t="s">
        <v>655</v>
      </c>
      <c r="E1681" s="234" t="s">
        <v>1351</v>
      </c>
      <c r="F1681" s="234" t="s">
        <v>153</v>
      </c>
      <c r="G1681" s="253">
        <v>-86.01</v>
      </c>
      <c r="H1681" s="253">
        <v>-86.01</v>
      </c>
      <c r="I1681" s="198" t="s">
        <v>503</v>
      </c>
      <c r="J1681" s="198" t="s">
        <v>206</v>
      </c>
      <c r="K1681" s="188"/>
      <c r="L1681" s="197"/>
      <c r="M1681" s="197"/>
      <c r="N1681" s="197"/>
      <c r="O1681" s="197"/>
    </row>
    <row r="1682" spans="1:15" hidden="1">
      <c r="A1682" s="188" t="s">
        <v>137</v>
      </c>
      <c r="B1682" s="188" t="s">
        <v>138</v>
      </c>
      <c r="C1682" s="188" t="s">
        <v>501</v>
      </c>
      <c r="D1682" s="188" t="s">
        <v>655</v>
      </c>
      <c r="E1682" s="234" t="s">
        <v>2014</v>
      </c>
      <c r="F1682" s="234" t="s">
        <v>153</v>
      </c>
      <c r="G1682" s="253">
        <v>-2.17</v>
      </c>
      <c r="H1682" s="253">
        <v>-2.17</v>
      </c>
      <c r="I1682" s="198" t="s">
        <v>503</v>
      </c>
      <c r="J1682" s="198" t="s">
        <v>206</v>
      </c>
      <c r="K1682" s="188"/>
      <c r="L1682" s="197"/>
      <c r="M1682" s="197"/>
      <c r="N1682" s="197"/>
      <c r="O1682" s="197"/>
    </row>
    <row r="1683" spans="1:15" hidden="1">
      <c r="A1683" s="195" t="s">
        <v>137</v>
      </c>
      <c r="B1683" s="195" t="s">
        <v>138</v>
      </c>
      <c r="C1683" s="195" t="s">
        <v>106</v>
      </c>
      <c r="D1683" s="195" t="s">
        <v>655</v>
      </c>
      <c r="E1683" s="195" t="s">
        <v>2015</v>
      </c>
      <c r="F1683" s="195" t="s">
        <v>261</v>
      </c>
      <c r="G1683" s="243">
        <v>-0.5</v>
      </c>
      <c r="H1683" s="243">
        <v>-0.5</v>
      </c>
      <c r="I1683" s="215" t="s">
        <v>106</v>
      </c>
      <c r="J1683" s="189" t="s">
        <v>164</v>
      </c>
      <c r="K1683" s="188"/>
      <c r="L1683" s="197"/>
      <c r="M1683" s="197"/>
      <c r="N1683" s="197"/>
      <c r="O1683" s="197"/>
    </row>
    <row r="1684" spans="1:15" hidden="1">
      <c r="A1684" s="195" t="s">
        <v>137</v>
      </c>
      <c r="B1684" s="195" t="s">
        <v>138</v>
      </c>
      <c r="C1684" s="195" t="s">
        <v>106</v>
      </c>
      <c r="D1684" s="195" t="s">
        <v>655</v>
      </c>
      <c r="E1684" s="195" t="s">
        <v>2016</v>
      </c>
      <c r="F1684" s="195" t="s">
        <v>261</v>
      </c>
      <c r="G1684" s="243">
        <v>-0.5</v>
      </c>
      <c r="H1684" s="243">
        <v>-0.5</v>
      </c>
      <c r="I1684" s="215" t="s">
        <v>106</v>
      </c>
      <c r="J1684" s="189" t="s">
        <v>164</v>
      </c>
      <c r="K1684" s="188"/>
      <c r="L1684" s="197"/>
      <c r="M1684" s="197"/>
      <c r="N1684" s="197"/>
      <c r="O1684" s="197"/>
    </row>
    <row r="1685" spans="1:15" hidden="1">
      <c r="A1685" s="195" t="s">
        <v>137</v>
      </c>
      <c r="B1685" s="195" t="s">
        <v>138</v>
      </c>
      <c r="C1685" s="195" t="s">
        <v>106</v>
      </c>
      <c r="D1685" s="195" t="s">
        <v>655</v>
      </c>
      <c r="E1685" s="195" t="s">
        <v>2017</v>
      </c>
      <c r="F1685" s="195" t="s">
        <v>261</v>
      </c>
      <c r="G1685" s="243">
        <v>-0.5</v>
      </c>
      <c r="H1685" s="243">
        <v>-0.5</v>
      </c>
      <c r="I1685" s="215" t="s">
        <v>106</v>
      </c>
      <c r="J1685" s="189" t="s">
        <v>164</v>
      </c>
      <c r="K1685" s="188"/>
      <c r="L1685" s="197"/>
      <c r="M1685" s="197"/>
      <c r="N1685" s="197"/>
      <c r="O1685" s="197"/>
    </row>
    <row r="1686" spans="1:15" hidden="1">
      <c r="A1686" s="188" t="s">
        <v>232</v>
      </c>
      <c r="B1686" s="188" t="s">
        <v>138</v>
      </c>
      <c r="C1686" s="188" t="s">
        <v>501</v>
      </c>
      <c r="D1686" s="188" t="s">
        <v>655</v>
      </c>
      <c r="E1686" s="234" t="s">
        <v>1351</v>
      </c>
      <c r="F1686" s="234" t="s">
        <v>153</v>
      </c>
      <c r="G1686" s="253">
        <v>-270.55</v>
      </c>
      <c r="H1686" s="253">
        <v>-270.55</v>
      </c>
      <c r="I1686" s="198" t="s">
        <v>503</v>
      </c>
      <c r="J1686" s="198" t="s">
        <v>206</v>
      </c>
      <c r="K1686" s="188"/>
      <c r="L1686" s="197"/>
      <c r="M1686" s="197"/>
      <c r="N1686" s="197"/>
      <c r="O1686" s="197"/>
    </row>
    <row r="1687" spans="1:15" hidden="1">
      <c r="A1687" s="188" t="s">
        <v>243</v>
      </c>
      <c r="B1687" s="195" t="s">
        <v>138</v>
      </c>
      <c r="C1687" s="195" t="s">
        <v>106</v>
      </c>
      <c r="D1687" s="195" t="s">
        <v>655</v>
      </c>
      <c r="E1687" s="208" t="s">
        <v>2018</v>
      </c>
      <c r="F1687" s="195" t="s">
        <v>153</v>
      </c>
      <c r="G1687" s="242">
        <v>-81.400000000000006</v>
      </c>
      <c r="H1687" s="243">
        <v>-81.400000000000006</v>
      </c>
      <c r="I1687" s="198" t="s">
        <v>106</v>
      </c>
      <c r="J1687" s="257" t="s">
        <v>164</v>
      </c>
      <c r="K1687" s="188"/>
      <c r="L1687" s="197"/>
      <c r="M1687" s="197"/>
      <c r="N1687" s="197"/>
      <c r="O1687" s="197"/>
    </row>
    <row r="1688" spans="1:15" hidden="1">
      <c r="A1688" s="199" t="s">
        <v>243</v>
      </c>
      <c r="B1688" s="189" t="s">
        <v>138</v>
      </c>
      <c r="C1688" s="189" t="s">
        <v>106</v>
      </c>
      <c r="D1688" s="189" t="s">
        <v>655</v>
      </c>
      <c r="E1688" s="189" t="s">
        <v>2019</v>
      </c>
      <c r="F1688" s="189" t="s">
        <v>261</v>
      </c>
      <c r="G1688" s="260">
        <v>-1.99</v>
      </c>
      <c r="H1688" s="260">
        <v>-1.99</v>
      </c>
      <c r="I1688" s="198" t="s">
        <v>106</v>
      </c>
      <c r="J1688" s="189" t="s">
        <v>164</v>
      </c>
      <c r="K1688" s="188"/>
      <c r="L1688" s="197"/>
      <c r="M1688" s="197"/>
      <c r="N1688" s="197"/>
      <c r="O1688" s="197"/>
    </row>
    <row r="1689" spans="1:15" ht="51" hidden="1">
      <c r="A1689" s="199" t="s">
        <v>243</v>
      </c>
      <c r="B1689" s="189" t="s">
        <v>138</v>
      </c>
      <c r="C1689" s="189" t="s">
        <v>106</v>
      </c>
      <c r="D1689" s="189" t="s">
        <v>655</v>
      </c>
      <c r="E1689" s="223" t="s">
        <v>2020</v>
      </c>
      <c r="F1689" s="189" t="s">
        <v>153</v>
      </c>
      <c r="G1689" s="258">
        <v>-1.99</v>
      </c>
      <c r="H1689" s="260">
        <v>-1.99</v>
      </c>
      <c r="I1689" s="198" t="s">
        <v>106</v>
      </c>
      <c r="J1689" s="257" t="s">
        <v>164</v>
      </c>
      <c r="K1689" s="188"/>
      <c r="L1689" s="197"/>
      <c r="M1689" s="197"/>
      <c r="N1689" s="197"/>
      <c r="O1689" s="197"/>
    </row>
    <row r="1690" spans="1:15" hidden="1">
      <c r="A1690" s="199" t="s">
        <v>243</v>
      </c>
      <c r="B1690" s="199" t="s">
        <v>138</v>
      </c>
      <c r="C1690" s="199" t="s">
        <v>106</v>
      </c>
      <c r="D1690" s="199" t="s">
        <v>655</v>
      </c>
      <c r="E1690" s="199" t="s">
        <v>2021</v>
      </c>
      <c r="F1690" s="205" t="s">
        <v>265</v>
      </c>
      <c r="G1690" s="226">
        <v>-1.99</v>
      </c>
      <c r="H1690" s="226">
        <v>-1.99</v>
      </c>
      <c r="I1690" s="198" t="s">
        <v>106</v>
      </c>
      <c r="J1690" s="250" t="s">
        <v>164</v>
      </c>
      <c r="K1690" s="188"/>
      <c r="L1690" s="197"/>
      <c r="M1690" s="197"/>
      <c r="N1690" s="197"/>
      <c r="O1690" s="197"/>
    </row>
    <row r="1691" spans="1:15">
      <c r="A1691" s="199" t="s">
        <v>243</v>
      </c>
      <c r="B1691" s="288" t="s">
        <v>138</v>
      </c>
      <c r="C1691" s="288" t="s">
        <v>106</v>
      </c>
      <c r="D1691" s="288" t="s">
        <v>655</v>
      </c>
      <c r="E1691" s="288" t="s">
        <v>2022</v>
      </c>
      <c r="F1691" s="267" t="s">
        <v>268</v>
      </c>
      <c r="G1691" s="289">
        <v>-1.99</v>
      </c>
      <c r="H1691" s="289">
        <v>-1.99</v>
      </c>
      <c r="I1691" s="198" t="s">
        <v>106</v>
      </c>
      <c r="J1691" s="198" t="s">
        <v>164</v>
      </c>
      <c r="K1691" s="233"/>
      <c r="L1691" s="197"/>
      <c r="M1691" s="197"/>
      <c r="N1691" s="197"/>
      <c r="O1691" s="197"/>
    </row>
    <row r="1692" spans="1:15" hidden="1">
      <c r="A1692" s="199" t="s">
        <v>243</v>
      </c>
      <c r="B1692" s="189" t="s">
        <v>138</v>
      </c>
      <c r="C1692" s="189" t="s">
        <v>106</v>
      </c>
      <c r="D1692" s="189" t="s">
        <v>655</v>
      </c>
      <c r="E1692" s="189" t="s">
        <v>2023</v>
      </c>
      <c r="F1692" s="189" t="s">
        <v>261</v>
      </c>
      <c r="G1692" s="260">
        <v>-0.5</v>
      </c>
      <c r="H1692" s="260">
        <v>-0.5</v>
      </c>
      <c r="I1692" s="198" t="s">
        <v>106</v>
      </c>
      <c r="J1692" s="189" t="s">
        <v>164</v>
      </c>
      <c r="K1692" s="188"/>
      <c r="L1692" s="197"/>
      <c r="M1692" s="197"/>
      <c r="N1692" s="197"/>
      <c r="O1692" s="197"/>
    </row>
    <row r="1693" spans="1:15" hidden="1">
      <c r="A1693" s="199" t="s">
        <v>243</v>
      </c>
      <c r="B1693" s="189" t="s">
        <v>138</v>
      </c>
      <c r="C1693" s="189" t="s">
        <v>106</v>
      </c>
      <c r="D1693" s="189" t="s">
        <v>655</v>
      </c>
      <c r="E1693" s="189" t="s">
        <v>2024</v>
      </c>
      <c r="F1693" s="189" t="s">
        <v>261</v>
      </c>
      <c r="G1693" s="260">
        <v>-0.5</v>
      </c>
      <c r="H1693" s="260">
        <v>-0.5</v>
      </c>
      <c r="I1693" s="198" t="s">
        <v>106</v>
      </c>
      <c r="J1693" s="195" t="s">
        <v>164</v>
      </c>
      <c r="K1693" s="188"/>
      <c r="L1693" s="197"/>
      <c r="M1693" s="197"/>
      <c r="N1693" s="197"/>
      <c r="O1693" s="197"/>
    </row>
    <row r="1694" spans="1:15" hidden="1">
      <c r="A1694" s="189" t="s">
        <v>209</v>
      </c>
      <c r="B1694" s="189" t="s">
        <v>138</v>
      </c>
      <c r="C1694" s="189" t="s">
        <v>1599</v>
      </c>
      <c r="D1694" s="189" t="s">
        <v>160</v>
      </c>
      <c r="E1694" s="189" t="s">
        <v>2025</v>
      </c>
      <c r="F1694" s="189" t="s">
        <v>261</v>
      </c>
      <c r="G1694" s="260">
        <v>-20</v>
      </c>
      <c r="H1694" s="260">
        <v>-20</v>
      </c>
      <c r="I1694" s="188" t="s">
        <v>90</v>
      </c>
      <c r="J1694" s="195" t="s">
        <v>246</v>
      </c>
      <c r="K1694" s="188"/>
      <c r="L1694" s="197"/>
      <c r="M1694" s="197"/>
      <c r="N1694" s="197"/>
      <c r="O1694" s="197"/>
    </row>
    <row r="1695" spans="1:15" hidden="1">
      <c r="A1695" s="199" t="s">
        <v>243</v>
      </c>
      <c r="B1695" s="189" t="s">
        <v>138</v>
      </c>
      <c r="C1695" s="189" t="s">
        <v>106</v>
      </c>
      <c r="D1695" s="189" t="s">
        <v>655</v>
      </c>
      <c r="E1695" s="189" t="s">
        <v>2026</v>
      </c>
      <c r="F1695" s="189" t="s">
        <v>261</v>
      </c>
      <c r="G1695" s="260">
        <v>-0.5</v>
      </c>
      <c r="H1695" s="260">
        <v>-0.5</v>
      </c>
      <c r="I1695" s="198" t="s">
        <v>106</v>
      </c>
      <c r="J1695" s="189" t="s">
        <v>164</v>
      </c>
      <c r="K1695" s="188"/>
      <c r="L1695" s="197"/>
      <c r="M1695" s="197"/>
      <c r="N1695" s="197"/>
      <c r="O1695" s="197"/>
    </row>
    <row r="1696" spans="1:15" hidden="1">
      <c r="A1696" s="189" t="s">
        <v>137</v>
      </c>
      <c r="B1696" s="189" t="s">
        <v>138</v>
      </c>
      <c r="C1696" s="189" t="s">
        <v>1599</v>
      </c>
      <c r="D1696" s="189" t="s">
        <v>1601</v>
      </c>
      <c r="E1696" s="189" t="s">
        <v>2027</v>
      </c>
      <c r="F1696" s="189" t="s">
        <v>261</v>
      </c>
      <c r="G1696" s="258">
        <v>-139.9</v>
      </c>
      <c r="H1696" s="260">
        <v>-139.9</v>
      </c>
      <c r="I1696" s="188" t="s">
        <v>90</v>
      </c>
      <c r="J1696" s="195" t="s">
        <v>246</v>
      </c>
      <c r="K1696" s="188"/>
      <c r="L1696" s="197"/>
      <c r="M1696" s="197"/>
      <c r="N1696" s="197"/>
      <c r="O1696" s="197"/>
    </row>
    <row r="1697" spans="1:15" hidden="1">
      <c r="A1697" s="199" t="s">
        <v>243</v>
      </c>
      <c r="B1697" s="189" t="s">
        <v>138</v>
      </c>
      <c r="C1697" s="189" t="s">
        <v>106</v>
      </c>
      <c r="D1697" s="189" t="s">
        <v>655</v>
      </c>
      <c r="E1697" s="189" t="s">
        <v>2028</v>
      </c>
      <c r="F1697" s="189" t="s">
        <v>261</v>
      </c>
      <c r="G1697" s="260">
        <v>-0.5</v>
      </c>
      <c r="H1697" s="260">
        <v>-0.5</v>
      </c>
      <c r="I1697" s="198" t="s">
        <v>106</v>
      </c>
      <c r="J1697" s="195" t="s">
        <v>164</v>
      </c>
      <c r="K1697" s="188"/>
      <c r="L1697" s="197"/>
      <c r="M1697" s="197"/>
      <c r="N1697" s="197"/>
      <c r="O1697" s="197"/>
    </row>
    <row r="1698" spans="1:15" ht="51" hidden="1">
      <c r="A1698" s="199" t="s">
        <v>243</v>
      </c>
      <c r="B1698" s="189" t="s">
        <v>138</v>
      </c>
      <c r="C1698" s="189" t="s">
        <v>106</v>
      </c>
      <c r="D1698" s="189" t="s">
        <v>655</v>
      </c>
      <c r="E1698" s="223" t="s">
        <v>2029</v>
      </c>
      <c r="F1698" s="189" t="s">
        <v>153</v>
      </c>
      <c r="G1698" s="258">
        <v>-0.5</v>
      </c>
      <c r="H1698" s="260">
        <v>-0.5</v>
      </c>
      <c r="I1698" s="198" t="s">
        <v>106</v>
      </c>
      <c r="J1698" s="257" t="s">
        <v>164</v>
      </c>
      <c r="K1698" s="188"/>
      <c r="L1698" s="197"/>
      <c r="M1698" s="197"/>
      <c r="N1698" s="197"/>
      <c r="O1698" s="197"/>
    </row>
    <row r="1699" spans="1:15" ht="51" hidden="1">
      <c r="A1699" s="199" t="s">
        <v>243</v>
      </c>
      <c r="B1699" s="189" t="s">
        <v>138</v>
      </c>
      <c r="C1699" s="189" t="s">
        <v>106</v>
      </c>
      <c r="D1699" s="189" t="s">
        <v>655</v>
      </c>
      <c r="E1699" s="223" t="s">
        <v>2030</v>
      </c>
      <c r="F1699" s="189" t="s">
        <v>153</v>
      </c>
      <c r="G1699" s="258">
        <v>-0.5</v>
      </c>
      <c r="H1699" s="260">
        <v>-0.5</v>
      </c>
      <c r="I1699" s="198" t="s">
        <v>106</v>
      </c>
      <c r="J1699" s="257" t="s">
        <v>164</v>
      </c>
      <c r="K1699" s="188"/>
      <c r="L1699" s="197"/>
      <c r="M1699" s="197"/>
      <c r="N1699" s="197"/>
      <c r="O1699" s="197"/>
    </row>
    <row r="1700" spans="1:15" ht="51" hidden="1">
      <c r="A1700" s="199" t="s">
        <v>243</v>
      </c>
      <c r="B1700" s="189" t="s">
        <v>138</v>
      </c>
      <c r="C1700" s="189" t="s">
        <v>106</v>
      </c>
      <c r="D1700" s="189" t="s">
        <v>655</v>
      </c>
      <c r="E1700" s="223" t="s">
        <v>2031</v>
      </c>
      <c r="F1700" s="189" t="s">
        <v>153</v>
      </c>
      <c r="G1700" s="258">
        <v>-0.5</v>
      </c>
      <c r="H1700" s="260">
        <v>-0.5</v>
      </c>
      <c r="I1700" s="198" t="s">
        <v>106</v>
      </c>
      <c r="J1700" s="257" t="s">
        <v>164</v>
      </c>
      <c r="K1700" s="188"/>
      <c r="L1700" s="197"/>
      <c r="M1700" s="197"/>
      <c r="N1700" s="197"/>
      <c r="O1700" s="197"/>
    </row>
    <row r="1701" spans="1:15" hidden="1">
      <c r="A1701" s="199" t="s">
        <v>243</v>
      </c>
      <c r="B1701" s="199" t="s">
        <v>138</v>
      </c>
      <c r="C1701" s="199" t="s">
        <v>106</v>
      </c>
      <c r="D1701" s="199" t="s">
        <v>655</v>
      </c>
      <c r="E1701" s="199" t="s">
        <v>2032</v>
      </c>
      <c r="F1701" s="205" t="s">
        <v>265</v>
      </c>
      <c r="G1701" s="226">
        <v>-0.5</v>
      </c>
      <c r="H1701" s="226">
        <v>-0.5</v>
      </c>
      <c r="I1701" s="198" t="s">
        <v>106</v>
      </c>
      <c r="J1701" s="198" t="s">
        <v>164</v>
      </c>
      <c r="K1701" s="188"/>
      <c r="L1701" s="197"/>
      <c r="M1701" s="197"/>
      <c r="N1701" s="197"/>
      <c r="O1701" s="197"/>
    </row>
    <row r="1702" spans="1:15" hidden="1">
      <c r="A1702" s="189" t="s">
        <v>137</v>
      </c>
      <c r="B1702" s="189" t="s">
        <v>138</v>
      </c>
      <c r="C1702" s="189" t="s">
        <v>1599</v>
      </c>
      <c r="D1702" s="189" t="s">
        <v>2033</v>
      </c>
      <c r="E1702" s="189" t="s">
        <v>2034</v>
      </c>
      <c r="F1702" s="189" t="s">
        <v>261</v>
      </c>
      <c r="G1702" s="258">
        <v>-187.61</v>
      </c>
      <c r="H1702" s="260">
        <v>-187.61</v>
      </c>
      <c r="I1702" s="188" t="s">
        <v>90</v>
      </c>
      <c r="J1702" s="195" t="s">
        <v>246</v>
      </c>
      <c r="K1702" s="188"/>
      <c r="L1702" s="197"/>
      <c r="M1702" s="197"/>
      <c r="N1702" s="197"/>
      <c r="O1702" s="197"/>
    </row>
    <row r="1703" spans="1:15" hidden="1">
      <c r="A1703" s="189" t="s">
        <v>232</v>
      </c>
      <c r="B1703" s="189" t="s">
        <v>138</v>
      </c>
      <c r="C1703" s="189" t="s">
        <v>1599</v>
      </c>
      <c r="D1703" s="189" t="s">
        <v>1608</v>
      </c>
      <c r="E1703" s="189" t="s">
        <v>2035</v>
      </c>
      <c r="F1703" s="189" t="s">
        <v>261</v>
      </c>
      <c r="G1703" s="258">
        <v>-209.94</v>
      </c>
      <c r="H1703" s="260">
        <v>-209.94</v>
      </c>
      <c r="I1703" s="188" t="s">
        <v>90</v>
      </c>
      <c r="J1703" s="195" t="s">
        <v>246</v>
      </c>
      <c r="K1703" s="188"/>
      <c r="L1703" s="197"/>
      <c r="M1703" s="197"/>
      <c r="N1703" s="197"/>
      <c r="O1703" s="197"/>
    </row>
    <row r="1704" spans="1:15" hidden="1">
      <c r="A1704" s="189" t="s">
        <v>137</v>
      </c>
      <c r="B1704" s="189" t="s">
        <v>138</v>
      </c>
      <c r="C1704" s="189" t="s">
        <v>1613</v>
      </c>
      <c r="D1704" s="189" t="s">
        <v>160</v>
      </c>
      <c r="E1704" s="189" t="s">
        <v>2036</v>
      </c>
      <c r="F1704" s="189" t="s">
        <v>261</v>
      </c>
      <c r="G1704" s="258">
        <v>-15</v>
      </c>
      <c r="H1704" s="260">
        <v>-15</v>
      </c>
      <c r="I1704" s="188" t="s">
        <v>90</v>
      </c>
      <c r="J1704" s="195" t="s">
        <v>246</v>
      </c>
      <c r="K1704" s="188"/>
      <c r="L1704" s="197"/>
      <c r="M1704" s="197"/>
      <c r="N1704" s="197"/>
      <c r="O1704" s="197"/>
    </row>
    <row r="1705" spans="1:15" hidden="1">
      <c r="A1705" s="189" t="s">
        <v>137</v>
      </c>
      <c r="B1705" s="189" t="s">
        <v>138</v>
      </c>
      <c r="C1705" s="189" t="s">
        <v>1613</v>
      </c>
      <c r="D1705" s="189" t="s">
        <v>669</v>
      </c>
      <c r="E1705" s="189" t="s">
        <v>1616</v>
      </c>
      <c r="F1705" s="189" t="s">
        <v>261</v>
      </c>
      <c r="G1705" s="258">
        <v>-30</v>
      </c>
      <c r="H1705" s="260">
        <v>-30</v>
      </c>
      <c r="I1705" s="188" t="s">
        <v>90</v>
      </c>
      <c r="J1705" s="195" t="s">
        <v>164</v>
      </c>
      <c r="K1705" s="188"/>
      <c r="L1705" s="197"/>
      <c r="M1705" s="197"/>
      <c r="N1705" s="197"/>
      <c r="O1705" s="197"/>
    </row>
    <row r="1706" spans="1:15" hidden="1">
      <c r="A1706" s="189" t="s">
        <v>137</v>
      </c>
      <c r="B1706" s="189" t="s">
        <v>138</v>
      </c>
      <c r="C1706" s="189" t="s">
        <v>1613</v>
      </c>
      <c r="D1706" s="189" t="s">
        <v>190</v>
      </c>
      <c r="E1706" s="189" t="s">
        <v>2037</v>
      </c>
      <c r="F1706" s="189" t="s">
        <v>261</v>
      </c>
      <c r="G1706" s="258">
        <v>-20</v>
      </c>
      <c r="H1706" s="260">
        <v>-20</v>
      </c>
      <c r="I1706" s="188" t="s">
        <v>90</v>
      </c>
      <c r="J1706" s="195" t="s">
        <v>192</v>
      </c>
      <c r="K1706" s="188"/>
      <c r="L1706" s="197"/>
      <c r="M1706" s="197"/>
      <c r="N1706" s="197"/>
      <c r="O1706" s="197"/>
    </row>
    <row r="1707" spans="1:15" hidden="1">
      <c r="A1707" s="189" t="s">
        <v>137</v>
      </c>
      <c r="B1707" s="189" t="s">
        <v>138</v>
      </c>
      <c r="C1707" s="189" t="s">
        <v>1613</v>
      </c>
      <c r="D1707" s="189" t="s">
        <v>1622</v>
      </c>
      <c r="E1707" s="189" t="s">
        <v>2038</v>
      </c>
      <c r="F1707" s="189" t="s">
        <v>261</v>
      </c>
      <c r="G1707" s="258">
        <v>-579.66</v>
      </c>
      <c r="H1707" s="260">
        <v>-579.66</v>
      </c>
      <c r="I1707" s="188" t="s">
        <v>90</v>
      </c>
      <c r="J1707" s="195" t="s">
        <v>246</v>
      </c>
      <c r="K1707" s="188"/>
      <c r="L1707" s="197"/>
      <c r="M1707" s="197"/>
      <c r="N1707" s="197"/>
      <c r="O1707" s="197"/>
    </row>
    <row r="1708" spans="1:15" hidden="1">
      <c r="A1708" s="189" t="s">
        <v>209</v>
      </c>
      <c r="B1708" s="189" t="s">
        <v>138</v>
      </c>
      <c r="C1708" s="189" t="s">
        <v>84</v>
      </c>
      <c r="D1708" s="189" t="s">
        <v>2039</v>
      </c>
      <c r="E1708" s="189" t="s">
        <v>2040</v>
      </c>
      <c r="F1708" s="189" t="s">
        <v>265</v>
      </c>
      <c r="G1708" s="260">
        <v>-177.26</v>
      </c>
      <c r="H1708" s="260">
        <v>-177.26</v>
      </c>
      <c r="I1708" s="198" t="s">
        <v>84</v>
      </c>
      <c r="J1708" s="189" t="s">
        <v>143</v>
      </c>
      <c r="K1708" s="189"/>
      <c r="L1708" s="197"/>
      <c r="M1708" s="197"/>
      <c r="N1708" s="197"/>
      <c r="O1708" s="197"/>
    </row>
    <row r="1709" spans="1:15" hidden="1">
      <c r="A1709" s="189" t="s">
        <v>137</v>
      </c>
      <c r="B1709" s="189" t="s">
        <v>138</v>
      </c>
      <c r="C1709" s="189" t="s">
        <v>84</v>
      </c>
      <c r="D1709" s="189" t="s">
        <v>2041</v>
      </c>
      <c r="E1709" s="189" t="s">
        <v>2042</v>
      </c>
      <c r="F1709" s="189" t="s">
        <v>265</v>
      </c>
      <c r="G1709" s="260">
        <v>-194.33</v>
      </c>
      <c r="H1709" s="260">
        <v>-194.33</v>
      </c>
      <c r="I1709" s="198" t="s">
        <v>84</v>
      </c>
      <c r="J1709" s="189" t="s">
        <v>143</v>
      </c>
      <c r="K1709" s="189"/>
      <c r="L1709" s="197"/>
      <c r="M1709" s="197"/>
      <c r="N1709" s="197"/>
      <c r="O1709" s="197"/>
    </row>
    <row r="1710" spans="1:15" hidden="1">
      <c r="A1710" s="189" t="s">
        <v>232</v>
      </c>
      <c r="B1710" s="189" t="s">
        <v>138</v>
      </c>
      <c r="C1710" s="189" t="s">
        <v>94</v>
      </c>
      <c r="D1710" s="189" t="s">
        <v>233</v>
      </c>
      <c r="E1710" s="189" t="s">
        <v>2043</v>
      </c>
      <c r="F1710" s="189" t="s">
        <v>265</v>
      </c>
      <c r="G1710" s="260">
        <v>-1621</v>
      </c>
      <c r="H1710" s="260">
        <v>-1621</v>
      </c>
      <c r="I1710" s="198" t="s">
        <v>94</v>
      </c>
      <c r="J1710" s="189" t="s">
        <v>277</v>
      </c>
      <c r="K1710" s="189"/>
      <c r="L1710" s="197"/>
      <c r="M1710" s="197"/>
      <c r="N1710" s="197"/>
      <c r="O1710" s="197"/>
    </row>
    <row r="1711" spans="1:15" hidden="1">
      <c r="A1711" s="189" t="s">
        <v>137</v>
      </c>
      <c r="B1711" s="189" t="s">
        <v>138</v>
      </c>
      <c r="C1711" s="189" t="s">
        <v>94</v>
      </c>
      <c r="D1711" s="189" t="s">
        <v>238</v>
      </c>
      <c r="E1711" s="189" t="s">
        <v>2044</v>
      </c>
      <c r="F1711" s="189" t="s">
        <v>265</v>
      </c>
      <c r="G1711" s="260">
        <v>-5664.66</v>
      </c>
      <c r="H1711" s="260">
        <v>-5664.66</v>
      </c>
      <c r="I1711" s="198" t="s">
        <v>94</v>
      </c>
      <c r="J1711" s="189" t="s">
        <v>277</v>
      </c>
      <c r="K1711" s="189"/>
      <c r="L1711" s="197"/>
      <c r="M1711" s="197"/>
      <c r="N1711" s="197"/>
      <c r="O1711" s="197"/>
    </row>
    <row r="1712" spans="1:15" hidden="1">
      <c r="A1712" s="199" t="s">
        <v>243</v>
      </c>
      <c r="B1712" s="199" t="s">
        <v>138</v>
      </c>
      <c r="C1712" s="199" t="s">
        <v>106</v>
      </c>
      <c r="D1712" s="199" t="s">
        <v>655</v>
      </c>
      <c r="E1712" s="199" t="s">
        <v>2045</v>
      </c>
      <c r="F1712" s="205" t="s">
        <v>265</v>
      </c>
      <c r="G1712" s="226">
        <v>-0.5</v>
      </c>
      <c r="H1712" s="226">
        <v>-0.5</v>
      </c>
      <c r="I1712" s="198" t="s">
        <v>106</v>
      </c>
      <c r="J1712" s="198" t="s">
        <v>164</v>
      </c>
      <c r="K1712" s="199"/>
      <c r="L1712" s="197"/>
      <c r="M1712" s="197"/>
      <c r="N1712" s="197"/>
      <c r="O1712" s="197"/>
    </row>
    <row r="1713" spans="1:15" hidden="1">
      <c r="A1713" s="189" t="s">
        <v>232</v>
      </c>
      <c r="B1713" s="189" t="s">
        <v>138</v>
      </c>
      <c r="C1713" s="189" t="s">
        <v>88</v>
      </c>
      <c r="D1713" s="189" t="s">
        <v>247</v>
      </c>
      <c r="E1713" s="189" t="s">
        <v>2046</v>
      </c>
      <c r="F1713" s="189" t="s">
        <v>265</v>
      </c>
      <c r="G1713" s="260">
        <v>-276.68</v>
      </c>
      <c r="H1713" s="260">
        <v>-276.68</v>
      </c>
      <c r="I1713" s="198" t="s">
        <v>88</v>
      </c>
      <c r="J1713" s="189" t="s">
        <v>277</v>
      </c>
      <c r="K1713" s="189"/>
      <c r="L1713" s="197"/>
      <c r="M1713" s="197"/>
      <c r="N1713" s="197"/>
      <c r="O1713" s="197"/>
    </row>
    <row r="1714" spans="1:15" hidden="1">
      <c r="A1714" s="189" t="s">
        <v>137</v>
      </c>
      <c r="B1714" s="189" t="s">
        <v>138</v>
      </c>
      <c r="C1714" s="189" t="s">
        <v>88</v>
      </c>
      <c r="D1714" s="189" t="s">
        <v>252</v>
      </c>
      <c r="E1714" s="189" t="s">
        <v>2047</v>
      </c>
      <c r="F1714" s="189" t="s">
        <v>265</v>
      </c>
      <c r="G1714" s="260">
        <v>-16000</v>
      </c>
      <c r="H1714" s="260">
        <v>-16000</v>
      </c>
      <c r="I1714" s="198" t="s">
        <v>88</v>
      </c>
      <c r="J1714" s="189" t="s">
        <v>277</v>
      </c>
      <c r="K1714" s="189"/>
      <c r="L1714" s="197"/>
      <c r="M1714" s="197"/>
      <c r="N1714" s="197"/>
      <c r="O1714" s="197"/>
    </row>
    <row r="1715" spans="1:15" hidden="1">
      <c r="A1715" s="199" t="s">
        <v>243</v>
      </c>
      <c r="B1715" s="199" t="s">
        <v>138</v>
      </c>
      <c r="C1715" s="199" t="s">
        <v>106</v>
      </c>
      <c r="D1715" s="199" t="s">
        <v>655</v>
      </c>
      <c r="E1715" s="199" t="s">
        <v>2048</v>
      </c>
      <c r="F1715" s="205" t="s">
        <v>265</v>
      </c>
      <c r="G1715" s="226">
        <v>-0.5</v>
      </c>
      <c r="H1715" s="226">
        <v>-0.5</v>
      </c>
      <c r="I1715" s="198" t="s">
        <v>106</v>
      </c>
      <c r="J1715" s="250" t="s">
        <v>164</v>
      </c>
      <c r="K1715" s="199"/>
      <c r="L1715" s="197"/>
      <c r="M1715" s="197"/>
      <c r="N1715" s="197"/>
      <c r="O1715" s="197"/>
    </row>
    <row r="1716" spans="1:15" hidden="1">
      <c r="A1716" s="189" t="s">
        <v>137</v>
      </c>
      <c r="B1716" s="189" t="s">
        <v>138</v>
      </c>
      <c r="C1716" s="189" t="s">
        <v>74</v>
      </c>
      <c r="D1716" s="189" t="s">
        <v>257</v>
      </c>
      <c r="E1716" s="189" t="s">
        <v>2049</v>
      </c>
      <c r="F1716" s="189" t="s">
        <v>265</v>
      </c>
      <c r="G1716" s="260">
        <v>-718.91</v>
      </c>
      <c r="H1716" s="260">
        <v>-756.75</v>
      </c>
      <c r="I1716" s="198" t="s">
        <v>74</v>
      </c>
      <c r="J1716" s="189" t="s">
        <v>143</v>
      </c>
      <c r="K1716" s="189"/>
      <c r="L1716" s="197"/>
      <c r="M1716" s="197"/>
      <c r="N1716" s="197"/>
      <c r="O1716" s="197"/>
    </row>
    <row r="1717" spans="1:15">
      <c r="A1717" s="189" t="s">
        <v>137</v>
      </c>
      <c r="B1717" s="189" t="s">
        <v>138</v>
      </c>
      <c r="C1717" s="189" t="s">
        <v>74</v>
      </c>
      <c r="D1717" s="189" t="s">
        <v>257</v>
      </c>
      <c r="E1717" s="244" t="s">
        <v>2050</v>
      </c>
      <c r="F1717" s="189" t="s">
        <v>6</v>
      </c>
      <c r="G1717" s="317">
        <v>-427.34</v>
      </c>
      <c r="H1717" s="305">
        <v>-427.34</v>
      </c>
      <c r="I1717" s="198" t="s">
        <v>74</v>
      </c>
      <c r="J1717" s="189" t="s">
        <v>143</v>
      </c>
      <c r="K1717" s="189"/>
      <c r="L1717" s="197"/>
      <c r="M1717" s="197"/>
      <c r="N1717" s="197"/>
      <c r="O1717" s="197"/>
    </row>
    <row r="1718" spans="1:15">
      <c r="A1718" s="189" t="s">
        <v>137</v>
      </c>
      <c r="B1718" s="189" t="s">
        <v>138</v>
      </c>
      <c r="C1718" s="189" t="s">
        <v>74</v>
      </c>
      <c r="D1718" s="189" t="s">
        <v>257</v>
      </c>
      <c r="E1718" s="244" t="s">
        <v>2051</v>
      </c>
      <c r="F1718" s="227" t="s">
        <v>407</v>
      </c>
      <c r="G1718" s="317">
        <v>-252.82</v>
      </c>
      <c r="H1718" s="305">
        <v>-252.82</v>
      </c>
      <c r="I1718" s="198" t="s">
        <v>74</v>
      </c>
      <c r="J1718" s="189" t="s">
        <v>143</v>
      </c>
      <c r="K1718" s="189"/>
      <c r="L1718" s="197"/>
      <c r="M1718" s="197"/>
      <c r="N1718" s="197"/>
      <c r="O1718" s="197"/>
    </row>
    <row r="1719" spans="1:15" hidden="1">
      <c r="A1719" s="189" t="s">
        <v>232</v>
      </c>
      <c r="B1719" s="189" t="s">
        <v>138</v>
      </c>
      <c r="C1719" s="189" t="s">
        <v>74</v>
      </c>
      <c r="D1719" s="189" t="s">
        <v>257</v>
      </c>
      <c r="E1719" s="189" t="s">
        <v>2052</v>
      </c>
      <c r="F1719" s="189" t="s">
        <v>265</v>
      </c>
      <c r="G1719" s="260">
        <v>-114.23</v>
      </c>
      <c r="H1719" s="260">
        <v>-114.23</v>
      </c>
      <c r="I1719" s="198" t="s">
        <v>74</v>
      </c>
      <c r="J1719" s="244" t="s">
        <v>143</v>
      </c>
      <c r="K1719" s="189"/>
      <c r="L1719" s="197"/>
      <c r="M1719" s="197"/>
      <c r="N1719" s="197"/>
      <c r="O1719" s="197"/>
    </row>
    <row r="1720" spans="1:15" hidden="1">
      <c r="A1720" s="189" t="s">
        <v>137</v>
      </c>
      <c r="B1720" s="189" t="s">
        <v>138</v>
      </c>
      <c r="C1720" s="189" t="s">
        <v>271</v>
      </c>
      <c r="D1720" s="189" t="s">
        <v>272</v>
      </c>
      <c r="E1720" s="189" t="s">
        <v>2053</v>
      </c>
      <c r="F1720" s="189" t="s">
        <v>265</v>
      </c>
      <c r="G1720" s="260">
        <v>-400</v>
      </c>
      <c r="H1720" s="260">
        <v>-400</v>
      </c>
      <c r="I1720" s="198" t="s">
        <v>101</v>
      </c>
      <c r="J1720" s="189" t="s">
        <v>277</v>
      </c>
      <c r="K1720" s="189"/>
      <c r="L1720" s="197"/>
      <c r="M1720" s="197"/>
      <c r="N1720" s="197"/>
      <c r="O1720" s="197"/>
    </row>
    <row r="1721" spans="1:15" hidden="1">
      <c r="A1721" s="189" t="s">
        <v>137</v>
      </c>
      <c r="B1721" s="189" t="s">
        <v>138</v>
      </c>
      <c r="C1721" s="189" t="s">
        <v>271</v>
      </c>
      <c r="D1721" s="189" t="s">
        <v>278</v>
      </c>
      <c r="E1721" s="189" t="s">
        <v>2054</v>
      </c>
      <c r="F1721" s="189" t="s">
        <v>265</v>
      </c>
      <c r="G1721" s="260">
        <v>-694</v>
      </c>
      <c r="H1721" s="260">
        <v>-694</v>
      </c>
      <c r="I1721" s="198" t="s">
        <v>101</v>
      </c>
      <c r="J1721" s="189" t="s">
        <v>277</v>
      </c>
      <c r="K1721" s="189"/>
      <c r="L1721" s="197"/>
      <c r="M1721" s="197"/>
      <c r="N1721" s="197"/>
      <c r="O1721" s="197"/>
    </row>
    <row r="1722" spans="1:15" hidden="1">
      <c r="A1722" s="189" t="s">
        <v>137</v>
      </c>
      <c r="B1722" s="189" t="s">
        <v>138</v>
      </c>
      <c r="C1722" s="189" t="s">
        <v>308</v>
      </c>
      <c r="D1722" s="189" t="s">
        <v>2055</v>
      </c>
      <c r="E1722" s="189" t="s">
        <v>2056</v>
      </c>
      <c r="F1722" s="189" t="s">
        <v>265</v>
      </c>
      <c r="G1722" s="260">
        <v>-174.2</v>
      </c>
      <c r="H1722" s="260">
        <v>-174.2</v>
      </c>
      <c r="I1722" s="214" t="s">
        <v>290</v>
      </c>
      <c r="J1722" s="189" t="s">
        <v>246</v>
      </c>
      <c r="K1722" s="189"/>
      <c r="L1722" s="197"/>
      <c r="M1722" s="197"/>
      <c r="N1722" s="197"/>
      <c r="O1722" s="197"/>
    </row>
    <row r="1723" spans="1:15" hidden="1">
      <c r="A1723" s="199" t="s">
        <v>209</v>
      </c>
      <c r="B1723" s="199" t="s">
        <v>138</v>
      </c>
      <c r="C1723" s="199" t="s">
        <v>2057</v>
      </c>
      <c r="D1723" s="199" t="s">
        <v>2058</v>
      </c>
      <c r="E1723" s="199" t="s">
        <v>2059</v>
      </c>
      <c r="F1723" s="199" t="s">
        <v>265</v>
      </c>
      <c r="G1723" s="266">
        <v>-82</v>
      </c>
      <c r="H1723" s="266">
        <v>-82</v>
      </c>
      <c r="I1723" s="198" t="s">
        <v>97</v>
      </c>
      <c r="J1723" s="199" t="s">
        <v>2060</v>
      </c>
      <c r="K1723" s="199"/>
      <c r="L1723" s="197"/>
      <c r="M1723" s="197"/>
      <c r="N1723" s="197"/>
      <c r="O1723" s="197"/>
    </row>
    <row r="1724" spans="1:15" hidden="1">
      <c r="A1724" s="189" t="s">
        <v>137</v>
      </c>
      <c r="B1724" s="189" t="s">
        <v>138</v>
      </c>
      <c r="C1724" s="189" t="s">
        <v>339</v>
      </c>
      <c r="D1724" s="189" t="s">
        <v>340</v>
      </c>
      <c r="E1724" s="189" t="s">
        <v>2061</v>
      </c>
      <c r="F1724" s="189" t="s">
        <v>265</v>
      </c>
      <c r="G1724" s="260">
        <v>-587.77</v>
      </c>
      <c r="H1724" s="260">
        <v>-587.77</v>
      </c>
      <c r="I1724" s="198" t="s">
        <v>88</v>
      </c>
      <c r="J1724" s="189" t="s">
        <v>277</v>
      </c>
      <c r="K1724" s="189"/>
      <c r="L1724" s="197"/>
      <c r="M1724" s="197"/>
      <c r="N1724" s="197"/>
      <c r="O1724" s="197"/>
    </row>
    <row r="1725" spans="1:15" hidden="1">
      <c r="A1725" s="189" t="s">
        <v>137</v>
      </c>
      <c r="B1725" s="189" t="s">
        <v>138</v>
      </c>
      <c r="C1725" s="189" t="s">
        <v>100</v>
      </c>
      <c r="D1725" s="189" t="s">
        <v>2062</v>
      </c>
      <c r="E1725" s="189" t="s">
        <v>2063</v>
      </c>
      <c r="F1725" s="189" t="s">
        <v>265</v>
      </c>
      <c r="G1725" s="260">
        <v>-42.9</v>
      </c>
      <c r="H1725" s="260">
        <v>-42.9</v>
      </c>
      <c r="I1725" s="198" t="s">
        <v>100</v>
      </c>
      <c r="J1725" s="189" t="s">
        <v>143</v>
      </c>
      <c r="K1725" s="189"/>
      <c r="L1725" s="197"/>
      <c r="M1725" s="197"/>
      <c r="N1725" s="197"/>
      <c r="O1725" s="197"/>
    </row>
    <row r="1726" spans="1:15" hidden="1">
      <c r="A1726" s="189" t="s">
        <v>137</v>
      </c>
      <c r="B1726" s="189" t="s">
        <v>138</v>
      </c>
      <c r="C1726" s="189" t="s">
        <v>349</v>
      </c>
      <c r="D1726" s="189" t="s">
        <v>350</v>
      </c>
      <c r="E1726" s="189" t="s">
        <v>2064</v>
      </c>
      <c r="F1726" s="189" t="s">
        <v>265</v>
      </c>
      <c r="G1726" s="266">
        <v>-92.65</v>
      </c>
      <c r="H1726" s="260">
        <v>-92.65</v>
      </c>
      <c r="I1726" s="198" t="s">
        <v>100</v>
      </c>
      <c r="J1726" s="189" t="s">
        <v>143</v>
      </c>
      <c r="K1726" s="189"/>
      <c r="L1726" s="197"/>
      <c r="M1726" s="197"/>
      <c r="N1726" s="197"/>
      <c r="O1726" s="197"/>
    </row>
    <row r="1727" spans="1:15" hidden="1">
      <c r="A1727" s="189" t="s">
        <v>137</v>
      </c>
      <c r="B1727" s="189" t="s">
        <v>138</v>
      </c>
      <c r="C1727" s="189" t="s">
        <v>349</v>
      </c>
      <c r="D1727" s="189" t="s">
        <v>356</v>
      </c>
      <c r="E1727" s="189" t="s">
        <v>1681</v>
      </c>
      <c r="F1727" s="189" t="s">
        <v>265</v>
      </c>
      <c r="G1727" s="260">
        <v>-119</v>
      </c>
      <c r="H1727" s="260">
        <v>-119</v>
      </c>
      <c r="I1727" s="198" t="s">
        <v>100</v>
      </c>
      <c r="J1727" s="189" t="s">
        <v>143</v>
      </c>
      <c r="K1727" s="189"/>
      <c r="L1727" s="197"/>
      <c r="M1727" s="197"/>
      <c r="N1727" s="197"/>
      <c r="O1727" s="197"/>
    </row>
    <row r="1728" spans="1:15" hidden="1">
      <c r="A1728" s="189" t="s">
        <v>137</v>
      </c>
      <c r="B1728" s="189" t="s">
        <v>138</v>
      </c>
      <c r="C1728" s="189" t="s">
        <v>349</v>
      </c>
      <c r="D1728" s="189" t="s">
        <v>1684</v>
      </c>
      <c r="E1728" s="189" t="s">
        <v>1685</v>
      </c>
      <c r="F1728" s="189" t="s">
        <v>265</v>
      </c>
      <c r="G1728" s="260">
        <v>-760</v>
      </c>
      <c r="H1728" s="260">
        <v>-760</v>
      </c>
      <c r="I1728" s="198" t="s">
        <v>100</v>
      </c>
      <c r="J1728" s="189" t="s">
        <v>143</v>
      </c>
      <c r="K1728" s="189"/>
      <c r="L1728" s="197"/>
      <c r="M1728" s="197"/>
      <c r="N1728" s="197"/>
      <c r="O1728" s="197"/>
    </row>
    <row r="1729" spans="1:15" hidden="1">
      <c r="A1729" s="189" t="s">
        <v>137</v>
      </c>
      <c r="B1729" s="189" t="s">
        <v>138</v>
      </c>
      <c r="C1729" s="189" t="s">
        <v>93</v>
      </c>
      <c r="D1729" s="189" t="s">
        <v>364</v>
      </c>
      <c r="E1729" s="189" t="s">
        <v>2065</v>
      </c>
      <c r="F1729" s="189" t="s">
        <v>265</v>
      </c>
      <c r="G1729" s="260">
        <v>-1052.6400000000001</v>
      </c>
      <c r="H1729" s="260">
        <v>-1052.6400000000001</v>
      </c>
      <c r="I1729" s="198" t="s">
        <v>93</v>
      </c>
      <c r="J1729" s="189" t="s">
        <v>164</v>
      </c>
      <c r="K1729" s="189"/>
      <c r="L1729" s="197"/>
      <c r="M1729" s="197"/>
      <c r="N1729" s="197"/>
      <c r="O1729" s="197"/>
    </row>
    <row r="1730" spans="1:15" hidden="1">
      <c r="A1730" s="189" t="s">
        <v>232</v>
      </c>
      <c r="B1730" s="189" t="s">
        <v>138</v>
      </c>
      <c r="C1730" s="189" t="s">
        <v>93</v>
      </c>
      <c r="D1730" s="189" t="s">
        <v>364</v>
      </c>
      <c r="E1730" s="189" t="s">
        <v>2066</v>
      </c>
      <c r="F1730" s="189" t="s">
        <v>265</v>
      </c>
      <c r="G1730" s="260">
        <v>-122.4</v>
      </c>
      <c r="H1730" s="260">
        <v>-122.4</v>
      </c>
      <c r="I1730" s="198" t="s">
        <v>93</v>
      </c>
      <c r="J1730" s="189" t="s">
        <v>164</v>
      </c>
      <c r="K1730" s="189"/>
      <c r="L1730" s="197"/>
      <c r="M1730" s="197"/>
      <c r="N1730" s="197"/>
      <c r="O1730" s="197"/>
    </row>
    <row r="1731" spans="1:15" hidden="1">
      <c r="A1731" s="189" t="s">
        <v>232</v>
      </c>
      <c r="B1731" s="189" t="s">
        <v>138</v>
      </c>
      <c r="C1731" s="189" t="s">
        <v>93</v>
      </c>
      <c r="D1731" s="189" t="s">
        <v>372</v>
      </c>
      <c r="E1731" s="189" t="s">
        <v>2067</v>
      </c>
      <c r="F1731" s="189" t="s">
        <v>265</v>
      </c>
      <c r="G1731" s="260">
        <v>-2647.76</v>
      </c>
      <c r="H1731" s="260">
        <v>-2647.76</v>
      </c>
      <c r="I1731" s="198" t="s">
        <v>93</v>
      </c>
      <c r="J1731" s="189" t="s">
        <v>164</v>
      </c>
      <c r="K1731" s="189"/>
      <c r="L1731" s="197"/>
      <c r="M1731" s="197"/>
      <c r="N1731" s="197"/>
      <c r="O1731" s="197"/>
    </row>
    <row r="1732" spans="1:15" hidden="1">
      <c r="A1732" s="189" t="s">
        <v>137</v>
      </c>
      <c r="B1732" s="189" t="s">
        <v>138</v>
      </c>
      <c r="C1732" s="189" t="s">
        <v>93</v>
      </c>
      <c r="D1732" s="189" t="s">
        <v>372</v>
      </c>
      <c r="E1732" s="189" t="s">
        <v>2067</v>
      </c>
      <c r="F1732" s="189" t="s">
        <v>265</v>
      </c>
      <c r="G1732" s="260">
        <v>-2144.65</v>
      </c>
      <c r="H1732" s="260">
        <v>-2144.65</v>
      </c>
      <c r="I1732" s="198" t="s">
        <v>93</v>
      </c>
      <c r="J1732" s="189" t="s">
        <v>164</v>
      </c>
      <c r="K1732" s="189"/>
      <c r="L1732" s="197"/>
      <c r="M1732" s="197"/>
      <c r="N1732" s="197"/>
      <c r="O1732" s="197"/>
    </row>
    <row r="1733" spans="1:15" hidden="1">
      <c r="A1733" s="189" t="s">
        <v>137</v>
      </c>
      <c r="B1733" s="189" t="s">
        <v>138</v>
      </c>
      <c r="C1733" s="189" t="s">
        <v>93</v>
      </c>
      <c r="D1733" s="189" t="s">
        <v>372</v>
      </c>
      <c r="E1733" s="189" t="s">
        <v>2068</v>
      </c>
      <c r="F1733" s="189" t="s">
        <v>265</v>
      </c>
      <c r="G1733" s="260">
        <v>-800</v>
      </c>
      <c r="H1733" s="260">
        <v>-800</v>
      </c>
      <c r="I1733" s="198" t="s">
        <v>93</v>
      </c>
      <c r="J1733" s="189" t="s">
        <v>164</v>
      </c>
      <c r="K1733" s="189"/>
      <c r="L1733" s="197"/>
      <c r="M1733" s="197"/>
      <c r="N1733" s="197"/>
      <c r="O1733" s="197"/>
    </row>
    <row r="1734" spans="1:15" hidden="1">
      <c r="A1734" s="189" t="s">
        <v>137</v>
      </c>
      <c r="B1734" s="189" t="s">
        <v>138</v>
      </c>
      <c r="C1734" s="189" t="s">
        <v>93</v>
      </c>
      <c r="D1734" s="189" t="s">
        <v>372</v>
      </c>
      <c r="E1734" s="189" t="s">
        <v>2069</v>
      </c>
      <c r="F1734" s="189" t="s">
        <v>265</v>
      </c>
      <c r="G1734" s="260">
        <v>-130</v>
      </c>
      <c r="H1734" s="260">
        <v>-130</v>
      </c>
      <c r="I1734" s="198" t="s">
        <v>93</v>
      </c>
      <c r="J1734" s="189" t="s">
        <v>164</v>
      </c>
      <c r="K1734" s="189"/>
      <c r="L1734" s="197"/>
      <c r="M1734" s="197"/>
      <c r="N1734" s="197"/>
      <c r="O1734" s="197"/>
    </row>
    <row r="1735" spans="1:15">
      <c r="A1735" s="199" t="s">
        <v>243</v>
      </c>
      <c r="B1735" s="288" t="s">
        <v>138</v>
      </c>
      <c r="C1735" s="288" t="s">
        <v>106</v>
      </c>
      <c r="D1735" s="288" t="s">
        <v>655</v>
      </c>
      <c r="E1735" s="288" t="s">
        <v>2070</v>
      </c>
      <c r="F1735" s="267" t="s">
        <v>268</v>
      </c>
      <c r="G1735" s="289">
        <v>-0.5</v>
      </c>
      <c r="H1735" s="289">
        <v>-0.5</v>
      </c>
      <c r="I1735" s="198" t="s">
        <v>106</v>
      </c>
      <c r="J1735" s="250" t="s">
        <v>164</v>
      </c>
      <c r="K1735" s="290"/>
      <c r="L1735" s="197"/>
      <c r="M1735" s="197"/>
      <c r="N1735" s="197"/>
      <c r="O1735" s="197"/>
    </row>
    <row r="1736" spans="1:15" hidden="1">
      <c r="A1736" s="189" t="s">
        <v>137</v>
      </c>
      <c r="B1736" s="189" t="s">
        <v>138</v>
      </c>
      <c r="C1736" s="189" t="s">
        <v>83</v>
      </c>
      <c r="D1736" s="189" t="s">
        <v>157</v>
      </c>
      <c r="E1736" s="189" t="s">
        <v>2071</v>
      </c>
      <c r="F1736" s="189" t="s">
        <v>265</v>
      </c>
      <c r="G1736" s="260">
        <v>-6750</v>
      </c>
      <c r="H1736" s="260">
        <v>-6750</v>
      </c>
      <c r="I1736" s="198" t="s">
        <v>83</v>
      </c>
      <c r="J1736" s="244" t="s">
        <v>159</v>
      </c>
      <c r="K1736" s="189"/>
      <c r="L1736" s="197"/>
      <c r="M1736" s="197"/>
      <c r="N1736" s="197"/>
      <c r="O1736" s="197"/>
    </row>
    <row r="1737" spans="1:15" hidden="1">
      <c r="A1737" s="189" t="s">
        <v>232</v>
      </c>
      <c r="B1737" s="189" t="s">
        <v>138</v>
      </c>
      <c r="C1737" s="189" t="s">
        <v>83</v>
      </c>
      <c r="D1737" s="189" t="s">
        <v>393</v>
      </c>
      <c r="E1737" s="189" t="s">
        <v>2072</v>
      </c>
      <c r="F1737" s="189" t="s">
        <v>265</v>
      </c>
      <c r="G1737" s="260">
        <v>-450</v>
      </c>
      <c r="H1737" s="260">
        <v>-450</v>
      </c>
      <c r="I1737" s="198" t="s">
        <v>83</v>
      </c>
      <c r="J1737" s="189" t="s">
        <v>164</v>
      </c>
      <c r="K1737" s="189"/>
      <c r="L1737" s="197"/>
      <c r="M1737" s="197"/>
      <c r="N1737" s="197"/>
      <c r="O1737" s="197"/>
    </row>
    <row r="1738" spans="1:15" hidden="1">
      <c r="A1738" s="189" t="s">
        <v>137</v>
      </c>
      <c r="B1738" s="189" t="s">
        <v>138</v>
      </c>
      <c r="C1738" s="189" t="s">
        <v>83</v>
      </c>
      <c r="D1738" s="189" t="s">
        <v>2073</v>
      </c>
      <c r="E1738" s="189" t="s">
        <v>2074</v>
      </c>
      <c r="F1738" s="189" t="s">
        <v>265</v>
      </c>
      <c r="G1738" s="260">
        <v>-1000</v>
      </c>
      <c r="H1738" s="260">
        <v>-1000</v>
      </c>
      <c r="I1738" s="198" t="s">
        <v>83</v>
      </c>
      <c r="J1738" s="244" t="s">
        <v>476</v>
      </c>
      <c r="K1738" s="189"/>
      <c r="L1738" s="197"/>
      <c r="M1738" s="197"/>
      <c r="N1738" s="197"/>
      <c r="O1738" s="197"/>
    </row>
    <row r="1739" spans="1:15" ht="25.5" hidden="1">
      <c r="A1739" s="199" t="s">
        <v>137</v>
      </c>
      <c r="B1739" s="189" t="s">
        <v>138</v>
      </c>
      <c r="C1739" s="189" t="s">
        <v>38</v>
      </c>
      <c r="D1739" s="189" t="s">
        <v>2075</v>
      </c>
      <c r="E1739" s="223" t="s">
        <v>2076</v>
      </c>
      <c r="F1739" s="189" t="s">
        <v>142</v>
      </c>
      <c r="G1739" s="258">
        <v>-6.27</v>
      </c>
      <c r="H1739" s="260">
        <v>-6.27</v>
      </c>
      <c r="I1739" s="188" t="s">
        <v>38</v>
      </c>
      <c r="J1739" s="189" t="s">
        <v>316</v>
      </c>
      <c r="K1739" s="189"/>
      <c r="L1739" s="197"/>
      <c r="M1739" s="197"/>
      <c r="N1739" s="197"/>
      <c r="O1739" s="197"/>
    </row>
    <row r="1740" spans="1:15" ht="25.5" hidden="1">
      <c r="A1740" s="199" t="s">
        <v>137</v>
      </c>
      <c r="B1740" s="189" t="s">
        <v>138</v>
      </c>
      <c r="C1740" s="189" t="s">
        <v>38</v>
      </c>
      <c r="D1740" s="189" t="s">
        <v>2075</v>
      </c>
      <c r="E1740" s="223" t="s">
        <v>2076</v>
      </c>
      <c r="F1740" s="189" t="s">
        <v>142</v>
      </c>
      <c r="G1740" s="258">
        <v>-1.38</v>
      </c>
      <c r="H1740" s="260">
        <v>-1.38</v>
      </c>
      <c r="I1740" s="188" t="s">
        <v>38</v>
      </c>
      <c r="J1740" s="189" t="s">
        <v>316</v>
      </c>
      <c r="K1740" s="189"/>
      <c r="L1740" s="197"/>
      <c r="M1740" s="197"/>
      <c r="N1740" s="197"/>
      <c r="O1740" s="197"/>
    </row>
    <row r="1741" spans="1:15" ht="25.5" hidden="1">
      <c r="A1741" s="199" t="s">
        <v>137</v>
      </c>
      <c r="B1741" s="189" t="s">
        <v>138</v>
      </c>
      <c r="C1741" s="189" t="s">
        <v>38</v>
      </c>
      <c r="D1741" s="189" t="s">
        <v>2075</v>
      </c>
      <c r="E1741" s="223" t="s">
        <v>2077</v>
      </c>
      <c r="F1741" s="189" t="s">
        <v>142</v>
      </c>
      <c r="G1741" s="258">
        <v>-79.84</v>
      </c>
      <c r="H1741" s="260">
        <v>-79.84</v>
      </c>
      <c r="I1741" s="188" t="s">
        <v>38</v>
      </c>
      <c r="J1741" s="189" t="s">
        <v>169</v>
      </c>
      <c r="K1741" s="189"/>
      <c r="L1741" s="197"/>
      <c r="M1741" s="197"/>
      <c r="N1741" s="197"/>
      <c r="O1741" s="197"/>
    </row>
    <row r="1742" spans="1:15" ht="25.5" hidden="1">
      <c r="A1742" s="199" t="s">
        <v>137</v>
      </c>
      <c r="B1742" s="189" t="s">
        <v>138</v>
      </c>
      <c r="C1742" s="189" t="s">
        <v>38</v>
      </c>
      <c r="D1742" s="189" t="s">
        <v>2075</v>
      </c>
      <c r="E1742" s="223" t="s">
        <v>2077</v>
      </c>
      <c r="F1742" s="189" t="s">
        <v>142</v>
      </c>
      <c r="G1742" s="258">
        <v>-15.69</v>
      </c>
      <c r="H1742" s="260">
        <v>-15.69</v>
      </c>
      <c r="I1742" s="188" t="s">
        <v>38</v>
      </c>
      <c r="J1742" s="189" t="s">
        <v>169</v>
      </c>
      <c r="K1742" s="189"/>
      <c r="L1742" s="197"/>
      <c r="M1742" s="197"/>
      <c r="N1742" s="197"/>
      <c r="O1742" s="197"/>
    </row>
    <row r="1743" spans="1:15" hidden="1">
      <c r="A1743" s="199" t="s">
        <v>137</v>
      </c>
      <c r="B1743" s="189" t="s">
        <v>138</v>
      </c>
      <c r="C1743" s="189" t="s">
        <v>38</v>
      </c>
      <c r="D1743" s="189" t="s">
        <v>425</v>
      </c>
      <c r="E1743" s="223" t="s">
        <v>404</v>
      </c>
      <c r="F1743" s="189" t="s">
        <v>142</v>
      </c>
      <c r="G1743" s="258">
        <v>-1.44</v>
      </c>
      <c r="H1743" s="260">
        <v>-1.44</v>
      </c>
      <c r="I1743" s="188" t="s">
        <v>38</v>
      </c>
      <c r="J1743" s="189" t="s">
        <v>316</v>
      </c>
      <c r="K1743" s="189"/>
      <c r="L1743" s="197"/>
      <c r="M1743" s="197"/>
      <c r="N1743" s="197"/>
      <c r="O1743" s="197"/>
    </row>
    <row r="1744" spans="1:15" hidden="1">
      <c r="A1744" s="199" t="s">
        <v>137</v>
      </c>
      <c r="B1744" s="189" t="s">
        <v>138</v>
      </c>
      <c r="C1744" s="189" t="s">
        <v>38</v>
      </c>
      <c r="D1744" s="189" t="s">
        <v>425</v>
      </c>
      <c r="E1744" s="223" t="s">
        <v>2078</v>
      </c>
      <c r="F1744" s="189" t="s">
        <v>142</v>
      </c>
      <c r="G1744" s="258">
        <v>-23.8</v>
      </c>
      <c r="H1744" s="260">
        <v>-23.8</v>
      </c>
      <c r="I1744" s="188" t="s">
        <v>38</v>
      </c>
      <c r="J1744" s="189" t="s">
        <v>169</v>
      </c>
      <c r="K1744" s="293"/>
      <c r="L1744" s="197"/>
      <c r="M1744" s="197"/>
      <c r="N1744" s="197"/>
      <c r="O1744" s="197"/>
    </row>
    <row r="1745" spans="1:15" hidden="1">
      <c r="A1745" s="189" t="s">
        <v>137</v>
      </c>
      <c r="B1745" s="189" t="s">
        <v>138</v>
      </c>
      <c r="C1745" s="189" t="s">
        <v>109</v>
      </c>
      <c r="D1745" s="189" t="s">
        <v>426</v>
      </c>
      <c r="E1745" s="189" t="s">
        <v>2079</v>
      </c>
      <c r="F1745" s="189" t="s">
        <v>265</v>
      </c>
      <c r="G1745" s="260">
        <v>-124.7</v>
      </c>
      <c r="H1745" s="260">
        <v>-124.7</v>
      </c>
      <c r="I1745" s="198" t="s">
        <v>109</v>
      </c>
      <c r="J1745" s="189" t="s">
        <v>277</v>
      </c>
      <c r="K1745" s="189"/>
      <c r="L1745" s="197"/>
      <c r="M1745" s="197"/>
      <c r="N1745" s="197"/>
      <c r="O1745" s="197"/>
    </row>
    <row r="1746" spans="1:15" hidden="1">
      <c r="A1746" s="189" t="s">
        <v>137</v>
      </c>
      <c r="B1746" s="189" t="s">
        <v>138</v>
      </c>
      <c r="C1746" s="189" t="s">
        <v>89</v>
      </c>
      <c r="D1746" s="189" t="s">
        <v>433</v>
      </c>
      <c r="E1746" s="189" t="s">
        <v>2080</v>
      </c>
      <c r="F1746" s="189" t="s">
        <v>265</v>
      </c>
      <c r="G1746" s="260">
        <v>-2257.34</v>
      </c>
      <c r="H1746" s="260">
        <v>-2257.34</v>
      </c>
      <c r="I1746" s="198" t="s">
        <v>89</v>
      </c>
      <c r="J1746" s="244" t="s">
        <v>246</v>
      </c>
      <c r="K1746" s="189"/>
      <c r="L1746" s="197"/>
      <c r="M1746" s="197"/>
      <c r="N1746" s="197"/>
      <c r="O1746" s="197"/>
    </row>
    <row r="1747" spans="1:15" hidden="1">
      <c r="A1747" s="189" t="s">
        <v>137</v>
      </c>
      <c r="B1747" s="189" t="s">
        <v>138</v>
      </c>
      <c r="C1747" s="189" t="s">
        <v>99</v>
      </c>
      <c r="D1747" s="189" t="s">
        <v>446</v>
      </c>
      <c r="E1747" s="189" t="s">
        <v>2081</v>
      </c>
      <c r="F1747" s="189" t="s">
        <v>265</v>
      </c>
      <c r="G1747" s="260">
        <v>-342.3</v>
      </c>
      <c r="H1747" s="260">
        <v>-342.3</v>
      </c>
      <c r="I1747" s="198" t="s">
        <v>99</v>
      </c>
      <c r="J1747" s="189" t="s">
        <v>246</v>
      </c>
      <c r="K1747" s="189"/>
      <c r="L1747" s="197"/>
      <c r="M1747" s="197"/>
      <c r="N1747" s="197"/>
      <c r="O1747" s="197"/>
    </row>
    <row r="1748" spans="1:15" hidden="1">
      <c r="A1748" s="189" t="s">
        <v>137</v>
      </c>
      <c r="B1748" s="189" t="s">
        <v>138</v>
      </c>
      <c r="C1748" s="189" t="s">
        <v>452</v>
      </c>
      <c r="D1748" s="189" t="s">
        <v>455</v>
      </c>
      <c r="E1748" s="189" t="s">
        <v>2082</v>
      </c>
      <c r="F1748" s="189" t="s">
        <v>265</v>
      </c>
      <c r="G1748" s="260">
        <v>-34</v>
      </c>
      <c r="H1748" s="260">
        <v>-34</v>
      </c>
      <c r="I1748" s="198" t="s">
        <v>99</v>
      </c>
      <c r="J1748" s="189" t="s">
        <v>164</v>
      </c>
      <c r="K1748" s="189"/>
      <c r="L1748" s="197"/>
      <c r="M1748" s="197"/>
      <c r="N1748" s="197"/>
      <c r="O1748" s="197"/>
    </row>
    <row r="1749" spans="1:15" hidden="1">
      <c r="A1749" s="189" t="s">
        <v>137</v>
      </c>
      <c r="B1749" s="189" t="s">
        <v>138</v>
      </c>
      <c r="C1749" s="189" t="s">
        <v>452</v>
      </c>
      <c r="D1749" s="189" t="s">
        <v>455</v>
      </c>
      <c r="E1749" s="189" t="s">
        <v>2083</v>
      </c>
      <c r="F1749" s="189" t="s">
        <v>265</v>
      </c>
      <c r="G1749" s="260">
        <v>-25</v>
      </c>
      <c r="H1749" s="260">
        <v>-25</v>
      </c>
      <c r="I1749" s="198" t="s">
        <v>99</v>
      </c>
      <c r="J1749" s="189" t="s">
        <v>164</v>
      </c>
      <c r="K1749" s="189"/>
      <c r="L1749" s="197"/>
      <c r="M1749" s="197"/>
      <c r="N1749" s="197"/>
      <c r="O1749" s="197"/>
    </row>
    <row r="1750" spans="1:15" hidden="1">
      <c r="A1750" s="189" t="s">
        <v>137</v>
      </c>
      <c r="B1750" s="189" t="s">
        <v>138</v>
      </c>
      <c r="C1750" s="189" t="s">
        <v>452</v>
      </c>
      <c r="D1750" s="189" t="s">
        <v>455</v>
      </c>
      <c r="E1750" s="189" t="s">
        <v>2084</v>
      </c>
      <c r="F1750" s="189" t="s">
        <v>265</v>
      </c>
      <c r="G1750" s="260">
        <v>-18</v>
      </c>
      <c r="H1750" s="260">
        <v>-18</v>
      </c>
      <c r="I1750" s="214" t="s">
        <v>99</v>
      </c>
      <c r="J1750" s="189" t="s">
        <v>164</v>
      </c>
      <c r="K1750" s="189"/>
      <c r="L1750" s="197"/>
      <c r="M1750" s="197"/>
      <c r="N1750" s="197"/>
      <c r="O1750" s="197"/>
    </row>
    <row r="1751" spans="1:15" hidden="1">
      <c r="A1751" s="189" t="s">
        <v>137</v>
      </c>
      <c r="B1751" s="189" t="s">
        <v>138</v>
      </c>
      <c r="C1751" s="189" t="s">
        <v>452</v>
      </c>
      <c r="D1751" s="189" t="s">
        <v>201</v>
      </c>
      <c r="E1751" s="189" t="s">
        <v>2085</v>
      </c>
      <c r="F1751" s="189" t="s">
        <v>265</v>
      </c>
      <c r="G1751" s="260">
        <v>-47.3</v>
      </c>
      <c r="H1751" s="260">
        <v>-47.3</v>
      </c>
      <c r="I1751" s="214" t="s">
        <v>99</v>
      </c>
      <c r="J1751" s="189" t="s">
        <v>164</v>
      </c>
      <c r="K1751" s="189"/>
      <c r="L1751" s="197"/>
      <c r="M1751" s="197"/>
      <c r="N1751" s="197"/>
      <c r="O1751" s="197"/>
    </row>
    <row r="1752" spans="1:15" hidden="1">
      <c r="A1752" s="189" t="s">
        <v>232</v>
      </c>
      <c r="B1752" s="189" t="s">
        <v>138</v>
      </c>
      <c r="C1752" s="189" t="s">
        <v>106</v>
      </c>
      <c r="D1752" s="189" t="s">
        <v>655</v>
      </c>
      <c r="E1752" s="223" t="s">
        <v>2086</v>
      </c>
      <c r="F1752" s="189" t="s">
        <v>153</v>
      </c>
      <c r="G1752" s="258">
        <v>-81.400000000000006</v>
      </c>
      <c r="H1752" s="260">
        <v>-81.400000000000006</v>
      </c>
      <c r="I1752" s="195" t="s">
        <v>106</v>
      </c>
      <c r="J1752" s="244" t="s">
        <v>164</v>
      </c>
      <c r="K1752" s="199"/>
      <c r="L1752" s="197"/>
      <c r="M1752" s="197"/>
      <c r="N1752" s="197"/>
      <c r="O1752" s="197"/>
    </row>
    <row r="1753" spans="1:15" hidden="1">
      <c r="A1753" s="189" t="s">
        <v>232</v>
      </c>
      <c r="B1753" s="189" t="s">
        <v>138</v>
      </c>
      <c r="C1753" s="189" t="s">
        <v>106</v>
      </c>
      <c r="D1753" s="189" t="s">
        <v>655</v>
      </c>
      <c r="E1753" s="223" t="s">
        <v>2087</v>
      </c>
      <c r="F1753" s="189" t="s">
        <v>153</v>
      </c>
      <c r="G1753" s="258">
        <v>-3.5</v>
      </c>
      <c r="H1753" s="260">
        <v>-3.5</v>
      </c>
      <c r="I1753" s="195" t="s">
        <v>106</v>
      </c>
      <c r="J1753" s="244" t="s">
        <v>164</v>
      </c>
      <c r="K1753" s="199"/>
      <c r="L1753" s="197"/>
      <c r="M1753" s="197"/>
      <c r="N1753" s="197"/>
      <c r="O1753" s="197"/>
    </row>
    <row r="1754" spans="1:15" hidden="1">
      <c r="A1754" s="189" t="s">
        <v>232</v>
      </c>
      <c r="B1754" s="189" t="s">
        <v>138</v>
      </c>
      <c r="C1754" s="189" t="s">
        <v>106</v>
      </c>
      <c r="D1754" s="189" t="s">
        <v>655</v>
      </c>
      <c r="E1754" s="223" t="s">
        <v>1337</v>
      </c>
      <c r="F1754" s="189" t="s">
        <v>153</v>
      </c>
      <c r="G1754" s="258">
        <v>-40</v>
      </c>
      <c r="H1754" s="260">
        <v>-40</v>
      </c>
      <c r="I1754" s="195" t="s">
        <v>106</v>
      </c>
      <c r="J1754" s="244" t="s">
        <v>164</v>
      </c>
      <c r="K1754" s="294"/>
      <c r="L1754" s="197"/>
      <c r="M1754" s="197"/>
      <c r="N1754" s="197"/>
      <c r="O1754" s="197"/>
    </row>
    <row r="1755" spans="1:15" hidden="1">
      <c r="A1755" s="189" t="s">
        <v>232</v>
      </c>
      <c r="B1755" s="189" t="s">
        <v>138</v>
      </c>
      <c r="C1755" s="189" t="s">
        <v>106</v>
      </c>
      <c r="D1755" s="189" t="s">
        <v>655</v>
      </c>
      <c r="E1755" s="223" t="s">
        <v>2088</v>
      </c>
      <c r="F1755" s="189" t="s">
        <v>153</v>
      </c>
      <c r="G1755" s="258">
        <v>-0.27</v>
      </c>
      <c r="H1755" s="260">
        <v>-0.27</v>
      </c>
      <c r="I1755" s="195" t="s">
        <v>106</v>
      </c>
      <c r="J1755" s="244" t="s">
        <v>164</v>
      </c>
      <c r="K1755" s="199"/>
      <c r="L1755" s="197"/>
      <c r="M1755" s="197"/>
      <c r="N1755" s="197"/>
      <c r="O1755" s="197"/>
    </row>
    <row r="1756" spans="1:15" hidden="1">
      <c r="A1756" s="189" t="s">
        <v>232</v>
      </c>
      <c r="B1756" s="189" t="s">
        <v>138</v>
      </c>
      <c r="C1756" s="189" t="s">
        <v>106</v>
      </c>
      <c r="D1756" s="189" t="s">
        <v>655</v>
      </c>
      <c r="E1756" s="223" t="s">
        <v>2089</v>
      </c>
      <c r="F1756" s="189" t="s">
        <v>153</v>
      </c>
      <c r="G1756" s="258">
        <v>-224</v>
      </c>
      <c r="H1756" s="260">
        <v>-224</v>
      </c>
      <c r="I1756" s="195" t="s">
        <v>106</v>
      </c>
      <c r="J1756" s="244" t="s">
        <v>164</v>
      </c>
      <c r="K1756" s="199"/>
      <c r="L1756" s="197"/>
      <c r="M1756" s="197"/>
      <c r="N1756" s="197"/>
      <c r="O1756" s="197"/>
    </row>
    <row r="1757" spans="1:15">
      <c r="A1757" s="199" t="s">
        <v>243</v>
      </c>
      <c r="B1757" s="288" t="s">
        <v>138</v>
      </c>
      <c r="C1757" s="288" t="s">
        <v>106</v>
      </c>
      <c r="D1757" s="288" t="s">
        <v>655</v>
      </c>
      <c r="E1757" s="288" t="s">
        <v>2090</v>
      </c>
      <c r="F1757" s="267" t="s">
        <v>268</v>
      </c>
      <c r="G1757" s="289">
        <v>-0.5</v>
      </c>
      <c r="H1757" s="289">
        <v>-0.5</v>
      </c>
      <c r="I1757" s="198" t="s">
        <v>106</v>
      </c>
      <c r="J1757" s="250" t="s">
        <v>164</v>
      </c>
      <c r="K1757" s="290"/>
      <c r="L1757" s="197"/>
      <c r="M1757" s="197"/>
      <c r="N1757" s="197"/>
      <c r="O1757" s="197"/>
    </row>
    <row r="1758" spans="1:15" hidden="1">
      <c r="A1758" s="279" t="s">
        <v>232</v>
      </c>
      <c r="B1758" s="279" t="s">
        <v>683</v>
      </c>
      <c r="C1758" s="279" t="s">
        <v>943</v>
      </c>
      <c r="D1758" s="279" t="s">
        <v>655</v>
      </c>
      <c r="E1758" s="279" t="s">
        <v>1591</v>
      </c>
      <c r="F1758" s="267" t="s">
        <v>265</v>
      </c>
      <c r="G1758" s="318">
        <v>2981.49</v>
      </c>
      <c r="H1758" s="318">
        <v>2981.49</v>
      </c>
      <c r="I1758" s="198" t="s">
        <v>945</v>
      </c>
      <c r="J1758" s="250" t="s">
        <v>206</v>
      </c>
      <c r="K1758" s="199"/>
      <c r="L1758" s="197"/>
      <c r="M1758" s="197"/>
      <c r="N1758" s="197"/>
      <c r="O1758" s="197"/>
    </row>
    <row r="1759" spans="1:15" hidden="1">
      <c r="A1759" s="279" t="s">
        <v>209</v>
      </c>
      <c r="B1759" s="279" t="s">
        <v>683</v>
      </c>
      <c r="C1759" s="279" t="s">
        <v>943</v>
      </c>
      <c r="D1759" s="279" t="s">
        <v>655</v>
      </c>
      <c r="E1759" s="279" t="s">
        <v>655</v>
      </c>
      <c r="F1759" s="267" t="s">
        <v>265</v>
      </c>
      <c r="G1759" s="318">
        <v>407.13</v>
      </c>
      <c r="H1759" s="318">
        <v>407.13</v>
      </c>
      <c r="I1759" s="198" t="s">
        <v>945</v>
      </c>
      <c r="J1759" s="250" t="s">
        <v>206</v>
      </c>
      <c r="K1759" s="199"/>
      <c r="L1759" s="197"/>
      <c r="M1759" s="197"/>
      <c r="N1759" s="197"/>
      <c r="O1759" s="197"/>
    </row>
    <row r="1760" spans="1:15" hidden="1">
      <c r="A1760" s="279" t="s">
        <v>137</v>
      </c>
      <c r="B1760" s="279" t="s">
        <v>683</v>
      </c>
      <c r="C1760" s="279" t="s">
        <v>943</v>
      </c>
      <c r="D1760" s="279" t="s">
        <v>655</v>
      </c>
      <c r="E1760" s="279" t="s">
        <v>1591</v>
      </c>
      <c r="F1760" s="267" t="s">
        <v>265</v>
      </c>
      <c r="G1760" s="318">
        <v>95.69</v>
      </c>
      <c r="H1760" s="318">
        <v>95.69</v>
      </c>
      <c r="I1760" s="198" t="s">
        <v>945</v>
      </c>
      <c r="J1760" s="250" t="s">
        <v>206</v>
      </c>
      <c r="K1760" s="199"/>
      <c r="L1760" s="197"/>
      <c r="M1760" s="197"/>
      <c r="N1760" s="197"/>
      <c r="O1760" s="197"/>
    </row>
    <row r="1761" spans="1:15" hidden="1">
      <c r="A1761" s="279" t="s">
        <v>137</v>
      </c>
      <c r="B1761" s="279" t="s">
        <v>683</v>
      </c>
      <c r="C1761" s="279" t="s">
        <v>943</v>
      </c>
      <c r="D1761" s="279" t="s">
        <v>655</v>
      </c>
      <c r="E1761" s="279" t="s">
        <v>1591</v>
      </c>
      <c r="F1761" s="267" t="s">
        <v>265</v>
      </c>
      <c r="G1761" s="318">
        <v>10.050000000000001</v>
      </c>
      <c r="H1761" s="318">
        <v>10.050000000000001</v>
      </c>
      <c r="I1761" s="198" t="s">
        <v>945</v>
      </c>
      <c r="J1761" s="250" t="s">
        <v>206</v>
      </c>
      <c r="K1761" s="199"/>
      <c r="L1761" s="197"/>
      <c r="M1761" s="197"/>
      <c r="N1761" s="197"/>
      <c r="O1761" s="197"/>
    </row>
    <row r="1762" spans="1:15" hidden="1">
      <c r="A1762" s="279" t="s">
        <v>137</v>
      </c>
      <c r="B1762" s="279" t="s">
        <v>683</v>
      </c>
      <c r="C1762" s="279" t="s">
        <v>943</v>
      </c>
      <c r="D1762" s="279" t="s">
        <v>655</v>
      </c>
      <c r="E1762" s="279" t="s">
        <v>1591</v>
      </c>
      <c r="F1762" s="267" t="s">
        <v>265</v>
      </c>
      <c r="G1762" s="318">
        <v>1.44</v>
      </c>
      <c r="H1762" s="318">
        <v>1.44</v>
      </c>
      <c r="I1762" s="198" t="s">
        <v>945</v>
      </c>
      <c r="J1762" s="250" t="s">
        <v>206</v>
      </c>
      <c r="K1762" s="199"/>
      <c r="L1762" s="197"/>
      <c r="M1762" s="197"/>
      <c r="N1762" s="197"/>
      <c r="O1762" s="197"/>
    </row>
    <row r="1763" spans="1:15" hidden="1">
      <c r="A1763" s="279" t="s">
        <v>137</v>
      </c>
      <c r="B1763" s="279" t="s">
        <v>683</v>
      </c>
      <c r="C1763" s="279" t="s">
        <v>943</v>
      </c>
      <c r="D1763" s="279" t="s">
        <v>655</v>
      </c>
      <c r="E1763" s="279" t="s">
        <v>2091</v>
      </c>
      <c r="F1763" s="267" t="s">
        <v>265</v>
      </c>
      <c r="G1763" s="318">
        <v>0.68</v>
      </c>
      <c r="H1763" s="318">
        <v>0.68</v>
      </c>
      <c r="I1763" s="198" t="s">
        <v>945</v>
      </c>
      <c r="J1763" s="250" t="s">
        <v>206</v>
      </c>
      <c r="K1763" s="199"/>
      <c r="L1763" s="197"/>
      <c r="M1763" s="197"/>
      <c r="N1763" s="197"/>
      <c r="O1763" s="197"/>
    </row>
    <row r="1764" spans="1:15" hidden="1">
      <c r="A1764" s="279" t="s">
        <v>232</v>
      </c>
      <c r="B1764" s="279" t="s">
        <v>683</v>
      </c>
      <c r="C1764" s="279" t="s">
        <v>943</v>
      </c>
      <c r="D1764" s="279" t="s">
        <v>655</v>
      </c>
      <c r="E1764" s="279" t="s">
        <v>655</v>
      </c>
      <c r="F1764" s="267" t="s">
        <v>265</v>
      </c>
      <c r="G1764" s="318">
        <v>0.02</v>
      </c>
      <c r="H1764" s="318">
        <v>0.02</v>
      </c>
      <c r="I1764" s="198" t="s">
        <v>945</v>
      </c>
      <c r="J1764" s="250" t="s">
        <v>206</v>
      </c>
      <c r="K1764" s="199"/>
      <c r="L1764" s="197"/>
      <c r="M1764" s="197"/>
      <c r="N1764" s="197"/>
      <c r="O1764" s="197"/>
    </row>
    <row r="1765" spans="1:15" hidden="1">
      <c r="A1765" s="279" t="s">
        <v>137</v>
      </c>
      <c r="B1765" s="279" t="s">
        <v>138</v>
      </c>
      <c r="C1765" s="279" t="s">
        <v>501</v>
      </c>
      <c r="D1765" s="279" t="s">
        <v>655</v>
      </c>
      <c r="E1765" s="279" t="s">
        <v>2092</v>
      </c>
      <c r="F1765" s="267" t="s">
        <v>265</v>
      </c>
      <c r="G1765" s="305">
        <v>-0.02</v>
      </c>
      <c r="H1765" s="305">
        <v>-0.02</v>
      </c>
      <c r="I1765" s="198" t="s">
        <v>503</v>
      </c>
      <c r="J1765" s="250" t="s">
        <v>206</v>
      </c>
      <c r="K1765" s="199"/>
      <c r="L1765" s="197"/>
      <c r="M1765" s="197"/>
      <c r="N1765" s="197"/>
      <c r="O1765" s="197"/>
    </row>
    <row r="1766" spans="1:15" hidden="1">
      <c r="A1766" s="279" t="s">
        <v>137</v>
      </c>
      <c r="B1766" s="279" t="s">
        <v>138</v>
      </c>
      <c r="C1766" s="279" t="s">
        <v>501</v>
      </c>
      <c r="D1766" s="279" t="s">
        <v>655</v>
      </c>
      <c r="E1766" s="279" t="s">
        <v>1350</v>
      </c>
      <c r="F1766" s="267" t="s">
        <v>265</v>
      </c>
      <c r="G1766" s="305">
        <v>-0.03</v>
      </c>
      <c r="H1766" s="305">
        <v>-0.03</v>
      </c>
      <c r="I1766" s="198" t="s">
        <v>503</v>
      </c>
      <c r="J1766" s="250" t="s">
        <v>206</v>
      </c>
      <c r="K1766" s="199"/>
      <c r="L1766" s="197"/>
      <c r="M1766" s="197"/>
      <c r="N1766" s="197"/>
      <c r="O1766" s="197"/>
    </row>
    <row r="1767" spans="1:15" hidden="1">
      <c r="A1767" s="279" t="s">
        <v>137</v>
      </c>
      <c r="B1767" s="279" t="s">
        <v>138</v>
      </c>
      <c r="C1767" s="279" t="s">
        <v>501</v>
      </c>
      <c r="D1767" s="279" t="s">
        <v>655</v>
      </c>
      <c r="E1767" s="279" t="s">
        <v>2093</v>
      </c>
      <c r="F1767" s="267" t="s">
        <v>265</v>
      </c>
      <c r="G1767" s="305">
        <v>-0.11</v>
      </c>
      <c r="H1767" s="305">
        <v>-0.11</v>
      </c>
      <c r="I1767" s="198" t="s">
        <v>503</v>
      </c>
      <c r="J1767" s="250" t="s">
        <v>206</v>
      </c>
      <c r="K1767" s="199"/>
      <c r="L1767" s="197"/>
      <c r="M1767" s="197"/>
      <c r="N1767" s="197"/>
      <c r="O1767" s="197"/>
    </row>
    <row r="1768" spans="1:15" hidden="1">
      <c r="A1768" s="279" t="s">
        <v>137</v>
      </c>
      <c r="B1768" s="279" t="s">
        <v>138</v>
      </c>
      <c r="C1768" s="279" t="s">
        <v>501</v>
      </c>
      <c r="D1768" s="279" t="s">
        <v>655</v>
      </c>
      <c r="E1768" s="279" t="s">
        <v>1350</v>
      </c>
      <c r="F1768" s="267" t="s">
        <v>265</v>
      </c>
      <c r="G1768" s="305">
        <v>-0.4</v>
      </c>
      <c r="H1768" s="305">
        <v>-0.4</v>
      </c>
      <c r="I1768" s="198" t="s">
        <v>503</v>
      </c>
      <c r="J1768" s="250" t="s">
        <v>206</v>
      </c>
      <c r="K1768" s="199"/>
      <c r="L1768" s="197"/>
      <c r="M1768" s="197"/>
      <c r="N1768" s="197"/>
      <c r="O1768" s="197"/>
    </row>
    <row r="1769" spans="1:15" hidden="1">
      <c r="A1769" s="279" t="s">
        <v>137</v>
      </c>
      <c r="B1769" s="279" t="s">
        <v>138</v>
      </c>
      <c r="C1769" s="279" t="s">
        <v>501</v>
      </c>
      <c r="D1769" s="279" t="s">
        <v>655</v>
      </c>
      <c r="E1769" s="279" t="s">
        <v>1350</v>
      </c>
      <c r="F1769" s="267" t="s">
        <v>265</v>
      </c>
      <c r="G1769" s="305">
        <v>-2.0099999999999998</v>
      </c>
      <c r="H1769" s="305">
        <v>-2.0099999999999998</v>
      </c>
      <c r="I1769" s="198" t="s">
        <v>503</v>
      </c>
      <c r="J1769" s="250" t="s">
        <v>206</v>
      </c>
      <c r="K1769" s="199"/>
      <c r="L1769" s="197"/>
      <c r="M1769" s="197"/>
      <c r="N1769" s="197"/>
      <c r="O1769" s="197"/>
    </row>
    <row r="1770" spans="1:15" hidden="1">
      <c r="A1770" s="279" t="s">
        <v>232</v>
      </c>
      <c r="B1770" s="279" t="s">
        <v>138</v>
      </c>
      <c r="C1770" s="279" t="s">
        <v>501</v>
      </c>
      <c r="D1770" s="279" t="s">
        <v>655</v>
      </c>
      <c r="E1770" s="279" t="s">
        <v>1350</v>
      </c>
      <c r="F1770" s="267" t="s">
        <v>265</v>
      </c>
      <c r="G1770" s="305">
        <v>-1725.99</v>
      </c>
      <c r="H1770" s="305">
        <v>-1725.99</v>
      </c>
      <c r="I1770" s="198" t="s">
        <v>503</v>
      </c>
      <c r="J1770" s="250" t="s">
        <v>206</v>
      </c>
      <c r="K1770" s="199"/>
      <c r="L1770" s="197"/>
      <c r="M1770" s="197"/>
      <c r="N1770" s="197"/>
      <c r="O1770" s="197"/>
    </row>
    <row r="1771" spans="1:15" hidden="1">
      <c r="A1771" s="189" t="s">
        <v>137</v>
      </c>
      <c r="B1771" s="189" t="s">
        <v>138</v>
      </c>
      <c r="C1771" s="189" t="s">
        <v>91</v>
      </c>
      <c r="D1771" s="189" t="s">
        <v>2094</v>
      </c>
      <c r="E1771" s="189" t="s">
        <v>2095</v>
      </c>
      <c r="F1771" s="189" t="s">
        <v>265</v>
      </c>
      <c r="G1771" s="260">
        <v>-280</v>
      </c>
      <c r="H1771" s="260">
        <v>-280</v>
      </c>
      <c r="I1771" s="198" t="s">
        <v>91</v>
      </c>
      <c r="J1771" s="189" t="s">
        <v>246</v>
      </c>
      <c r="K1771" s="189"/>
      <c r="L1771" s="197"/>
      <c r="M1771" s="197"/>
      <c r="N1771" s="197"/>
      <c r="O1771" s="197"/>
    </row>
    <row r="1772" spans="1:15" hidden="1">
      <c r="A1772" s="189" t="s">
        <v>137</v>
      </c>
      <c r="B1772" s="189" t="s">
        <v>138</v>
      </c>
      <c r="C1772" s="189" t="s">
        <v>91</v>
      </c>
      <c r="D1772" s="189" t="s">
        <v>512</v>
      </c>
      <c r="E1772" s="189" t="s">
        <v>2096</v>
      </c>
      <c r="F1772" s="189" t="s">
        <v>265</v>
      </c>
      <c r="G1772" s="260">
        <v>-280</v>
      </c>
      <c r="H1772" s="260">
        <v>-280</v>
      </c>
      <c r="I1772" s="198" t="s">
        <v>91</v>
      </c>
      <c r="J1772" s="189" t="s">
        <v>246</v>
      </c>
      <c r="K1772" s="189"/>
      <c r="L1772" s="197"/>
      <c r="M1772" s="197"/>
      <c r="N1772" s="197"/>
      <c r="O1772" s="197"/>
    </row>
    <row r="1773" spans="1:15" hidden="1">
      <c r="A1773" s="189" t="s">
        <v>137</v>
      </c>
      <c r="B1773" s="189" t="s">
        <v>138</v>
      </c>
      <c r="C1773" s="189" t="s">
        <v>91</v>
      </c>
      <c r="D1773" s="189" t="s">
        <v>2097</v>
      </c>
      <c r="E1773" s="189" t="s">
        <v>2098</v>
      </c>
      <c r="F1773" s="189" t="s">
        <v>265</v>
      </c>
      <c r="G1773" s="260">
        <v>-413</v>
      </c>
      <c r="H1773" s="260">
        <v>-413</v>
      </c>
      <c r="I1773" s="198" t="s">
        <v>91</v>
      </c>
      <c r="J1773" s="189" t="s">
        <v>246</v>
      </c>
      <c r="K1773" s="189"/>
      <c r="L1773" s="197"/>
      <c r="M1773" s="197"/>
      <c r="N1773" s="197"/>
      <c r="O1773" s="197"/>
    </row>
    <row r="1774" spans="1:15" hidden="1">
      <c r="A1774" s="189" t="s">
        <v>137</v>
      </c>
      <c r="B1774" s="189" t="s">
        <v>138</v>
      </c>
      <c r="C1774" s="189" t="s">
        <v>520</v>
      </c>
      <c r="D1774" s="189" t="s">
        <v>2099</v>
      </c>
      <c r="E1774" s="189" t="s">
        <v>2100</v>
      </c>
      <c r="F1774" s="189" t="s">
        <v>265</v>
      </c>
      <c r="G1774" s="260">
        <v>-260</v>
      </c>
      <c r="H1774" s="260">
        <v>-260</v>
      </c>
      <c r="I1774" s="198" t="s">
        <v>91</v>
      </c>
      <c r="J1774" s="189" t="s">
        <v>246</v>
      </c>
      <c r="K1774" s="189" t="s">
        <v>195</v>
      </c>
      <c r="L1774" s="197"/>
      <c r="M1774" s="197"/>
      <c r="N1774" s="197"/>
      <c r="O1774" s="197"/>
    </row>
    <row r="1775" spans="1:15" hidden="1">
      <c r="A1775" s="189" t="s">
        <v>137</v>
      </c>
      <c r="B1775" s="189" t="s">
        <v>138</v>
      </c>
      <c r="C1775" s="189" t="s">
        <v>520</v>
      </c>
      <c r="D1775" s="189" t="s">
        <v>525</v>
      </c>
      <c r="E1775" s="189" t="s">
        <v>2101</v>
      </c>
      <c r="F1775" s="189" t="s">
        <v>265</v>
      </c>
      <c r="G1775" s="260">
        <v>-360</v>
      </c>
      <c r="H1775" s="260">
        <v>-360</v>
      </c>
      <c r="I1775" s="198" t="s">
        <v>91</v>
      </c>
      <c r="J1775" s="244" t="s">
        <v>162</v>
      </c>
      <c r="K1775" s="189"/>
      <c r="L1775" s="197"/>
      <c r="M1775" s="197"/>
      <c r="N1775" s="197"/>
      <c r="O1775" s="197"/>
    </row>
    <row r="1776" spans="1:15" hidden="1">
      <c r="A1776" s="189" t="s">
        <v>137</v>
      </c>
      <c r="B1776" s="189" t="s">
        <v>138</v>
      </c>
      <c r="C1776" s="189" t="s">
        <v>520</v>
      </c>
      <c r="D1776" s="189" t="s">
        <v>525</v>
      </c>
      <c r="E1776" s="189" t="s">
        <v>1713</v>
      </c>
      <c r="F1776" s="189" t="s">
        <v>265</v>
      </c>
      <c r="G1776" s="260">
        <v>-301.89999999999998</v>
      </c>
      <c r="H1776" s="260">
        <v>-301.89999999999998</v>
      </c>
      <c r="I1776" s="198" t="s">
        <v>91</v>
      </c>
      <c r="J1776" s="244" t="s">
        <v>162</v>
      </c>
      <c r="K1776" s="189"/>
      <c r="L1776" s="197"/>
      <c r="M1776" s="197"/>
      <c r="N1776" s="197"/>
      <c r="O1776" s="197"/>
    </row>
    <row r="1777" spans="1:15" hidden="1">
      <c r="A1777" s="189" t="s">
        <v>137</v>
      </c>
      <c r="B1777" s="189" t="s">
        <v>138</v>
      </c>
      <c r="C1777" s="189" t="s">
        <v>520</v>
      </c>
      <c r="D1777" s="189" t="s">
        <v>525</v>
      </c>
      <c r="E1777" s="189" t="s">
        <v>2101</v>
      </c>
      <c r="F1777" s="189" t="s">
        <v>265</v>
      </c>
      <c r="G1777" s="260">
        <v>-100</v>
      </c>
      <c r="H1777" s="260">
        <v>-100</v>
      </c>
      <c r="I1777" s="198" t="s">
        <v>91</v>
      </c>
      <c r="J1777" s="244" t="s">
        <v>162</v>
      </c>
      <c r="K1777" s="189"/>
      <c r="L1777" s="197"/>
      <c r="M1777" s="197"/>
      <c r="N1777" s="197"/>
      <c r="O1777" s="197"/>
    </row>
    <row r="1778" spans="1:15" hidden="1">
      <c r="A1778" s="189" t="s">
        <v>137</v>
      </c>
      <c r="B1778" s="189" t="s">
        <v>138</v>
      </c>
      <c r="C1778" s="189" t="s">
        <v>520</v>
      </c>
      <c r="D1778" s="189" t="s">
        <v>2102</v>
      </c>
      <c r="E1778" s="189" t="s">
        <v>2103</v>
      </c>
      <c r="F1778" s="189" t="s">
        <v>265</v>
      </c>
      <c r="G1778" s="260">
        <v>-850</v>
      </c>
      <c r="H1778" s="260">
        <v>-850</v>
      </c>
      <c r="I1778" s="198" t="s">
        <v>91</v>
      </c>
      <c r="J1778" s="189" t="s">
        <v>246</v>
      </c>
      <c r="K1778" s="189"/>
      <c r="L1778" s="197"/>
      <c r="M1778" s="197"/>
      <c r="N1778" s="197"/>
      <c r="O1778" s="197"/>
    </row>
    <row r="1779" spans="1:15" hidden="1">
      <c r="A1779" s="189" t="s">
        <v>137</v>
      </c>
      <c r="B1779" s="189" t="s">
        <v>138</v>
      </c>
      <c r="C1779" s="189" t="s">
        <v>520</v>
      </c>
      <c r="D1779" s="189" t="s">
        <v>2102</v>
      </c>
      <c r="E1779" s="189" t="s">
        <v>2104</v>
      </c>
      <c r="F1779" s="189" t="s">
        <v>265</v>
      </c>
      <c r="G1779" s="260">
        <v>-400</v>
      </c>
      <c r="H1779" s="260">
        <v>-400</v>
      </c>
      <c r="I1779" s="198" t="s">
        <v>91</v>
      </c>
      <c r="J1779" s="189" t="s">
        <v>246</v>
      </c>
      <c r="K1779" s="189"/>
      <c r="L1779" s="197"/>
      <c r="M1779" s="197"/>
      <c r="N1779" s="197"/>
      <c r="O1779" s="197"/>
    </row>
    <row r="1780" spans="1:15" hidden="1">
      <c r="A1780" s="189" t="s">
        <v>137</v>
      </c>
      <c r="B1780" s="189" t="s">
        <v>138</v>
      </c>
      <c r="C1780" s="189" t="s">
        <v>61</v>
      </c>
      <c r="D1780" s="189" t="s">
        <v>1717</v>
      </c>
      <c r="E1780" s="189" t="s">
        <v>2105</v>
      </c>
      <c r="F1780" s="189" t="s">
        <v>265</v>
      </c>
      <c r="G1780" s="260">
        <v>-700</v>
      </c>
      <c r="H1780" s="260">
        <v>-700</v>
      </c>
      <c r="I1780" s="198" t="s">
        <v>61</v>
      </c>
      <c r="J1780" s="189" t="s">
        <v>316</v>
      </c>
      <c r="K1780" s="189"/>
      <c r="L1780" s="197"/>
      <c r="M1780" s="197"/>
      <c r="N1780" s="197"/>
      <c r="O1780" s="197"/>
    </row>
    <row r="1781" spans="1:15" hidden="1">
      <c r="A1781" s="189" t="s">
        <v>137</v>
      </c>
      <c r="B1781" s="189" t="s">
        <v>138</v>
      </c>
      <c r="C1781" s="189" t="s">
        <v>61</v>
      </c>
      <c r="D1781" s="189" t="s">
        <v>1648</v>
      </c>
      <c r="E1781" s="189" t="s">
        <v>2106</v>
      </c>
      <c r="F1781" s="189" t="s">
        <v>265</v>
      </c>
      <c r="G1781" s="260">
        <v>-6</v>
      </c>
      <c r="H1781" s="260">
        <v>-6</v>
      </c>
      <c r="I1781" s="198" t="s">
        <v>61</v>
      </c>
      <c r="J1781" s="189" t="s">
        <v>316</v>
      </c>
      <c r="K1781" s="189"/>
      <c r="L1781" s="197"/>
      <c r="M1781" s="197"/>
      <c r="N1781" s="197"/>
      <c r="O1781" s="197"/>
    </row>
    <row r="1782" spans="1:15" hidden="1">
      <c r="A1782" s="189" t="s">
        <v>137</v>
      </c>
      <c r="B1782" s="189" t="s">
        <v>138</v>
      </c>
      <c r="C1782" s="189" t="s">
        <v>61</v>
      </c>
      <c r="D1782" s="189" t="s">
        <v>536</v>
      </c>
      <c r="E1782" s="189" t="s">
        <v>2107</v>
      </c>
      <c r="F1782" s="189" t="s">
        <v>265</v>
      </c>
      <c r="G1782" s="260">
        <v>-1722.4</v>
      </c>
      <c r="H1782" s="260">
        <v>-1722.4</v>
      </c>
      <c r="I1782" s="198" t="s">
        <v>61</v>
      </c>
      <c r="J1782" s="189" t="s">
        <v>422</v>
      </c>
      <c r="K1782" s="189"/>
      <c r="L1782" s="197"/>
      <c r="M1782" s="197"/>
      <c r="N1782" s="197"/>
      <c r="O1782" s="197"/>
    </row>
    <row r="1783" spans="1:15" hidden="1">
      <c r="A1783" s="189" t="s">
        <v>137</v>
      </c>
      <c r="B1783" s="189" t="s">
        <v>138</v>
      </c>
      <c r="C1783" s="189" t="s">
        <v>61</v>
      </c>
      <c r="D1783" s="189" t="s">
        <v>2108</v>
      </c>
      <c r="E1783" s="189" t="s">
        <v>551</v>
      </c>
      <c r="F1783" s="189" t="s">
        <v>265</v>
      </c>
      <c r="G1783" s="260">
        <v>-1593.15</v>
      </c>
      <c r="H1783" s="260">
        <v>-1593.15</v>
      </c>
      <c r="I1783" s="198" t="s">
        <v>61</v>
      </c>
      <c r="J1783" s="189" t="s">
        <v>2109</v>
      </c>
      <c r="K1783" s="189"/>
      <c r="L1783" s="197"/>
      <c r="M1783" s="197"/>
      <c r="N1783" s="197"/>
      <c r="O1783" s="197"/>
    </row>
    <row r="1784" spans="1:15" hidden="1">
      <c r="A1784" s="189" t="s">
        <v>137</v>
      </c>
      <c r="B1784" s="189" t="s">
        <v>138</v>
      </c>
      <c r="C1784" s="189" t="s">
        <v>61</v>
      </c>
      <c r="D1784" s="189" t="s">
        <v>556</v>
      </c>
      <c r="E1784" s="267" t="s">
        <v>2110</v>
      </c>
      <c r="F1784" s="189" t="s">
        <v>265</v>
      </c>
      <c r="G1784" s="260">
        <v>-584.28</v>
      </c>
      <c r="H1784" s="260">
        <v>-584.28</v>
      </c>
      <c r="I1784" s="198" t="s">
        <v>61</v>
      </c>
      <c r="J1784" s="189" t="s">
        <v>143</v>
      </c>
      <c r="K1784" s="189"/>
      <c r="L1784" s="197"/>
      <c r="M1784" s="197"/>
      <c r="N1784" s="197"/>
      <c r="O1784" s="197"/>
    </row>
    <row r="1785" spans="1:15" hidden="1">
      <c r="A1785" s="189" t="s">
        <v>137</v>
      </c>
      <c r="B1785" s="189" t="s">
        <v>138</v>
      </c>
      <c r="C1785" s="189" t="s">
        <v>61</v>
      </c>
      <c r="D1785" s="189" t="s">
        <v>562</v>
      </c>
      <c r="E1785" s="189" t="s">
        <v>2111</v>
      </c>
      <c r="F1785" s="189" t="s">
        <v>265</v>
      </c>
      <c r="G1785" s="260">
        <v>-330</v>
      </c>
      <c r="H1785" s="260">
        <v>-330</v>
      </c>
      <c r="I1785" s="198" t="s">
        <v>61</v>
      </c>
      <c r="J1785" s="189" t="s">
        <v>159</v>
      </c>
      <c r="K1785" s="189"/>
      <c r="L1785" s="197"/>
      <c r="M1785" s="197"/>
      <c r="N1785" s="197"/>
      <c r="O1785" s="197"/>
    </row>
    <row r="1786" spans="1:15" hidden="1">
      <c r="A1786" s="189" t="s">
        <v>137</v>
      </c>
      <c r="B1786" s="189" t="s">
        <v>138</v>
      </c>
      <c r="C1786" s="189" t="s">
        <v>570</v>
      </c>
      <c r="D1786" s="189" t="s">
        <v>2112</v>
      </c>
      <c r="E1786" s="189" t="s">
        <v>2113</v>
      </c>
      <c r="F1786" s="189" t="s">
        <v>265</v>
      </c>
      <c r="G1786" s="260">
        <v>-5000</v>
      </c>
      <c r="H1786" s="260">
        <v>-5000</v>
      </c>
      <c r="I1786" s="198" t="s">
        <v>61</v>
      </c>
      <c r="J1786" s="189" t="s">
        <v>316</v>
      </c>
      <c r="K1786" s="189"/>
      <c r="L1786" s="197"/>
      <c r="M1786" s="197"/>
      <c r="N1786" s="197"/>
      <c r="O1786" s="197"/>
    </row>
    <row r="1787" spans="1:15" hidden="1">
      <c r="A1787" s="189" t="s">
        <v>137</v>
      </c>
      <c r="B1787" s="189" t="s">
        <v>138</v>
      </c>
      <c r="C1787" s="189" t="s">
        <v>570</v>
      </c>
      <c r="D1787" s="189" t="s">
        <v>581</v>
      </c>
      <c r="E1787" s="189" t="s">
        <v>2114</v>
      </c>
      <c r="F1787" s="189" t="s">
        <v>265</v>
      </c>
      <c r="G1787" s="260">
        <v>-139</v>
      </c>
      <c r="H1787" s="260">
        <v>-139</v>
      </c>
      <c r="I1787" s="198" t="s">
        <v>61</v>
      </c>
      <c r="J1787" s="189" t="s">
        <v>422</v>
      </c>
      <c r="K1787" s="189"/>
      <c r="L1787" s="197"/>
      <c r="M1787" s="197"/>
      <c r="N1787" s="197"/>
      <c r="O1787" s="197"/>
    </row>
    <row r="1788" spans="1:15" hidden="1">
      <c r="A1788" s="189" t="s">
        <v>137</v>
      </c>
      <c r="B1788" s="189" t="s">
        <v>138</v>
      </c>
      <c r="C1788" s="189" t="s">
        <v>570</v>
      </c>
      <c r="D1788" s="189" t="s">
        <v>581</v>
      </c>
      <c r="E1788" s="189" t="s">
        <v>2115</v>
      </c>
      <c r="F1788" s="189" t="s">
        <v>265</v>
      </c>
      <c r="G1788" s="260">
        <v>-90</v>
      </c>
      <c r="H1788" s="260">
        <v>-90</v>
      </c>
      <c r="I1788" s="198" t="s">
        <v>61</v>
      </c>
      <c r="J1788" s="189" t="s">
        <v>422</v>
      </c>
      <c r="K1788" s="189"/>
      <c r="L1788" s="197"/>
      <c r="M1788" s="197"/>
      <c r="N1788" s="197"/>
      <c r="O1788" s="197"/>
    </row>
    <row r="1789" spans="1:15" hidden="1">
      <c r="A1789" s="189" t="s">
        <v>137</v>
      </c>
      <c r="B1789" s="189" t="s">
        <v>138</v>
      </c>
      <c r="C1789" s="189" t="s">
        <v>98</v>
      </c>
      <c r="D1789" s="189" t="s">
        <v>2116</v>
      </c>
      <c r="E1789" s="189" t="s">
        <v>2117</v>
      </c>
      <c r="F1789" s="189" t="s">
        <v>265</v>
      </c>
      <c r="G1789" s="260">
        <v>-107.14</v>
      </c>
      <c r="H1789" s="260">
        <v>-107.14</v>
      </c>
      <c r="I1789" s="198" t="s">
        <v>98</v>
      </c>
      <c r="J1789" s="189" t="s">
        <v>246</v>
      </c>
      <c r="K1789" s="189"/>
      <c r="L1789" s="197"/>
      <c r="M1789" s="197"/>
      <c r="N1789" s="197"/>
      <c r="O1789" s="197"/>
    </row>
    <row r="1790" spans="1:15" hidden="1">
      <c r="A1790" s="189" t="s">
        <v>137</v>
      </c>
      <c r="B1790" s="189" t="s">
        <v>138</v>
      </c>
      <c r="C1790" s="189" t="s">
        <v>98</v>
      </c>
      <c r="D1790" s="189" t="s">
        <v>2118</v>
      </c>
      <c r="E1790" s="189" t="s">
        <v>2119</v>
      </c>
      <c r="F1790" s="189" t="s">
        <v>265</v>
      </c>
      <c r="G1790" s="260">
        <v>-1161.68</v>
      </c>
      <c r="H1790" s="260">
        <v>-1161.68</v>
      </c>
      <c r="I1790" s="198" t="s">
        <v>98</v>
      </c>
      <c r="J1790" s="189" t="s">
        <v>246</v>
      </c>
      <c r="K1790" s="189"/>
      <c r="L1790" s="197"/>
      <c r="M1790" s="197"/>
      <c r="N1790" s="197"/>
      <c r="O1790" s="197"/>
    </row>
    <row r="1791" spans="1:15" hidden="1">
      <c r="A1791" s="189" t="s">
        <v>137</v>
      </c>
      <c r="B1791" s="189" t="s">
        <v>138</v>
      </c>
      <c r="C1791" s="189" t="s">
        <v>98</v>
      </c>
      <c r="D1791" s="189" t="s">
        <v>618</v>
      </c>
      <c r="E1791" s="189" t="s">
        <v>2120</v>
      </c>
      <c r="F1791" s="189" t="s">
        <v>265</v>
      </c>
      <c r="G1791" s="260">
        <v>-655.52</v>
      </c>
      <c r="H1791" s="260">
        <v>-655.52</v>
      </c>
      <c r="I1791" s="198" t="s">
        <v>98</v>
      </c>
      <c r="J1791" s="189" t="s">
        <v>246</v>
      </c>
      <c r="K1791" s="189"/>
      <c r="L1791" s="197"/>
      <c r="M1791" s="197"/>
      <c r="N1791" s="197"/>
      <c r="O1791" s="197"/>
    </row>
    <row r="1792" spans="1:15" hidden="1">
      <c r="A1792" s="189" t="s">
        <v>137</v>
      </c>
      <c r="B1792" s="189" t="s">
        <v>138</v>
      </c>
      <c r="C1792" s="189" t="s">
        <v>98</v>
      </c>
      <c r="D1792" s="189" t="s">
        <v>625</v>
      </c>
      <c r="E1792" s="189" t="s">
        <v>2121</v>
      </c>
      <c r="F1792" s="189" t="s">
        <v>265</v>
      </c>
      <c r="G1792" s="260">
        <v>-221.3</v>
      </c>
      <c r="H1792" s="260">
        <v>-221.3</v>
      </c>
      <c r="I1792" s="198" t="s">
        <v>98</v>
      </c>
      <c r="J1792" s="189" t="s">
        <v>246</v>
      </c>
      <c r="K1792" s="189"/>
      <c r="L1792" s="197"/>
      <c r="M1792" s="197"/>
      <c r="N1792" s="197"/>
      <c r="O1792" s="197"/>
    </row>
    <row r="1793" spans="1:15" hidden="1">
      <c r="A1793" s="189" t="s">
        <v>232</v>
      </c>
      <c r="B1793" s="189" t="s">
        <v>138</v>
      </c>
      <c r="C1793" s="189" t="s">
        <v>98</v>
      </c>
      <c r="D1793" s="189" t="s">
        <v>1760</v>
      </c>
      <c r="E1793" s="189" t="s">
        <v>643</v>
      </c>
      <c r="F1793" s="189" t="s">
        <v>265</v>
      </c>
      <c r="G1793" s="260">
        <v>-200</v>
      </c>
      <c r="H1793" s="260">
        <v>-200</v>
      </c>
      <c r="I1793" s="198" t="s">
        <v>98</v>
      </c>
      <c r="J1793" s="244" t="s">
        <v>246</v>
      </c>
      <c r="K1793" s="189"/>
      <c r="L1793" s="197"/>
      <c r="M1793" s="197"/>
      <c r="N1793" s="197"/>
      <c r="O1793" s="197"/>
    </row>
    <row r="1794" spans="1:15" hidden="1">
      <c r="A1794" s="189" t="s">
        <v>137</v>
      </c>
      <c r="B1794" s="189" t="s">
        <v>138</v>
      </c>
      <c r="C1794" s="189" t="s">
        <v>98</v>
      </c>
      <c r="D1794" s="189" t="s">
        <v>2122</v>
      </c>
      <c r="E1794" s="189" t="s">
        <v>2123</v>
      </c>
      <c r="F1794" s="189" t="s">
        <v>265</v>
      </c>
      <c r="G1794" s="260">
        <v>-350</v>
      </c>
      <c r="H1794" s="260">
        <v>-350</v>
      </c>
      <c r="I1794" s="198" t="s">
        <v>98</v>
      </c>
      <c r="J1794" s="244" t="s">
        <v>246</v>
      </c>
      <c r="K1794" s="189"/>
      <c r="L1794" s="197"/>
      <c r="M1794" s="197"/>
      <c r="N1794" s="197"/>
      <c r="O1794" s="197"/>
    </row>
    <row r="1795" spans="1:15" hidden="1">
      <c r="A1795" s="189" t="s">
        <v>137</v>
      </c>
      <c r="B1795" s="189" t="s">
        <v>138</v>
      </c>
      <c r="C1795" s="189" t="s">
        <v>652</v>
      </c>
      <c r="D1795" s="189" t="s">
        <v>2124</v>
      </c>
      <c r="E1795" s="189" t="s">
        <v>2125</v>
      </c>
      <c r="F1795" s="189" t="s">
        <v>265</v>
      </c>
      <c r="G1795" s="260">
        <v>-120</v>
      </c>
      <c r="H1795" s="260">
        <v>-120</v>
      </c>
      <c r="I1795" s="198" t="s">
        <v>97</v>
      </c>
      <c r="J1795" s="189" t="s">
        <v>246</v>
      </c>
      <c r="K1795" s="189"/>
      <c r="L1795" s="197"/>
      <c r="M1795" s="197"/>
      <c r="N1795" s="197"/>
      <c r="O1795" s="197"/>
    </row>
    <row r="1796" spans="1:15" hidden="1">
      <c r="A1796" s="189" t="s">
        <v>137</v>
      </c>
      <c r="B1796" s="189" t="s">
        <v>138</v>
      </c>
      <c r="C1796" s="189" t="s">
        <v>652</v>
      </c>
      <c r="D1796" s="189" t="s">
        <v>2124</v>
      </c>
      <c r="E1796" s="189" t="s">
        <v>2126</v>
      </c>
      <c r="F1796" s="189" t="s">
        <v>265</v>
      </c>
      <c r="G1796" s="260">
        <v>-120</v>
      </c>
      <c r="H1796" s="260">
        <v>-120</v>
      </c>
      <c r="I1796" s="198" t="s">
        <v>97</v>
      </c>
      <c r="J1796" s="189" t="s">
        <v>246</v>
      </c>
      <c r="K1796" s="189"/>
      <c r="L1796" s="197"/>
      <c r="M1796" s="197"/>
      <c r="N1796" s="197"/>
      <c r="O1796" s="197"/>
    </row>
    <row r="1797" spans="1:15" hidden="1">
      <c r="A1797" s="189" t="s">
        <v>137</v>
      </c>
      <c r="B1797" s="189" t="s">
        <v>138</v>
      </c>
      <c r="C1797" s="189" t="s">
        <v>652</v>
      </c>
      <c r="D1797" s="189" t="s">
        <v>2127</v>
      </c>
      <c r="E1797" s="189" t="s">
        <v>2128</v>
      </c>
      <c r="F1797" s="189" t="s">
        <v>265</v>
      </c>
      <c r="G1797" s="260">
        <v>-3810</v>
      </c>
      <c r="H1797" s="260">
        <v>-3810</v>
      </c>
      <c r="I1797" s="198" t="s">
        <v>97</v>
      </c>
      <c r="J1797" s="189" t="s">
        <v>277</v>
      </c>
      <c r="K1797" s="189"/>
      <c r="L1797" s="197"/>
      <c r="M1797" s="197"/>
      <c r="N1797" s="197"/>
      <c r="O1797" s="197"/>
    </row>
    <row r="1798" spans="1:15" hidden="1">
      <c r="A1798" s="189" t="s">
        <v>137</v>
      </c>
      <c r="B1798" s="189" t="s">
        <v>683</v>
      </c>
      <c r="C1798" s="189" t="s">
        <v>684</v>
      </c>
      <c r="D1798" s="189" t="s">
        <v>2129</v>
      </c>
      <c r="E1798" s="189" t="s">
        <v>2130</v>
      </c>
      <c r="F1798" s="189" t="s">
        <v>265</v>
      </c>
      <c r="G1798" s="282">
        <v>44.22</v>
      </c>
      <c r="H1798" s="282">
        <v>44.22</v>
      </c>
      <c r="I1798" s="198" t="s">
        <v>112</v>
      </c>
      <c r="J1798" s="250" t="s">
        <v>143</v>
      </c>
      <c r="K1798" s="195" t="s">
        <v>687</v>
      </c>
      <c r="L1798" s="197"/>
      <c r="M1798" s="197"/>
      <c r="N1798" s="197"/>
      <c r="O1798" s="197"/>
    </row>
    <row r="1799" spans="1:15" hidden="1">
      <c r="A1799" s="189" t="s">
        <v>137</v>
      </c>
      <c r="B1799" s="189" t="s">
        <v>683</v>
      </c>
      <c r="C1799" s="189" t="s">
        <v>684</v>
      </c>
      <c r="D1799" s="189" t="s">
        <v>689</v>
      </c>
      <c r="E1799" s="189" t="s">
        <v>2131</v>
      </c>
      <c r="F1799" s="189" t="s">
        <v>265</v>
      </c>
      <c r="G1799" s="282">
        <v>103.18</v>
      </c>
      <c r="H1799" s="282">
        <v>103.18</v>
      </c>
      <c r="I1799" s="198" t="s">
        <v>112</v>
      </c>
      <c r="J1799" s="250" t="s">
        <v>143</v>
      </c>
      <c r="K1799" s="195" t="s">
        <v>687</v>
      </c>
      <c r="L1799" s="197"/>
      <c r="M1799" s="197"/>
      <c r="N1799" s="197"/>
      <c r="O1799" s="197"/>
    </row>
    <row r="1800" spans="1:15" hidden="1">
      <c r="A1800" s="189" t="s">
        <v>137</v>
      </c>
      <c r="B1800" s="189" t="s">
        <v>683</v>
      </c>
      <c r="C1800" s="189" t="s">
        <v>684</v>
      </c>
      <c r="D1800" s="189" t="s">
        <v>694</v>
      </c>
      <c r="E1800" s="189" t="s">
        <v>2132</v>
      </c>
      <c r="F1800" s="189" t="s">
        <v>265</v>
      </c>
      <c r="G1800" s="282">
        <v>7.37</v>
      </c>
      <c r="H1800" s="282">
        <v>7.37</v>
      </c>
      <c r="I1800" s="198" t="s">
        <v>112</v>
      </c>
      <c r="J1800" s="250" t="s">
        <v>143</v>
      </c>
      <c r="K1800" s="195" t="s">
        <v>687</v>
      </c>
      <c r="L1800" s="197"/>
      <c r="M1800" s="197"/>
      <c r="N1800" s="197"/>
      <c r="O1800" s="197"/>
    </row>
    <row r="1801" spans="1:15" hidden="1">
      <c r="A1801" s="189" t="s">
        <v>137</v>
      </c>
      <c r="B1801" s="189" t="s">
        <v>683</v>
      </c>
      <c r="C1801" s="189" t="s">
        <v>684</v>
      </c>
      <c r="D1801" s="189" t="s">
        <v>699</v>
      </c>
      <c r="E1801" s="189" t="s">
        <v>2133</v>
      </c>
      <c r="F1801" s="189" t="s">
        <v>265</v>
      </c>
      <c r="G1801" s="282">
        <v>73.7</v>
      </c>
      <c r="H1801" s="282">
        <v>73.7</v>
      </c>
      <c r="I1801" s="198" t="s">
        <v>112</v>
      </c>
      <c r="J1801" s="250" t="s">
        <v>143</v>
      </c>
      <c r="K1801" s="195" t="s">
        <v>687</v>
      </c>
      <c r="L1801" s="197"/>
      <c r="M1801" s="197"/>
      <c r="N1801" s="197"/>
      <c r="O1801" s="197"/>
    </row>
    <row r="1802" spans="1:15" hidden="1">
      <c r="A1802" s="189" t="s">
        <v>137</v>
      </c>
      <c r="B1802" s="189" t="s">
        <v>683</v>
      </c>
      <c r="C1802" s="189" t="s">
        <v>684</v>
      </c>
      <c r="D1802" s="189" t="s">
        <v>704</v>
      </c>
      <c r="E1802" s="189" t="s">
        <v>2134</v>
      </c>
      <c r="F1802" s="189" t="s">
        <v>265</v>
      </c>
      <c r="G1802" s="282">
        <v>22.11</v>
      </c>
      <c r="H1802" s="282">
        <v>22.11</v>
      </c>
      <c r="I1802" s="198" t="s">
        <v>112</v>
      </c>
      <c r="J1802" s="250" t="s">
        <v>143</v>
      </c>
      <c r="K1802" s="195" t="s">
        <v>687</v>
      </c>
      <c r="L1802" s="197"/>
      <c r="M1802" s="197"/>
      <c r="N1802" s="197"/>
      <c r="O1802" s="197"/>
    </row>
    <row r="1803" spans="1:15" hidden="1">
      <c r="A1803" s="189" t="s">
        <v>137</v>
      </c>
      <c r="B1803" s="189" t="s">
        <v>683</v>
      </c>
      <c r="C1803" s="189" t="s">
        <v>684</v>
      </c>
      <c r="D1803" s="189" t="s">
        <v>709</v>
      </c>
      <c r="E1803" s="189" t="s">
        <v>2135</v>
      </c>
      <c r="F1803" s="189" t="s">
        <v>265</v>
      </c>
      <c r="G1803" s="282">
        <v>14.74</v>
      </c>
      <c r="H1803" s="282">
        <v>14.74</v>
      </c>
      <c r="I1803" s="198" t="s">
        <v>112</v>
      </c>
      <c r="J1803" s="250" t="s">
        <v>143</v>
      </c>
      <c r="K1803" s="195" t="s">
        <v>687</v>
      </c>
      <c r="L1803" s="197"/>
      <c r="M1803" s="197"/>
      <c r="N1803" s="197"/>
      <c r="O1803" s="197"/>
    </row>
    <row r="1804" spans="1:15" hidden="1">
      <c r="A1804" s="189" t="s">
        <v>137</v>
      </c>
      <c r="B1804" s="189" t="s">
        <v>683</v>
      </c>
      <c r="C1804" s="189" t="s">
        <v>684</v>
      </c>
      <c r="D1804" s="189" t="s">
        <v>322</v>
      </c>
      <c r="E1804" s="189" t="s">
        <v>2136</v>
      </c>
      <c r="F1804" s="189" t="s">
        <v>265</v>
      </c>
      <c r="G1804" s="282">
        <v>51.59</v>
      </c>
      <c r="H1804" s="282">
        <v>51.59</v>
      </c>
      <c r="I1804" s="198" t="s">
        <v>112</v>
      </c>
      <c r="J1804" s="250" t="s">
        <v>143</v>
      </c>
      <c r="K1804" s="195" t="s">
        <v>687</v>
      </c>
      <c r="L1804" s="197"/>
      <c r="M1804" s="197"/>
      <c r="N1804" s="197"/>
      <c r="O1804" s="197"/>
    </row>
    <row r="1805" spans="1:15" hidden="1">
      <c r="A1805" s="189" t="s">
        <v>137</v>
      </c>
      <c r="B1805" s="189" t="s">
        <v>683</v>
      </c>
      <c r="C1805" s="189" t="s">
        <v>684</v>
      </c>
      <c r="D1805" s="189" t="s">
        <v>718</v>
      </c>
      <c r="E1805" s="189" t="s">
        <v>2137</v>
      </c>
      <c r="F1805" s="189" t="s">
        <v>265</v>
      </c>
      <c r="G1805" s="282">
        <v>14.74</v>
      </c>
      <c r="H1805" s="282">
        <v>14.74</v>
      </c>
      <c r="I1805" s="198" t="s">
        <v>112</v>
      </c>
      <c r="J1805" s="250" t="s">
        <v>143</v>
      </c>
      <c r="K1805" s="195" t="s">
        <v>687</v>
      </c>
      <c r="L1805" s="197"/>
      <c r="M1805" s="197"/>
      <c r="N1805" s="197"/>
      <c r="O1805" s="197"/>
    </row>
    <row r="1806" spans="1:15" hidden="1">
      <c r="A1806" s="189" t="s">
        <v>137</v>
      </c>
      <c r="B1806" s="189" t="s">
        <v>683</v>
      </c>
      <c r="C1806" s="189" t="s">
        <v>684</v>
      </c>
      <c r="D1806" s="189" t="s">
        <v>721</v>
      </c>
      <c r="E1806" s="189" t="s">
        <v>2138</v>
      </c>
      <c r="F1806" s="189" t="s">
        <v>265</v>
      </c>
      <c r="G1806" s="282">
        <v>14.74</v>
      </c>
      <c r="H1806" s="282">
        <v>14.74</v>
      </c>
      <c r="I1806" s="198" t="s">
        <v>112</v>
      </c>
      <c r="J1806" s="250" t="s">
        <v>143</v>
      </c>
      <c r="K1806" s="195" t="s">
        <v>687</v>
      </c>
      <c r="L1806" s="197"/>
      <c r="M1806" s="197"/>
      <c r="N1806" s="197"/>
      <c r="O1806" s="197"/>
    </row>
    <row r="1807" spans="1:15" hidden="1">
      <c r="A1807" s="189" t="s">
        <v>137</v>
      </c>
      <c r="B1807" s="189" t="s">
        <v>683</v>
      </c>
      <c r="C1807" s="189" t="s">
        <v>684</v>
      </c>
      <c r="D1807" s="189" t="s">
        <v>726</v>
      </c>
      <c r="E1807" s="189" t="s">
        <v>2139</v>
      </c>
      <c r="F1807" s="189" t="s">
        <v>265</v>
      </c>
      <c r="G1807" s="282">
        <v>36.85</v>
      </c>
      <c r="H1807" s="282">
        <v>36.85</v>
      </c>
      <c r="I1807" s="198" t="s">
        <v>112</v>
      </c>
      <c r="J1807" s="250" t="s">
        <v>143</v>
      </c>
      <c r="K1807" s="195" t="s">
        <v>687</v>
      </c>
      <c r="L1807" s="197"/>
      <c r="M1807" s="197"/>
      <c r="N1807" s="197"/>
      <c r="O1807" s="197"/>
    </row>
    <row r="1808" spans="1:15" hidden="1">
      <c r="A1808" s="189" t="s">
        <v>137</v>
      </c>
      <c r="B1808" s="189" t="s">
        <v>683</v>
      </c>
      <c r="C1808" s="189" t="s">
        <v>684</v>
      </c>
      <c r="D1808" s="189" t="s">
        <v>731</v>
      </c>
      <c r="E1808" s="189" t="s">
        <v>2140</v>
      </c>
      <c r="F1808" s="189" t="s">
        <v>265</v>
      </c>
      <c r="G1808" s="282">
        <v>22.11</v>
      </c>
      <c r="H1808" s="282">
        <v>22.11</v>
      </c>
      <c r="I1808" s="198" t="s">
        <v>112</v>
      </c>
      <c r="J1808" s="250" t="s">
        <v>143</v>
      </c>
      <c r="K1808" s="195" t="s">
        <v>687</v>
      </c>
      <c r="L1808" s="197"/>
      <c r="M1808" s="197"/>
      <c r="N1808" s="197"/>
      <c r="O1808" s="197"/>
    </row>
    <row r="1809" spans="1:15" hidden="1">
      <c r="A1809" s="189" t="s">
        <v>137</v>
      </c>
      <c r="B1809" s="189" t="s">
        <v>683</v>
      </c>
      <c r="C1809" s="189" t="s">
        <v>684</v>
      </c>
      <c r="D1809" s="189" t="s">
        <v>736</v>
      </c>
      <c r="E1809" s="189" t="s">
        <v>2141</v>
      </c>
      <c r="F1809" s="189" t="s">
        <v>265</v>
      </c>
      <c r="G1809" s="282">
        <v>51.59</v>
      </c>
      <c r="H1809" s="282">
        <v>51.59</v>
      </c>
      <c r="I1809" s="198" t="s">
        <v>112</v>
      </c>
      <c r="J1809" s="250" t="s">
        <v>143</v>
      </c>
      <c r="K1809" s="195" t="s">
        <v>687</v>
      </c>
      <c r="L1809" s="197"/>
      <c r="M1809" s="197"/>
      <c r="N1809" s="197"/>
      <c r="O1809" s="197"/>
    </row>
    <row r="1810" spans="1:15" hidden="1">
      <c r="A1810" s="189" t="s">
        <v>137</v>
      </c>
      <c r="B1810" s="189" t="s">
        <v>683</v>
      </c>
      <c r="C1810" s="189" t="s">
        <v>684</v>
      </c>
      <c r="D1810" s="189" t="s">
        <v>1801</v>
      </c>
      <c r="E1810" s="189" t="s">
        <v>2142</v>
      </c>
      <c r="F1810" s="189" t="s">
        <v>265</v>
      </c>
      <c r="G1810" s="282">
        <v>14.74</v>
      </c>
      <c r="H1810" s="282">
        <v>14.74</v>
      </c>
      <c r="I1810" s="198" t="s">
        <v>112</v>
      </c>
      <c r="J1810" s="250" t="s">
        <v>143</v>
      </c>
      <c r="K1810" s="195" t="s">
        <v>687</v>
      </c>
      <c r="L1810" s="197"/>
      <c r="M1810" s="197"/>
      <c r="N1810" s="197"/>
      <c r="O1810" s="197"/>
    </row>
    <row r="1811" spans="1:15" hidden="1">
      <c r="A1811" s="189" t="s">
        <v>137</v>
      </c>
      <c r="B1811" s="189" t="s">
        <v>683</v>
      </c>
      <c r="C1811" s="189" t="s">
        <v>684</v>
      </c>
      <c r="D1811" s="189" t="s">
        <v>2143</v>
      </c>
      <c r="E1811" s="189" t="s">
        <v>2144</v>
      </c>
      <c r="F1811" s="189" t="s">
        <v>265</v>
      </c>
      <c r="G1811" s="282">
        <v>66.33</v>
      </c>
      <c r="H1811" s="282">
        <v>66.33</v>
      </c>
      <c r="I1811" s="198" t="s">
        <v>112</v>
      </c>
      <c r="J1811" s="250" t="s">
        <v>143</v>
      </c>
      <c r="K1811" s="195" t="s">
        <v>687</v>
      </c>
      <c r="L1811" s="197"/>
      <c r="M1811" s="197"/>
      <c r="N1811" s="197"/>
      <c r="O1811" s="197"/>
    </row>
    <row r="1812" spans="1:15" hidden="1">
      <c r="A1812" s="189" t="s">
        <v>137</v>
      </c>
      <c r="B1812" s="189" t="s">
        <v>683</v>
      </c>
      <c r="C1812" s="189" t="s">
        <v>684</v>
      </c>
      <c r="D1812" s="189" t="s">
        <v>747</v>
      </c>
      <c r="E1812" s="189" t="s">
        <v>2145</v>
      </c>
      <c r="F1812" s="189" t="s">
        <v>265</v>
      </c>
      <c r="G1812" s="282">
        <v>22.11</v>
      </c>
      <c r="H1812" s="282">
        <v>22.11</v>
      </c>
      <c r="I1812" s="198" t="s">
        <v>112</v>
      </c>
      <c r="J1812" s="250" t="s">
        <v>143</v>
      </c>
      <c r="K1812" s="195" t="s">
        <v>687</v>
      </c>
      <c r="L1812" s="197"/>
      <c r="M1812" s="197"/>
      <c r="N1812" s="197"/>
      <c r="O1812" s="197"/>
    </row>
    <row r="1813" spans="1:15" hidden="1">
      <c r="A1813" s="189" t="s">
        <v>137</v>
      </c>
      <c r="B1813" s="189" t="s">
        <v>683</v>
      </c>
      <c r="C1813" s="189" t="s">
        <v>684</v>
      </c>
      <c r="D1813" s="189" t="s">
        <v>749</v>
      </c>
      <c r="E1813" s="189" t="s">
        <v>2146</v>
      </c>
      <c r="F1813" s="189" t="s">
        <v>265</v>
      </c>
      <c r="G1813" s="282">
        <v>14.74</v>
      </c>
      <c r="H1813" s="282">
        <v>14.74</v>
      </c>
      <c r="I1813" s="198" t="s">
        <v>112</v>
      </c>
      <c r="J1813" s="250" t="s">
        <v>143</v>
      </c>
      <c r="K1813" s="195" t="s">
        <v>687</v>
      </c>
      <c r="L1813" s="197"/>
      <c r="M1813" s="197"/>
      <c r="N1813" s="197"/>
      <c r="O1813" s="197"/>
    </row>
    <row r="1814" spans="1:15" hidden="1">
      <c r="A1814" s="189" t="s">
        <v>137</v>
      </c>
      <c r="B1814" s="189" t="s">
        <v>683</v>
      </c>
      <c r="C1814" s="189" t="s">
        <v>684</v>
      </c>
      <c r="D1814" s="189" t="s">
        <v>754</v>
      </c>
      <c r="E1814" s="189" t="s">
        <v>2147</v>
      </c>
      <c r="F1814" s="189" t="s">
        <v>265</v>
      </c>
      <c r="G1814" s="282">
        <v>117.92</v>
      </c>
      <c r="H1814" s="282">
        <v>117.92</v>
      </c>
      <c r="I1814" s="198" t="s">
        <v>112</v>
      </c>
      <c r="J1814" s="250" t="s">
        <v>143</v>
      </c>
      <c r="K1814" s="195" t="s">
        <v>687</v>
      </c>
      <c r="L1814" s="197"/>
      <c r="M1814" s="197"/>
      <c r="N1814" s="197"/>
      <c r="O1814" s="197"/>
    </row>
    <row r="1815" spans="1:15" hidden="1">
      <c r="A1815" s="189" t="s">
        <v>137</v>
      </c>
      <c r="B1815" s="189" t="s">
        <v>683</v>
      </c>
      <c r="C1815" s="189" t="s">
        <v>684</v>
      </c>
      <c r="D1815" s="189" t="s">
        <v>759</v>
      </c>
      <c r="E1815" s="189" t="s">
        <v>2148</v>
      </c>
      <c r="F1815" s="189" t="s">
        <v>265</v>
      </c>
      <c r="G1815" s="282">
        <v>51.59</v>
      </c>
      <c r="H1815" s="282">
        <v>51.59</v>
      </c>
      <c r="I1815" s="198" t="s">
        <v>112</v>
      </c>
      <c r="J1815" s="250" t="s">
        <v>143</v>
      </c>
      <c r="K1815" s="195" t="s">
        <v>687</v>
      </c>
      <c r="L1815" s="197"/>
      <c r="M1815" s="197"/>
      <c r="N1815" s="197"/>
      <c r="O1815" s="197"/>
    </row>
    <row r="1816" spans="1:15" hidden="1">
      <c r="A1816" s="189" t="s">
        <v>137</v>
      </c>
      <c r="B1816" s="189" t="s">
        <v>683</v>
      </c>
      <c r="C1816" s="189" t="s">
        <v>684</v>
      </c>
      <c r="D1816" s="189" t="s">
        <v>764</v>
      </c>
      <c r="E1816" s="189" t="s">
        <v>2149</v>
      </c>
      <c r="F1816" s="189" t="s">
        <v>265</v>
      </c>
      <c r="G1816" s="282">
        <v>29.48</v>
      </c>
      <c r="H1816" s="282">
        <v>29.48</v>
      </c>
      <c r="I1816" s="198" t="s">
        <v>112</v>
      </c>
      <c r="J1816" s="250" t="s">
        <v>143</v>
      </c>
      <c r="K1816" s="195" t="s">
        <v>687</v>
      </c>
      <c r="L1816" s="197"/>
      <c r="M1816" s="197"/>
      <c r="N1816" s="197"/>
      <c r="O1816" s="197"/>
    </row>
    <row r="1817" spans="1:15" hidden="1">
      <c r="A1817" s="189" t="s">
        <v>137</v>
      </c>
      <c r="B1817" s="189" t="s">
        <v>683</v>
      </c>
      <c r="C1817" s="189" t="s">
        <v>684</v>
      </c>
      <c r="D1817" s="189" t="s">
        <v>774</v>
      </c>
      <c r="E1817" s="189" t="s">
        <v>2150</v>
      </c>
      <c r="F1817" s="189" t="s">
        <v>265</v>
      </c>
      <c r="G1817" s="282">
        <v>29.48</v>
      </c>
      <c r="H1817" s="282">
        <v>29.48</v>
      </c>
      <c r="I1817" s="198" t="s">
        <v>112</v>
      </c>
      <c r="J1817" s="250" t="s">
        <v>143</v>
      </c>
      <c r="K1817" s="195" t="s">
        <v>687</v>
      </c>
      <c r="L1817" s="197"/>
      <c r="M1817" s="197"/>
      <c r="N1817" s="197"/>
      <c r="O1817" s="197"/>
    </row>
    <row r="1818" spans="1:15" hidden="1">
      <c r="A1818" s="189" t="s">
        <v>137</v>
      </c>
      <c r="B1818" s="189" t="s">
        <v>683</v>
      </c>
      <c r="C1818" s="189" t="s">
        <v>684</v>
      </c>
      <c r="D1818" s="189" t="s">
        <v>779</v>
      </c>
      <c r="E1818" s="189" t="s">
        <v>2151</v>
      </c>
      <c r="F1818" s="189" t="s">
        <v>265</v>
      </c>
      <c r="G1818" s="282">
        <v>7.37</v>
      </c>
      <c r="H1818" s="282">
        <v>7.37</v>
      </c>
      <c r="I1818" s="198" t="s">
        <v>112</v>
      </c>
      <c r="J1818" s="250" t="s">
        <v>143</v>
      </c>
      <c r="K1818" s="195" t="s">
        <v>687</v>
      </c>
      <c r="L1818" s="197"/>
      <c r="M1818" s="197"/>
      <c r="N1818" s="197"/>
      <c r="O1818" s="197"/>
    </row>
    <row r="1819" spans="1:15" hidden="1">
      <c r="A1819" s="189" t="s">
        <v>137</v>
      </c>
      <c r="B1819" s="189" t="s">
        <v>683</v>
      </c>
      <c r="C1819" s="189" t="s">
        <v>684</v>
      </c>
      <c r="D1819" s="189" t="s">
        <v>784</v>
      </c>
      <c r="E1819" s="189" t="s">
        <v>2152</v>
      </c>
      <c r="F1819" s="189" t="s">
        <v>265</v>
      </c>
      <c r="G1819" s="282">
        <v>72.11</v>
      </c>
      <c r="H1819" s="282">
        <v>72.11</v>
      </c>
      <c r="I1819" s="198" t="s">
        <v>112</v>
      </c>
      <c r="J1819" s="250" t="s">
        <v>143</v>
      </c>
      <c r="K1819" s="195" t="s">
        <v>687</v>
      </c>
      <c r="L1819" s="197"/>
      <c r="M1819" s="197"/>
      <c r="N1819" s="197"/>
      <c r="O1819" s="197"/>
    </row>
    <row r="1820" spans="1:15" hidden="1">
      <c r="A1820" s="189" t="s">
        <v>137</v>
      </c>
      <c r="B1820" s="189" t="s">
        <v>683</v>
      </c>
      <c r="C1820" s="189" t="s">
        <v>684</v>
      </c>
      <c r="D1820" s="189" t="s">
        <v>789</v>
      </c>
      <c r="E1820" s="189" t="s">
        <v>2153</v>
      </c>
      <c r="F1820" s="189" t="s">
        <v>265</v>
      </c>
      <c r="G1820" s="282">
        <v>66.33</v>
      </c>
      <c r="H1820" s="282">
        <v>66.33</v>
      </c>
      <c r="I1820" s="198" t="s">
        <v>112</v>
      </c>
      <c r="J1820" s="250" t="s">
        <v>143</v>
      </c>
      <c r="K1820" s="195" t="s">
        <v>687</v>
      </c>
      <c r="L1820" s="197"/>
      <c r="M1820" s="197"/>
      <c r="N1820" s="197"/>
      <c r="O1820" s="197"/>
    </row>
    <row r="1821" spans="1:15" hidden="1">
      <c r="A1821" s="189" t="s">
        <v>137</v>
      </c>
      <c r="B1821" s="189" t="s">
        <v>683</v>
      </c>
      <c r="C1821" s="189" t="s">
        <v>684</v>
      </c>
      <c r="D1821" s="189" t="s">
        <v>403</v>
      </c>
      <c r="E1821" s="189" t="s">
        <v>2154</v>
      </c>
      <c r="F1821" s="189" t="s">
        <v>265</v>
      </c>
      <c r="G1821" s="282">
        <v>117.92</v>
      </c>
      <c r="H1821" s="282">
        <v>117.92</v>
      </c>
      <c r="I1821" s="198" t="s">
        <v>112</v>
      </c>
      <c r="J1821" s="250" t="s">
        <v>143</v>
      </c>
      <c r="K1821" s="195" t="s">
        <v>687</v>
      </c>
      <c r="L1821" s="197"/>
      <c r="M1821" s="197"/>
      <c r="N1821" s="197"/>
      <c r="O1821" s="197"/>
    </row>
    <row r="1822" spans="1:15" hidden="1">
      <c r="A1822" s="189" t="s">
        <v>137</v>
      </c>
      <c r="B1822" s="189" t="s">
        <v>683</v>
      </c>
      <c r="C1822" s="189" t="s">
        <v>684</v>
      </c>
      <c r="D1822" s="189" t="s">
        <v>425</v>
      </c>
      <c r="E1822" s="189" t="s">
        <v>2155</v>
      </c>
      <c r="F1822" s="189" t="s">
        <v>265</v>
      </c>
      <c r="G1822" s="282">
        <v>140.03</v>
      </c>
      <c r="H1822" s="282">
        <v>140.03</v>
      </c>
      <c r="I1822" s="198" t="s">
        <v>112</v>
      </c>
      <c r="J1822" s="250" t="s">
        <v>143</v>
      </c>
      <c r="K1822" s="195" t="s">
        <v>687</v>
      </c>
      <c r="L1822" s="197"/>
      <c r="M1822" s="197"/>
      <c r="N1822" s="197"/>
      <c r="O1822" s="197"/>
    </row>
    <row r="1823" spans="1:15" hidden="1">
      <c r="A1823" s="189" t="s">
        <v>137</v>
      </c>
      <c r="B1823" s="189" t="s">
        <v>683</v>
      </c>
      <c r="C1823" s="189" t="s">
        <v>684</v>
      </c>
      <c r="D1823" s="189" t="s">
        <v>598</v>
      </c>
      <c r="E1823" s="189" t="s">
        <v>2156</v>
      </c>
      <c r="F1823" s="189" t="s">
        <v>265</v>
      </c>
      <c r="G1823" s="282">
        <v>51.59</v>
      </c>
      <c r="H1823" s="282">
        <v>51.59</v>
      </c>
      <c r="I1823" s="198" t="s">
        <v>112</v>
      </c>
      <c r="J1823" s="250" t="s">
        <v>143</v>
      </c>
      <c r="K1823" s="195" t="s">
        <v>687</v>
      </c>
      <c r="L1823" s="197"/>
      <c r="M1823" s="197"/>
      <c r="N1823" s="197"/>
      <c r="O1823" s="197"/>
    </row>
    <row r="1824" spans="1:15" hidden="1">
      <c r="A1824" s="189" t="s">
        <v>137</v>
      </c>
      <c r="B1824" s="189" t="s">
        <v>683</v>
      </c>
      <c r="C1824" s="189" t="s">
        <v>684</v>
      </c>
      <c r="D1824" s="189" t="s">
        <v>808</v>
      </c>
      <c r="E1824" s="189" t="s">
        <v>2157</v>
      </c>
      <c r="F1824" s="189" t="s">
        <v>265</v>
      </c>
      <c r="G1824" s="282">
        <v>36.85</v>
      </c>
      <c r="H1824" s="282">
        <v>36.85</v>
      </c>
      <c r="I1824" s="198" t="s">
        <v>112</v>
      </c>
      <c r="J1824" s="250" t="s">
        <v>143</v>
      </c>
      <c r="K1824" s="195" t="s">
        <v>687</v>
      </c>
      <c r="L1824" s="197"/>
      <c r="M1824" s="197"/>
      <c r="N1824" s="197"/>
      <c r="O1824" s="197"/>
    </row>
    <row r="1825" spans="1:15" hidden="1">
      <c r="A1825" s="189" t="s">
        <v>137</v>
      </c>
      <c r="B1825" s="189" t="s">
        <v>683</v>
      </c>
      <c r="C1825" s="189" t="s">
        <v>684</v>
      </c>
      <c r="D1825" s="189" t="s">
        <v>815</v>
      </c>
      <c r="E1825" s="189" t="s">
        <v>2158</v>
      </c>
      <c r="F1825" s="189" t="s">
        <v>265</v>
      </c>
      <c r="G1825" s="282">
        <v>22.11</v>
      </c>
      <c r="H1825" s="282">
        <v>22.11</v>
      </c>
      <c r="I1825" s="198" t="s">
        <v>112</v>
      </c>
      <c r="J1825" s="250" t="s">
        <v>143</v>
      </c>
      <c r="K1825" s="195" t="s">
        <v>687</v>
      </c>
      <c r="L1825" s="197"/>
      <c r="M1825" s="197"/>
      <c r="N1825" s="197"/>
      <c r="O1825" s="197"/>
    </row>
    <row r="1826" spans="1:15" hidden="1">
      <c r="A1826" s="189" t="s">
        <v>137</v>
      </c>
      <c r="B1826" s="189" t="s">
        <v>683</v>
      </c>
      <c r="C1826" s="189" t="s">
        <v>684</v>
      </c>
      <c r="D1826" s="189" t="s">
        <v>817</v>
      </c>
      <c r="E1826" s="189" t="s">
        <v>2159</v>
      </c>
      <c r="F1826" s="189" t="s">
        <v>265</v>
      </c>
      <c r="G1826" s="282">
        <v>29.48</v>
      </c>
      <c r="H1826" s="282">
        <v>29.48</v>
      </c>
      <c r="I1826" s="198" t="s">
        <v>112</v>
      </c>
      <c r="J1826" s="250" t="s">
        <v>143</v>
      </c>
      <c r="K1826" s="195" t="s">
        <v>687</v>
      </c>
      <c r="L1826" s="197"/>
      <c r="M1826" s="197"/>
      <c r="N1826" s="197"/>
      <c r="O1826" s="197"/>
    </row>
    <row r="1827" spans="1:15" hidden="1">
      <c r="A1827" s="189" t="s">
        <v>137</v>
      </c>
      <c r="B1827" s="189" t="s">
        <v>683</v>
      </c>
      <c r="C1827" s="189" t="s">
        <v>684</v>
      </c>
      <c r="D1827" s="189" t="s">
        <v>819</v>
      </c>
      <c r="E1827" s="189" t="s">
        <v>2160</v>
      </c>
      <c r="F1827" s="189" t="s">
        <v>265</v>
      </c>
      <c r="G1827" s="282">
        <v>44.22</v>
      </c>
      <c r="H1827" s="282">
        <v>44.22</v>
      </c>
      <c r="I1827" s="198" t="s">
        <v>112</v>
      </c>
      <c r="J1827" s="250" t="s">
        <v>143</v>
      </c>
      <c r="K1827" s="195" t="s">
        <v>687</v>
      </c>
      <c r="L1827" s="197"/>
      <c r="M1827" s="197"/>
      <c r="N1827" s="197"/>
      <c r="O1827" s="197"/>
    </row>
    <row r="1828" spans="1:15" hidden="1">
      <c r="A1828" s="189" t="s">
        <v>137</v>
      </c>
      <c r="B1828" s="189" t="s">
        <v>683</v>
      </c>
      <c r="C1828" s="189" t="s">
        <v>684</v>
      </c>
      <c r="D1828" s="189" t="s">
        <v>824</v>
      </c>
      <c r="E1828" s="189" t="s">
        <v>2161</v>
      </c>
      <c r="F1828" s="189" t="s">
        <v>265</v>
      </c>
      <c r="G1828" s="282">
        <v>29.48</v>
      </c>
      <c r="H1828" s="282">
        <v>29.48</v>
      </c>
      <c r="I1828" s="198" t="s">
        <v>112</v>
      </c>
      <c r="J1828" s="250" t="s">
        <v>143</v>
      </c>
      <c r="K1828" s="195" t="s">
        <v>687</v>
      </c>
      <c r="L1828" s="197"/>
      <c r="M1828" s="197"/>
      <c r="N1828" s="197"/>
      <c r="O1828" s="197"/>
    </row>
    <row r="1829" spans="1:15" hidden="1">
      <c r="A1829" s="189" t="s">
        <v>137</v>
      </c>
      <c r="B1829" s="189" t="s">
        <v>683</v>
      </c>
      <c r="C1829" s="189" t="s">
        <v>684</v>
      </c>
      <c r="D1829" s="189" t="s">
        <v>828</v>
      </c>
      <c r="E1829" s="189" t="s">
        <v>2162</v>
      </c>
      <c r="F1829" s="189" t="s">
        <v>265</v>
      </c>
      <c r="G1829" s="282">
        <v>29.48</v>
      </c>
      <c r="H1829" s="282">
        <v>29.48</v>
      </c>
      <c r="I1829" s="198" t="s">
        <v>112</v>
      </c>
      <c r="J1829" s="250" t="s">
        <v>143</v>
      </c>
      <c r="K1829" s="195" t="s">
        <v>687</v>
      </c>
      <c r="L1829" s="197"/>
      <c r="M1829" s="197"/>
      <c r="N1829" s="197"/>
      <c r="O1829" s="197"/>
    </row>
    <row r="1830" spans="1:15" hidden="1">
      <c r="A1830" s="189" t="s">
        <v>137</v>
      </c>
      <c r="B1830" s="189" t="s">
        <v>683</v>
      </c>
      <c r="C1830" s="189" t="s">
        <v>684</v>
      </c>
      <c r="D1830" s="189" t="s">
        <v>410</v>
      </c>
      <c r="E1830" s="189" t="s">
        <v>2163</v>
      </c>
      <c r="F1830" s="189" t="s">
        <v>265</v>
      </c>
      <c r="G1830" s="282">
        <v>58.96</v>
      </c>
      <c r="H1830" s="282">
        <v>58.96</v>
      </c>
      <c r="I1830" s="198" t="s">
        <v>112</v>
      </c>
      <c r="J1830" s="250" t="s">
        <v>143</v>
      </c>
      <c r="K1830" s="195" t="s">
        <v>687</v>
      </c>
      <c r="L1830" s="197"/>
      <c r="M1830" s="197"/>
      <c r="N1830" s="197"/>
      <c r="O1830" s="197"/>
    </row>
    <row r="1831" spans="1:15" hidden="1">
      <c r="A1831" s="189" t="s">
        <v>137</v>
      </c>
      <c r="B1831" s="189" t="s">
        <v>683</v>
      </c>
      <c r="C1831" s="189" t="s">
        <v>684</v>
      </c>
      <c r="D1831" s="189" t="s">
        <v>837</v>
      </c>
      <c r="E1831" s="189" t="s">
        <v>2164</v>
      </c>
      <c r="F1831" s="189" t="s">
        <v>265</v>
      </c>
      <c r="G1831" s="282">
        <v>36.85</v>
      </c>
      <c r="H1831" s="282">
        <v>36.85</v>
      </c>
      <c r="I1831" s="198" t="s">
        <v>112</v>
      </c>
      <c r="J1831" s="250" t="s">
        <v>143</v>
      </c>
      <c r="K1831" s="195" t="s">
        <v>687</v>
      </c>
      <c r="L1831" s="197"/>
      <c r="M1831" s="197"/>
      <c r="N1831" s="197"/>
      <c r="O1831" s="197"/>
    </row>
    <row r="1832" spans="1:15" hidden="1">
      <c r="A1832" s="189" t="s">
        <v>137</v>
      </c>
      <c r="B1832" s="189" t="s">
        <v>683</v>
      </c>
      <c r="C1832" s="189" t="s">
        <v>684</v>
      </c>
      <c r="D1832" s="189" t="s">
        <v>842</v>
      </c>
      <c r="E1832" s="189" t="s">
        <v>2165</v>
      </c>
      <c r="F1832" s="189" t="s">
        <v>265</v>
      </c>
      <c r="G1832" s="282">
        <v>51.59</v>
      </c>
      <c r="H1832" s="282">
        <v>51.59</v>
      </c>
      <c r="I1832" s="198" t="s">
        <v>112</v>
      </c>
      <c r="J1832" s="250" t="s">
        <v>143</v>
      </c>
      <c r="K1832" s="195" t="s">
        <v>687</v>
      </c>
      <c r="L1832" s="197"/>
      <c r="M1832" s="197"/>
      <c r="N1832" s="197"/>
      <c r="O1832" s="197"/>
    </row>
    <row r="1833" spans="1:15" hidden="1">
      <c r="A1833" s="189" t="s">
        <v>137</v>
      </c>
      <c r="B1833" s="189" t="s">
        <v>683</v>
      </c>
      <c r="C1833" s="189" t="s">
        <v>684</v>
      </c>
      <c r="D1833" s="189" t="s">
        <v>338</v>
      </c>
      <c r="E1833" s="189" t="s">
        <v>2166</v>
      </c>
      <c r="F1833" s="189" t="s">
        <v>265</v>
      </c>
      <c r="G1833" s="282">
        <v>44.22</v>
      </c>
      <c r="H1833" s="282">
        <v>44.22</v>
      </c>
      <c r="I1833" s="198" t="s">
        <v>112</v>
      </c>
      <c r="J1833" s="250" t="s">
        <v>143</v>
      </c>
      <c r="K1833" s="195" t="s">
        <v>687</v>
      </c>
      <c r="L1833" s="197"/>
      <c r="M1833" s="197"/>
      <c r="N1833" s="197"/>
      <c r="O1833" s="197"/>
    </row>
    <row r="1834" spans="1:15" hidden="1">
      <c r="A1834" s="189" t="s">
        <v>137</v>
      </c>
      <c r="B1834" s="189" t="s">
        <v>683</v>
      </c>
      <c r="C1834" s="189" t="s">
        <v>684</v>
      </c>
      <c r="D1834" s="189" t="s">
        <v>851</v>
      </c>
      <c r="E1834" s="189" t="s">
        <v>2167</v>
      </c>
      <c r="F1834" s="189" t="s">
        <v>265</v>
      </c>
      <c r="G1834" s="282">
        <v>7.37</v>
      </c>
      <c r="H1834" s="282">
        <v>7.37</v>
      </c>
      <c r="I1834" s="198" t="s">
        <v>112</v>
      </c>
      <c r="J1834" s="250" t="s">
        <v>143</v>
      </c>
      <c r="K1834" s="195" t="s">
        <v>687</v>
      </c>
      <c r="L1834" s="197"/>
      <c r="M1834" s="197"/>
      <c r="N1834" s="197"/>
      <c r="O1834" s="197"/>
    </row>
    <row r="1835" spans="1:15" hidden="1">
      <c r="A1835" s="189" t="s">
        <v>137</v>
      </c>
      <c r="B1835" s="189" t="s">
        <v>683</v>
      </c>
      <c r="C1835" s="189" t="s">
        <v>684</v>
      </c>
      <c r="D1835" s="189" t="s">
        <v>856</v>
      </c>
      <c r="E1835" s="189" t="s">
        <v>2168</v>
      </c>
      <c r="F1835" s="189" t="s">
        <v>265</v>
      </c>
      <c r="G1835" s="282">
        <v>22.11</v>
      </c>
      <c r="H1835" s="282">
        <v>22.11</v>
      </c>
      <c r="I1835" s="198" t="s">
        <v>112</v>
      </c>
      <c r="J1835" s="250" t="s">
        <v>143</v>
      </c>
      <c r="K1835" s="195" t="s">
        <v>687</v>
      </c>
      <c r="L1835" s="197"/>
      <c r="M1835" s="197"/>
      <c r="N1835" s="197"/>
      <c r="O1835" s="197"/>
    </row>
    <row r="1836" spans="1:15" hidden="1">
      <c r="A1836" s="189" t="s">
        <v>137</v>
      </c>
      <c r="B1836" s="189" t="s">
        <v>683</v>
      </c>
      <c r="C1836" s="189" t="s">
        <v>684</v>
      </c>
      <c r="D1836" s="189" t="s">
        <v>859</v>
      </c>
      <c r="E1836" s="189" t="s">
        <v>2169</v>
      </c>
      <c r="F1836" s="189" t="s">
        <v>265</v>
      </c>
      <c r="G1836" s="282">
        <v>44.22</v>
      </c>
      <c r="H1836" s="282">
        <v>44.22</v>
      </c>
      <c r="I1836" s="198" t="s">
        <v>112</v>
      </c>
      <c r="J1836" s="250" t="s">
        <v>143</v>
      </c>
      <c r="K1836" s="195" t="s">
        <v>687</v>
      </c>
      <c r="L1836" s="197"/>
      <c r="M1836" s="197"/>
      <c r="N1836" s="197"/>
      <c r="O1836" s="197"/>
    </row>
    <row r="1837" spans="1:15" hidden="1">
      <c r="A1837" s="189" t="s">
        <v>137</v>
      </c>
      <c r="B1837" s="189" t="s">
        <v>683</v>
      </c>
      <c r="C1837" s="189" t="s">
        <v>684</v>
      </c>
      <c r="D1837" s="189" t="s">
        <v>869</v>
      </c>
      <c r="E1837" s="189" t="s">
        <v>2170</v>
      </c>
      <c r="F1837" s="189" t="s">
        <v>265</v>
      </c>
      <c r="G1837" s="282">
        <v>44.22</v>
      </c>
      <c r="H1837" s="282">
        <v>44.22</v>
      </c>
      <c r="I1837" s="198" t="s">
        <v>112</v>
      </c>
      <c r="J1837" s="250" t="s">
        <v>143</v>
      </c>
      <c r="K1837" s="195" t="s">
        <v>687</v>
      </c>
      <c r="L1837" s="197"/>
      <c r="M1837" s="197"/>
      <c r="N1837" s="197"/>
      <c r="O1837" s="197"/>
    </row>
    <row r="1838" spans="1:15" hidden="1">
      <c r="A1838" s="189" t="s">
        <v>137</v>
      </c>
      <c r="B1838" s="189" t="s">
        <v>683</v>
      </c>
      <c r="C1838" s="189" t="s">
        <v>684</v>
      </c>
      <c r="D1838" s="189" t="s">
        <v>874</v>
      </c>
      <c r="E1838" s="189" t="s">
        <v>2171</v>
      </c>
      <c r="F1838" s="189" t="s">
        <v>265</v>
      </c>
      <c r="G1838" s="282">
        <v>88.44</v>
      </c>
      <c r="H1838" s="282">
        <v>88.44</v>
      </c>
      <c r="I1838" s="198" t="s">
        <v>112</v>
      </c>
      <c r="J1838" s="250" t="s">
        <v>143</v>
      </c>
      <c r="K1838" s="195" t="s">
        <v>687</v>
      </c>
      <c r="L1838" s="197"/>
      <c r="M1838" s="197"/>
      <c r="N1838" s="197"/>
      <c r="O1838" s="197"/>
    </row>
    <row r="1839" spans="1:15" hidden="1">
      <c r="A1839" s="189" t="s">
        <v>137</v>
      </c>
      <c r="B1839" s="189" t="s">
        <v>683</v>
      </c>
      <c r="C1839" s="189" t="s">
        <v>684</v>
      </c>
      <c r="D1839" s="189" t="s">
        <v>413</v>
      </c>
      <c r="E1839" s="189" t="s">
        <v>2172</v>
      </c>
      <c r="F1839" s="189" t="s">
        <v>265</v>
      </c>
      <c r="G1839" s="282">
        <v>169.51</v>
      </c>
      <c r="H1839" s="282">
        <v>169.51</v>
      </c>
      <c r="I1839" s="198" t="s">
        <v>112</v>
      </c>
      <c r="J1839" s="250" t="s">
        <v>143</v>
      </c>
      <c r="K1839" s="195" t="s">
        <v>687</v>
      </c>
      <c r="L1839" s="197"/>
      <c r="M1839" s="197"/>
      <c r="N1839" s="197"/>
      <c r="O1839" s="197"/>
    </row>
    <row r="1840" spans="1:15" hidden="1">
      <c r="A1840" s="189" t="s">
        <v>137</v>
      </c>
      <c r="B1840" s="189" t="s">
        <v>138</v>
      </c>
      <c r="C1840" s="189" t="s">
        <v>82</v>
      </c>
      <c r="D1840" s="189" t="s">
        <v>883</v>
      </c>
      <c r="E1840" s="189" t="s">
        <v>2173</v>
      </c>
      <c r="F1840" s="189" t="s">
        <v>265</v>
      </c>
      <c r="G1840" s="260">
        <v>-336.7</v>
      </c>
      <c r="H1840" s="260">
        <v>-343.61</v>
      </c>
      <c r="I1840" s="198" t="s">
        <v>82</v>
      </c>
      <c r="J1840" s="244" t="s">
        <v>143</v>
      </c>
      <c r="K1840" s="189"/>
      <c r="L1840" s="197"/>
      <c r="M1840" s="197"/>
      <c r="N1840" s="197"/>
      <c r="O1840" s="197"/>
    </row>
    <row r="1841" spans="1:15">
      <c r="A1841" s="199" t="s">
        <v>243</v>
      </c>
      <c r="B1841" s="288" t="s">
        <v>138</v>
      </c>
      <c r="C1841" s="288" t="s">
        <v>106</v>
      </c>
      <c r="D1841" s="288" t="s">
        <v>655</v>
      </c>
      <c r="E1841" s="288" t="s">
        <v>2174</v>
      </c>
      <c r="F1841" s="267" t="s">
        <v>268</v>
      </c>
      <c r="G1841" s="289">
        <v>-0.5</v>
      </c>
      <c r="H1841" s="289">
        <v>-0.5</v>
      </c>
      <c r="I1841" s="198" t="s">
        <v>106</v>
      </c>
      <c r="J1841" s="198" t="s">
        <v>164</v>
      </c>
      <c r="K1841" s="290"/>
      <c r="L1841" s="197"/>
      <c r="M1841" s="197"/>
      <c r="N1841" s="197"/>
      <c r="O1841" s="197"/>
    </row>
    <row r="1842" spans="1:15" hidden="1">
      <c r="A1842" s="189" t="s">
        <v>209</v>
      </c>
      <c r="B1842" s="189" t="s">
        <v>138</v>
      </c>
      <c r="C1842" s="189" t="s">
        <v>106</v>
      </c>
      <c r="D1842" s="189" t="s">
        <v>655</v>
      </c>
      <c r="E1842" s="223" t="s">
        <v>2175</v>
      </c>
      <c r="F1842" s="189" t="s">
        <v>153</v>
      </c>
      <c r="G1842" s="258">
        <v>-10</v>
      </c>
      <c r="H1842" s="260">
        <v>-10</v>
      </c>
      <c r="I1842" s="195" t="s">
        <v>106</v>
      </c>
      <c r="J1842" s="244" t="s">
        <v>164</v>
      </c>
      <c r="K1842" s="199"/>
      <c r="L1842" s="197"/>
      <c r="M1842" s="197"/>
      <c r="N1842" s="197"/>
      <c r="O1842" s="197"/>
    </row>
    <row r="1843" spans="1:15" hidden="1">
      <c r="A1843" s="189" t="s">
        <v>232</v>
      </c>
      <c r="B1843" s="189" t="s">
        <v>138</v>
      </c>
      <c r="C1843" s="189" t="s">
        <v>82</v>
      </c>
      <c r="D1843" s="189" t="s">
        <v>883</v>
      </c>
      <c r="E1843" s="189" t="s">
        <v>2176</v>
      </c>
      <c r="F1843" s="189" t="s">
        <v>265</v>
      </c>
      <c r="G1843" s="260">
        <v>-60.49</v>
      </c>
      <c r="H1843" s="260">
        <v>-60.49</v>
      </c>
      <c r="I1843" s="198" t="s">
        <v>82</v>
      </c>
      <c r="J1843" s="244" t="s">
        <v>143</v>
      </c>
      <c r="K1843" s="189"/>
      <c r="L1843" s="197"/>
      <c r="M1843" s="197"/>
      <c r="N1843" s="197"/>
      <c r="O1843" s="197"/>
    </row>
    <row r="1844" spans="1:15" hidden="1">
      <c r="A1844" s="189" t="s">
        <v>232</v>
      </c>
      <c r="B1844" s="189" t="s">
        <v>138</v>
      </c>
      <c r="C1844" s="189" t="s">
        <v>2177</v>
      </c>
      <c r="D1844" s="189" t="s">
        <v>671</v>
      </c>
      <c r="E1844" s="189" t="s">
        <v>2178</v>
      </c>
      <c r="F1844" s="189" t="s">
        <v>265</v>
      </c>
      <c r="G1844" s="260">
        <v>-4000</v>
      </c>
      <c r="H1844" s="260">
        <v>-4000</v>
      </c>
      <c r="I1844" s="198" t="s">
        <v>100</v>
      </c>
      <c r="J1844" s="189" t="s">
        <v>277</v>
      </c>
      <c r="K1844" s="189"/>
      <c r="L1844" s="197"/>
      <c r="M1844" s="197"/>
      <c r="N1844" s="197"/>
      <c r="O1844" s="197"/>
    </row>
    <row r="1845" spans="1:15" hidden="1">
      <c r="A1845" s="189" t="s">
        <v>232</v>
      </c>
      <c r="B1845" s="189" t="s">
        <v>138</v>
      </c>
      <c r="C1845" s="189" t="s">
        <v>2177</v>
      </c>
      <c r="D1845" s="189" t="s">
        <v>671</v>
      </c>
      <c r="E1845" s="189" t="s">
        <v>2179</v>
      </c>
      <c r="F1845" s="189" t="s">
        <v>265</v>
      </c>
      <c r="G1845" s="260">
        <v>-4000</v>
      </c>
      <c r="H1845" s="260">
        <v>-4000</v>
      </c>
      <c r="I1845" s="198" t="s">
        <v>100</v>
      </c>
      <c r="J1845" s="189" t="s">
        <v>277</v>
      </c>
      <c r="K1845" s="189"/>
      <c r="L1845" s="197"/>
      <c r="M1845" s="197"/>
      <c r="N1845" s="197"/>
      <c r="O1845" s="197"/>
    </row>
    <row r="1846" spans="1:15" hidden="1">
      <c r="A1846" s="189" t="s">
        <v>232</v>
      </c>
      <c r="B1846" s="189" t="s">
        <v>138</v>
      </c>
      <c r="C1846" s="189" t="s">
        <v>2177</v>
      </c>
      <c r="D1846" s="189" t="s">
        <v>671</v>
      </c>
      <c r="E1846" s="189" t="s">
        <v>2180</v>
      </c>
      <c r="F1846" s="189" t="s">
        <v>265</v>
      </c>
      <c r="G1846" s="260">
        <v>-4000</v>
      </c>
      <c r="H1846" s="260">
        <v>-4000</v>
      </c>
      <c r="I1846" s="198" t="s">
        <v>100</v>
      </c>
      <c r="J1846" s="189" t="s">
        <v>277</v>
      </c>
      <c r="K1846" s="189"/>
      <c r="L1846" s="197"/>
      <c r="M1846" s="197"/>
      <c r="N1846" s="197"/>
      <c r="O1846" s="197"/>
    </row>
    <row r="1847" spans="1:15" hidden="1">
      <c r="A1847" s="189" t="s">
        <v>137</v>
      </c>
      <c r="B1847" s="189" t="s">
        <v>138</v>
      </c>
      <c r="C1847" s="189" t="s">
        <v>106</v>
      </c>
      <c r="D1847" s="189" t="s">
        <v>655</v>
      </c>
      <c r="E1847" s="223" t="s">
        <v>2181</v>
      </c>
      <c r="F1847" s="189" t="s">
        <v>153</v>
      </c>
      <c r="G1847" s="258">
        <v>-3.95</v>
      </c>
      <c r="H1847" s="260">
        <v>-3.95</v>
      </c>
      <c r="I1847" s="195" t="s">
        <v>106</v>
      </c>
      <c r="J1847" s="244" t="s">
        <v>164</v>
      </c>
      <c r="K1847" s="199"/>
      <c r="L1847" s="197"/>
      <c r="M1847" s="197"/>
      <c r="N1847" s="197"/>
      <c r="O1847" s="197"/>
    </row>
    <row r="1848" spans="1:15" hidden="1">
      <c r="A1848" s="189" t="s">
        <v>137</v>
      </c>
      <c r="B1848" s="189" t="s">
        <v>138</v>
      </c>
      <c r="C1848" s="189" t="s">
        <v>106</v>
      </c>
      <c r="D1848" s="189" t="s">
        <v>655</v>
      </c>
      <c r="E1848" s="223" t="s">
        <v>2089</v>
      </c>
      <c r="F1848" s="189" t="s">
        <v>153</v>
      </c>
      <c r="G1848" s="258">
        <v>-224</v>
      </c>
      <c r="H1848" s="260">
        <v>-224</v>
      </c>
      <c r="I1848" s="195" t="s">
        <v>106</v>
      </c>
      <c r="J1848" s="244" t="s">
        <v>164</v>
      </c>
      <c r="K1848" s="199"/>
      <c r="L1848" s="197"/>
      <c r="M1848" s="197"/>
      <c r="N1848" s="197"/>
      <c r="O1848" s="197"/>
    </row>
    <row r="1849" spans="1:15" hidden="1">
      <c r="A1849" s="189" t="s">
        <v>137</v>
      </c>
      <c r="B1849" s="189" t="s">
        <v>138</v>
      </c>
      <c r="C1849" s="189" t="s">
        <v>78</v>
      </c>
      <c r="D1849" s="189" t="s">
        <v>903</v>
      </c>
      <c r="E1849" s="189" t="s">
        <v>2182</v>
      </c>
      <c r="F1849" s="189" t="s">
        <v>265</v>
      </c>
      <c r="G1849" s="260">
        <v>-2628</v>
      </c>
      <c r="H1849" s="260">
        <v>-2628</v>
      </c>
      <c r="I1849" s="198" t="s">
        <v>78</v>
      </c>
      <c r="J1849" s="189" t="s">
        <v>143</v>
      </c>
      <c r="K1849" s="189"/>
      <c r="L1849" s="197"/>
      <c r="M1849" s="197"/>
      <c r="N1849" s="197"/>
      <c r="O1849" s="197"/>
    </row>
    <row r="1850" spans="1:15" hidden="1">
      <c r="A1850" s="189" t="s">
        <v>137</v>
      </c>
      <c r="B1850" s="189" t="s">
        <v>138</v>
      </c>
      <c r="C1850" s="189" t="s">
        <v>78</v>
      </c>
      <c r="D1850" s="189" t="s">
        <v>903</v>
      </c>
      <c r="E1850" s="189" t="s">
        <v>2183</v>
      </c>
      <c r="F1850" s="189" t="s">
        <v>265</v>
      </c>
      <c r="G1850" s="260">
        <v>-2448</v>
      </c>
      <c r="H1850" s="260">
        <v>-2448</v>
      </c>
      <c r="I1850" s="198" t="s">
        <v>78</v>
      </c>
      <c r="J1850" s="189" t="s">
        <v>143</v>
      </c>
      <c r="K1850" s="189"/>
      <c r="L1850" s="197"/>
      <c r="M1850" s="197"/>
      <c r="N1850" s="197"/>
      <c r="O1850" s="197"/>
    </row>
    <row r="1851" spans="1:15" hidden="1">
      <c r="A1851" s="189" t="s">
        <v>232</v>
      </c>
      <c r="B1851" s="189" t="s">
        <v>138</v>
      </c>
      <c r="C1851" s="189" t="s">
        <v>78</v>
      </c>
      <c r="D1851" s="189" t="s">
        <v>903</v>
      </c>
      <c r="E1851" s="189" t="s">
        <v>2184</v>
      </c>
      <c r="F1851" s="189" t="s">
        <v>265</v>
      </c>
      <c r="G1851" s="260">
        <v>-1908</v>
      </c>
      <c r="H1851" s="260">
        <v>-1908</v>
      </c>
      <c r="I1851" s="198" t="s">
        <v>78</v>
      </c>
      <c r="J1851" s="189" t="s">
        <v>143</v>
      </c>
      <c r="K1851" s="189"/>
      <c r="L1851" s="197"/>
      <c r="M1851" s="197"/>
      <c r="N1851" s="197"/>
      <c r="O1851" s="197"/>
    </row>
    <row r="1852" spans="1:15" hidden="1">
      <c r="A1852" s="189" t="s">
        <v>232</v>
      </c>
      <c r="B1852" s="189" t="s">
        <v>138</v>
      </c>
      <c r="C1852" s="189" t="s">
        <v>78</v>
      </c>
      <c r="D1852" s="189" t="s">
        <v>903</v>
      </c>
      <c r="E1852" s="189" t="s">
        <v>2185</v>
      </c>
      <c r="F1852" s="189" t="s">
        <v>265</v>
      </c>
      <c r="G1852" s="260">
        <v>-1530</v>
      </c>
      <c r="H1852" s="260">
        <v>-1530</v>
      </c>
      <c r="I1852" s="198" t="s">
        <v>78</v>
      </c>
      <c r="J1852" s="189" t="s">
        <v>143</v>
      </c>
      <c r="K1852" s="189"/>
      <c r="L1852" s="197"/>
      <c r="M1852" s="197"/>
      <c r="N1852" s="197"/>
      <c r="O1852" s="197"/>
    </row>
    <row r="1853" spans="1:15" hidden="1">
      <c r="A1853" s="189" t="s">
        <v>137</v>
      </c>
      <c r="B1853" s="189" t="s">
        <v>138</v>
      </c>
      <c r="C1853" s="189" t="s">
        <v>78</v>
      </c>
      <c r="D1853" s="189" t="s">
        <v>922</v>
      </c>
      <c r="E1853" s="189" t="s">
        <v>2186</v>
      </c>
      <c r="F1853" s="189" t="s">
        <v>265</v>
      </c>
      <c r="G1853" s="260">
        <v>-2518.1</v>
      </c>
      <c r="H1853" s="260">
        <v>-2518.1</v>
      </c>
      <c r="I1853" s="198" t="s">
        <v>78</v>
      </c>
      <c r="J1853" s="189" t="s">
        <v>143</v>
      </c>
      <c r="K1853" s="189"/>
      <c r="L1853" s="197"/>
      <c r="M1853" s="197"/>
      <c r="N1853" s="197"/>
      <c r="O1853" s="197"/>
    </row>
    <row r="1854" spans="1:15" hidden="1">
      <c r="A1854" s="189" t="s">
        <v>137</v>
      </c>
      <c r="B1854" s="189" t="s">
        <v>138</v>
      </c>
      <c r="C1854" s="189" t="s">
        <v>78</v>
      </c>
      <c r="D1854" s="189" t="s">
        <v>922</v>
      </c>
      <c r="E1854" s="189" t="s">
        <v>2187</v>
      </c>
      <c r="F1854" s="189" t="s">
        <v>265</v>
      </c>
      <c r="G1854" s="260">
        <v>-2264.6</v>
      </c>
      <c r="H1854" s="260">
        <v>-2264.6</v>
      </c>
      <c r="I1854" s="198" t="s">
        <v>78</v>
      </c>
      <c r="J1854" s="189" t="s">
        <v>143</v>
      </c>
      <c r="K1854" s="189"/>
      <c r="L1854" s="197"/>
      <c r="M1854" s="197"/>
      <c r="N1854" s="197"/>
      <c r="O1854" s="197"/>
    </row>
    <row r="1855" spans="1:15" hidden="1">
      <c r="A1855" s="189" t="s">
        <v>232</v>
      </c>
      <c r="B1855" s="189" t="s">
        <v>138</v>
      </c>
      <c r="C1855" s="189" t="s">
        <v>78</v>
      </c>
      <c r="D1855" s="189" t="s">
        <v>922</v>
      </c>
      <c r="E1855" s="189" t="s">
        <v>2188</v>
      </c>
      <c r="F1855" s="189" t="s">
        <v>265</v>
      </c>
      <c r="G1855" s="260">
        <v>-2163.1999999999998</v>
      </c>
      <c r="H1855" s="260">
        <v>-2163.1999999999998</v>
      </c>
      <c r="I1855" s="198" t="s">
        <v>78</v>
      </c>
      <c r="J1855" s="189" t="s">
        <v>143</v>
      </c>
      <c r="K1855" s="189"/>
      <c r="L1855" s="197"/>
      <c r="M1855" s="197"/>
      <c r="N1855" s="197"/>
      <c r="O1855" s="197"/>
    </row>
    <row r="1856" spans="1:15" hidden="1">
      <c r="A1856" s="189" t="s">
        <v>232</v>
      </c>
      <c r="B1856" s="189" t="s">
        <v>138</v>
      </c>
      <c r="C1856" s="189" t="s">
        <v>78</v>
      </c>
      <c r="D1856" s="189" t="s">
        <v>922</v>
      </c>
      <c r="E1856" s="189" t="s">
        <v>2189</v>
      </c>
      <c r="F1856" s="189" t="s">
        <v>265</v>
      </c>
      <c r="G1856" s="260">
        <v>-1521</v>
      </c>
      <c r="H1856" s="260">
        <v>-1521</v>
      </c>
      <c r="I1856" s="198" t="s">
        <v>78</v>
      </c>
      <c r="J1856" s="189" t="s">
        <v>143</v>
      </c>
      <c r="K1856" s="189" t="s">
        <v>195</v>
      </c>
      <c r="L1856" s="197"/>
      <c r="M1856" s="197"/>
      <c r="N1856" s="197"/>
      <c r="O1856" s="197"/>
    </row>
    <row r="1857" spans="1:15" hidden="1">
      <c r="A1857" s="189" t="s">
        <v>137</v>
      </c>
      <c r="B1857" s="189" t="s">
        <v>138</v>
      </c>
      <c r="C1857" s="189" t="s">
        <v>96</v>
      </c>
      <c r="D1857" s="189" t="s">
        <v>952</v>
      </c>
      <c r="E1857" s="189" t="s">
        <v>2190</v>
      </c>
      <c r="F1857" s="189" t="s">
        <v>265</v>
      </c>
      <c r="G1857" s="260">
        <v>-243.76</v>
      </c>
      <c r="H1857" s="260">
        <v>-243.76</v>
      </c>
      <c r="I1857" s="198" t="s">
        <v>96</v>
      </c>
      <c r="J1857" s="189" t="s">
        <v>192</v>
      </c>
      <c r="K1857" s="189" t="s">
        <v>195</v>
      </c>
      <c r="L1857" s="197"/>
      <c r="M1857" s="197"/>
      <c r="N1857" s="197"/>
      <c r="O1857" s="197"/>
    </row>
    <row r="1858" spans="1:15" hidden="1">
      <c r="A1858" s="189" t="s">
        <v>232</v>
      </c>
      <c r="B1858" s="189" t="s">
        <v>138</v>
      </c>
      <c r="C1858" s="189" t="s">
        <v>96</v>
      </c>
      <c r="D1858" s="189" t="s">
        <v>957</v>
      </c>
      <c r="E1858" s="189" t="s">
        <v>2191</v>
      </c>
      <c r="F1858" s="189" t="s">
        <v>265</v>
      </c>
      <c r="G1858" s="260">
        <v>-136.05000000000001</v>
      </c>
      <c r="H1858" s="260">
        <v>-136.05000000000001</v>
      </c>
      <c r="I1858" s="198" t="s">
        <v>96</v>
      </c>
      <c r="J1858" s="189" t="s">
        <v>164</v>
      </c>
      <c r="K1858" s="189" t="s">
        <v>195</v>
      </c>
      <c r="L1858" s="197"/>
      <c r="M1858" s="197"/>
      <c r="N1858" s="197"/>
      <c r="O1858" s="197"/>
    </row>
    <row r="1859" spans="1:15" hidden="1">
      <c r="A1859" s="189" t="s">
        <v>137</v>
      </c>
      <c r="B1859" s="189" t="s">
        <v>138</v>
      </c>
      <c r="C1859" s="189" t="s">
        <v>96</v>
      </c>
      <c r="D1859" s="199" t="s">
        <v>974</v>
      </c>
      <c r="E1859" s="189" t="s">
        <v>2192</v>
      </c>
      <c r="F1859" s="189" t="s">
        <v>265</v>
      </c>
      <c r="G1859" s="266">
        <v>-784.73</v>
      </c>
      <c r="H1859" s="260">
        <v>-784.73</v>
      </c>
      <c r="I1859" s="198" t="s">
        <v>96</v>
      </c>
      <c r="J1859" s="189" t="s">
        <v>964</v>
      </c>
      <c r="K1859" s="189"/>
      <c r="L1859" s="197"/>
      <c r="M1859" s="197"/>
      <c r="N1859" s="197"/>
      <c r="O1859" s="197"/>
    </row>
    <row r="1860" spans="1:15" hidden="1">
      <c r="A1860" s="189" t="s">
        <v>232</v>
      </c>
      <c r="B1860" s="189" t="s">
        <v>138</v>
      </c>
      <c r="C1860" s="189" t="s">
        <v>96</v>
      </c>
      <c r="D1860" s="199" t="s">
        <v>974</v>
      </c>
      <c r="E1860" s="189" t="s">
        <v>2193</v>
      </c>
      <c r="F1860" s="189" t="s">
        <v>265</v>
      </c>
      <c r="G1860" s="266">
        <v>-103.5</v>
      </c>
      <c r="H1860" s="260">
        <v>-103.5</v>
      </c>
      <c r="I1860" s="198" t="s">
        <v>96</v>
      </c>
      <c r="J1860" s="189" t="s">
        <v>143</v>
      </c>
      <c r="K1860" s="189"/>
      <c r="L1860" s="197"/>
      <c r="M1860" s="197"/>
      <c r="N1860" s="197"/>
      <c r="O1860" s="197"/>
    </row>
    <row r="1861" spans="1:15" hidden="1">
      <c r="A1861" s="189" t="s">
        <v>137</v>
      </c>
      <c r="B1861" s="189" t="s">
        <v>138</v>
      </c>
      <c r="C1861" s="189" t="s">
        <v>973</v>
      </c>
      <c r="D1861" s="199" t="s">
        <v>974</v>
      </c>
      <c r="E1861" s="189" t="s">
        <v>2194</v>
      </c>
      <c r="F1861" s="189" t="s">
        <v>265</v>
      </c>
      <c r="G1861" s="266">
        <v>-1211.8499999999999</v>
      </c>
      <c r="H1861" s="260">
        <v>-1211.8499999999999</v>
      </c>
      <c r="I1861" s="198" t="s">
        <v>96</v>
      </c>
      <c r="J1861" s="189" t="s">
        <v>964</v>
      </c>
      <c r="K1861" s="189"/>
      <c r="L1861" s="197"/>
      <c r="M1861" s="197"/>
      <c r="N1861" s="197"/>
      <c r="O1861" s="197"/>
    </row>
    <row r="1862" spans="1:15" hidden="1">
      <c r="A1862" s="189" t="s">
        <v>137</v>
      </c>
      <c r="B1862" s="189" t="s">
        <v>138</v>
      </c>
      <c r="C1862" s="189" t="s">
        <v>973</v>
      </c>
      <c r="D1862" s="199" t="s">
        <v>974</v>
      </c>
      <c r="E1862" s="189" t="s">
        <v>2195</v>
      </c>
      <c r="F1862" s="261" t="s">
        <v>265</v>
      </c>
      <c r="G1862" s="264">
        <v>-1154.55</v>
      </c>
      <c r="H1862" s="260">
        <v>-1154.55</v>
      </c>
      <c r="I1862" s="198" t="s">
        <v>96</v>
      </c>
      <c r="J1862" s="189" t="s">
        <v>964</v>
      </c>
      <c r="K1862" s="189" t="s">
        <v>2196</v>
      </c>
      <c r="L1862" s="197"/>
      <c r="M1862" s="197"/>
      <c r="N1862" s="197"/>
      <c r="O1862" s="197"/>
    </row>
    <row r="1863" spans="1:15" hidden="1">
      <c r="A1863" s="189" t="s">
        <v>137</v>
      </c>
      <c r="B1863" s="189" t="s">
        <v>138</v>
      </c>
      <c r="C1863" s="189" t="s">
        <v>973</v>
      </c>
      <c r="D1863" s="199" t="s">
        <v>974</v>
      </c>
      <c r="E1863" s="189" t="s">
        <v>2197</v>
      </c>
      <c r="F1863" s="261" t="s">
        <v>265</v>
      </c>
      <c r="G1863" s="264">
        <v>-1063.1300000000001</v>
      </c>
      <c r="H1863" s="260">
        <v>-1063.1300000000001</v>
      </c>
      <c r="I1863" s="198" t="s">
        <v>96</v>
      </c>
      <c r="J1863" s="189" t="s">
        <v>964</v>
      </c>
      <c r="K1863" s="189" t="s">
        <v>2196</v>
      </c>
      <c r="L1863" s="197"/>
      <c r="M1863" s="197"/>
      <c r="N1863" s="197"/>
      <c r="O1863" s="197"/>
    </row>
    <row r="1864" spans="1:15" hidden="1">
      <c r="A1864" s="189" t="s">
        <v>137</v>
      </c>
      <c r="B1864" s="189" t="s">
        <v>138</v>
      </c>
      <c r="C1864" s="189" t="s">
        <v>973</v>
      </c>
      <c r="D1864" s="199" t="s">
        <v>974</v>
      </c>
      <c r="E1864" s="189" t="s">
        <v>2198</v>
      </c>
      <c r="F1864" s="189" t="s">
        <v>265</v>
      </c>
      <c r="G1864" s="266">
        <v>-1055.46</v>
      </c>
      <c r="H1864" s="260">
        <v>-1055.46</v>
      </c>
      <c r="I1864" s="198" t="s">
        <v>96</v>
      </c>
      <c r="J1864" s="189" t="s">
        <v>964</v>
      </c>
      <c r="K1864" s="189" t="s">
        <v>2196</v>
      </c>
      <c r="L1864" s="197"/>
      <c r="M1864" s="197"/>
      <c r="N1864" s="197"/>
      <c r="O1864" s="197"/>
    </row>
    <row r="1865" spans="1:15" hidden="1">
      <c r="A1865" s="189" t="s">
        <v>137</v>
      </c>
      <c r="B1865" s="189" t="s">
        <v>138</v>
      </c>
      <c r="C1865" s="189" t="s">
        <v>973</v>
      </c>
      <c r="D1865" s="199" t="s">
        <v>974</v>
      </c>
      <c r="E1865" s="189" t="s">
        <v>2199</v>
      </c>
      <c r="F1865" s="261" t="s">
        <v>265</v>
      </c>
      <c r="G1865" s="264">
        <v>-795.75</v>
      </c>
      <c r="H1865" s="260">
        <v>-795.75</v>
      </c>
      <c r="I1865" s="198" t="s">
        <v>96</v>
      </c>
      <c r="J1865" s="189" t="s">
        <v>964</v>
      </c>
      <c r="K1865" s="189" t="s">
        <v>2196</v>
      </c>
      <c r="L1865" s="197"/>
      <c r="M1865" s="197"/>
      <c r="N1865" s="197"/>
      <c r="O1865" s="197"/>
    </row>
    <row r="1866" spans="1:15" hidden="1">
      <c r="A1866" s="189" t="s">
        <v>232</v>
      </c>
      <c r="B1866" s="189" t="s">
        <v>138</v>
      </c>
      <c r="C1866" s="189" t="s">
        <v>973</v>
      </c>
      <c r="D1866" s="199" t="s">
        <v>974</v>
      </c>
      <c r="E1866" s="189" t="s">
        <v>2200</v>
      </c>
      <c r="F1866" s="261" t="s">
        <v>265</v>
      </c>
      <c r="G1866" s="264">
        <v>-238.32</v>
      </c>
      <c r="H1866" s="260">
        <v>-238.32</v>
      </c>
      <c r="I1866" s="198" t="s">
        <v>96</v>
      </c>
      <c r="J1866" s="189" t="s">
        <v>143</v>
      </c>
      <c r="K1866" s="189" t="s">
        <v>2196</v>
      </c>
      <c r="L1866" s="197"/>
      <c r="M1866" s="197"/>
      <c r="N1866" s="197"/>
      <c r="O1866" s="197"/>
    </row>
    <row r="1867" spans="1:15" hidden="1">
      <c r="A1867" s="189" t="s">
        <v>137</v>
      </c>
      <c r="B1867" s="189" t="s">
        <v>138</v>
      </c>
      <c r="C1867" s="189" t="s">
        <v>973</v>
      </c>
      <c r="D1867" s="199" t="s">
        <v>993</v>
      </c>
      <c r="E1867" s="189" t="s">
        <v>2201</v>
      </c>
      <c r="F1867" s="261" t="s">
        <v>265</v>
      </c>
      <c r="G1867" s="264">
        <v>-120.9</v>
      </c>
      <c r="H1867" s="260">
        <v>-120.9</v>
      </c>
      <c r="I1867" s="198" t="s">
        <v>96</v>
      </c>
      <c r="J1867" s="189" t="s">
        <v>159</v>
      </c>
      <c r="K1867" s="189" t="s">
        <v>2196</v>
      </c>
      <c r="L1867" s="197"/>
      <c r="M1867" s="197"/>
      <c r="N1867" s="197"/>
      <c r="O1867" s="197"/>
    </row>
    <row r="1868" spans="1:15" hidden="1">
      <c r="A1868" s="189" t="s">
        <v>232</v>
      </c>
      <c r="B1868" s="189" t="s">
        <v>138</v>
      </c>
      <c r="C1868" s="189" t="s">
        <v>96</v>
      </c>
      <c r="D1868" s="189" t="s">
        <v>969</v>
      </c>
      <c r="E1868" s="189" t="s">
        <v>2202</v>
      </c>
      <c r="F1868" s="189" t="s">
        <v>265</v>
      </c>
      <c r="G1868" s="260">
        <v>-408.8</v>
      </c>
      <c r="H1868" s="260">
        <v>-408.8</v>
      </c>
      <c r="I1868" s="198" t="s">
        <v>96</v>
      </c>
      <c r="J1868" s="189" t="s">
        <v>164</v>
      </c>
      <c r="K1868" s="189"/>
      <c r="L1868" s="197"/>
      <c r="M1868" s="197"/>
      <c r="N1868" s="197"/>
      <c r="O1868" s="197"/>
    </row>
    <row r="1869" spans="1:15" hidden="1">
      <c r="A1869" s="189" t="s">
        <v>232</v>
      </c>
      <c r="B1869" s="189" t="s">
        <v>138</v>
      </c>
      <c r="C1869" s="189" t="s">
        <v>973</v>
      </c>
      <c r="D1869" s="189" t="s">
        <v>999</v>
      </c>
      <c r="E1869" s="189" t="s">
        <v>2203</v>
      </c>
      <c r="F1869" s="189" t="s">
        <v>265</v>
      </c>
      <c r="G1869" s="260">
        <v>-98.5</v>
      </c>
      <c r="H1869" s="260">
        <v>-98.5</v>
      </c>
      <c r="I1869" s="198" t="s">
        <v>96</v>
      </c>
      <c r="J1869" s="189" t="s">
        <v>964</v>
      </c>
      <c r="K1869" s="189"/>
      <c r="L1869" s="197"/>
      <c r="M1869" s="197"/>
      <c r="N1869" s="197"/>
      <c r="O1869" s="197"/>
    </row>
    <row r="1870" spans="1:15" hidden="1">
      <c r="A1870" s="189" t="s">
        <v>137</v>
      </c>
      <c r="B1870" s="189" t="s">
        <v>138</v>
      </c>
      <c r="C1870" s="189" t="s">
        <v>973</v>
      </c>
      <c r="D1870" s="189" t="s">
        <v>1004</v>
      </c>
      <c r="E1870" s="189" t="s">
        <v>2204</v>
      </c>
      <c r="F1870" s="189" t="s">
        <v>265</v>
      </c>
      <c r="G1870" s="260">
        <v>-24.15</v>
      </c>
      <c r="H1870" s="260">
        <v>-24.15</v>
      </c>
      <c r="I1870" s="198" t="s">
        <v>96</v>
      </c>
      <c r="J1870" s="189" t="s">
        <v>162</v>
      </c>
      <c r="K1870" s="189"/>
      <c r="L1870" s="197"/>
      <c r="M1870" s="197"/>
      <c r="N1870" s="197"/>
      <c r="O1870" s="197"/>
    </row>
    <row r="1871" spans="1:15" hidden="1">
      <c r="A1871" s="189" t="s">
        <v>137</v>
      </c>
      <c r="B1871" s="189" t="s">
        <v>138</v>
      </c>
      <c r="C1871" s="189" t="s">
        <v>973</v>
      </c>
      <c r="D1871" s="189" t="s">
        <v>1004</v>
      </c>
      <c r="E1871" s="189" t="s">
        <v>2205</v>
      </c>
      <c r="F1871" s="261" t="s">
        <v>265</v>
      </c>
      <c r="G1871" s="264">
        <v>-24.15</v>
      </c>
      <c r="H1871" s="260">
        <v>-24.15</v>
      </c>
      <c r="I1871" s="198" t="s">
        <v>96</v>
      </c>
      <c r="J1871" s="189" t="s">
        <v>162</v>
      </c>
      <c r="K1871" s="189" t="s">
        <v>2196</v>
      </c>
      <c r="L1871" s="197"/>
      <c r="M1871" s="197"/>
      <c r="N1871" s="197"/>
      <c r="O1871" s="197"/>
    </row>
    <row r="1872" spans="1:15" hidden="1">
      <c r="A1872" s="189" t="s">
        <v>232</v>
      </c>
      <c r="B1872" s="189" t="s">
        <v>138</v>
      </c>
      <c r="C1872" s="189" t="s">
        <v>973</v>
      </c>
      <c r="D1872" s="189" t="s">
        <v>1887</v>
      </c>
      <c r="E1872" s="189" t="s">
        <v>2206</v>
      </c>
      <c r="F1872" s="261" t="s">
        <v>265</v>
      </c>
      <c r="G1872" s="264">
        <v>-568.48</v>
      </c>
      <c r="H1872" s="260">
        <v>-568.48</v>
      </c>
      <c r="I1872" s="198" t="s">
        <v>96</v>
      </c>
      <c r="J1872" s="189" t="s">
        <v>964</v>
      </c>
      <c r="K1872" s="189" t="s">
        <v>2196</v>
      </c>
      <c r="L1872" s="197"/>
      <c r="M1872" s="197"/>
      <c r="N1872" s="197"/>
      <c r="O1872" s="197"/>
    </row>
    <row r="1873" spans="1:15" hidden="1">
      <c r="A1873" s="189" t="s">
        <v>137</v>
      </c>
      <c r="B1873" s="189" t="s">
        <v>138</v>
      </c>
      <c r="C1873" s="189" t="s">
        <v>96</v>
      </c>
      <c r="D1873" s="189" t="s">
        <v>976</v>
      </c>
      <c r="E1873" s="189" t="s">
        <v>2207</v>
      </c>
      <c r="F1873" s="189" t="s">
        <v>265</v>
      </c>
      <c r="G1873" s="260">
        <v>-60.25</v>
      </c>
      <c r="H1873" s="260">
        <v>-60.25</v>
      </c>
      <c r="I1873" s="198" t="s">
        <v>96</v>
      </c>
      <c r="J1873" s="189" t="s">
        <v>206</v>
      </c>
      <c r="K1873" s="189" t="s">
        <v>195</v>
      </c>
      <c r="L1873" s="197"/>
      <c r="M1873" s="197"/>
      <c r="N1873" s="197"/>
      <c r="O1873" s="197"/>
    </row>
    <row r="1874" spans="1:15" hidden="1">
      <c r="A1874" s="189" t="s">
        <v>232</v>
      </c>
      <c r="B1874" s="189" t="s">
        <v>138</v>
      </c>
      <c r="C1874" s="189" t="s">
        <v>973</v>
      </c>
      <c r="D1874" s="189" t="s">
        <v>1042</v>
      </c>
      <c r="E1874" s="189" t="s">
        <v>2208</v>
      </c>
      <c r="F1874" s="261" t="s">
        <v>265</v>
      </c>
      <c r="G1874" s="264">
        <v>-217.29</v>
      </c>
      <c r="H1874" s="260">
        <v>-217.29</v>
      </c>
      <c r="I1874" s="198" t="s">
        <v>96</v>
      </c>
      <c r="J1874" s="189" t="s">
        <v>162</v>
      </c>
      <c r="K1874" s="189" t="s">
        <v>2196</v>
      </c>
      <c r="L1874" s="197"/>
      <c r="M1874" s="197"/>
      <c r="N1874" s="197"/>
      <c r="O1874" s="197"/>
    </row>
    <row r="1875" spans="1:15" hidden="1">
      <c r="A1875" s="189" t="s">
        <v>232</v>
      </c>
      <c r="B1875" s="189" t="s">
        <v>138</v>
      </c>
      <c r="C1875" s="189" t="s">
        <v>973</v>
      </c>
      <c r="D1875" s="189" t="s">
        <v>1042</v>
      </c>
      <c r="E1875" s="189" t="s">
        <v>2209</v>
      </c>
      <c r="F1875" s="189" t="s">
        <v>265</v>
      </c>
      <c r="G1875" s="260">
        <v>-205.69</v>
      </c>
      <c r="H1875" s="260">
        <v>-205.69</v>
      </c>
      <c r="I1875" s="198" t="s">
        <v>96</v>
      </c>
      <c r="J1875" s="189" t="s">
        <v>162</v>
      </c>
      <c r="K1875" s="189"/>
      <c r="L1875" s="197"/>
      <c r="M1875" s="197"/>
      <c r="N1875" s="197"/>
      <c r="O1875" s="197"/>
    </row>
    <row r="1876" spans="1:15" hidden="1">
      <c r="A1876" s="189" t="s">
        <v>232</v>
      </c>
      <c r="B1876" s="189" t="s">
        <v>138</v>
      </c>
      <c r="C1876" s="189" t="s">
        <v>973</v>
      </c>
      <c r="D1876" s="189" t="s">
        <v>1042</v>
      </c>
      <c r="E1876" s="189" t="s">
        <v>2210</v>
      </c>
      <c r="F1876" s="189" t="s">
        <v>265</v>
      </c>
      <c r="G1876" s="260">
        <v>-54.52</v>
      </c>
      <c r="H1876" s="260">
        <v>-54.52</v>
      </c>
      <c r="I1876" s="198" t="s">
        <v>96</v>
      </c>
      <c r="J1876" s="189" t="s">
        <v>964</v>
      </c>
      <c r="K1876" s="189" t="s">
        <v>2196</v>
      </c>
      <c r="L1876" s="197"/>
      <c r="M1876" s="197"/>
      <c r="N1876" s="197"/>
      <c r="O1876" s="197"/>
    </row>
    <row r="1877" spans="1:15" hidden="1">
      <c r="A1877" s="189" t="s">
        <v>137</v>
      </c>
      <c r="B1877" s="189" t="s">
        <v>138</v>
      </c>
      <c r="C1877" s="189" t="s">
        <v>96</v>
      </c>
      <c r="D1877" s="189" t="s">
        <v>987</v>
      </c>
      <c r="E1877" s="189" t="s">
        <v>2211</v>
      </c>
      <c r="F1877" s="189" t="s">
        <v>265</v>
      </c>
      <c r="G1877" s="260">
        <v>-99</v>
      </c>
      <c r="H1877" s="260">
        <v>-99</v>
      </c>
      <c r="I1877" s="198" t="s">
        <v>96</v>
      </c>
      <c r="J1877" s="189" t="s">
        <v>422</v>
      </c>
      <c r="K1877" s="189"/>
      <c r="L1877" s="197"/>
      <c r="M1877" s="197"/>
      <c r="N1877" s="197"/>
      <c r="O1877" s="197"/>
    </row>
    <row r="1878" spans="1:15" hidden="1">
      <c r="A1878" s="189" t="s">
        <v>137</v>
      </c>
      <c r="B1878" s="189" t="s">
        <v>138</v>
      </c>
      <c r="C1878" s="189" t="s">
        <v>96</v>
      </c>
      <c r="D1878" s="189" t="s">
        <v>996</v>
      </c>
      <c r="E1878" s="189" t="s">
        <v>2212</v>
      </c>
      <c r="F1878" s="261" t="s">
        <v>265</v>
      </c>
      <c r="G1878" s="264">
        <v>-1505</v>
      </c>
      <c r="H1878" s="260">
        <v>-1505</v>
      </c>
      <c r="I1878" s="198" t="s">
        <v>96</v>
      </c>
      <c r="J1878" s="189" t="s">
        <v>162</v>
      </c>
      <c r="K1878" s="189"/>
      <c r="L1878" s="197"/>
      <c r="M1878" s="197"/>
      <c r="N1878" s="197"/>
      <c r="O1878" s="197"/>
    </row>
    <row r="1879" spans="1:15" hidden="1">
      <c r="A1879" s="189" t="s">
        <v>137</v>
      </c>
      <c r="B1879" s="189" t="s">
        <v>138</v>
      </c>
      <c r="C1879" s="189" t="s">
        <v>96</v>
      </c>
      <c r="D1879" s="189" t="s">
        <v>996</v>
      </c>
      <c r="E1879" s="189" t="s">
        <v>2213</v>
      </c>
      <c r="F1879" s="261" t="s">
        <v>265</v>
      </c>
      <c r="G1879" s="264">
        <v>-183.75</v>
      </c>
      <c r="H1879" s="260">
        <v>-183.75</v>
      </c>
      <c r="I1879" s="268" t="s">
        <v>110</v>
      </c>
      <c r="J1879" s="189" t="s">
        <v>1003</v>
      </c>
      <c r="K1879" s="189"/>
      <c r="L1879" s="197"/>
      <c r="M1879" s="197"/>
      <c r="N1879" s="197"/>
      <c r="O1879" s="197"/>
    </row>
    <row r="1880" spans="1:15" hidden="1">
      <c r="A1880" s="189" t="s">
        <v>232</v>
      </c>
      <c r="B1880" s="189" t="s">
        <v>138</v>
      </c>
      <c r="C1880" s="189" t="s">
        <v>973</v>
      </c>
      <c r="D1880" s="189" t="s">
        <v>996</v>
      </c>
      <c r="E1880" s="189" t="s">
        <v>2214</v>
      </c>
      <c r="F1880" s="261" t="s">
        <v>265</v>
      </c>
      <c r="G1880" s="264">
        <v>-156.31</v>
      </c>
      <c r="H1880" s="260">
        <v>-156.31</v>
      </c>
      <c r="I1880" s="198" t="s">
        <v>96</v>
      </c>
      <c r="J1880" s="189" t="s">
        <v>192</v>
      </c>
      <c r="K1880" s="189" t="s">
        <v>2196</v>
      </c>
      <c r="L1880" s="197"/>
      <c r="M1880" s="197"/>
      <c r="N1880" s="197"/>
      <c r="O1880" s="197"/>
    </row>
    <row r="1881" spans="1:15" hidden="1">
      <c r="A1881" s="189" t="s">
        <v>137</v>
      </c>
      <c r="B1881" s="189" t="s">
        <v>138</v>
      </c>
      <c r="C1881" s="189" t="s">
        <v>96</v>
      </c>
      <c r="D1881" s="189" t="s">
        <v>1867</v>
      </c>
      <c r="E1881" s="189" t="s">
        <v>2215</v>
      </c>
      <c r="F1881" s="189" t="s">
        <v>265</v>
      </c>
      <c r="G1881" s="260">
        <v>-1400</v>
      </c>
      <c r="H1881" s="260">
        <v>-1400</v>
      </c>
      <c r="I1881" s="198" t="s">
        <v>96</v>
      </c>
      <c r="J1881" s="189" t="s">
        <v>143</v>
      </c>
      <c r="K1881" s="189"/>
      <c r="L1881" s="197"/>
      <c r="M1881" s="197"/>
      <c r="N1881" s="197"/>
      <c r="O1881" s="197"/>
    </row>
    <row r="1882" spans="1:15" hidden="1">
      <c r="A1882" s="189" t="s">
        <v>232</v>
      </c>
      <c r="B1882" s="189" t="s">
        <v>138</v>
      </c>
      <c r="C1882" s="189" t="s">
        <v>973</v>
      </c>
      <c r="D1882" s="189" t="s">
        <v>2216</v>
      </c>
      <c r="E1882" s="189" t="s">
        <v>2217</v>
      </c>
      <c r="F1882" s="261" t="s">
        <v>265</v>
      </c>
      <c r="G1882" s="264">
        <v>-283.5</v>
      </c>
      <c r="H1882" s="260">
        <v>-283.5</v>
      </c>
      <c r="I1882" s="198" t="s">
        <v>96</v>
      </c>
      <c r="J1882" s="189" t="s">
        <v>277</v>
      </c>
      <c r="K1882" s="189" t="s">
        <v>2196</v>
      </c>
      <c r="L1882" s="197"/>
      <c r="M1882" s="197"/>
      <c r="N1882" s="197"/>
      <c r="O1882" s="197"/>
    </row>
    <row r="1883" spans="1:15" hidden="1">
      <c r="A1883" s="189" t="s">
        <v>137</v>
      </c>
      <c r="B1883" s="189" t="s">
        <v>138</v>
      </c>
      <c r="C1883" s="189" t="s">
        <v>96</v>
      </c>
      <c r="D1883" s="189" t="s">
        <v>2218</v>
      </c>
      <c r="E1883" s="189" t="s">
        <v>2219</v>
      </c>
      <c r="F1883" s="189" t="s">
        <v>265</v>
      </c>
      <c r="G1883" s="305">
        <v>-2037.08</v>
      </c>
      <c r="H1883" s="260">
        <v>-2157.02</v>
      </c>
      <c r="I1883" s="198" t="s">
        <v>96</v>
      </c>
      <c r="J1883" s="189" t="s">
        <v>192</v>
      </c>
      <c r="K1883" s="189"/>
      <c r="L1883" s="197"/>
      <c r="M1883" s="197"/>
      <c r="N1883" s="197"/>
      <c r="O1883" s="197"/>
    </row>
    <row r="1884" spans="1:15" hidden="1">
      <c r="A1884" s="189" t="s">
        <v>137</v>
      </c>
      <c r="B1884" s="189" t="s">
        <v>138</v>
      </c>
      <c r="C1884" s="189" t="s">
        <v>96</v>
      </c>
      <c r="D1884" s="189" t="s">
        <v>1019</v>
      </c>
      <c r="E1884" s="189" t="s">
        <v>2220</v>
      </c>
      <c r="F1884" s="189" t="s">
        <v>265</v>
      </c>
      <c r="G1884" s="260">
        <v>-119.9</v>
      </c>
      <c r="H1884" s="260">
        <v>-119.9</v>
      </c>
      <c r="I1884" s="198" t="s">
        <v>96</v>
      </c>
      <c r="J1884" s="189" t="s">
        <v>206</v>
      </c>
      <c r="K1884" s="189" t="s">
        <v>195</v>
      </c>
      <c r="L1884" s="197"/>
      <c r="M1884" s="197"/>
      <c r="N1884" s="197"/>
      <c r="O1884" s="197"/>
    </row>
    <row r="1885" spans="1:15" hidden="1">
      <c r="A1885" s="189" t="s">
        <v>137</v>
      </c>
      <c r="B1885" s="189" t="s">
        <v>138</v>
      </c>
      <c r="C1885" s="189" t="s">
        <v>96</v>
      </c>
      <c r="D1885" s="189" t="s">
        <v>1019</v>
      </c>
      <c r="E1885" s="189" t="s">
        <v>2221</v>
      </c>
      <c r="F1885" s="261" t="s">
        <v>265</v>
      </c>
      <c r="G1885" s="264">
        <v>-119.9</v>
      </c>
      <c r="H1885" s="260">
        <v>-119.9</v>
      </c>
      <c r="I1885" s="198" t="s">
        <v>96</v>
      </c>
      <c r="J1885" s="189" t="s">
        <v>277</v>
      </c>
      <c r="K1885" s="189"/>
      <c r="L1885" s="197"/>
      <c r="M1885" s="197"/>
      <c r="N1885" s="197"/>
      <c r="O1885" s="197"/>
    </row>
    <row r="1886" spans="1:15" hidden="1">
      <c r="A1886" s="189" t="s">
        <v>232</v>
      </c>
      <c r="B1886" s="189" t="s">
        <v>138</v>
      </c>
      <c r="C1886" s="189" t="s">
        <v>973</v>
      </c>
      <c r="D1886" s="189" t="s">
        <v>1898</v>
      </c>
      <c r="E1886" s="189" t="s">
        <v>2222</v>
      </c>
      <c r="F1886" s="261" t="s">
        <v>265</v>
      </c>
      <c r="G1886" s="264">
        <v>-1388.95</v>
      </c>
      <c r="H1886" s="260">
        <v>-1388.95</v>
      </c>
      <c r="I1886" s="198" t="s">
        <v>96</v>
      </c>
      <c r="J1886" s="189" t="s">
        <v>1848</v>
      </c>
      <c r="K1886" s="189" t="s">
        <v>2196</v>
      </c>
      <c r="L1886" s="197"/>
      <c r="M1886" s="197"/>
      <c r="N1886" s="197"/>
      <c r="O1886" s="197"/>
    </row>
    <row r="1887" spans="1:15" hidden="1">
      <c r="A1887" s="189" t="s">
        <v>232</v>
      </c>
      <c r="B1887" s="189" t="s">
        <v>138</v>
      </c>
      <c r="C1887" s="189" t="s">
        <v>973</v>
      </c>
      <c r="D1887" s="189" t="s">
        <v>1097</v>
      </c>
      <c r="E1887" s="189" t="s">
        <v>2223</v>
      </c>
      <c r="F1887" s="261" t="s">
        <v>265</v>
      </c>
      <c r="G1887" s="264">
        <v>-27.7</v>
      </c>
      <c r="H1887" s="260">
        <v>-27.7</v>
      </c>
      <c r="I1887" s="198" t="s">
        <v>96</v>
      </c>
      <c r="J1887" s="189" t="s">
        <v>277</v>
      </c>
      <c r="K1887" s="189" t="s">
        <v>2196</v>
      </c>
      <c r="L1887" s="197"/>
      <c r="M1887" s="197"/>
      <c r="N1887" s="197"/>
      <c r="O1887" s="197"/>
    </row>
    <row r="1888" spans="1:15" hidden="1">
      <c r="A1888" s="189" t="s">
        <v>137</v>
      </c>
      <c r="B1888" s="189" t="s">
        <v>138</v>
      </c>
      <c r="C1888" s="189" t="s">
        <v>77</v>
      </c>
      <c r="D1888" s="189" t="s">
        <v>2224</v>
      </c>
      <c r="E1888" s="189" t="s">
        <v>2225</v>
      </c>
      <c r="F1888" s="189" t="s">
        <v>265</v>
      </c>
      <c r="G1888" s="260">
        <v>-26.25</v>
      </c>
      <c r="H1888" s="260">
        <v>-26.25</v>
      </c>
      <c r="I1888" s="198" t="s">
        <v>77</v>
      </c>
      <c r="J1888" s="244" t="s">
        <v>143</v>
      </c>
      <c r="K1888" s="189"/>
      <c r="L1888" s="197"/>
      <c r="M1888" s="197"/>
      <c r="N1888" s="197"/>
      <c r="O1888" s="197"/>
    </row>
    <row r="1889" spans="1:15" hidden="1">
      <c r="A1889" s="189" t="s">
        <v>232</v>
      </c>
      <c r="B1889" s="189" t="s">
        <v>138</v>
      </c>
      <c r="C1889" s="189" t="s">
        <v>973</v>
      </c>
      <c r="D1889" s="189" t="s">
        <v>1104</v>
      </c>
      <c r="E1889" s="189" t="s">
        <v>2226</v>
      </c>
      <c r="F1889" s="261" t="s">
        <v>265</v>
      </c>
      <c r="G1889" s="264">
        <v>-158.65</v>
      </c>
      <c r="H1889" s="260">
        <v>-158.65</v>
      </c>
      <c r="I1889" s="198" t="s">
        <v>96</v>
      </c>
      <c r="J1889" s="189" t="s">
        <v>164</v>
      </c>
      <c r="K1889" s="189" t="s">
        <v>2196</v>
      </c>
      <c r="L1889" s="197"/>
      <c r="M1889" s="197"/>
      <c r="N1889" s="197"/>
      <c r="O1889" s="197"/>
    </row>
    <row r="1890" spans="1:15" hidden="1">
      <c r="A1890" s="189" t="s">
        <v>232</v>
      </c>
      <c r="B1890" s="189" t="s">
        <v>138</v>
      </c>
      <c r="C1890" s="189" t="s">
        <v>973</v>
      </c>
      <c r="D1890" s="189" t="s">
        <v>1104</v>
      </c>
      <c r="E1890" s="189" t="s">
        <v>2227</v>
      </c>
      <c r="F1890" s="189" t="s">
        <v>265</v>
      </c>
      <c r="G1890" s="260">
        <v>-155.47</v>
      </c>
      <c r="H1890" s="260">
        <v>-155.47</v>
      </c>
      <c r="I1890" s="198" t="s">
        <v>96</v>
      </c>
      <c r="J1890" s="189" t="s">
        <v>164</v>
      </c>
      <c r="K1890" s="189" t="s">
        <v>2196</v>
      </c>
      <c r="L1890" s="197"/>
      <c r="M1890" s="197"/>
      <c r="N1890" s="197"/>
      <c r="O1890" s="197"/>
    </row>
    <row r="1891" spans="1:15">
      <c r="A1891" s="199" t="s">
        <v>243</v>
      </c>
      <c r="B1891" s="288" t="s">
        <v>138</v>
      </c>
      <c r="C1891" s="288" t="s">
        <v>106</v>
      </c>
      <c r="D1891" s="288" t="s">
        <v>655</v>
      </c>
      <c r="E1891" s="288" t="s">
        <v>2228</v>
      </c>
      <c r="F1891" s="267" t="s">
        <v>268</v>
      </c>
      <c r="G1891" s="289">
        <v>-0.5</v>
      </c>
      <c r="H1891" s="289">
        <v>-0.5</v>
      </c>
      <c r="I1891" s="198" t="s">
        <v>106</v>
      </c>
      <c r="J1891" s="250" t="s">
        <v>164</v>
      </c>
      <c r="K1891" s="290"/>
      <c r="L1891" s="197"/>
      <c r="M1891" s="197"/>
      <c r="N1891" s="197"/>
      <c r="O1891" s="197"/>
    </row>
    <row r="1892" spans="1:15">
      <c r="A1892" s="199" t="s">
        <v>137</v>
      </c>
      <c r="B1892" s="199" t="s">
        <v>138</v>
      </c>
      <c r="C1892" s="199" t="s">
        <v>139</v>
      </c>
      <c r="D1892" s="199" t="s">
        <v>521</v>
      </c>
      <c r="E1892" s="199" t="s">
        <v>2229</v>
      </c>
      <c r="F1892" s="205" t="s">
        <v>268</v>
      </c>
      <c r="G1892" s="226">
        <v>-205.11</v>
      </c>
      <c r="H1892" s="226">
        <v>-205.11</v>
      </c>
      <c r="I1892" s="257" t="s">
        <v>84</v>
      </c>
      <c r="J1892" s="250" t="s">
        <v>143</v>
      </c>
      <c r="K1892" s="199"/>
      <c r="L1892" s="197"/>
      <c r="M1892" s="197"/>
      <c r="N1892" s="197"/>
      <c r="O1892" s="197"/>
    </row>
    <row r="1893" spans="1:15" hidden="1">
      <c r="A1893" s="189" t="s">
        <v>137</v>
      </c>
      <c r="B1893" s="189" t="s">
        <v>138</v>
      </c>
      <c r="C1893" s="189" t="s">
        <v>96</v>
      </c>
      <c r="D1893" s="189" t="s">
        <v>362</v>
      </c>
      <c r="E1893" s="189" t="s">
        <v>2230</v>
      </c>
      <c r="F1893" s="261" t="s">
        <v>265</v>
      </c>
      <c r="G1893" s="260">
        <v>-399.99</v>
      </c>
      <c r="H1893" s="260">
        <v>-399.99</v>
      </c>
      <c r="I1893" s="198" t="s">
        <v>96</v>
      </c>
      <c r="J1893" s="189" t="s">
        <v>143</v>
      </c>
      <c r="K1893" s="189"/>
      <c r="L1893" s="197"/>
      <c r="M1893" s="197"/>
      <c r="N1893" s="197"/>
      <c r="O1893" s="197"/>
    </row>
    <row r="1894" spans="1:15" hidden="1">
      <c r="A1894" s="189" t="s">
        <v>232</v>
      </c>
      <c r="B1894" s="189" t="s">
        <v>138</v>
      </c>
      <c r="C1894" s="189" t="s">
        <v>973</v>
      </c>
      <c r="D1894" s="189" t="s">
        <v>1112</v>
      </c>
      <c r="E1894" s="189" t="s">
        <v>2231</v>
      </c>
      <c r="F1894" s="261" t="s">
        <v>265</v>
      </c>
      <c r="G1894" s="264">
        <v>-270.73</v>
      </c>
      <c r="H1894" s="260">
        <v>-270.73</v>
      </c>
      <c r="I1894" s="198" t="s">
        <v>96</v>
      </c>
      <c r="J1894" s="189" t="s">
        <v>162</v>
      </c>
      <c r="K1894" s="189" t="s">
        <v>2196</v>
      </c>
      <c r="L1894" s="197"/>
      <c r="M1894" s="197"/>
      <c r="N1894" s="197"/>
      <c r="O1894" s="197"/>
    </row>
    <row r="1895" spans="1:15" hidden="1">
      <c r="A1895" s="189" t="s">
        <v>232</v>
      </c>
      <c r="B1895" s="189" t="s">
        <v>138</v>
      </c>
      <c r="C1895" s="189" t="s">
        <v>973</v>
      </c>
      <c r="D1895" s="189" t="s">
        <v>1112</v>
      </c>
      <c r="E1895" s="189" t="s">
        <v>2232</v>
      </c>
      <c r="F1895" s="189" t="s">
        <v>265</v>
      </c>
      <c r="G1895" s="260">
        <v>-216.72</v>
      </c>
      <c r="H1895" s="260">
        <v>-216.72</v>
      </c>
      <c r="I1895" s="198" t="s">
        <v>96</v>
      </c>
      <c r="J1895" s="189" t="s">
        <v>162</v>
      </c>
      <c r="K1895" s="189"/>
      <c r="L1895" s="197"/>
      <c r="M1895" s="197"/>
      <c r="N1895" s="197"/>
      <c r="O1895" s="197"/>
    </row>
    <row r="1896" spans="1:15" hidden="1">
      <c r="A1896" s="189" t="s">
        <v>232</v>
      </c>
      <c r="B1896" s="189" t="s">
        <v>138</v>
      </c>
      <c r="C1896" s="189" t="s">
        <v>973</v>
      </c>
      <c r="D1896" s="256" t="s">
        <v>1117</v>
      </c>
      <c r="E1896" s="189" t="s">
        <v>2233</v>
      </c>
      <c r="F1896" s="261" t="s">
        <v>265</v>
      </c>
      <c r="G1896" s="264">
        <v>-157.30000000000001</v>
      </c>
      <c r="H1896" s="260">
        <v>-157.30000000000001</v>
      </c>
      <c r="I1896" s="198" t="s">
        <v>96</v>
      </c>
      <c r="J1896" s="189" t="s">
        <v>143</v>
      </c>
      <c r="K1896" s="189" t="s">
        <v>2196</v>
      </c>
      <c r="L1896" s="197"/>
      <c r="M1896" s="197"/>
      <c r="N1896" s="197"/>
      <c r="O1896" s="197"/>
    </row>
    <row r="1897" spans="1:15" hidden="1">
      <c r="A1897" s="189" t="s">
        <v>232</v>
      </c>
      <c r="B1897" s="189" t="s">
        <v>138</v>
      </c>
      <c r="C1897" s="189" t="s">
        <v>973</v>
      </c>
      <c r="D1897" s="256" t="s">
        <v>1117</v>
      </c>
      <c r="E1897" s="189" t="s">
        <v>2233</v>
      </c>
      <c r="F1897" s="261" t="s">
        <v>265</v>
      </c>
      <c r="G1897" s="264">
        <v>-157.29</v>
      </c>
      <c r="H1897" s="260">
        <v>-157.29</v>
      </c>
      <c r="I1897" s="198" t="s">
        <v>96</v>
      </c>
      <c r="J1897" s="189" t="s">
        <v>164</v>
      </c>
      <c r="K1897" s="195" t="s">
        <v>2196</v>
      </c>
      <c r="L1897" s="197"/>
      <c r="M1897" s="197"/>
      <c r="N1897" s="197"/>
      <c r="O1897" s="197"/>
    </row>
    <row r="1898" spans="1:15" hidden="1">
      <c r="A1898" s="189" t="s">
        <v>232</v>
      </c>
      <c r="B1898" s="189" t="s">
        <v>138</v>
      </c>
      <c r="C1898" s="189" t="s">
        <v>973</v>
      </c>
      <c r="D1898" s="256" t="s">
        <v>1117</v>
      </c>
      <c r="E1898" s="189" t="s">
        <v>2234</v>
      </c>
      <c r="F1898" s="189" t="s">
        <v>265</v>
      </c>
      <c r="G1898" s="260">
        <v>-152.01</v>
      </c>
      <c r="H1898" s="260">
        <v>-152.01</v>
      </c>
      <c r="I1898" s="198" t="s">
        <v>96</v>
      </c>
      <c r="J1898" s="189" t="s">
        <v>143</v>
      </c>
      <c r="K1898" s="195"/>
      <c r="L1898" s="197"/>
      <c r="M1898" s="197"/>
      <c r="N1898" s="197"/>
      <c r="O1898" s="197"/>
    </row>
    <row r="1899" spans="1:15" hidden="1">
      <c r="A1899" s="189" t="s">
        <v>232</v>
      </c>
      <c r="B1899" s="189" t="s">
        <v>138</v>
      </c>
      <c r="C1899" s="189" t="s">
        <v>973</v>
      </c>
      <c r="D1899" s="256" t="s">
        <v>1117</v>
      </c>
      <c r="E1899" s="189" t="s">
        <v>2234</v>
      </c>
      <c r="F1899" s="189" t="s">
        <v>265</v>
      </c>
      <c r="G1899" s="260">
        <v>-152</v>
      </c>
      <c r="H1899" s="260">
        <v>-152</v>
      </c>
      <c r="I1899" s="198" t="s">
        <v>96</v>
      </c>
      <c r="J1899" s="189" t="s">
        <v>164</v>
      </c>
      <c r="K1899" s="195"/>
      <c r="L1899" s="197"/>
      <c r="M1899" s="197"/>
      <c r="N1899" s="197"/>
      <c r="O1899" s="197"/>
    </row>
    <row r="1900" spans="1:15" hidden="1">
      <c r="A1900" s="189" t="s">
        <v>232</v>
      </c>
      <c r="B1900" s="189" t="s">
        <v>138</v>
      </c>
      <c r="C1900" s="189" t="s">
        <v>973</v>
      </c>
      <c r="D1900" s="189" t="s">
        <v>1124</v>
      </c>
      <c r="E1900" s="189" t="s">
        <v>2235</v>
      </c>
      <c r="F1900" s="261" t="s">
        <v>265</v>
      </c>
      <c r="G1900" s="264">
        <v>-58.41</v>
      </c>
      <c r="H1900" s="260">
        <v>-58.41</v>
      </c>
      <c r="I1900" s="198" t="s">
        <v>96</v>
      </c>
      <c r="J1900" s="189" t="s">
        <v>422</v>
      </c>
      <c r="K1900" s="195" t="s">
        <v>2196</v>
      </c>
      <c r="L1900" s="197"/>
      <c r="M1900" s="197"/>
      <c r="N1900" s="197"/>
      <c r="O1900" s="197"/>
    </row>
    <row r="1901" spans="1:15" hidden="1">
      <c r="A1901" s="189" t="s">
        <v>232</v>
      </c>
      <c r="B1901" s="189" t="s">
        <v>138</v>
      </c>
      <c r="C1901" s="189" t="s">
        <v>973</v>
      </c>
      <c r="D1901" s="189" t="s">
        <v>1124</v>
      </c>
      <c r="E1901" s="189" t="s">
        <v>2236</v>
      </c>
      <c r="F1901" s="189" t="s">
        <v>265</v>
      </c>
      <c r="G1901" s="260">
        <v>-56.04</v>
      </c>
      <c r="H1901" s="260">
        <v>-56.04</v>
      </c>
      <c r="I1901" s="198" t="s">
        <v>96</v>
      </c>
      <c r="J1901" s="189" t="s">
        <v>422</v>
      </c>
      <c r="K1901" s="195"/>
      <c r="L1901" s="197"/>
      <c r="M1901" s="197"/>
      <c r="N1901" s="197"/>
      <c r="O1901" s="197"/>
    </row>
    <row r="1902" spans="1:15" hidden="1">
      <c r="A1902" s="189" t="s">
        <v>232</v>
      </c>
      <c r="B1902" s="189" t="s">
        <v>138</v>
      </c>
      <c r="C1902" s="189" t="s">
        <v>973</v>
      </c>
      <c r="D1902" s="189" t="s">
        <v>1134</v>
      </c>
      <c r="E1902" s="189" t="s">
        <v>2237</v>
      </c>
      <c r="F1902" s="261" t="s">
        <v>265</v>
      </c>
      <c r="G1902" s="264">
        <v>-689.27</v>
      </c>
      <c r="H1902" s="260">
        <v>-689.27</v>
      </c>
      <c r="I1902" s="198" t="s">
        <v>96</v>
      </c>
      <c r="J1902" s="189" t="s">
        <v>964</v>
      </c>
      <c r="K1902" s="195" t="s">
        <v>2196</v>
      </c>
      <c r="L1902" s="197"/>
      <c r="M1902" s="197"/>
      <c r="N1902" s="197"/>
      <c r="O1902" s="197"/>
    </row>
    <row r="1903" spans="1:15" hidden="1">
      <c r="A1903" s="189" t="s">
        <v>137</v>
      </c>
      <c r="B1903" s="195" t="s">
        <v>138</v>
      </c>
      <c r="C1903" s="195" t="s">
        <v>96</v>
      </c>
      <c r="D1903" s="195" t="s">
        <v>1034</v>
      </c>
      <c r="E1903" s="195" t="s">
        <v>2238</v>
      </c>
      <c r="F1903" s="195" t="s">
        <v>265</v>
      </c>
      <c r="G1903" s="243">
        <v>-450</v>
      </c>
      <c r="H1903" s="243">
        <v>-450</v>
      </c>
      <c r="I1903" s="198" t="s">
        <v>96</v>
      </c>
      <c r="J1903" s="189" t="s">
        <v>159</v>
      </c>
      <c r="K1903" s="195"/>
      <c r="L1903" s="197"/>
      <c r="M1903" s="197"/>
      <c r="N1903" s="197"/>
      <c r="O1903" s="197"/>
    </row>
    <row r="1904" spans="1:15" hidden="1">
      <c r="A1904" s="189" t="s">
        <v>137</v>
      </c>
      <c r="B1904" s="195" t="s">
        <v>138</v>
      </c>
      <c r="C1904" s="195" t="s">
        <v>96</v>
      </c>
      <c r="D1904" s="195" t="s">
        <v>1038</v>
      </c>
      <c r="E1904" s="195" t="s">
        <v>2239</v>
      </c>
      <c r="F1904" s="195" t="s">
        <v>265</v>
      </c>
      <c r="G1904" s="243">
        <v>-3219.53</v>
      </c>
      <c r="H1904" s="243">
        <v>-3219.53</v>
      </c>
      <c r="I1904" s="198" t="s">
        <v>96</v>
      </c>
      <c r="J1904" s="244" t="s">
        <v>143</v>
      </c>
      <c r="K1904" s="195" t="s">
        <v>195</v>
      </c>
      <c r="L1904" s="197"/>
      <c r="M1904" s="197"/>
      <c r="N1904" s="197"/>
      <c r="O1904" s="197"/>
    </row>
    <row r="1905" spans="1:15" hidden="1">
      <c r="A1905" s="189" t="s">
        <v>137</v>
      </c>
      <c r="B1905" s="195" t="s">
        <v>138</v>
      </c>
      <c r="C1905" s="195" t="s">
        <v>96</v>
      </c>
      <c r="D1905" s="195" t="s">
        <v>1038</v>
      </c>
      <c r="E1905" s="195" t="s">
        <v>2239</v>
      </c>
      <c r="F1905" s="195" t="s">
        <v>265</v>
      </c>
      <c r="G1905" s="243">
        <v>-95.13</v>
      </c>
      <c r="H1905" s="243">
        <v>-95.13</v>
      </c>
      <c r="I1905" s="198" t="s">
        <v>96</v>
      </c>
      <c r="J1905" s="189" t="s">
        <v>316</v>
      </c>
      <c r="K1905" s="195"/>
      <c r="L1905" s="197"/>
      <c r="M1905" s="197"/>
      <c r="N1905" s="197"/>
      <c r="O1905" s="197"/>
    </row>
    <row r="1906" spans="1:15" hidden="1">
      <c r="A1906" s="189" t="s">
        <v>232</v>
      </c>
      <c r="B1906" s="195" t="s">
        <v>138</v>
      </c>
      <c r="C1906" s="195" t="s">
        <v>973</v>
      </c>
      <c r="D1906" s="195" t="s">
        <v>1139</v>
      </c>
      <c r="E1906" s="195" t="s">
        <v>2240</v>
      </c>
      <c r="F1906" s="265" t="s">
        <v>265</v>
      </c>
      <c r="G1906" s="319">
        <v>-54.43</v>
      </c>
      <c r="H1906" s="243">
        <v>-54.43</v>
      </c>
      <c r="I1906" s="198" t="s">
        <v>96</v>
      </c>
      <c r="J1906" s="195" t="s">
        <v>422</v>
      </c>
      <c r="K1906" s="195" t="s">
        <v>2196</v>
      </c>
      <c r="L1906" s="197"/>
      <c r="M1906" s="197"/>
      <c r="N1906" s="197"/>
      <c r="O1906" s="197"/>
    </row>
    <row r="1907" spans="1:15" hidden="1">
      <c r="A1907" s="189" t="s">
        <v>137</v>
      </c>
      <c r="B1907" s="189" t="s">
        <v>138</v>
      </c>
      <c r="C1907" s="189" t="s">
        <v>96</v>
      </c>
      <c r="D1907" s="189" t="s">
        <v>1044</v>
      </c>
      <c r="E1907" s="189" t="s">
        <v>1878</v>
      </c>
      <c r="F1907" s="195" t="s">
        <v>265</v>
      </c>
      <c r="G1907" s="260">
        <v>-2621.14</v>
      </c>
      <c r="H1907" s="260">
        <v>-2621.14</v>
      </c>
      <c r="I1907" s="198" t="s">
        <v>96</v>
      </c>
      <c r="J1907" s="189" t="s">
        <v>476</v>
      </c>
      <c r="K1907" s="195"/>
      <c r="L1907" s="197"/>
      <c r="M1907" s="197"/>
      <c r="N1907" s="197"/>
      <c r="O1907" s="197"/>
    </row>
    <row r="1908" spans="1:15" hidden="1">
      <c r="A1908" s="189" t="s">
        <v>137</v>
      </c>
      <c r="B1908" s="195" t="s">
        <v>138</v>
      </c>
      <c r="C1908" s="195" t="s">
        <v>96</v>
      </c>
      <c r="D1908" s="188" t="s">
        <v>2241</v>
      </c>
      <c r="E1908" s="195" t="s">
        <v>2242</v>
      </c>
      <c r="F1908" s="195" t="s">
        <v>265</v>
      </c>
      <c r="G1908" s="243">
        <v>-2744.93</v>
      </c>
      <c r="H1908" s="243">
        <v>-2744.93</v>
      </c>
      <c r="I1908" s="198" t="s">
        <v>96</v>
      </c>
      <c r="J1908" s="195" t="s">
        <v>476</v>
      </c>
      <c r="K1908" s="195" t="s">
        <v>195</v>
      </c>
      <c r="L1908" s="197"/>
      <c r="M1908" s="197"/>
      <c r="N1908" s="197"/>
      <c r="O1908" s="197"/>
    </row>
    <row r="1909" spans="1:15" hidden="1">
      <c r="A1909" s="189" t="s">
        <v>232</v>
      </c>
      <c r="B1909" s="195" t="s">
        <v>138</v>
      </c>
      <c r="C1909" s="195" t="s">
        <v>973</v>
      </c>
      <c r="D1909" s="195" t="s">
        <v>1908</v>
      </c>
      <c r="E1909" s="195" t="s">
        <v>2243</v>
      </c>
      <c r="F1909" s="195" t="s">
        <v>265</v>
      </c>
      <c r="G1909" s="243">
        <v>-332.73</v>
      </c>
      <c r="H1909" s="243">
        <v>-332.73</v>
      </c>
      <c r="I1909" s="198" t="s">
        <v>96</v>
      </c>
      <c r="J1909" s="195" t="s">
        <v>164</v>
      </c>
      <c r="K1909" s="195"/>
      <c r="L1909" s="197"/>
      <c r="M1909" s="197"/>
      <c r="N1909" s="197"/>
      <c r="O1909" s="197"/>
    </row>
    <row r="1910" spans="1:15" hidden="1">
      <c r="A1910" s="189" t="s">
        <v>137</v>
      </c>
      <c r="B1910" s="195" t="s">
        <v>138</v>
      </c>
      <c r="C1910" s="195" t="s">
        <v>96</v>
      </c>
      <c r="D1910" s="195" t="s">
        <v>1053</v>
      </c>
      <c r="E1910" s="195" t="s">
        <v>2244</v>
      </c>
      <c r="F1910" s="195" t="s">
        <v>265</v>
      </c>
      <c r="G1910" s="243">
        <v>-35.9</v>
      </c>
      <c r="H1910" s="243">
        <v>-35.9</v>
      </c>
      <c r="I1910" s="198" t="s">
        <v>96</v>
      </c>
      <c r="J1910" s="195" t="s">
        <v>422</v>
      </c>
      <c r="K1910" s="195" t="s">
        <v>195</v>
      </c>
      <c r="L1910" s="197"/>
      <c r="M1910" s="197"/>
      <c r="N1910" s="197"/>
      <c r="O1910" s="197"/>
    </row>
    <row r="1911" spans="1:15" hidden="1">
      <c r="A1911" s="189" t="s">
        <v>232</v>
      </c>
      <c r="B1911" s="195" t="s">
        <v>138</v>
      </c>
      <c r="C1911" s="195" t="s">
        <v>973</v>
      </c>
      <c r="D1911" s="195" t="s">
        <v>1153</v>
      </c>
      <c r="E1911" s="195" t="s">
        <v>2245</v>
      </c>
      <c r="F1911" s="265" t="s">
        <v>265</v>
      </c>
      <c r="G1911" s="319">
        <v>-222.63</v>
      </c>
      <c r="H1911" s="243">
        <v>-222.63</v>
      </c>
      <c r="I1911" s="198" t="s">
        <v>96</v>
      </c>
      <c r="J1911" s="195" t="s">
        <v>162</v>
      </c>
      <c r="K1911" s="195" t="s">
        <v>2196</v>
      </c>
      <c r="L1911" s="197"/>
      <c r="M1911" s="197"/>
      <c r="N1911" s="197"/>
      <c r="O1911" s="197"/>
    </row>
    <row r="1912" spans="1:15" hidden="1">
      <c r="A1912" s="199" t="s">
        <v>137</v>
      </c>
      <c r="B1912" s="188" t="s">
        <v>138</v>
      </c>
      <c r="C1912" s="188" t="s">
        <v>106</v>
      </c>
      <c r="D1912" s="188" t="s">
        <v>655</v>
      </c>
      <c r="E1912" s="188" t="s">
        <v>2246</v>
      </c>
      <c r="F1912" s="234" t="s">
        <v>265</v>
      </c>
      <c r="G1912" s="253">
        <v>-237</v>
      </c>
      <c r="H1912" s="253">
        <v>-237</v>
      </c>
      <c r="I1912" s="198" t="s">
        <v>106</v>
      </c>
      <c r="J1912" s="198" t="s">
        <v>164</v>
      </c>
      <c r="K1912" s="188"/>
      <c r="L1912" s="197"/>
      <c r="M1912" s="197"/>
      <c r="N1912" s="197"/>
      <c r="O1912" s="197"/>
    </row>
    <row r="1913" spans="1:15" hidden="1">
      <c r="A1913" s="188" t="s">
        <v>232</v>
      </c>
      <c r="B1913" s="188" t="s">
        <v>138</v>
      </c>
      <c r="C1913" s="188" t="s">
        <v>106</v>
      </c>
      <c r="D1913" s="188" t="s">
        <v>655</v>
      </c>
      <c r="E1913" s="188" t="s">
        <v>2246</v>
      </c>
      <c r="F1913" s="234" t="s">
        <v>265</v>
      </c>
      <c r="G1913" s="253">
        <v>-237</v>
      </c>
      <c r="H1913" s="253">
        <v>-237</v>
      </c>
      <c r="I1913" s="198" t="s">
        <v>106</v>
      </c>
      <c r="J1913" s="198" t="s">
        <v>164</v>
      </c>
      <c r="K1913" s="188"/>
      <c r="L1913" s="197"/>
      <c r="M1913" s="197"/>
      <c r="N1913" s="197"/>
      <c r="O1913" s="197"/>
    </row>
    <row r="1914" spans="1:15" hidden="1">
      <c r="A1914" s="188" t="s">
        <v>137</v>
      </c>
      <c r="B1914" s="188" t="s">
        <v>138</v>
      </c>
      <c r="C1914" s="188" t="s">
        <v>106</v>
      </c>
      <c r="D1914" s="188" t="s">
        <v>655</v>
      </c>
      <c r="E1914" s="188" t="s">
        <v>1916</v>
      </c>
      <c r="F1914" s="234" t="s">
        <v>265</v>
      </c>
      <c r="G1914" s="253">
        <v>-159.19999999999999</v>
      </c>
      <c r="H1914" s="253">
        <v>-159.19999999999999</v>
      </c>
      <c r="I1914" s="198" t="s">
        <v>106</v>
      </c>
      <c r="J1914" s="198" t="s">
        <v>164</v>
      </c>
      <c r="K1914" s="188"/>
      <c r="L1914" s="197"/>
      <c r="M1914" s="197"/>
      <c r="N1914" s="197"/>
      <c r="O1914" s="197"/>
    </row>
    <row r="1915" spans="1:15" hidden="1">
      <c r="A1915" s="188" t="s">
        <v>137</v>
      </c>
      <c r="B1915" s="188" t="s">
        <v>138</v>
      </c>
      <c r="C1915" s="188" t="s">
        <v>106</v>
      </c>
      <c r="D1915" s="188" t="s">
        <v>655</v>
      </c>
      <c r="E1915" s="188" t="s">
        <v>2247</v>
      </c>
      <c r="F1915" s="234" t="s">
        <v>265</v>
      </c>
      <c r="G1915" s="253">
        <v>-155</v>
      </c>
      <c r="H1915" s="253">
        <v>-155</v>
      </c>
      <c r="I1915" s="198" t="s">
        <v>106</v>
      </c>
      <c r="J1915" s="198" t="s">
        <v>164</v>
      </c>
      <c r="K1915" s="188"/>
      <c r="L1915" s="197"/>
      <c r="M1915" s="197"/>
      <c r="N1915" s="197"/>
      <c r="O1915" s="197"/>
    </row>
    <row r="1916" spans="1:15">
      <c r="A1916" s="188" t="s">
        <v>243</v>
      </c>
      <c r="B1916" s="274" t="s">
        <v>138</v>
      </c>
      <c r="C1916" s="274" t="s">
        <v>106</v>
      </c>
      <c r="D1916" s="274" t="s">
        <v>655</v>
      </c>
      <c r="E1916" s="274" t="s">
        <v>2248</v>
      </c>
      <c r="F1916" s="283" t="s">
        <v>268</v>
      </c>
      <c r="G1916" s="320">
        <v>-0.5</v>
      </c>
      <c r="H1916" s="320">
        <v>-0.5</v>
      </c>
      <c r="I1916" s="198" t="s">
        <v>106</v>
      </c>
      <c r="J1916" s="250" t="s">
        <v>164</v>
      </c>
      <c r="K1916" s="233"/>
      <c r="L1916" s="197"/>
      <c r="M1916" s="197"/>
      <c r="N1916" s="197"/>
      <c r="O1916" s="197"/>
    </row>
    <row r="1917" spans="1:15" hidden="1">
      <c r="A1917" s="188" t="s">
        <v>232</v>
      </c>
      <c r="B1917" s="188" t="s">
        <v>138</v>
      </c>
      <c r="C1917" s="188" t="s">
        <v>106</v>
      </c>
      <c r="D1917" s="188" t="s">
        <v>655</v>
      </c>
      <c r="E1917" s="188" t="s">
        <v>2247</v>
      </c>
      <c r="F1917" s="234" t="s">
        <v>265</v>
      </c>
      <c r="G1917" s="253">
        <v>-93.1</v>
      </c>
      <c r="H1917" s="253">
        <v>-93.1</v>
      </c>
      <c r="I1917" s="198" t="s">
        <v>106</v>
      </c>
      <c r="J1917" s="198" t="s">
        <v>164</v>
      </c>
      <c r="K1917" s="188"/>
      <c r="L1917" s="197"/>
      <c r="M1917" s="197"/>
      <c r="N1917" s="197"/>
      <c r="O1917" s="197"/>
    </row>
    <row r="1918" spans="1:15" hidden="1">
      <c r="A1918" s="188" t="s">
        <v>137</v>
      </c>
      <c r="B1918" s="188" t="s">
        <v>138</v>
      </c>
      <c r="C1918" s="188" t="s">
        <v>106</v>
      </c>
      <c r="D1918" s="188" t="s">
        <v>655</v>
      </c>
      <c r="E1918" s="188" t="s">
        <v>1337</v>
      </c>
      <c r="F1918" s="234" t="s">
        <v>265</v>
      </c>
      <c r="G1918" s="226">
        <v>-40</v>
      </c>
      <c r="H1918" s="226">
        <v>-40</v>
      </c>
      <c r="I1918" s="198" t="s">
        <v>106</v>
      </c>
      <c r="J1918" s="198" t="s">
        <v>164</v>
      </c>
      <c r="K1918" s="188"/>
      <c r="L1918" s="197"/>
      <c r="M1918" s="197"/>
      <c r="N1918" s="197"/>
      <c r="O1918" s="197"/>
    </row>
    <row r="1919" spans="1:15" hidden="1">
      <c r="A1919" s="188" t="s">
        <v>232</v>
      </c>
      <c r="B1919" s="188" t="s">
        <v>138</v>
      </c>
      <c r="C1919" s="188" t="s">
        <v>106</v>
      </c>
      <c r="D1919" s="188" t="s">
        <v>655</v>
      </c>
      <c r="E1919" s="188" t="s">
        <v>1337</v>
      </c>
      <c r="F1919" s="234" t="s">
        <v>265</v>
      </c>
      <c r="G1919" s="226">
        <v>-40</v>
      </c>
      <c r="H1919" s="226">
        <v>-40</v>
      </c>
      <c r="I1919" s="198" t="s">
        <v>106</v>
      </c>
      <c r="J1919" s="198" t="s">
        <v>164</v>
      </c>
      <c r="K1919" s="188"/>
      <c r="L1919" s="197"/>
      <c r="M1919" s="197"/>
      <c r="N1919" s="197"/>
      <c r="O1919" s="197"/>
    </row>
    <row r="1920" spans="1:15" hidden="1">
      <c r="A1920" s="188" t="s">
        <v>137</v>
      </c>
      <c r="B1920" s="188" t="s">
        <v>138</v>
      </c>
      <c r="C1920" s="188" t="s">
        <v>106</v>
      </c>
      <c r="D1920" s="188" t="s">
        <v>655</v>
      </c>
      <c r="E1920" s="188" t="s">
        <v>2249</v>
      </c>
      <c r="F1920" s="234" t="s">
        <v>265</v>
      </c>
      <c r="G1920" s="226">
        <v>-37.07</v>
      </c>
      <c r="H1920" s="226">
        <v>-37.07</v>
      </c>
      <c r="I1920" s="198" t="s">
        <v>106</v>
      </c>
      <c r="J1920" s="198" t="s">
        <v>164</v>
      </c>
      <c r="K1920" s="188"/>
      <c r="L1920" s="197"/>
      <c r="M1920" s="197"/>
      <c r="N1920" s="197"/>
      <c r="O1920" s="197"/>
    </row>
    <row r="1921" spans="1:15" hidden="1">
      <c r="A1921" s="188" t="s">
        <v>137</v>
      </c>
      <c r="B1921" s="188" t="s">
        <v>138</v>
      </c>
      <c r="C1921" s="188" t="s">
        <v>106</v>
      </c>
      <c r="D1921" s="188" t="s">
        <v>655</v>
      </c>
      <c r="E1921" s="188" t="s">
        <v>2250</v>
      </c>
      <c r="F1921" s="234" t="s">
        <v>265</v>
      </c>
      <c r="G1921" s="226">
        <v>-20</v>
      </c>
      <c r="H1921" s="226">
        <v>-20</v>
      </c>
      <c r="I1921" s="198" t="s">
        <v>106</v>
      </c>
      <c r="J1921" s="198" t="s">
        <v>164</v>
      </c>
      <c r="K1921" s="188"/>
      <c r="L1921" s="197"/>
      <c r="M1921" s="197"/>
      <c r="N1921" s="197"/>
      <c r="O1921" s="197"/>
    </row>
    <row r="1922" spans="1:15" hidden="1">
      <c r="A1922" s="188" t="s">
        <v>209</v>
      </c>
      <c r="B1922" s="188" t="s">
        <v>138</v>
      </c>
      <c r="C1922" s="188" t="s">
        <v>106</v>
      </c>
      <c r="D1922" s="188" t="s">
        <v>655</v>
      </c>
      <c r="E1922" s="188" t="s">
        <v>2251</v>
      </c>
      <c r="F1922" s="234" t="s">
        <v>265</v>
      </c>
      <c r="G1922" s="226">
        <v>-20</v>
      </c>
      <c r="H1922" s="226">
        <v>-20</v>
      </c>
      <c r="I1922" s="198" t="s">
        <v>106</v>
      </c>
      <c r="J1922" s="198" t="s">
        <v>164</v>
      </c>
      <c r="K1922" s="188"/>
      <c r="L1922" s="197"/>
      <c r="M1922" s="197"/>
      <c r="N1922" s="197"/>
      <c r="O1922" s="197"/>
    </row>
    <row r="1923" spans="1:15" hidden="1">
      <c r="A1923" s="188" t="s">
        <v>137</v>
      </c>
      <c r="B1923" s="188" t="s">
        <v>138</v>
      </c>
      <c r="C1923" s="188" t="s">
        <v>106</v>
      </c>
      <c r="D1923" s="188" t="s">
        <v>655</v>
      </c>
      <c r="E1923" s="188" t="s">
        <v>2252</v>
      </c>
      <c r="F1923" s="234" t="s">
        <v>265</v>
      </c>
      <c r="G1923" s="253">
        <v>-19.8</v>
      </c>
      <c r="H1923" s="253">
        <v>-19.8</v>
      </c>
      <c r="I1923" s="198" t="s">
        <v>106</v>
      </c>
      <c r="J1923" s="198" t="s">
        <v>164</v>
      </c>
      <c r="K1923" s="188"/>
      <c r="L1923" s="197"/>
      <c r="M1923" s="197"/>
      <c r="N1923" s="197"/>
      <c r="O1923" s="197"/>
    </row>
    <row r="1924" spans="1:15" hidden="1">
      <c r="A1924" s="188" t="s">
        <v>137</v>
      </c>
      <c r="B1924" s="188" t="s">
        <v>138</v>
      </c>
      <c r="C1924" s="188" t="s">
        <v>106</v>
      </c>
      <c r="D1924" s="188" t="s">
        <v>655</v>
      </c>
      <c r="E1924" s="188" t="s">
        <v>1333</v>
      </c>
      <c r="F1924" s="234" t="s">
        <v>265</v>
      </c>
      <c r="G1924" s="253">
        <v>-18</v>
      </c>
      <c r="H1924" s="253">
        <v>-18</v>
      </c>
      <c r="I1924" s="198" t="s">
        <v>106</v>
      </c>
      <c r="J1924" s="198" t="s">
        <v>164</v>
      </c>
      <c r="K1924" s="188"/>
      <c r="L1924" s="197"/>
      <c r="M1924" s="197"/>
      <c r="N1924" s="197"/>
      <c r="O1924" s="197"/>
    </row>
    <row r="1925" spans="1:15" hidden="1">
      <c r="A1925" s="188" t="s">
        <v>137</v>
      </c>
      <c r="B1925" s="188" t="s">
        <v>138</v>
      </c>
      <c r="C1925" s="188" t="s">
        <v>106</v>
      </c>
      <c r="D1925" s="188" t="s">
        <v>655</v>
      </c>
      <c r="E1925" s="188" t="s">
        <v>2253</v>
      </c>
      <c r="F1925" s="234" t="s">
        <v>265</v>
      </c>
      <c r="G1925" s="253">
        <v>-10</v>
      </c>
      <c r="H1925" s="253">
        <v>-10</v>
      </c>
      <c r="I1925" s="198" t="s">
        <v>106</v>
      </c>
      <c r="J1925" s="198" t="s">
        <v>164</v>
      </c>
      <c r="K1925" s="188"/>
      <c r="L1925" s="197"/>
      <c r="M1925" s="197"/>
      <c r="N1925" s="197"/>
      <c r="O1925" s="197"/>
    </row>
    <row r="1926" spans="1:15" hidden="1">
      <c r="A1926" s="188" t="s">
        <v>137</v>
      </c>
      <c r="B1926" s="188" t="s">
        <v>138</v>
      </c>
      <c r="C1926" s="188" t="s">
        <v>106</v>
      </c>
      <c r="D1926" s="188" t="s">
        <v>655</v>
      </c>
      <c r="E1926" s="188" t="s">
        <v>2254</v>
      </c>
      <c r="F1926" s="234" t="s">
        <v>265</v>
      </c>
      <c r="G1926" s="253">
        <v>-10</v>
      </c>
      <c r="H1926" s="253">
        <v>-10</v>
      </c>
      <c r="I1926" s="198" t="s">
        <v>106</v>
      </c>
      <c r="J1926" s="198" t="s">
        <v>164</v>
      </c>
      <c r="K1926" s="188"/>
      <c r="L1926" s="197"/>
      <c r="M1926" s="197"/>
      <c r="N1926" s="197"/>
      <c r="O1926" s="197"/>
    </row>
    <row r="1927" spans="1:15" hidden="1">
      <c r="A1927" s="188" t="s">
        <v>137</v>
      </c>
      <c r="B1927" s="188" t="s">
        <v>138</v>
      </c>
      <c r="C1927" s="188" t="s">
        <v>106</v>
      </c>
      <c r="D1927" s="188" t="s">
        <v>655</v>
      </c>
      <c r="E1927" s="188" t="s">
        <v>2255</v>
      </c>
      <c r="F1927" s="234" t="s">
        <v>265</v>
      </c>
      <c r="G1927" s="253">
        <v>-3.99</v>
      </c>
      <c r="H1927" s="253">
        <v>-3.99</v>
      </c>
      <c r="I1927" s="198" t="s">
        <v>106</v>
      </c>
      <c r="J1927" s="198" t="s">
        <v>164</v>
      </c>
      <c r="K1927" s="188"/>
      <c r="L1927" s="197"/>
      <c r="M1927" s="197"/>
      <c r="N1927" s="197"/>
      <c r="O1927" s="197"/>
    </row>
    <row r="1928" spans="1:15" hidden="1">
      <c r="A1928" s="188" t="s">
        <v>232</v>
      </c>
      <c r="B1928" s="188" t="s">
        <v>138</v>
      </c>
      <c r="C1928" s="188" t="s">
        <v>106</v>
      </c>
      <c r="D1928" s="188" t="s">
        <v>655</v>
      </c>
      <c r="E1928" s="188" t="s">
        <v>2256</v>
      </c>
      <c r="F1928" s="234" t="s">
        <v>265</v>
      </c>
      <c r="G1928" s="253">
        <v>-3.99</v>
      </c>
      <c r="H1928" s="253">
        <v>-3.99</v>
      </c>
      <c r="I1928" s="198" t="s">
        <v>106</v>
      </c>
      <c r="J1928" s="198" t="s">
        <v>164</v>
      </c>
      <c r="K1928" s="188"/>
      <c r="L1928" s="197"/>
      <c r="M1928" s="197"/>
      <c r="N1928" s="197"/>
      <c r="O1928" s="197"/>
    </row>
    <row r="1929" spans="1:15" hidden="1">
      <c r="A1929" s="188" t="s">
        <v>232</v>
      </c>
      <c r="B1929" s="188" t="s">
        <v>138</v>
      </c>
      <c r="C1929" s="188" t="s">
        <v>106</v>
      </c>
      <c r="D1929" s="188" t="s">
        <v>655</v>
      </c>
      <c r="E1929" s="188" t="s">
        <v>2257</v>
      </c>
      <c r="F1929" s="234" t="s">
        <v>265</v>
      </c>
      <c r="G1929" s="253">
        <v>-3.5</v>
      </c>
      <c r="H1929" s="253">
        <v>-3.5</v>
      </c>
      <c r="I1929" s="198" t="s">
        <v>106</v>
      </c>
      <c r="J1929" s="198" t="s">
        <v>164</v>
      </c>
      <c r="K1929" s="188"/>
      <c r="L1929" s="197"/>
      <c r="M1929" s="197"/>
      <c r="N1929" s="197"/>
      <c r="O1929" s="197"/>
    </row>
    <row r="1930" spans="1:15" hidden="1">
      <c r="A1930" s="188" t="s">
        <v>137</v>
      </c>
      <c r="B1930" s="188" t="s">
        <v>138</v>
      </c>
      <c r="C1930" s="188" t="s">
        <v>106</v>
      </c>
      <c r="D1930" s="188" t="s">
        <v>655</v>
      </c>
      <c r="E1930" s="188" t="s">
        <v>2258</v>
      </c>
      <c r="F1930" s="234" t="s">
        <v>265</v>
      </c>
      <c r="G1930" s="253">
        <v>-3.37</v>
      </c>
      <c r="H1930" s="253">
        <v>-3.37</v>
      </c>
      <c r="I1930" s="198" t="s">
        <v>106</v>
      </c>
      <c r="J1930" s="198" t="s">
        <v>164</v>
      </c>
      <c r="K1930" s="188"/>
      <c r="L1930" s="197"/>
      <c r="M1930" s="197"/>
      <c r="N1930" s="197"/>
      <c r="O1930" s="197"/>
    </row>
    <row r="1931" spans="1:15">
      <c r="A1931" s="188" t="s">
        <v>243</v>
      </c>
      <c r="B1931" s="274" t="s">
        <v>138</v>
      </c>
      <c r="C1931" s="274" t="s">
        <v>106</v>
      </c>
      <c r="D1931" s="274" t="s">
        <v>655</v>
      </c>
      <c r="E1931" s="274" t="s">
        <v>2259</v>
      </c>
      <c r="F1931" s="283" t="s">
        <v>268</v>
      </c>
      <c r="G1931" s="320">
        <v>-0.5</v>
      </c>
      <c r="H1931" s="320">
        <v>-0.5</v>
      </c>
      <c r="I1931" s="198" t="s">
        <v>106</v>
      </c>
      <c r="J1931" s="250" t="s">
        <v>164</v>
      </c>
      <c r="K1931" s="233"/>
      <c r="L1931" s="197"/>
      <c r="M1931" s="197"/>
      <c r="N1931" s="197"/>
      <c r="O1931" s="197"/>
    </row>
    <row r="1932" spans="1:15" hidden="1">
      <c r="A1932" s="188" t="s">
        <v>137</v>
      </c>
      <c r="B1932" s="188" t="s">
        <v>138</v>
      </c>
      <c r="C1932" s="188" t="s">
        <v>106</v>
      </c>
      <c r="D1932" s="188" t="s">
        <v>655</v>
      </c>
      <c r="E1932" s="188" t="s">
        <v>2260</v>
      </c>
      <c r="F1932" s="234" t="s">
        <v>265</v>
      </c>
      <c r="G1932" s="253">
        <v>-1.99</v>
      </c>
      <c r="H1932" s="253">
        <v>-1.99</v>
      </c>
      <c r="I1932" s="198" t="s">
        <v>106</v>
      </c>
      <c r="J1932" s="198" t="s">
        <v>164</v>
      </c>
      <c r="K1932" s="188"/>
      <c r="L1932" s="197"/>
      <c r="M1932" s="197"/>
      <c r="N1932" s="197"/>
      <c r="O1932" s="197"/>
    </row>
    <row r="1933" spans="1:15" hidden="1">
      <c r="A1933" s="188" t="s">
        <v>137</v>
      </c>
      <c r="B1933" s="188" t="s">
        <v>138</v>
      </c>
      <c r="C1933" s="188" t="s">
        <v>106</v>
      </c>
      <c r="D1933" s="188" t="s">
        <v>655</v>
      </c>
      <c r="E1933" s="188" t="s">
        <v>2261</v>
      </c>
      <c r="F1933" s="234" t="s">
        <v>265</v>
      </c>
      <c r="G1933" s="253">
        <v>-1.99</v>
      </c>
      <c r="H1933" s="253">
        <v>-1.99</v>
      </c>
      <c r="I1933" s="198" t="s">
        <v>106</v>
      </c>
      <c r="J1933" s="198" t="s">
        <v>164</v>
      </c>
      <c r="K1933" s="188"/>
      <c r="L1933" s="197"/>
      <c r="M1933" s="197"/>
      <c r="N1933" s="197"/>
      <c r="O1933" s="197"/>
    </row>
    <row r="1934" spans="1:15" hidden="1">
      <c r="A1934" s="188" t="s">
        <v>137</v>
      </c>
      <c r="B1934" s="188" t="s">
        <v>138</v>
      </c>
      <c r="C1934" s="188" t="s">
        <v>106</v>
      </c>
      <c r="D1934" s="188" t="s">
        <v>655</v>
      </c>
      <c r="E1934" s="188" t="s">
        <v>2262</v>
      </c>
      <c r="F1934" s="234" t="s">
        <v>265</v>
      </c>
      <c r="G1934" s="253">
        <v>-1.99</v>
      </c>
      <c r="H1934" s="253">
        <v>-1.99</v>
      </c>
      <c r="I1934" s="198" t="s">
        <v>106</v>
      </c>
      <c r="J1934" s="198" t="s">
        <v>164</v>
      </c>
      <c r="K1934" s="188"/>
      <c r="L1934" s="197"/>
      <c r="M1934" s="197"/>
      <c r="N1934" s="197"/>
      <c r="O1934" s="197"/>
    </row>
    <row r="1935" spans="1:15" hidden="1">
      <c r="A1935" s="188" t="s">
        <v>137</v>
      </c>
      <c r="B1935" s="188" t="s">
        <v>138</v>
      </c>
      <c r="C1935" s="188" t="s">
        <v>106</v>
      </c>
      <c r="D1935" s="188" t="s">
        <v>655</v>
      </c>
      <c r="E1935" s="188" t="s">
        <v>2263</v>
      </c>
      <c r="F1935" s="234" t="s">
        <v>265</v>
      </c>
      <c r="G1935" s="253">
        <v>-1.99</v>
      </c>
      <c r="H1935" s="253">
        <v>-1.99</v>
      </c>
      <c r="I1935" s="198" t="s">
        <v>106</v>
      </c>
      <c r="J1935" s="198" t="s">
        <v>164</v>
      </c>
      <c r="K1935" s="188"/>
      <c r="L1935" s="197"/>
      <c r="M1935" s="197"/>
      <c r="N1935" s="197"/>
      <c r="O1935" s="197"/>
    </row>
    <row r="1936" spans="1:15" hidden="1">
      <c r="A1936" s="188" t="s">
        <v>137</v>
      </c>
      <c r="B1936" s="188" t="s">
        <v>138</v>
      </c>
      <c r="C1936" s="188" t="s">
        <v>106</v>
      </c>
      <c r="D1936" s="188" t="s">
        <v>655</v>
      </c>
      <c r="E1936" s="188" t="s">
        <v>2264</v>
      </c>
      <c r="F1936" s="234" t="s">
        <v>265</v>
      </c>
      <c r="G1936" s="253">
        <v>-1.99</v>
      </c>
      <c r="H1936" s="253">
        <v>-1.99</v>
      </c>
      <c r="I1936" s="198" t="s">
        <v>106</v>
      </c>
      <c r="J1936" s="198" t="s">
        <v>164</v>
      </c>
      <c r="K1936" s="188"/>
      <c r="L1936" s="197"/>
      <c r="M1936" s="197"/>
      <c r="N1936" s="197"/>
      <c r="O1936" s="197"/>
    </row>
    <row r="1937" spans="1:15" hidden="1">
      <c r="A1937" s="188" t="s">
        <v>137</v>
      </c>
      <c r="B1937" s="188" t="s">
        <v>138</v>
      </c>
      <c r="C1937" s="188" t="s">
        <v>106</v>
      </c>
      <c r="D1937" s="188" t="s">
        <v>655</v>
      </c>
      <c r="E1937" s="188" t="s">
        <v>2265</v>
      </c>
      <c r="F1937" s="234" t="s">
        <v>265</v>
      </c>
      <c r="G1937" s="253">
        <v>-1</v>
      </c>
      <c r="H1937" s="253">
        <v>-1</v>
      </c>
      <c r="I1937" s="198" t="s">
        <v>106</v>
      </c>
      <c r="J1937" s="198" t="s">
        <v>164</v>
      </c>
      <c r="K1937" s="188"/>
      <c r="L1937" s="197"/>
      <c r="M1937" s="197"/>
      <c r="N1937" s="197"/>
      <c r="O1937" s="197"/>
    </row>
    <row r="1938" spans="1:15" hidden="1">
      <c r="A1938" s="188" t="s">
        <v>137</v>
      </c>
      <c r="B1938" s="188" t="s">
        <v>138</v>
      </c>
      <c r="C1938" s="188" t="s">
        <v>106</v>
      </c>
      <c r="D1938" s="188" t="s">
        <v>655</v>
      </c>
      <c r="E1938" s="188" t="s">
        <v>2265</v>
      </c>
      <c r="F1938" s="234" t="s">
        <v>265</v>
      </c>
      <c r="G1938" s="253">
        <v>-1</v>
      </c>
      <c r="H1938" s="253">
        <v>-1</v>
      </c>
      <c r="I1938" s="198" t="s">
        <v>106</v>
      </c>
      <c r="J1938" s="198" t="s">
        <v>164</v>
      </c>
      <c r="K1938" s="188"/>
      <c r="L1938" s="197"/>
      <c r="M1938" s="197"/>
      <c r="N1938" s="197"/>
      <c r="O1938" s="197"/>
    </row>
    <row r="1939" spans="1:15" hidden="1">
      <c r="A1939" s="188" t="s">
        <v>137</v>
      </c>
      <c r="B1939" s="188" t="s">
        <v>138</v>
      </c>
      <c r="C1939" s="188" t="s">
        <v>106</v>
      </c>
      <c r="D1939" s="188" t="s">
        <v>655</v>
      </c>
      <c r="E1939" s="188" t="s">
        <v>2266</v>
      </c>
      <c r="F1939" s="234" t="s">
        <v>265</v>
      </c>
      <c r="G1939" s="253">
        <v>-1</v>
      </c>
      <c r="H1939" s="253">
        <v>-1</v>
      </c>
      <c r="I1939" s="198" t="s">
        <v>106</v>
      </c>
      <c r="J1939" s="198" t="s">
        <v>164</v>
      </c>
      <c r="K1939" s="188"/>
      <c r="L1939" s="197"/>
      <c r="M1939" s="197"/>
      <c r="N1939" s="197"/>
      <c r="O1939" s="197"/>
    </row>
    <row r="1940" spans="1:15">
      <c r="A1940" s="188" t="s">
        <v>243</v>
      </c>
      <c r="B1940" s="274" t="s">
        <v>138</v>
      </c>
      <c r="C1940" s="274" t="s">
        <v>106</v>
      </c>
      <c r="D1940" s="274" t="s">
        <v>655</v>
      </c>
      <c r="E1940" s="274" t="s">
        <v>2267</v>
      </c>
      <c r="F1940" s="283" t="s">
        <v>268</v>
      </c>
      <c r="G1940" s="320">
        <v>-0.5</v>
      </c>
      <c r="H1940" s="320">
        <v>-0.5</v>
      </c>
      <c r="I1940" s="198" t="s">
        <v>106</v>
      </c>
      <c r="J1940" s="250" t="s">
        <v>164</v>
      </c>
      <c r="K1940" s="233"/>
      <c r="L1940" s="197"/>
      <c r="M1940" s="197"/>
      <c r="N1940" s="197"/>
      <c r="O1940" s="197"/>
    </row>
    <row r="1941" spans="1:15" hidden="1">
      <c r="A1941" s="188" t="s">
        <v>243</v>
      </c>
      <c r="B1941" s="188" t="s">
        <v>138</v>
      </c>
      <c r="C1941" s="188" t="s">
        <v>106</v>
      </c>
      <c r="D1941" s="188" t="s">
        <v>492</v>
      </c>
      <c r="E1941" s="234" t="s">
        <v>1340</v>
      </c>
      <c r="F1941" s="234" t="s">
        <v>146</v>
      </c>
      <c r="G1941" s="252">
        <v>-81.400000000000006</v>
      </c>
      <c r="H1941" s="253">
        <v>-81.400000000000006</v>
      </c>
      <c r="I1941" s="188" t="s">
        <v>106</v>
      </c>
      <c r="J1941" s="250" t="s">
        <v>164</v>
      </c>
      <c r="K1941" s="188"/>
      <c r="L1941" s="197"/>
      <c r="M1941" s="197"/>
      <c r="N1941" s="197"/>
      <c r="O1941" s="197"/>
    </row>
    <row r="1942" spans="1:15" hidden="1">
      <c r="A1942" s="188" t="s">
        <v>243</v>
      </c>
      <c r="B1942" s="188" t="s">
        <v>138</v>
      </c>
      <c r="C1942" s="188" t="s">
        <v>106</v>
      </c>
      <c r="D1942" s="188" t="s">
        <v>492</v>
      </c>
      <c r="E1942" s="234" t="s">
        <v>1461</v>
      </c>
      <c r="F1942" s="234" t="s">
        <v>149</v>
      </c>
      <c r="G1942" s="252">
        <v>-81.400000000000006</v>
      </c>
      <c r="H1942" s="253">
        <v>-81.400000000000006</v>
      </c>
      <c r="I1942" s="198" t="s">
        <v>106</v>
      </c>
      <c r="J1942" s="250" t="s">
        <v>164</v>
      </c>
      <c r="K1942" s="188"/>
      <c r="L1942" s="197"/>
      <c r="M1942" s="197"/>
      <c r="N1942" s="197"/>
      <c r="O1942" s="197"/>
    </row>
    <row r="1943" spans="1:15" hidden="1">
      <c r="A1943" s="188" t="s">
        <v>137</v>
      </c>
      <c r="B1943" s="188" t="s">
        <v>138</v>
      </c>
      <c r="C1943" s="188" t="s">
        <v>106</v>
      </c>
      <c r="D1943" s="188" t="s">
        <v>655</v>
      </c>
      <c r="E1943" s="188" t="s">
        <v>2268</v>
      </c>
      <c r="F1943" s="234" t="s">
        <v>265</v>
      </c>
      <c r="G1943" s="253">
        <v>-0.5</v>
      </c>
      <c r="H1943" s="253">
        <v>-0.5</v>
      </c>
      <c r="I1943" s="198" t="s">
        <v>106</v>
      </c>
      <c r="J1943" s="198" t="s">
        <v>164</v>
      </c>
      <c r="K1943" s="188"/>
      <c r="L1943" s="197"/>
      <c r="M1943" s="197"/>
      <c r="N1943" s="197"/>
      <c r="O1943" s="197"/>
    </row>
    <row r="1944" spans="1:15" hidden="1">
      <c r="A1944" s="188" t="s">
        <v>137</v>
      </c>
      <c r="B1944" s="188" t="s">
        <v>138</v>
      </c>
      <c r="C1944" s="188" t="s">
        <v>106</v>
      </c>
      <c r="D1944" s="188" t="s">
        <v>655</v>
      </c>
      <c r="E1944" s="188" t="s">
        <v>2269</v>
      </c>
      <c r="F1944" s="234" t="s">
        <v>265</v>
      </c>
      <c r="G1944" s="253">
        <v>-0.5</v>
      </c>
      <c r="H1944" s="253">
        <v>-0.5</v>
      </c>
      <c r="I1944" s="198" t="s">
        <v>106</v>
      </c>
      <c r="J1944" s="198" t="s">
        <v>164</v>
      </c>
      <c r="K1944" s="188"/>
      <c r="L1944" s="197"/>
      <c r="M1944" s="197"/>
      <c r="N1944" s="197"/>
      <c r="O1944" s="197"/>
    </row>
    <row r="1945" spans="1:15" hidden="1">
      <c r="A1945" s="188" t="s">
        <v>137</v>
      </c>
      <c r="B1945" s="188" t="s">
        <v>138</v>
      </c>
      <c r="C1945" s="188" t="s">
        <v>106</v>
      </c>
      <c r="D1945" s="188" t="s">
        <v>655</v>
      </c>
      <c r="E1945" s="188" t="s">
        <v>2270</v>
      </c>
      <c r="F1945" s="234" t="s">
        <v>265</v>
      </c>
      <c r="G1945" s="253">
        <v>-0.5</v>
      </c>
      <c r="H1945" s="253">
        <v>-0.5</v>
      </c>
      <c r="I1945" s="198" t="s">
        <v>106</v>
      </c>
      <c r="J1945" s="198" t="s">
        <v>164</v>
      </c>
      <c r="K1945" s="188"/>
      <c r="L1945" s="197"/>
      <c r="M1945" s="197"/>
      <c r="N1945" s="197"/>
      <c r="O1945" s="197"/>
    </row>
    <row r="1946" spans="1:15" hidden="1">
      <c r="A1946" s="188" t="s">
        <v>137</v>
      </c>
      <c r="B1946" s="188" t="s">
        <v>138</v>
      </c>
      <c r="C1946" s="188" t="s">
        <v>106</v>
      </c>
      <c r="D1946" s="188" t="s">
        <v>655</v>
      </c>
      <c r="E1946" s="188" t="s">
        <v>2271</v>
      </c>
      <c r="F1946" s="234" t="s">
        <v>265</v>
      </c>
      <c r="G1946" s="253">
        <v>-0.5</v>
      </c>
      <c r="H1946" s="253">
        <v>-0.5</v>
      </c>
      <c r="I1946" s="198" t="s">
        <v>106</v>
      </c>
      <c r="J1946" s="198" t="s">
        <v>164</v>
      </c>
      <c r="K1946" s="188"/>
      <c r="L1946" s="197"/>
      <c r="M1946" s="197"/>
      <c r="N1946" s="197"/>
      <c r="O1946" s="197"/>
    </row>
    <row r="1947" spans="1:15" hidden="1">
      <c r="A1947" s="188" t="s">
        <v>137</v>
      </c>
      <c r="B1947" s="188" t="s">
        <v>138</v>
      </c>
      <c r="C1947" s="188" t="s">
        <v>106</v>
      </c>
      <c r="D1947" s="188" t="s">
        <v>655</v>
      </c>
      <c r="E1947" s="188" t="s">
        <v>2272</v>
      </c>
      <c r="F1947" s="234" t="s">
        <v>265</v>
      </c>
      <c r="G1947" s="253">
        <v>-0.5</v>
      </c>
      <c r="H1947" s="253">
        <v>-0.5</v>
      </c>
      <c r="I1947" s="198" t="s">
        <v>106</v>
      </c>
      <c r="J1947" s="198" t="s">
        <v>164</v>
      </c>
      <c r="K1947" s="188"/>
      <c r="L1947" s="197"/>
      <c r="M1947" s="197"/>
      <c r="N1947" s="197"/>
      <c r="O1947" s="197"/>
    </row>
    <row r="1948" spans="1:15" hidden="1">
      <c r="A1948" s="188" t="s">
        <v>137</v>
      </c>
      <c r="B1948" s="188" t="s">
        <v>138</v>
      </c>
      <c r="C1948" s="188" t="s">
        <v>106</v>
      </c>
      <c r="D1948" s="188" t="s">
        <v>655</v>
      </c>
      <c r="E1948" s="188" t="s">
        <v>2273</v>
      </c>
      <c r="F1948" s="234" t="s">
        <v>265</v>
      </c>
      <c r="G1948" s="253">
        <v>-0.5</v>
      </c>
      <c r="H1948" s="253">
        <v>-0.5</v>
      </c>
      <c r="I1948" s="198" t="s">
        <v>106</v>
      </c>
      <c r="J1948" s="198" t="s">
        <v>164</v>
      </c>
      <c r="K1948" s="188"/>
      <c r="L1948" s="197"/>
      <c r="M1948" s="197"/>
      <c r="N1948" s="197"/>
      <c r="O1948" s="197"/>
    </row>
    <row r="1949" spans="1:15" hidden="1">
      <c r="A1949" s="188" t="s">
        <v>137</v>
      </c>
      <c r="B1949" s="188" t="s">
        <v>138</v>
      </c>
      <c r="C1949" s="188" t="s">
        <v>106</v>
      </c>
      <c r="D1949" s="188" t="s">
        <v>655</v>
      </c>
      <c r="E1949" s="188" t="s">
        <v>2274</v>
      </c>
      <c r="F1949" s="234" t="s">
        <v>265</v>
      </c>
      <c r="G1949" s="253">
        <v>-0.5</v>
      </c>
      <c r="H1949" s="253">
        <v>-0.5</v>
      </c>
      <c r="I1949" s="198" t="s">
        <v>106</v>
      </c>
      <c r="J1949" s="198" t="s">
        <v>164</v>
      </c>
      <c r="K1949" s="188"/>
      <c r="L1949" s="197"/>
      <c r="M1949" s="197"/>
      <c r="N1949" s="197"/>
      <c r="O1949" s="197"/>
    </row>
    <row r="1950" spans="1:15" hidden="1">
      <c r="A1950" s="188" t="s">
        <v>137</v>
      </c>
      <c r="B1950" s="188" t="s">
        <v>138</v>
      </c>
      <c r="C1950" s="188" t="s">
        <v>106</v>
      </c>
      <c r="D1950" s="188" t="s">
        <v>655</v>
      </c>
      <c r="E1950" s="188" t="s">
        <v>2275</v>
      </c>
      <c r="F1950" s="234" t="s">
        <v>265</v>
      </c>
      <c r="G1950" s="253">
        <v>-0.5</v>
      </c>
      <c r="H1950" s="253">
        <v>-0.5</v>
      </c>
      <c r="I1950" s="198" t="s">
        <v>106</v>
      </c>
      <c r="J1950" s="198" t="s">
        <v>164</v>
      </c>
      <c r="K1950" s="188"/>
      <c r="L1950" s="197"/>
      <c r="M1950" s="197"/>
      <c r="N1950" s="197"/>
      <c r="O1950" s="197"/>
    </row>
    <row r="1951" spans="1:15" hidden="1">
      <c r="A1951" s="188" t="s">
        <v>137</v>
      </c>
      <c r="B1951" s="188" t="s">
        <v>138</v>
      </c>
      <c r="C1951" s="188" t="s">
        <v>106</v>
      </c>
      <c r="D1951" s="188" t="s">
        <v>655</v>
      </c>
      <c r="E1951" s="188" t="s">
        <v>2276</v>
      </c>
      <c r="F1951" s="234" t="s">
        <v>265</v>
      </c>
      <c r="G1951" s="253">
        <v>-0.5</v>
      </c>
      <c r="H1951" s="253">
        <v>-0.5</v>
      </c>
      <c r="I1951" s="198" t="s">
        <v>106</v>
      </c>
      <c r="J1951" s="198" t="s">
        <v>164</v>
      </c>
      <c r="K1951" s="188"/>
      <c r="L1951" s="197"/>
      <c r="M1951" s="197"/>
      <c r="N1951" s="197"/>
      <c r="O1951" s="197"/>
    </row>
    <row r="1952" spans="1:15" hidden="1">
      <c r="A1952" s="188" t="s">
        <v>137</v>
      </c>
      <c r="B1952" s="188" t="s">
        <v>138</v>
      </c>
      <c r="C1952" s="188" t="s">
        <v>106</v>
      </c>
      <c r="D1952" s="188" t="s">
        <v>655</v>
      </c>
      <c r="E1952" s="188" t="s">
        <v>2277</v>
      </c>
      <c r="F1952" s="234" t="s">
        <v>265</v>
      </c>
      <c r="G1952" s="253">
        <v>-0.5</v>
      </c>
      <c r="H1952" s="253">
        <v>-0.5</v>
      </c>
      <c r="I1952" s="198" t="s">
        <v>106</v>
      </c>
      <c r="J1952" s="198" t="s">
        <v>164</v>
      </c>
      <c r="K1952" s="188"/>
      <c r="L1952" s="197"/>
      <c r="M1952" s="197"/>
      <c r="N1952" s="197"/>
      <c r="O1952" s="197"/>
    </row>
    <row r="1953" spans="1:15" hidden="1">
      <c r="A1953" s="188" t="s">
        <v>137</v>
      </c>
      <c r="B1953" s="188" t="s">
        <v>138</v>
      </c>
      <c r="C1953" s="188" t="s">
        <v>106</v>
      </c>
      <c r="D1953" s="188" t="s">
        <v>655</v>
      </c>
      <c r="E1953" s="188" t="s">
        <v>2278</v>
      </c>
      <c r="F1953" s="234" t="s">
        <v>265</v>
      </c>
      <c r="G1953" s="253">
        <v>-0.5</v>
      </c>
      <c r="H1953" s="253">
        <v>-0.5</v>
      </c>
      <c r="I1953" s="198" t="s">
        <v>106</v>
      </c>
      <c r="J1953" s="198" t="s">
        <v>164</v>
      </c>
      <c r="K1953" s="188"/>
      <c r="L1953" s="197"/>
      <c r="M1953" s="197"/>
      <c r="N1953" s="197"/>
      <c r="O1953" s="197"/>
    </row>
    <row r="1954" spans="1:15" hidden="1">
      <c r="A1954" s="188" t="s">
        <v>137</v>
      </c>
      <c r="B1954" s="188" t="s">
        <v>138</v>
      </c>
      <c r="C1954" s="188" t="s">
        <v>106</v>
      </c>
      <c r="D1954" s="188" t="s">
        <v>655</v>
      </c>
      <c r="E1954" s="188" t="s">
        <v>2279</v>
      </c>
      <c r="F1954" s="234" t="s">
        <v>265</v>
      </c>
      <c r="G1954" s="253">
        <v>-0.5</v>
      </c>
      <c r="H1954" s="253">
        <v>-0.5</v>
      </c>
      <c r="I1954" s="198" t="s">
        <v>106</v>
      </c>
      <c r="J1954" s="198" t="s">
        <v>164</v>
      </c>
      <c r="K1954" s="188"/>
      <c r="L1954" s="197"/>
      <c r="M1954" s="197"/>
      <c r="N1954" s="197"/>
      <c r="O1954" s="197"/>
    </row>
    <row r="1955" spans="1:15" hidden="1">
      <c r="A1955" s="188" t="s">
        <v>137</v>
      </c>
      <c r="B1955" s="188" t="s">
        <v>138</v>
      </c>
      <c r="C1955" s="188" t="s">
        <v>106</v>
      </c>
      <c r="D1955" s="188" t="s">
        <v>655</v>
      </c>
      <c r="E1955" s="188" t="s">
        <v>2280</v>
      </c>
      <c r="F1955" s="234" t="s">
        <v>265</v>
      </c>
      <c r="G1955" s="253">
        <v>-0.5</v>
      </c>
      <c r="H1955" s="253">
        <v>-0.5</v>
      </c>
      <c r="I1955" s="198" t="s">
        <v>106</v>
      </c>
      <c r="J1955" s="198" t="s">
        <v>164</v>
      </c>
      <c r="K1955" s="188"/>
      <c r="L1955" s="197"/>
      <c r="M1955" s="197"/>
      <c r="N1955" s="197"/>
      <c r="O1955" s="197"/>
    </row>
    <row r="1956" spans="1:15" hidden="1">
      <c r="A1956" s="188" t="s">
        <v>137</v>
      </c>
      <c r="B1956" s="188" t="s">
        <v>138</v>
      </c>
      <c r="C1956" s="188" t="s">
        <v>106</v>
      </c>
      <c r="D1956" s="188" t="s">
        <v>655</v>
      </c>
      <c r="E1956" s="188" t="s">
        <v>2281</v>
      </c>
      <c r="F1956" s="234" t="s">
        <v>265</v>
      </c>
      <c r="G1956" s="253">
        <v>-0.5</v>
      </c>
      <c r="H1956" s="253">
        <v>-0.5</v>
      </c>
      <c r="I1956" s="198" t="s">
        <v>106</v>
      </c>
      <c r="J1956" s="198" t="s">
        <v>164</v>
      </c>
      <c r="K1956" s="188"/>
      <c r="L1956" s="197"/>
      <c r="M1956" s="197"/>
      <c r="N1956" s="197"/>
      <c r="O1956" s="197"/>
    </row>
    <row r="1957" spans="1:15" hidden="1">
      <c r="A1957" s="188" t="s">
        <v>137</v>
      </c>
      <c r="B1957" s="188" t="s">
        <v>138</v>
      </c>
      <c r="C1957" s="188" t="s">
        <v>106</v>
      </c>
      <c r="D1957" s="188" t="s">
        <v>655</v>
      </c>
      <c r="E1957" s="188" t="s">
        <v>2282</v>
      </c>
      <c r="F1957" s="234" t="s">
        <v>265</v>
      </c>
      <c r="G1957" s="253">
        <v>-0.5</v>
      </c>
      <c r="H1957" s="253">
        <v>-0.5</v>
      </c>
      <c r="I1957" s="198" t="s">
        <v>106</v>
      </c>
      <c r="J1957" s="198" t="s">
        <v>164</v>
      </c>
      <c r="K1957" s="188"/>
      <c r="L1957" s="197"/>
      <c r="M1957" s="197"/>
      <c r="N1957" s="197"/>
      <c r="O1957" s="197"/>
    </row>
    <row r="1958" spans="1:15" hidden="1">
      <c r="A1958" s="188" t="s">
        <v>137</v>
      </c>
      <c r="B1958" s="188" t="s">
        <v>138</v>
      </c>
      <c r="C1958" s="188" t="s">
        <v>106</v>
      </c>
      <c r="D1958" s="188" t="s">
        <v>655</v>
      </c>
      <c r="E1958" s="188" t="s">
        <v>2283</v>
      </c>
      <c r="F1958" s="234" t="s">
        <v>265</v>
      </c>
      <c r="G1958" s="253">
        <v>-0.5</v>
      </c>
      <c r="H1958" s="253">
        <v>-0.5</v>
      </c>
      <c r="I1958" s="198" t="s">
        <v>106</v>
      </c>
      <c r="J1958" s="198" t="s">
        <v>164</v>
      </c>
      <c r="K1958" s="188"/>
      <c r="L1958" s="197"/>
      <c r="M1958" s="197"/>
      <c r="N1958" s="197"/>
      <c r="O1958" s="197"/>
    </row>
    <row r="1959" spans="1:15" hidden="1">
      <c r="A1959" s="188" t="s">
        <v>137</v>
      </c>
      <c r="B1959" s="188" t="s">
        <v>138</v>
      </c>
      <c r="C1959" s="188" t="s">
        <v>106</v>
      </c>
      <c r="D1959" s="188" t="s">
        <v>655</v>
      </c>
      <c r="E1959" s="188" t="s">
        <v>2284</v>
      </c>
      <c r="F1959" s="234" t="s">
        <v>265</v>
      </c>
      <c r="G1959" s="253">
        <v>-0.5</v>
      </c>
      <c r="H1959" s="253">
        <v>-0.5</v>
      </c>
      <c r="I1959" s="198" t="s">
        <v>106</v>
      </c>
      <c r="J1959" s="198" t="s">
        <v>164</v>
      </c>
      <c r="K1959" s="188"/>
      <c r="L1959" s="197"/>
      <c r="M1959" s="197"/>
      <c r="N1959" s="197"/>
      <c r="O1959" s="197"/>
    </row>
    <row r="1960" spans="1:15" hidden="1">
      <c r="A1960" s="188" t="s">
        <v>137</v>
      </c>
      <c r="B1960" s="188" t="s">
        <v>138</v>
      </c>
      <c r="C1960" s="188" t="s">
        <v>106</v>
      </c>
      <c r="D1960" s="188" t="s">
        <v>655</v>
      </c>
      <c r="E1960" s="188" t="s">
        <v>2285</v>
      </c>
      <c r="F1960" s="234" t="s">
        <v>265</v>
      </c>
      <c r="G1960" s="253">
        <v>-0.5</v>
      </c>
      <c r="H1960" s="253">
        <v>-0.5</v>
      </c>
      <c r="I1960" s="198" t="s">
        <v>106</v>
      </c>
      <c r="J1960" s="198" t="s">
        <v>164</v>
      </c>
      <c r="K1960" s="188"/>
      <c r="L1960" s="197"/>
      <c r="M1960" s="197"/>
      <c r="N1960" s="197"/>
      <c r="O1960" s="197"/>
    </row>
    <row r="1961" spans="1:15" hidden="1">
      <c r="A1961" s="188" t="s">
        <v>137</v>
      </c>
      <c r="B1961" s="188" t="s">
        <v>138</v>
      </c>
      <c r="C1961" s="188" t="s">
        <v>106</v>
      </c>
      <c r="D1961" s="188" t="s">
        <v>655</v>
      </c>
      <c r="E1961" s="188" t="s">
        <v>2286</v>
      </c>
      <c r="F1961" s="234" t="s">
        <v>265</v>
      </c>
      <c r="G1961" s="253">
        <v>-0.5</v>
      </c>
      <c r="H1961" s="253">
        <v>-0.5</v>
      </c>
      <c r="I1961" s="198" t="s">
        <v>106</v>
      </c>
      <c r="J1961" s="198" t="s">
        <v>164</v>
      </c>
      <c r="K1961" s="188"/>
      <c r="L1961" s="197"/>
      <c r="M1961" s="197"/>
      <c r="N1961" s="197"/>
      <c r="O1961" s="197"/>
    </row>
    <row r="1962" spans="1:15" hidden="1">
      <c r="A1962" s="188" t="s">
        <v>137</v>
      </c>
      <c r="B1962" s="188" t="s">
        <v>138</v>
      </c>
      <c r="C1962" s="188" t="s">
        <v>106</v>
      </c>
      <c r="D1962" s="188" t="s">
        <v>655</v>
      </c>
      <c r="E1962" s="188" t="s">
        <v>2287</v>
      </c>
      <c r="F1962" s="234" t="s">
        <v>265</v>
      </c>
      <c r="G1962" s="253">
        <v>-0.5</v>
      </c>
      <c r="H1962" s="253">
        <v>-0.5</v>
      </c>
      <c r="I1962" s="198" t="s">
        <v>106</v>
      </c>
      <c r="J1962" s="198" t="s">
        <v>164</v>
      </c>
      <c r="K1962" s="188"/>
      <c r="L1962" s="197"/>
      <c r="M1962" s="197"/>
      <c r="N1962" s="197"/>
      <c r="O1962" s="197"/>
    </row>
    <row r="1963" spans="1:15" hidden="1">
      <c r="A1963" s="188" t="s">
        <v>137</v>
      </c>
      <c r="B1963" s="188" t="s">
        <v>138</v>
      </c>
      <c r="C1963" s="188" t="s">
        <v>106</v>
      </c>
      <c r="D1963" s="188" t="s">
        <v>655</v>
      </c>
      <c r="E1963" s="188" t="s">
        <v>2288</v>
      </c>
      <c r="F1963" s="234" t="s">
        <v>265</v>
      </c>
      <c r="G1963" s="253">
        <v>-0.5</v>
      </c>
      <c r="H1963" s="253">
        <v>-0.5</v>
      </c>
      <c r="I1963" s="198" t="s">
        <v>106</v>
      </c>
      <c r="J1963" s="198" t="s">
        <v>164</v>
      </c>
      <c r="K1963" s="188"/>
      <c r="L1963" s="197"/>
      <c r="M1963" s="197"/>
      <c r="N1963" s="197"/>
      <c r="O1963" s="197"/>
    </row>
    <row r="1964" spans="1:15" hidden="1">
      <c r="A1964" s="188" t="s">
        <v>137</v>
      </c>
      <c r="B1964" s="188" t="s">
        <v>138</v>
      </c>
      <c r="C1964" s="188" t="s">
        <v>106</v>
      </c>
      <c r="D1964" s="188" t="s">
        <v>655</v>
      </c>
      <c r="E1964" s="188" t="s">
        <v>2289</v>
      </c>
      <c r="F1964" s="234" t="s">
        <v>265</v>
      </c>
      <c r="G1964" s="253">
        <v>-0.5</v>
      </c>
      <c r="H1964" s="253">
        <v>-0.5</v>
      </c>
      <c r="I1964" s="198" t="s">
        <v>106</v>
      </c>
      <c r="J1964" s="198" t="s">
        <v>164</v>
      </c>
      <c r="K1964" s="188"/>
      <c r="L1964" s="197"/>
      <c r="M1964" s="197"/>
      <c r="N1964" s="197"/>
      <c r="O1964" s="197"/>
    </row>
    <row r="1965" spans="1:15" hidden="1">
      <c r="A1965" s="188" t="s">
        <v>137</v>
      </c>
      <c r="B1965" s="188" t="s">
        <v>138</v>
      </c>
      <c r="C1965" s="188" t="s">
        <v>106</v>
      </c>
      <c r="D1965" s="188" t="s">
        <v>655</v>
      </c>
      <c r="E1965" s="188" t="s">
        <v>2290</v>
      </c>
      <c r="F1965" s="234" t="s">
        <v>265</v>
      </c>
      <c r="G1965" s="253">
        <v>-0.5</v>
      </c>
      <c r="H1965" s="253">
        <v>-0.5</v>
      </c>
      <c r="I1965" s="198" t="s">
        <v>106</v>
      </c>
      <c r="J1965" s="198" t="s">
        <v>164</v>
      </c>
      <c r="K1965" s="188"/>
      <c r="L1965" s="197"/>
      <c r="M1965" s="197"/>
      <c r="N1965" s="197"/>
      <c r="O1965" s="197"/>
    </row>
    <row r="1966" spans="1:15" hidden="1">
      <c r="A1966" s="188" t="s">
        <v>137</v>
      </c>
      <c r="B1966" s="188" t="s">
        <v>138</v>
      </c>
      <c r="C1966" s="188" t="s">
        <v>106</v>
      </c>
      <c r="D1966" s="188" t="s">
        <v>655</v>
      </c>
      <c r="E1966" s="188" t="s">
        <v>2291</v>
      </c>
      <c r="F1966" s="234" t="s">
        <v>265</v>
      </c>
      <c r="G1966" s="253">
        <v>-0.5</v>
      </c>
      <c r="H1966" s="253">
        <v>-0.5</v>
      </c>
      <c r="I1966" s="198" t="s">
        <v>106</v>
      </c>
      <c r="J1966" s="198" t="s">
        <v>164</v>
      </c>
      <c r="K1966" s="188"/>
      <c r="L1966" s="197"/>
      <c r="M1966" s="197"/>
      <c r="N1966" s="197"/>
      <c r="O1966" s="197"/>
    </row>
    <row r="1967" spans="1:15" hidden="1">
      <c r="A1967" s="188" t="s">
        <v>137</v>
      </c>
      <c r="B1967" s="188" t="s">
        <v>138</v>
      </c>
      <c r="C1967" s="188" t="s">
        <v>106</v>
      </c>
      <c r="D1967" s="188" t="s">
        <v>655</v>
      </c>
      <c r="E1967" s="188" t="s">
        <v>2292</v>
      </c>
      <c r="F1967" s="234" t="s">
        <v>265</v>
      </c>
      <c r="G1967" s="253">
        <v>-0.5</v>
      </c>
      <c r="H1967" s="253">
        <v>-0.5</v>
      </c>
      <c r="I1967" s="198" t="s">
        <v>106</v>
      </c>
      <c r="J1967" s="198" t="s">
        <v>164</v>
      </c>
      <c r="K1967" s="188"/>
      <c r="L1967" s="197"/>
      <c r="M1967" s="197"/>
      <c r="N1967" s="197"/>
      <c r="O1967" s="197"/>
    </row>
    <row r="1968" spans="1:15" hidden="1">
      <c r="A1968" s="188" t="s">
        <v>137</v>
      </c>
      <c r="B1968" s="188" t="s">
        <v>138</v>
      </c>
      <c r="C1968" s="188" t="s">
        <v>106</v>
      </c>
      <c r="D1968" s="188" t="s">
        <v>655</v>
      </c>
      <c r="E1968" s="188" t="s">
        <v>2293</v>
      </c>
      <c r="F1968" s="234" t="s">
        <v>265</v>
      </c>
      <c r="G1968" s="253">
        <v>-0.5</v>
      </c>
      <c r="H1968" s="253">
        <v>-0.5</v>
      </c>
      <c r="I1968" s="198" t="s">
        <v>106</v>
      </c>
      <c r="J1968" s="198" t="s">
        <v>164</v>
      </c>
      <c r="K1968" s="188"/>
      <c r="L1968" s="197"/>
      <c r="M1968" s="197"/>
      <c r="N1968" s="197"/>
      <c r="O1968" s="197"/>
    </row>
    <row r="1969" spans="1:15" hidden="1">
      <c r="A1969" s="188" t="s">
        <v>137</v>
      </c>
      <c r="B1969" s="188" t="s">
        <v>138</v>
      </c>
      <c r="C1969" s="188" t="s">
        <v>106</v>
      </c>
      <c r="D1969" s="188" t="s">
        <v>655</v>
      </c>
      <c r="E1969" s="188" t="s">
        <v>2294</v>
      </c>
      <c r="F1969" s="234" t="s">
        <v>265</v>
      </c>
      <c r="G1969" s="253">
        <v>-0.5</v>
      </c>
      <c r="H1969" s="253">
        <v>-0.5</v>
      </c>
      <c r="I1969" s="198" t="s">
        <v>106</v>
      </c>
      <c r="J1969" s="198" t="s">
        <v>164</v>
      </c>
      <c r="K1969" s="188"/>
      <c r="L1969" s="197"/>
      <c r="M1969" s="197"/>
      <c r="N1969" s="197"/>
      <c r="O1969" s="197"/>
    </row>
    <row r="1970" spans="1:15" hidden="1">
      <c r="A1970" s="188" t="s">
        <v>137</v>
      </c>
      <c r="B1970" s="188" t="s">
        <v>138</v>
      </c>
      <c r="C1970" s="188" t="s">
        <v>106</v>
      </c>
      <c r="D1970" s="188" t="s">
        <v>655</v>
      </c>
      <c r="E1970" s="188" t="s">
        <v>2295</v>
      </c>
      <c r="F1970" s="234" t="s">
        <v>265</v>
      </c>
      <c r="G1970" s="253">
        <v>-0.5</v>
      </c>
      <c r="H1970" s="253">
        <v>-0.5</v>
      </c>
      <c r="I1970" s="198" t="s">
        <v>106</v>
      </c>
      <c r="J1970" s="198" t="s">
        <v>164</v>
      </c>
      <c r="K1970" s="188"/>
      <c r="L1970" s="197"/>
      <c r="M1970" s="197"/>
      <c r="N1970" s="197"/>
      <c r="O1970" s="197"/>
    </row>
    <row r="1971" spans="1:15" hidden="1">
      <c r="A1971" s="188" t="s">
        <v>137</v>
      </c>
      <c r="B1971" s="188" t="s">
        <v>138</v>
      </c>
      <c r="C1971" s="188" t="s">
        <v>106</v>
      </c>
      <c r="D1971" s="188" t="s">
        <v>655</v>
      </c>
      <c r="E1971" s="188" t="s">
        <v>2296</v>
      </c>
      <c r="F1971" s="234" t="s">
        <v>265</v>
      </c>
      <c r="G1971" s="253">
        <v>-0.5</v>
      </c>
      <c r="H1971" s="253">
        <v>-0.5</v>
      </c>
      <c r="I1971" s="198" t="s">
        <v>106</v>
      </c>
      <c r="J1971" s="198" t="s">
        <v>164</v>
      </c>
      <c r="K1971" s="188"/>
      <c r="L1971" s="197"/>
      <c r="M1971" s="197"/>
      <c r="N1971" s="197"/>
      <c r="O1971" s="197"/>
    </row>
    <row r="1972" spans="1:15" hidden="1">
      <c r="A1972" s="188" t="s">
        <v>137</v>
      </c>
      <c r="B1972" s="188" t="s">
        <v>138</v>
      </c>
      <c r="C1972" s="188" t="s">
        <v>106</v>
      </c>
      <c r="D1972" s="188" t="s">
        <v>655</v>
      </c>
      <c r="E1972" s="188" t="s">
        <v>2297</v>
      </c>
      <c r="F1972" s="234" t="s">
        <v>265</v>
      </c>
      <c r="G1972" s="253">
        <v>-0.5</v>
      </c>
      <c r="H1972" s="253">
        <v>-0.5</v>
      </c>
      <c r="I1972" s="198" t="s">
        <v>106</v>
      </c>
      <c r="J1972" s="198" t="s">
        <v>164</v>
      </c>
      <c r="K1972" s="188"/>
      <c r="L1972" s="197"/>
      <c r="M1972" s="197"/>
      <c r="N1972" s="197"/>
      <c r="O1972" s="197"/>
    </row>
    <row r="1973" spans="1:15" hidden="1">
      <c r="A1973" s="188" t="s">
        <v>137</v>
      </c>
      <c r="B1973" s="188" t="s">
        <v>138</v>
      </c>
      <c r="C1973" s="188" t="s">
        <v>106</v>
      </c>
      <c r="D1973" s="188" t="s">
        <v>655</v>
      </c>
      <c r="E1973" s="188" t="s">
        <v>2298</v>
      </c>
      <c r="F1973" s="234" t="s">
        <v>265</v>
      </c>
      <c r="G1973" s="253">
        <v>-0.5</v>
      </c>
      <c r="H1973" s="253">
        <v>-0.5</v>
      </c>
      <c r="I1973" s="198" t="s">
        <v>106</v>
      </c>
      <c r="J1973" s="198" t="s">
        <v>164</v>
      </c>
      <c r="K1973" s="188"/>
      <c r="L1973" s="197"/>
      <c r="M1973" s="197"/>
      <c r="N1973" s="197"/>
      <c r="O1973" s="197"/>
    </row>
    <row r="1974" spans="1:15" hidden="1">
      <c r="A1974" s="188" t="s">
        <v>137</v>
      </c>
      <c r="B1974" s="188" t="s">
        <v>138</v>
      </c>
      <c r="C1974" s="188" t="s">
        <v>106</v>
      </c>
      <c r="D1974" s="188" t="s">
        <v>655</v>
      </c>
      <c r="E1974" s="188" t="s">
        <v>2299</v>
      </c>
      <c r="F1974" s="234" t="s">
        <v>265</v>
      </c>
      <c r="G1974" s="253">
        <v>-0.5</v>
      </c>
      <c r="H1974" s="253">
        <v>-0.5</v>
      </c>
      <c r="I1974" s="198" t="s">
        <v>106</v>
      </c>
      <c r="J1974" s="198" t="s">
        <v>164</v>
      </c>
      <c r="K1974" s="188"/>
      <c r="L1974" s="197"/>
      <c r="M1974" s="197"/>
      <c r="N1974" s="197"/>
      <c r="O1974" s="197"/>
    </row>
    <row r="1975" spans="1:15" hidden="1">
      <c r="A1975" s="188" t="s">
        <v>137</v>
      </c>
      <c r="B1975" s="188" t="s">
        <v>138</v>
      </c>
      <c r="C1975" s="188" t="s">
        <v>106</v>
      </c>
      <c r="D1975" s="188" t="s">
        <v>655</v>
      </c>
      <c r="E1975" s="188" t="s">
        <v>2300</v>
      </c>
      <c r="F1975" s="234" t="s">
        <v>265</v>
      </c>
      <c r="G1975" s="253">
        <v>-0.5</v>
      </c>
      <c r="H1975" s="253">
        <v>-0.5</v>
      </c>
      <c r="I1975" s="198" t="s">
        <v>106</v>
      </c>
      <c r="J1975" s="198" t="s">
        <v>164</v>
      </c>
      <c r="K1975" s="188"/>
      <c r="L1975" s="197"/>
      <c r="M1975" s="197"/>
      <c r="N1975" s="197"/>
      <c r="O1975" s="197"/>
    </row>
    <row r="1976" spans="1:15" hidden="1">
      <c r="A1976" s="188" t="s">
        <v>137</v>
      </c>
      <c r="B1976" s="188" t="s">
        <v>138</v>
      </c>
      <c r="C1976" s="188" t="s">
        <v>106</v>
      </c>
      <c r="D1976" s="188" t="s">
        <v>655</v>
      </c>
      <c r="E1976" s="188" t="s">
        <v>2301</v>
      </c>
      <c r="F1976" s="234" t="s">
        <v>265</v>
      </c>
      <c r="G1976" s="253">
        <v>-0.5</v>
      </c>
      <c r="H1976" s="253">
        <v>-0.5</v>
      </c>
      <c r="I1976" s="198" t="s">
        <v>106</v>
      </c>
      <c r="J1976" s="198" t="s">
        <v>164</v>
      </c>
      <c r="K1976" s="188"/>
      <c r="L1976" s="197"/>
      <c r="M1976" s="197"/>
      <c r="N1976" s="197"/>
      <c r="O1976" s="197"/>
    </row>
    <row r="1977" spans="1:15" hidden="1">
      <c r="A1977" s="188" t="s">
        <v>137</v>
      </c>
      <c r="B1977" s="188" t="s">
        <v>138</v>
      </c>
      <c r="C1977" s="188" t="s">
        <v>106</v>
      </c>
      <c r="D1977" s="188" t="s">
        <v>655</v>
      </c>
      <c r="E1977" s="188" t="s">
        <v>2302</v>
      </c>
      <c r="F1977" s="234" t="s">
        <v>265</v>
      </c>
      <c r="G1977" s="253">
        <v>-0.5</v>
      </c>
      <c r="H1977" s="253">
        <v>-0.5</v>
      </c>
      <c r="I1977" s="198" t="s">
        <v>106</v>
      </c>
      <c r="J1977" s="198" t="s">
        <v>164</v>
      </c>
      <c r="K1977" s="188"/>
      <c r="L1977" s="197"/>
      <c r="M1977" s="197"/>
      <c r="N1977" s="197"/>
      <c r="O1977" s="197"/>
    </row>
    <row r="1978" spans="1:15" hidden="1">
      <c r="A1978" s="188" t="s">
        <v>137</v>
      </c>
      <c r="B1978" s="188" t="s">
        <v>138</v>
      </c>
      <c r="C1978" s="188" t="s">
        <v>106</v>
      </c>
      <c r="D1978" s="188" t="s">
        <v>655</v>
      </c>
      <c r="E1978" s="188" t="s">
        <v>2303</v>
      </c>
      <c r="F1978" s="234" t="s">
        <v>265</v>
      </c>
      <c r="G1978" s="253">
        <v>-0.5</v>
      </c>
      <c r="H1978" s="253">
        <v>-0.5</v>
      </c>
      <c r="I1978" s="198" t="s">
        <v>106</v>
      </c>
      <c r="J1978" s="198" t="s">
        <v>164</v>
      </c>
      <c r="K1978" s="188"/>
      <c r="L1978" s="197"/>
      <c r="M1978" s="197"/>
      <c r="N1978" s="197"/>
      <c r="O1978" s="197"/>
    </row>
    <row r="1979" spans="1:15" hidden="1">
      <c r="A1979" s="188" t="s">
        <v>137</v>
      </c>
      <c r="B1979" s="188" t="s">
        <v>138</v>
      </c>
      <c r="C1979" s="188" t="s">
        <v>106</v>
      </c>
      <c r="D1979" s="188" t="s">
        <v>655</v>
      </c>
      <c r="E1979" s="188" t="s">
        <v>2304</v>
      </c>
      <c r="F1979" s="234" t="s">
        <v>265</v>
      </c>
      <c r="G1979" s="253">
        <v>-0.5</v>
      </c>
      <c r="H1979" s="253">
        <v>-0.5</v>
      </c>
      <c r="I1979" s="198" t="s">
        <v>106</v>
      </c>
      <c r="J1979" s="198" t="s">
        <v>164</v>
      </c>
      <c r="K1979" s="188"/>
      <c r="L1979" s="197"/>
      <c r="M1979" s="197"/>
      <c r="N1979" s="197"/>
      <c r="O1979" s="197"/>
    </row>
    <row r="1980" spans="1:15" hidden="1">
      <c r="A1980" s="188" t="s">
        <v>137</v>
      </c>
      <c r="B1980" s="188" t="s">
        <v>138</v>
      </c>
      <c r="C1980" s="188" t="s">
        <v>106</v>
      </c>
      <c r="D1980" s="188" t="s">
        <v>655</v>
      </c>
      <c r="E1980" s="188" t="s">
        <v>2305</v>
      </c>
      <c r="F1980" s="234" t="s">
        <v>265</v>
      </c>
      <c r="G1980" s="253">
        <v>-0.5</v>
      </c>
      <c r="H1980" s="253">
        <v>-0.5</v>
      </c>
      <c r="I1980" s="198" t="s">
        <v>106</v>
      </c>
      <c r="J1980" s="198" t="s">
        <v>164</v>
      </c>
      <c r="K1980" s="188"/>
      <c r="L1980" s="197"/>
      <c r="M1980" s="197"/>
      <c r="N1980" s="197"/>
      <c r="O1980" s="197"/>
    </row>
    <row r="1981" spans="1:15" hidden="1">
      <c r="A1981" s="188" t="s">
        <v>137</v>
      </c>
      <c r="B1981" s="188" t="s">
        <v>138</v>
      </c>
      <c r="C1981" s="188" t="s">
        <v>106</v>
      </c>
      <c r="D1981" s="188" t="s">
        <v>655</v>
      </c>
      <c r="E1981" s="188" t="s">
        <v>2306</v>
      </c>
      <c r="F1981" s="234" t="s">
        <v>265</v>
      </c>
      <c r="G1981" s="253">
        <v>-0.5</v>
      </c>
      <c r="H1981" s="253">
        <v>-0.5</v>
      </c>
      <c r="I1981" s="198" t="s">
        <v>106</v>
      </c>
      <c r="J1981" s="198" t="s">
        <v>164</v>
      </c>
      <c r="K1981" s="188"/>
      <c r="L1981" s="197"/>
      <c r="M1981" s="197"/>
      <c r="N1981" s="197"/>
      <c r="O1981" s="197"/>
    </row>
    <row r="1982" spans="1:15" hidden="1">
      <c r="A1982" s="188" t="s">
        <v>137</v>
      </c>
      <c r="B1982" s="188" t="s">
        <v>138</v>
      </c>
      <c r="C1982" s="188" t="s">
        <v>106</v>
      </c>
      <c r="D1982" s="188" t="s">
        <v>655</v>
      </c>
      <c r="E1982" s="188" t="s">
        <v>2307</v>
      </c>
      <c r="F1982" s="234" t="s">
        <v>265</v>
      </c>
      <c r="G1982" s="253">
        <v>-0.5</v>
      </c>
      <c r="H1982" s="253">
        <v>-0.5</v>
      </c>
      <c r="I1982" s="198" t="s">
        <v>106</v>
      </c>
      <c r="J1982" s="198" t="s">
        <v>164</v>
      </c>
      <c r="K1982" s="188"/>
      <c r="L1982" s="197"/>
      <c r="M1982" s="197"/>
      <c r="N1982" s="197"/>
      <c r="O1982" s="197"/>
    </row>
    <row r="1983" spans="1:15" hidden="1">
      <c r="A1983" s="188" t="s">
        <v>137</v>
      </c>
      <c r="B1983" s="188" t="s">
        <v>138</v>
      </c>
      <c r="C1983" s="188" t="s">
        <v>106</v>
      </c>
      <c r="D1983" s="188" t="s">
        <v>655</v>
      </c>
      <c r="E1983" s="188" t="s">
        <v>2308</v>
      </c>
      <c r="F1983" s="234" t="s">
        <v>265</v>
      </c>
      <c r="G1983" s="253">
        <v>-0.5</v>
      </c>
      <c r="H1983" s="253">
        <v>-0.5</v>
      </c>
      <c r="I1983" s="198" t="s">
        <v>106</v>
      </c>
      <c r="J1983" s="198" t="s">
        <v>164</v>
      </c>
      <c r="K1983" s="188"/>
      <c r="L1983" s="197"/>
      <c r="M1983" s="197"/>
      <c r="N1983" s="197"/>
      <c r="O1983" s="197"/>
    </row>
    <row r="1984" spans="1:15" hidden="1">
      <c r="A1984" s="188" t="s">
        <v>137</v>
      </c>
      <c r="B1984" s="188" t="s">
        <v>138</v>
      </c>
      <c r="C1984" s="188" t="s">
        <v>106</v>
      </c>
      <c r="D1984" s="188" t="s">
        <v>655</v>
      </c>
      <c r="E1984" s="188" t="s">
        <v>2309</v>
      </c>
      <c r="F1984" s="234" t="s">
        <v>265</v>
      </c>
      <c r="G1984" s="253">
        <v>-0.5</v>
      </c>
      <c r="H1984" s="253">
        <v>-0.5</v>
      </c>
      <c r="I1984" s="198" t="s">
        <v>106</v>
      </c>
      <c r="J1984" s="198" t="s">
        <v>164</v>
      </c>
      <c r="K1984" s="188"/>
      <c r="L1984" s="197"/>
      <c r="M1984" s="197"/>
      <c r="N1984" s="197"/>
      <c r="O1984" s="197"/>
    </row>
    <row r="1985" spans="1:15" hidden="1">
      <c r="A1985" s="188" t="s">
        <v>137</v>
      </c>
      <c r="B1985" s="188" t="s">
        <v>138</v>
      </c>
      <c r="C1985" s="188" t="s">
        <v>106</v>
      </c>
      <c r="D1985" s="188" t="s">
        <v>655</v>
      </c>
      <c r="E1985" s="188" t="s">
        <v>2310</v>
      </c>
      <c r="F1985" s="234" t="s">
        <v>265</v>
      </c>
      <c r="G1985" s="253">
        <v>-0.5</v>
      </c>
      <c r="H1985" s="253">
        <v>-0.5</v>
      </c>
      <c r="I1985" s="198" t="s">
        <v>106</v>
      </c>
      <c r="J1985" s="198" t="s">
        <v>164</v>
      </c>
      <c r="K1985" s="188"/>
      <c r="L1985" s="197"/>
      <c r="M1985" s="197"/>
      <c r="N1985" s="197"/>
      <c r="O1985" s="197"/>
    </row>
    <row r="1986" spans="1:15" hidden="1">
      <c r="A1986" s="188" t="s">
        <v>137</v>
      </c>
      <c r="B1986" s="188" t="s">
        <v>138</v>
      </c>
      <c r="C1986" s="188" t="s">
        <v>106</v>
      </c>
      <c r="D1986" s="188" t="s">
        <v>655</v>
      </c>
      <c r="E1986" s="188" t="s">
        <v>2311</v>
      </c>
      <c r="F1986" s="234" t="s">
        <v>265</v>
      </c>
      <c r="G1986" s="253">
        <v>-0.5</v>
      </c>
      <c r="H1986" s="253">
        <v>-0.5</v>
      </c>
      <c r="I1986" s="198" t="s">
        <v>106</v>
      </c>
      <c r="J1986" s="198" t="s">
        <v>164</v>
      </c>
      <c r="K1986" s="188"/>
      <c r="L1986" s="197"/>
      <c r="M1986" s="197"/>
      <c r="N1986" s="197"/>
      <c r="O1986" s="197"/>
    </row>
    <row r="1987" spans="1:15" hidden="1">
      <c r="A1987" s="188" t="s">
        <v>137</v>
      </c>
      <c r="B1987" s="188" t="s">
        <v>138</v>
      </c>
      <c r="C1987" s="188" t="s">
        <v>106</v>
      </c>
      <c r="D1987" s="188" t="s">
        <v>655</v>
      </c>
      <c r="E1987" s="188" t="s">
        <v>2312</v>
      </c>
      <c r="F1987" s="234" t="s">
        <v>265</v>
      </c>
      <c r="G1987" s="253">
        <v>-0.5</v>
      </c>
      <c r="H1987" s="253">
        <v>-0.5</v>
      </c>
      <c r="I1987" s="198" t="s">
        <v>106</v>
      </c>
      <c r="J1987" s="198" t="s">
        <v>164</v>
      </c>
      <c r="K1987" s="188"/>
      <c r="L1987" s="197"/>
      <c r="M1987" s="197"/>
      <c r="N1987" s="197"/>
      <c r="O1987" s="197"/>
    </row>
    <row r="1988" spans="1:15" hidden="1">
      <c r="A1988" s="188" t="s">
        <v>137</v>
      </c>
      <c r="B1988" s="188" t="s">
        <v>138</v>
      </c>
      <c r="C1988" s="188" t="s">
        <v>106</v>
      </c>
      <c r="D1988" s="188" t="s">
        <v>655</v>
      </c>
      <c r="E1988" s="188" t="s">
        <v>2313</v>
      </c>
      <c r="F1988" s="234" t="s">
        <v>265</v>
      </c>
      <c r="G1988" s="253">
        <v>-0.5</v>
      </c>
      <c r="H1988" s="253">
        <v>-0.5</v>
      </c>
      <c r="I1988" s="198" t="s">
        <v>106</v>
      </c>
      <c r="J1988" s="198" t="s">
        <v>164</v>
      </c>
      <c r="K1988" s="188"/>
      <c r="L1988" s="197"/>
      <c r="M1988" s="197"/>
      <c r="N1988" s="197"/>
      <c r="O1988" s="197"/>
    </row>
    <row r="1989" spans="1:15" hidden="1">
      <c r="A1989" s="188" t="s">
        <v>137</v>
      </c>
      <c r="B1989" s="188" t="s">
        <v>138</v>
      </c>
      <c r="C1989" s="188" t="s">
        <v>106</v>
      </c>
      <c r="D1989" s="188" t="s">
        <v>655</v>
      </c>
      <c r="E1989" s="188" t="s">
        <v>2314</v>
      </c>
      <c r="F1989" s="234" t="s">
        <v>265</v>
      </c>
      <c r="G1989" s="253">
        <v>-0.5</v>
      </c>
      <c r="H1989" s="253">
        <v>-0.5</v>
      </c>
      <c r="I1989" s="198" t="s">
        <v>106</v>
      </c>
      <c r="J1989" s="198" t="s">
        <v>164</v>
      </c>
      <c r="K1989" s="188"/>
      <c r="L1989" s="197"/>
      <c r="M1989" s="197"/>
      <c r="N1989" s="197"/>
      <c r="O1989" s="197"/>
    </row>
    <row r="1990" spans="1:15" hidden="1">
      <c r="A1990" s="188" t="s">
        <v>137</v>
      </c>
      <c r="B1990" s="188" t="s">
        <v>138</v>
      </c>
      <c r="C1990" s="188" t="s">
        <v>106</v>
      </c>
      <c r="D1990" s="188" t="s">
        <v>655</v>
      </c>
      <c r="E1990" s="188" t="s">
        <v>2315</v>
      </c>
      <c r="F1990" s="234" t="s">
        <v>265</v>
      </c>
      <c r="G1990" s="253">
        <v>-0.5</v>
      </c>
      <c r="H1990" s="253">
        <v>-0.5</v>
      </c>
      <c r="I1990" s="198" t="s">
        <v>106</v>
      </c>
      <c r="J1990" s="198" t="s">
        <v>164</v>
      </c>
      <c r="K1990" s="188"/>
      <c r="L1990" s="197"/>
      <c r="M1990" s="197"/>
      <c r="N1990" s="197"/>
      <c r="O1990" s="197"/>
    </row>
    <row r="1991" spans="1:15" hidden="1">
      <c r="A1991" s="188" t="s">
        <v>137</v>
      </c>
      <c r="B1991" s="188" t="s">
        <v>138</v>
      </c>
      <c r="C1991" s="188" t="s">
        <v>106</v>
      </c>
      <c r="D1991" s="188" t="s">
        <v>655</v>
      </c>
      <c r="E1991" s="188" t="s">
        <v>2316</v>
      </c>
      <c r="F1991" s="234" t="s">
        <v>265</v>
      </c>
      <c r="G1991" s="253">
        <v>-0.5</v>
      </c>
      <c r="H1991" s="253">
        <v>-0.5</v>
      </c>
      <c r="I1991" s="198" t="s">
        <v>106</v>
      </c>
      <c r="J1991" s="198" t="s">
        <v>164</v>
      </c>
      <c r="K1991" s="188"/>
      <c r="L1991" s="197"/>
      <c r="M1991" s="197"/>
      <c r="N1991" s="197"/>
      <c r="O1991" s="197"/>
    </row>
    <row r="1992" spans="1:15" hidden="1">
      <c r="A1992" s="188" t="s">
        <v>137</v>
      </c>
      <c r="B1992" s="188" t="s">
        <v>138</v>
      </c>
      <c r="C1992" s="188" t="s">
        <v>106</v>
      </c>
      <c r="D1992" s="188" t="s">
        <v>655</v>
      </c>
      <c r="E1992" s="188" t="s">
        <v>2317</v>
      </c>
      <c r="F1992" s="234" t="s">
        <v>265</v>
      </c>
      <c r="G1992" s="253">
        <v>-0.5</v>
      </c>
      <c r="H1992" s="253">
        <v>-0.5</v>
      </c>
      <c r="I1992" s="198" t="s">
        <v>106</v>
      </c>
      <c r="J1992" s="198" t="s">
        <v>164</v>
      </c>
      <c r="K1992" s="188"/>
      <c r="L1992" s="197"/>
      <c r="M1992" s="197"/>
      <c r="N1992" s="197"/>
      <c r="O1992" s="197"/>
    </row>
    <row r="1993" spans="1:15" hidden="1">
      <c r="A1993" s="188" t="s">
        <v>137</v>
      </c>
      <c r="B1993" s="188" t="s">
        <v>138</v>
      </c>
      <c r="C1993" s="188" t="s">
        <v>106</v>
      </c>
      <c r="D1993" s="188" t="s">
        <v>655</v>
      </c>
      <c r="E1993" s="188" t="s">
        <v>2318</v>
      </c>
      <c r="F1993" s="234" t="s">
        <v>265</v>
      </c>
      <c r="G1993" s="253">
        <v>-0.5</v>
      </c>
      <c r="H1993" s="253">
        <v>-0.5</v>
      </c>
      <c r="I1993" s="198" t="s">
        <v>106</v>
      </c>
      <c r="J1993" s="198" t="s">
        <v>164</v>
      </c>
      <c r="K1993" s="188"/>
      <c r="L1993" s="197"/>
      <c r="M1993" s="197"/>
      <c r="N1993" s="197"/>
      <c r="O1993" s="197"/>
    </row>
    <row r="1994" spans="1:15" hidden="1">
      <c r="A1994" s="188" t="s">
        <v>137</v>
      </c>
      <c r="B1994" s="188" t="s">
        <v>138</v>
      </c>
      <c r="C1994" s="188" t="s">
        <v>106</v>
      </c>
      <c r="D1994" s="188" t="s">
        <v>655</v>
      </c>
      <c r="E1994" s="188" t="s">
        <v>2319</v>
      </c>
      <c r="F1994" s="234" t="s">
        <v>265</v>
      </c>
      <c r="G1994" s="253">
        <v>-0.5</v>
      </c>
      <c r="H1994" s="253">
        <v>-0.5</v>
      </c>
      <c r="I1994" s="198" t="s">
        <v>106</v>
      </c>
      <c r="J1994" s="198" t="s">
        <v>164</v>
      </c>
      <c r="K1994" s="188"/>
      <c r="L1994" s="197"/>
      <c r="M1994" s="197"/>
      <c r="N1994" s="197"/>
      <c r="O1994" s="197"/>
    </row>
    <row r="1995" spans="1:15" hidden="1">
      <c r="A1995" s="188" t="s">
        <v>137</v>
      </c>
      <c r="B1995" s="188" t="s">
        <v>138</v>
      </c>
      <c r="C1995" s="188" t="s">
        <v>106</v>
      </c>
      <c r="D1995" s="188" t="s">
        <v>655</v>
      </c>
      <c r="E1995" s="188" t="s">
        <v>2320</v>
      </c>
      <c r="F1995" s="234" t="s">
        <v>265</v>
      </c>
      <c r="G1995" s="253">
        <v>-0.5</v>
      </c>
      <c r="H1995" s="253">
        <v>-0.5</v>
      </c>
      <c r="I1995" s="198" t="s">
        <v>106</v>
      </c>
      <c r="J1995" s="198" t="s">
        <v>164</v>
      </c>
      <c r="K1995" s="188"/>
      <c r="L1995" s="197"/>
      <c r="M1995" s="197"/>
      <c r="N1995" s="197"/>
      <c r="O1995" s="197"/>
    </row>
    <row r="1996" spans="1:15" hidden="1">
      <c r="A1996" s="188" t="s">
        <v>137</v>
      </c>
      <c r="B1996" s="188" t="s">
        <v>138</v>
      </c>
      <c r="C1996" s="188" t="s">
        <v>106</v>
      </c>
      <c r="D1996" s="188" t="s">
        <v>655</v>
      </c>
      <c r="E1996" s="188" t="s">
        <v>2321</v>
      </c>
      <c r="F1996" s="234" t="s">
        <v>265</v>
      </c>
      <c r="G1996" s="253">
        <v>-0.5</v>
      </c>
      <c r="H1996" s="253">
        <v>-0.5</v>
      </c>
      <c r="I1996" s="198" t="s">
        <v>106</v>
      </c>
      <c r="J1996" s="198" t="s">
        <v>164</v>
      </c>
      <c r="K1996" s="188"/>
      <c r="L1996" s="197"/>
      <c r="M1996" s="197"/>
      <c r="N1996" s="197"/>
      <c r="O1996" s="197"/>
    </row>
    <row r="1997" spans="1:15" hidden="1">
      <c r="A1997" s="188" t="s">
        <v>137</v>
      </c>
      <c r="B1997" s="188" t="s">
        <v>138</v>
      </c>
      <c r="C1997" s="188" t="s">
        <v>106</v>
      </c>
      <c r="D1997" s="188" t="s">
        <v>655</v>
      </c>
      <c r="E1997" s="188" t="s">
        <v>2322</v>
      </c>
      <c r="F1997" s="234" t="s">
        <v>265</v>
      </c>
      <c r="G1997" s="253">
        <v>-0.5</v>
      </c>
      <c r="H1997" s="253">
        <v>-0.5</v>
      </c>
      <c r="I1997" s="198" t="s">
        <v>106</v>
      </c>
      <c r="J1997" s="198" t="s">
        <v>164</v>
      </c>
      <c r="K1997" s="188"/>
      <c r="L1997" s="197"/>
      <c r="M1997" s="197"/>
      <c r="N1997" s="197"/>
      <c r="O1997" s="197"/>
    </row>
    <row r="1998" spans="1:15" hidden="1">
      <c r="A1998" s="188" t="s">
        <v>137</v>
      </c>
      <c r="B1998" s="188" t="s">
        <v>138</v>
      </c>
      <c r="C1998" s="188" t="s">
        <v>106</v>
      </c>
      <c r="D1998" s="188" t="s">
        <v>655</v>
      </c>
      <c r="E1998" s="188" t="s">
        <v>2323</v>
      </c>
      <c r="F1998" s="234" t="s">
        <v>265</v>
      </c>
      <c r="G1998" s="253">
        <v>-0.5</v>
      </c>
      <c r="H1998" s="253">
        <v>-0.5</v>
      </c>
      <c r="I1998" s="198" t="s">
        <v>106</v>
      </c>
      <c r="J1998" s="198" t="s">
        <v>164</v>
      </c>
      <c r="K1998" s="188"/>
      <c r="L1998" s="197"/>
      <c r="M1998" s="197"/>
      <c r="N1998" s="197"/>
      <c r="O1998" s="197"/>
    </row>
    <row r="1999" spans="1:15" hidden="1">
      <c r="A1999" s="188" t="s">
        <v>137</v>
      </c>
      <c r="B1999" s="188" t="s">
        <v>138</v>
      </c>
      <c r="C1999" s="188" t="s">
        <v>106</v>
      </c>
      <c r="D1999" s="188" t="s">
        <v>655</v>
      </c>
      <c r="E1999" s="188" t="s">
        <v>2324</v>
      </c>
      <c r="F1999" s="234" t="s">
        <v>265</v>
      </c>
      <c r="G1999" s="253">
        <v>-0.5</v>
      </c>
      <c r="H1999" s="253">
        <v>-0.5</v>
      </c>
      <c r="I1999" s="198" t="s">
        <v>106</v>
      </c>
      <c r="J1999" s="198" t="s">
        <v>164</v>
      </c>
      <c r="K1999" s="188"/>
      <c r="L1999" s="197"/>
      <c r="M1999" s="197"/>
      <c r="N1999" s="197"/>
      <c r="O1999" s="197"/>
    </row>
    <row r="2000" spans="1:15" hidden="1">
      <c r="A2000" s="188" t="s">
        <v>137</v>
      </c>
      <c r="B2000" s="188" t="s">
        <v>138</v>
      </c>
      <c r="C2000" s="188" t="s">
        <v>106</v>
      </c>
      <c r="D2000" s="188" t="s">
        <v>655</v>
      </c>
      <c r="E2000" s="188" t="s">
        <v>2325</v>
      </c>
      <c r="F2000" s="234" t="s">
        <v>265</v>
      </c>
      <c r="G2000" s="253">
        <v>-0.5</v>
      </c>
      <c r="H2000" s="253">
        <v>-0.5</v>
      </c>
      <c r="I2000" s="198" t="s">
        <v>106</v>
      </c>
      <c r="J2000" s="198" t="s">
        <v>164</v>
      </c>
      <c r="K2000" s="188"/>
      <c r="L2000" s="197"/>
      <c r="M2000" s="197"/>
      <c r="N2000" s="197"/>
      <c r="O2000" s="197"/>
    </row>
    <row r="2001" spans="1:15" hidden="1">
      <c r="A2001" s="188" t="s">
        <v>232</v>
      </c>
      <c r="B2001" s="188" t="s">
        <v>138</v>
      </c>
      <c r="C2001" s="188" t="s">
        <v>106</v>
      </c>
      <c r="D2001" s="188" t="s">
        <v>655</v>
      </c>
      <c r="E2001" s="188" t="s">
        <v>2326</v>
      </c>
      <c r="F2001" s="234" t="s">
        <v>265</v>
      </c>
      <c r="G2001" s="253">
        <v>-0.5</v>
      </c>
      <c r="H2001" s="253">
        <v>-0.5</v>
      </c>
      <c r="I2001" s="198" t="s">
        <v>106</v>
      </c>
      <c r="J2001" s="198" t="s">
        <v>164</v>
      </c>
      <c r="K2001" s="188"/>
      <c r="L2001" s="197"/>
      <c r="M2001" s="197"/>
      <c r="N2001" s="197"/>
      <c r="O2001" s="197"/>
    </row>
    <row r="2002" spans="1:15" hidden="1">
      <c r="A2002" s="188" t="s">
        <v>232</v>
      </c>
      <c r="B2002" s="188" t="s">
        <v>138</v>
      </c>
      <c r="C2002" s="188" t="s">
        <v>106</v>
      </c>
      <c r="D2002" s="188" t="s">
        <v>655</v>
      </c>
      <c r="E2002" s="188" t="s">
        <v>2327</v>
      </c>
      <c r="F2002" s="234" t="s">
        <v>265</v>
      </c>
      <c r="G2002" s="253">
        <v>-0.5</v>
      </c>
      <c r="H2002" s="253">
        <v>-0.5</v>
      </c>
      <c r="I2002" s="198" t="s">
        <v>106</v>
      </c>
      <c r="J2002" s="198" t="s">
        <v>164</v>
      </c>
      <c r="K2002" s="188"/>
      <c r="L2002" s="197"/>
      <c r="M2002" s="197"/>
      <c r="N2002" s="197"/>
      <c r="O2002" s="197"/>
    </row>
    <row r="2003" spans="1:15" hidden="1">
      <c r="A2003" s="188" t="s">
        <v>232</v>
      </c>
      <c r="B2003" s="188" t="s">
        <v>138</v>
      </c>
      <c r="C2003" s="188" t="s">
        <v>106</v>
      </c>
      <c r="D2003" s="188" t="s">
        <v>655</v>
      </c>
      <c r="E2003" s="188" t="s">
        <v>2328</v>
      </c>
      <c r="F2003" s="234" t="s">
        <v>265</v>
      </c>
      <c r="G2003" s="253">
        <v>-0.5</v>
      </c>
      <c r="H2003" s="253">
        <v>-0.5</v>
      </c>
      <c r="I2003" s="198" t="s">
        <v>106</v>
      </c>
      <c r="J2003" s="198" t="s">
        <v>164</v>
      </c>
      <c r="K2003" s="188"/>
      <c r="L2003" s="197"/>
      <c r="M2003" s="197"/>
      <c r="N2003" s="197"/>
      <c r="O2003" s="197"/>
    </row>
    <row r="2004" spans="1:15" hidden="1">
      <c r="A2004" s="188" t="s">
        <v>232</v>
      </c>
      <c r="B2004" s="188" t="s">
        <v>138</v>
      </c>
      <c r="C2004" s="188" t="s">
        <v>106</v>
      </c>
      <c r="D2004" s="188" t="s">
        <v>655</v>
      </c>
      <c r="E2004" s="188" t="s">
        <v>2329</v>
      </c>
      <c r="F2004" s="234" t="s">
        <v>265</v>
      </c>
      <c r="G2004" s="253">
        <v>-0.5</v>
      </c>
      <c r="H2004" s="253">
        <v>-0.5</v>
      </c>
      <c r="I2004" s="198" t="s">
        <v>106</v>
      </c>
      <c r="J2004" s="198" t="s">
        <v>164</v>
      </c>
      <c r="K2004" s="188"/>
      <c r="L2004" s="197"/>
      <c r="M2004" s="197"/>
      <c r="N2004" s="197"/>
      <c r="O2004" s="197"/>
    </row>
    <row r="2005" spans="1:15" hidden="1">
      <c r="A2005" s="188" t="s">
        <v>232</v>
      </c>
      <c r="B2005" s="188" t="s">
        <v>138</v>
      </c>
      <c r="C2005" s="188" t="s">
        <v>106</v>
      </c>
      <c r="D2005" s="188" t="s">
        <v>655</v>
      </c>
      <c r="E2005" s="188" t="s">
        <v>2330</v>
      </c>
      <c r="F2005" s="234" t="s">
        <v>265</v>
      </c>
      <c r="G2005" s="253">
        <v>-0.5</v>
      </c>
      <c r="H2005" s="253">
        <v>-0.5</v>
      </c>
      <c r="I2005" s="198" t="s">
        <v>106</v>
      </c>
      <c r="J2005" s="198" t="s">
        <v>164</v>
      </c>
      <c r="K2005" s="188"/>
      <c r="L2005" s="197"/>
      <c r="M2005" s="197"/>
      <c r="N2005" s="197"/>
      <c r="O2005" s="197"/>
    </row>
    <row r="2006" spans="1:15" hidden="1">
      <c r="A2006" s="188" t="s">
        <v>232</v>
      </c>
      <c r="B2006" s="188" t="s">
        <v>138</v>
      </c>
      <c r="C2006" s="188" t="s">
        <v>106</v>
      </c>
      <c r="D2006" s="188" t="s">
        <v>655</v>
      </c>
      <c r="E2006" s="188" t="s">
        <v>2331</v>
      </c>
      <c r="F2006" s="234" t="s">
        <v>265</v>
      </c>
      <c r="G2006" s="253">
        <v>-0.5</v>
      </c>
      <c r="H2006" s="253">
        <v>-0.5</v>
      </c>
      <c r="I2006" s="198" t="s">
        <v>106</v>
      </c>
      <c r="J2006" s="198" t="s">
        <v>164</v>
      </c>
      <c r="K2006" s="188"/>
      <c r="L2006" s="197"/>
      <c r="M2006" s="197"/>
      <c r="N2006" s="197"/>
      <c r="O2006" s="197"/>
    </row>
    <row r="2007" spans="1:15" hidden="1">
      <c r="A2007" s="188" t="s">
        <v>232</v>
      </c>
      <c r="B2007" s="188" t="s">
        <v>138</v>
      </c>
      <c r="C2007" s="188" t="s">
        <v>106</v>
      </c>
      <c r="D2007" s="188" t="s">
        <v>655</v>
      </c>
      <c r="E2007" s="188" t="s">
        <v>2332</v>
      </c>
      <c r="F2007" s="234" t="s">
        <v>265</v>
      </c>
      <c r="G2007" s="253">
        <v>-0.5</v>
      </c>
      <c r="H2007" s="253">
        <v>-0.5</v>
      </c>
      <c r="I2007" s="198" t="s">
        <v>106</v>
      </c>
      <c r="J2007" s="198" t="s">
        <v>164</v>
      </c>
      <c r="K2007" s="188"/>
      <c r="L2007" s="197"/>
      <c r="M2007" s="197"/>
      <c r="N2007" s="197"/>
      <c r="O2007" s="197"/>
    </row>
    <row r="2008" spans="1:15" hidden="1">
      <c r="A2008" s="188" t="s">
        <v>232</v>
      </c>
      <c r="B2008" s="188" t="s">
        <v>138</v>
      </c>
      <c r="C2008" s="188" t="s">
        <v>106</v>
      </c>
      <c r="D2008" s="188" t="s">
        <v>655</v>
      </c>
      <c r="E2008" s="188" t="s">
        <v>2333</v>
      </c>
      <c r="F2008" s="234" t="s">
        <v>265</v>
      </c>
      <c r="G2008" s="253">
        <v>-0.5</v>
      </c>
      <c r="H2008" s="253">
        <v>-0.5</v>
      </c>
      <c r="I2008" s="198" t="s">
        <v>106</v>
      </c>
      <c r="J2008" s="198" t="s">
        <v>164</v>
      </c>
      <c r="K2008" s="188"/>
      <c r="L2008" s="197"/>
      <c r="M2008" s="197"/>
      <c r="N2008" s="197"/>
      <c r="O2008" s="197"/>
    </row>
    <row r="2009" spans="1:15" hidden="1">
      <c r="A2009" s="188" t="s">
        <v>232</v>
      </c>
      <c r="B2009" s="188" t="s">
        <v>138</v>
      </c>
      <c r="C2009" s="188" t="s">
        <v>106</v>
      </c>
      <c r="D2009" s="188" t="s">
        <v>655</v>
      </c>
      <c r="E2009" s="188" t="s">
        <v>2334</v>
      </c>
      <c r="F2009" s="234" t="s">
        <v>265</v>
      </c>
      <c r="G2009" s="253">
        <v>-0.5</v>
      </c>
      <c r="H2009" s="253">
        <v>-0.5</v>
      </c>
      <c r="I2009" s="198" t="s">
        <v>106</v>
      </c>
      <c r="J2009" s="198" t="s">
        <v>164</v>
      </c>
      <c r="K2009" s="188"/>
      <c r="L2009" s="197"/>
      <c r="M2009" s="197"/>
      <c r="N2009" s="197"/>
      <c r="O2009" s="197"/>
    </row>
    <row r="2010" spans="1:15" hidden="1">
      <c r="A2010" s="188" t="s">
        <v>232</v>
      </c>
      <c r="B2010" s="188" t="s">
        <v>138</v>
      </c>
      <c r="C2010" s="188" t="s">
        <v>106</v>
      </c>
      <c r="D2010" s="188" t="s">
        <v>655</v>
      </c>
      <c r="E2010" s="188" t="s">
        <v>2335</v>
      </c>
      <c r="F2010" s="234" t="s">
        <v>265</v>
      </c>
      <c r="G2010" s="253">
        <v>-0.5</v>
      </c>
      <c r="H2010" s="253">
        <v>-0.5</v>
      </c>
      <c r="I2010" s="198" t="s">
        <v>106</v>
      </c>
      <c r="J2010" s="198" t="s">
        <v>164</v>
      </c>
      <c r="K2010" s="188"/>
      <c r="L2010" s="197"/>
      <c r="M2010" s="197"/>
      <c r="N2010" s="197"/>
      <c r="O2010" s="197"/>
    </row>
    <row r="2011" spans="1:15" hidden="1">
      <c r="A2011" s="188" t="s">
        <v>232</v>
      </c>
      <c r="B2011" s="188" t="s">
        <v>138</v>
      </c>
      <c r="C2011" s="188" t="s">
        <v>106</v>
      </c>
      <c r="D2011" s="188" t="s">
        <v>655</v>
      </c>
      <c r="E2011" s="188" t="s">
        <v>2266</v>
      </c>
      <c r="F2011" s="234" t="s">
        <v>265</v>
      </c>
      <c r="G2011" s="253">
        <v>-0.27</v>
      </c>
      <c r="H2011" s="253">
        <v>-0.27</v>
      </c>
      <c r="I2011" s="198" t="s">
        <v>106</v>
      </c>
      <c r="J2011" s="198" t="s">
        <v>164</v>
      </c>
      <c r="K2011" s="188"/>
      <c r="L2011" s="197"/>
      <c r="M2011" s="197"/>
      <c r="N2011" s="197"/>
      <c r="O2011" s="197"/>
    </row>
    <row r="2012" spans="1:15" hidden="1">
      <c r="A2012" s="195" t="s">
        <v>137</v>
      </c>
      <c r="B2012" s="195" t="s">
        <v>138</v>
      </c>
      <c r="C2012" s="195" t="s">
        <v>106</v>
      </c>
      <c r="D2012" s="195" t="s">
        <v>655</v>
      </c>
      <c r="E2012" s="208" t="s">
        <v>1333</v>
      </c>
      <c r="F2012" s="195" t="s">
        <v>153</v>
      </c>
      <c r="G2012" s="242">
        <v>-20</v>
      </c>
      <c r="H2012" s="243">
        <v>-20</v>
      </c>
      <c r="I2012" s="195" t="s">
        <v>106</v>
      </c>
      <c r="J2012" s="244" t="s">
        <v>164</v>
      </c>
      <c r="K2012" s="188"/>
      <c r="L2012" s="197"/>
      <c r="M2012" s="197"/>
      <c r="N2012" s="197"/>
      <c r="O2012" s="197"/>
    </row>
    <row r="2013" spans="1:15" hidden="1">
      <c r="A2013" s="195" t="s">
        <v>137</v>
      </c>
      <c r="B2013" s="195" t="s">
        <v>138</v>
      </c>
      <c r="C2013" s="195" t="s">
        <v>1599</v>
      </c>
      <c r="D2013" s="195" t="s">
        <v>2336</v>
      </c>
      <c r="E2013" s="195" t="s">
        <v>2337</v>
      </c>
      <c r="F2013" s="195" t="s">
        <v>265</v>
      </c>
      <c r="G2013" s="243">
        <v>-139.9</v>
      </c>
      <c r="H2013" s="243">
        <v>-139.9</v>
      </c>
      <c r="I2013" s="198" t="s">
        <v>90</v>
      </c>
      <c r="J2013" s="195" t="s">
        <v>246</v>
      </c>
      <c r="K2013" s="188"/>
      <c r="L2013" s="197"/>
      <c r="M2013" s="197"/>
      <c r="N2013" s="197"/>
      <c r="O2013" s="197"/>
    </row>
    <row r="2014" spans="1:15" hidden="1">
      <c r="A2014" s="195" t="s">
        <v>137</v>
      </c>
      <c r="B2014" s="195" t="s">
        <v>138</v>
      </c>
      <c r="C2014" s="195" t="s">
        <v>1599</v>
      </c>
      <c r="D2014" s="195" t="s">
        <v>1622</v>
      </c>
      <c r="E2014" s="195" t="s">
        <v>2338</v>
      </c>
      <c r="F2014" s="195" t="s">
        <v>265</v>
      </c>
      <c r="G2014" s="243">
        <v>-580.09</v>
      </c>
      <c r="H2014" s="243">
        <v>-580.09</v>
      </c>
      <c r="I2014" s="198" t="s">
        <v>90</v>
      </c>
      <c r="J2014" s="250" t="s">
        <v>246</v>
      </c>
      <c r="K2014" s="188"/>
      <c r="L2014" s="197"/>
      <c r="M2014" s="197"/>
      <c r="N2014" s="197"/>
      <c r="O2014" s="197"/>
    </row>
    <row r="2015" spans="1:15" hidden="1">
      <c r="A2015" s="195" t="s">
        <v>137</v>
      </c>
      <c r="B2015" s="195" t="s">
        <v>138</v>
      </c>
      <c r="C2015" s="195" t="s">
        <v>1599</v>
      </c>
      <c r="D2015" s="195" t="s">
        <v>1606</v>
      </c>
      <c r="E2015" s="195" t="s">
        <v>2339</v>
      </c>
      <c r="F2015" s="195" t="s">
        <v>265</v>
      </c>
      <c r="G2015" s="243">
        <v>-187.61</v>
      </c>
      <c r="H2015" s="243">
        <v>-187.61</v>
      </c>
      <c r="I2015" s="198" t="s">
        <v>90</v>
      </c>
      <c r="J2015" s="195" t="s">
        <v>246</v>
      </c>
      <c r="K2015" s="188"/>
      <c r="L2015" s="197"/>
      <c r="M2015" s="197"/>
      <c r="N2015" s="197"/>
      <c r="O2015" s="197"/>
    </row>
    <row r="2016" spans="1:15" hidden="1">
      <c r="A2016" s="195" t="s">
        <v>232</v>
      </c>
      <c r="B2016" s="195" t="s">
        <v>138</v>
      </c>
      <c r="C2016" s="195" t="s">
        <v>1599</v>
      </c>
      <c r="D2016" s="195" t="s">
        <v>1608</v>
      </c>
      <c r="E2016" s="195" t="s">
        <v>2340</v>
      </c>
      <c r="F2016" s="195" t="s">
        <v>265</v>
      </c>
      <c r="G2016" s="243">
        <v>-209.94</v>
      </c>
      <c r="H2016" s="243">
        <v>-209.94</v>
      </c>
      <c r="I2016" s="198" t="s">
        <v>90</v>
      </c>
      <c r="J2016" s="250" t="s">
        <v>246</v>
      </c>
      <c r="K2016" s="188"/>
      <c r="L2016" s="197"/>
      <c r="M2016" s="197"/>
      <c r="N2016" s="197"/>
      <c r="O2016" s="197"/>
    </row>
    <row r="2017" spans="1:15" hidden="1">
      <c r="A2017" s="195" t="s">
        <v>137</v>
      </c>
      <c r="B2017" s="195" t="s">
        <v>138</v>
      </c>
      <c r="C2017" s="195" t="s">
        <v>1613</v>
      </c>
      <c r="D2017" s="195" t="s">
        <v>669</v>
      </c>
      <c r="E2017" s="195" t="s">
        <v>1616</v>
      </c>
      <c r="F2017" s="195" t="s">
        <v>265</v>
      </c>
      <c r="G2017" s="243">
        <v>-30</v>
      </c>
      <c r="H2017" s="243">
        <v>-30</v>
      </c>
      <c r="I2017" s="198" t="s">
        <v>90</v>
      </c>
      <c r="J2017" s="244" t="s">
        <v>164</v>
      </c>
      <c r="K2017" s="188"/>
      <c r="L2017" s="197"/>
      <c r="M2017" s="197"/>
      <c r="N2017" s="197"/>
      <c r="O2017" s="197"/>
    </row>
    <row r="2018" spans="1:15" hidden="1">
      <c r="A2018" s="195" t="s">
        <v>137</v>
      </c>
      <c r="B2018" s="195" t="s">
        <v>138</v>
      </c>
      <c r="C2018" s="195" t="s">
        <v>1613</v>
      </c>
      <c r="D2018" s="195" t="s">
        <v>1617</v>
      </c>
      <c r="E2018" s="195" t="s">
        <v>2341</v>
      </c>
      <c r="F2018" s="195" t="s">
        <v>265</v>
      </c>
      <c r="G2018" s="243">
        <v>-750</v>
      </c>
      <c r="H2018" s="243">
        <v>-750</v>
      </c>
      <c r="I2018" s="198" t="s">
        <v>90</v>
      </c>
      <c r="J2018" s="250" t="s">
        <v>246</v>
      </c>
      <c r="K2018" s="188"/>
      <c r="L2018" s="197"/>
      <c r="M2018" s="197"/>
      <c r="N2018" s="197"/>
      <c r="O2018" s="197"/>
    </row>
    <row r="2019" spans="1:15">
      <c r="A2019" s="188" t="s">
        <v>137</v>
      </c>
      <c r="B2019" s="188" t="s">
        <v>138</v>
      </c>
      <c r="C2019" s="188" t="s">
        <v>139</v>
      </c>
      <c r="D2019" s="188" t="s">
        <v>521</v>
      </c>
      <c r="E2019" s="188" t="s">
        <v>2342</v>
      </c>
      <c r="F2019" s="234" t="s">
        <v>268</v>
      </c>
      <c r="G2019" s="253">
        <v>-162.54</v>
      </c>
      <c r="H2019" s="253">
        <v>-162.54</v>
      </c>
      <c r="I2019" s="257" t="s">
        <v>84</v>
      </c>
      <c r="J2019" s="198" t="s">
        <v>143</v>
      </c>
      <c r="K2019" s="188"/>
      <c r="L2019" s="197"/>
      <c r="M2019" s="197"/>
      <c r="N2019" s="197"/>
      <c r="O2019" s="197"/>
    </row>
    <row r="2020" spans="1:15">
      <c r="A2020" s="188" t="s">
        <v>137</v>
      </c>
      <c r="B2020" s="188" t="s">
        <v>138</v>
      </c>
      <c r="C2020" s="188" t="s">
        <v>139</v>
      </c>
      <c r="D2020" s="188" t="s">
        <v>521</v>
      </c>
      <c r="E2020" s="188" t="s">
        <v>2343</v>
      </c>
      <c r="F2020" s="234" t="s">
        <v>268</v>
      </c>
      <c r="G2020" s="253">
        <v>-36.590000000000003</v>
      </c>
      <c r="H2020" s="253">
        <v>-36.590000000000003</v>
      </c>
      <c r="I2020" s="257" t="s">
        <v>84</v>
      </c>
      <c r="J2020" s="198" t="s">
        <v>143</v>
      </c>
      <c r="K2020" s="188"/>
      <c r="L2020" s="197"/>
      <c r="M2020" s="197"/>
      <c r="N2020" s="197"/>
      <c r="O2020" s="197"/>
    </row>
    <row r="2021" spans="1:15">
      <c r="A2021" s="188" t="s">
        <v>137</v>
      </c>
      <c r="B2021" s="188" t="s">
        <v>138</v>
      </c>
      <c r="C2021" s="188" t="s">
        <v>139</v>
      </c>
      <c r="D2021" s="188" t="s">
        <v>2344</v>
      </c>
      <c r="E2021" s="188" t="s">
        <v>2345</v>
      </c>
      <c r="F2021" s="234" t="s">
        <v>268</v>
      </c>
      <c r="G2021" s="253">
        <v>-100</v>
      </c>
      <c r="H2021" s="253">
        <v>-100</v>
      </c>
      <c r="I2021" s="257" t="s">
        <v>84</v>
      </c>
      <c r="J2021" s="198" t="s">
        <v>143</v>
      </c>
      <c r="K2021" s="188"/>
      <c r="L2021" s="197"/>
      <c r="M2021" s="197"/>
      <c r="N2021" s="197"/>
      <c r="O2021" s="197"/>
    </row>
    <row r="2022" spans="1:15">
      <c r="A2022" s="188" t="s">
        <v>137</v>
      </c>
      <c r="B2022" s="188" t="s">
        <v>138</v>
      </c>
      <c r="C2022" s="188" t="s">
        <v>139</v>
      </c>
      <c r="D2022" s="257" t="s">
        <v>2346</v>
      </c>
      <c r="E2022" s="188" t="s">
        <v>2347</v>
      </c>
      <c r="F2022" s="234" t="s">
        <v>268</v>
      </c>
      <c r="G2022" s="253">
        <v>-700</v>
      </c>
      <c r="H2022" s="253">
        <v>-700</v>
      </c>
      <c r="I2022" s="257" t="s">
        <v>84</v>
      </c>
      <c r="J2022" s="198" t="s">
        <v>162</v>
      </c>
      <c r="K2022" s="188"/>
      <c r="L2022" s="197"/>
      <c r="M2022" s="197"/>
      <c r="N2022" s="197"/>
      <c r="O2022" s="197"/>
    </row>
    <row r="2023" spans="1:15">
      <c r="A2023" s="188" t="s">
        <v>137</v>
      </c>
      <c r="B2023" s="188" t="s">
        <v>138</v>
      </c>
      <c r="C2023" s="188" t="s">
        <v>139</v>
      </c>
      <c r="D2023" s="188" t="s">
        <v>2348</v>
      </c>
      <c r="E2023" s="188" t="s">
        <v>2349</v>
      </c>
      <c r="F2023" s="234" t="s">
        <v>268</v>
      </c>
      <c r="G2023" s="253">
        <v>-11.98</v>
      </c>
      <c r="H2023" s="253">
        <v>-11.98</v>
      </c>
      <c r="I2023" s="257" t="s">
        <v>84</v>
      </c>
      <c r="J2023" s="198" t="s">
        <v>164</v>
      </c>
      <c r="K2023" s="188"/>
      <c r="L2023" s="197"/>
      <c r="M2023" s="197"/>
      <c r="N2023" s="197"/>
      <c r="O2023" s="197"/>
    </row>
    <row r="2024" spans="1:15">
      <c r="A2024" s="188" t="s">
        <v>137</v>
      </c>
      <c r="B2024" s="188" t="s">
        <v>138</v>
      </c>
      <c r="C2024" s="188" t="s">
        <v>139</v>
      </c>
      <c r="D2024" s="188" t="s">
        <v>2348</v>
      </c>
      <c r="E2024" s="188" t="s">
        <v>2349</v>
      </c>
      <c r="F2024" s="234" t="s">
        <v>268</v>
      </c>
      <c r="G2024" s="253">
        <v>-11.98</v>
      </c>
      <c r="H2024" s="253">
        <v>-11.98</v>
      </c>
      <c r="I2024" s="257" t="s">
        <v>84</v>
      </c>
      <c r="J2024" s="198" t="s">
        <v>1848</v>
      </c>
      <c r="K2024" s="188"/>
      <c r="L2024" s="197"/>
      <c r="M2024" s="197"/>
      <c r="N2024" s="197"/>
      <c r="O2024" s="197"/>
    </row>
    <row r="2025" spans="1:15">
      <c r="A2025" s="188" t="s">
        <v>137</v>
      </c>
      <c r="B2025" s="188" t="s">
        <v>138</v>
      </c>
      <c r="C2025" s="188" t="s">
        <v>139</v>
      </c>
      <c r="D2025" s="188" t="s">
        <v>151</v>
      </c>
      <c r="E2025" s="188" t="s">
        <v>152</v>
      </c>
      <c r="F2025" s="234" t="s">
        <v>268</v>
      </c>
      <c r="G2025" s="253">
        <v>-1051.8599999999999</v>
      </c>
      <c r="H2025" s="253">
        <v>-1051.8599999999999</v>
      </c>
      <c r="I2025" s="257" t="s">
        <v>84</v>
      </c>
      <c r="J2025" s="198" t="s">
        <v>143</v>
      </c>
      <c r="K2025" s="188"/>
      <c r="L2025" s="197"/>
      <c r="M2025" s="197"/>
      <c r="N2025" s="197"/>
      <c r="O2025" s="197"/>
    </row>
    <row r="2026" spans="1:15">
      <c r="A2026" s="188" t="s">
        <v>137</v>
      </c>
      <c r="B2026" s="188" t="s">
        <v>138</v>
      </c>
      <c r="C2026" s="188" t="s">
        <v>139</v>
      </c>
      <c r="D2026" s="188" t="s">
        <v>151</v>
      </c>
      <c r="E2026" s="188" t="s">
        <v>2350</v>
      </c>
      <c r="F2026" s="234" t="s">
        <v>268</v>
      </c>
      <c r="G2026" s="253">
        <v>-896.19</v>
      </c>
      <c r="H2026" s="253">
        <v>-896.19</v>
      </c>
      <c r="I2026" s="257" t="s">
        <v>84</v>
      </c>
      <c r="J2026" s="198" t="s">
        <v>143</v>
      </c>
      <c r="K2026" s="188"/>
      <c r="L2026" s="197"/>
      <c r="M2026" s="197"/>
      <c r="N2026" s="197"/>
      <c r="O2026" s="197"/>
    </row>
    <row r="2027" spans="1:15">
      <c r="A2027" s="188" t="s">
        <v>137</v>
      </c>
      <c r="B2027" s="188" t="s">
        <v>138</v>
      </c>
      <c r="C2027" s="188" t="s">
        <v>139</v>
      </c>
      <c r="D2027" s="188" t="s">
        <v>160</v>
      </c>
      <c r="E2027" s="188" t="s">
        <v>2351</v>
      </c>
      <c r="F2027" s="234" t="s">
        <v>268</v>
      </c>
      <c r="G2027" s="253">
        <v>-50</v>
      </c>
      <c r="H2027" s="253">
        <v>-50</v>
      </c>
      <c r="I2027" s="257" t="s">
        <v>84</v>
      </c>
      <c r="J2027" s="198" t="s">
        <v>143</v>
      </c>
      <c r="K2027" s="188"/>
      <c r="L2027" s="197"/>
      <c r="M2027" s="197"/>
      <c r="N2027" s="197"/>
      <c r="O2027" s="197"/>
    </row>
    <row r="2028" spans="1:15">
      <c r="A2028" s="188" t="s">
        <v>137</v>
      </c>
      <c r="B2028" s="188" t="s">
        <v>138</v>
      </c>
      <c r="C2028" s="188" t="s">
        <v>139</v>
      </c>
      <c r="D2028" s="188" t="s">
        <v>2352</v>
      </c>
      <c r="E2028" s="188" t="s">
        <v>1683</v>
      </c>
      <c r="F2028" s="234" t="s">
        <v>268</v>
      </c>
      <c r="G2028" s="253">
        <v>-50</v>
      </c>
      <c r="H2028" s="253">
        <v>-50</v>
      </c>
      <c r="I2028" s="257" t="s">
        <v>84</v>
      </c>
      <c r="J2028" s="198" t="s">
        <v>143</v>
      </c>
      <c r="K2028" s="188"/>
      <c r="L2028" s="197"/>
      <c r="M2028" s="197"/>
      <c r="N2028" s="197"/>
      <c r="O2028" s="197"/>
    </row>
    <row r="2029" spans="1:15">
      <c r="A2029" s="188" t="s">
        <v>137</v>
      </c>
      <c r="B2029" s="188" t="s">
        <v>138</v>
      </c>
      <c r="C2029" s="188" t="s">
        <v>139</v>
      </c>
      <c r="D2029" s="188" t="s">
        <v>181</v>
      </c>
      <c r="E2029" s="188" t="s">
        <v>2353</v>
      </c>
      <c r="F2029" s="234" t="s">
        <v>268</v>
      </c>
      <c r="G2029" s="253">
        <v>-120</v>
      </c>
      <c r="H2029" s="253">
        <v>-120</v>
      </c>
      <c r="I2029" s="257" t="s">
        <v>84</v>
      </c>
      <c r="J2029" s="198" t="s">
        <v>143</v>
      </c>
      <c r="K2029" s="188"/>
      <c r="L2029" s="197"/>
      <c r="M2029" s="197"/>
      <c r="N2029" s="197"/>
      <c r="O2029" s="197"/>
    </row>
    <row r="2030" spans="1:15">
      <c r="A2030" s="188" t="s">
        <v>137</v>
      </c>
      <c r="B2030" s="188" t="s">
        <v>138</v>
      </c>
      <c r="C2030" s="188" t="s">
        <v>139</v>
      </c>
      <c r="D2030" s="188" t="s">
        <v>1627</v>
      </c>
      <c r="E2030" s="188" t="s">
        <v>2354</v>
      </c>
      <c r="F2030" s="234" t="s">
        <v>268</v>
      </c>
      <c r="G2030" s="253">
        <v>-70</v>
      </c>
      <c r="H2030" s="253">
        <v>-70</v>
      </c>
      <c r="I2030" s="257" t="s">
        <v>84</v>
      </c>
      <c r="J2030" s="198" t="s">
        <v>164</v>
      </c>
      <c r="K2030" s="188"/>
      <c r="L2030" s="197"/>
      <c r="M2030" s="197"/>
      <c r="N2030" s="197"/>
      <c r="O2030" s="197"/>
    </row>
    <row r="2031" spans="1:15">
      <c r="A2031" s="188" t="s">
        <v>137</v>
      </c>
      <c r="B2031" s="188" t="s">
        <v>138</v>
      </c>
      <c r="C2031" s="188" t="s">
        <v>139</v>
      </c>
      <c r="D2031" s="188" t="s">
        <v>190</v>
      </c>
      <c r="E2031" s="188" t="s">
        <v>2355</v>
      </c>
      <c r="F2031" s="234" t="s">
        <v>268</v>
      </c>
      <c r="G2031" s="253">
        <v>-200</v>
      </c>
      <c r="H2031" s="253">
        <v>-200</v>
      </c>
      <c r="I2031" s="257" t="s">
        <v>84</v>
      </c>
      <c r="J2031" s="198" t="s">
        <v>192</v>
      </c>
      <c r="K2031" s="188"/>
      <c r="L2031" s="197"/>
      <c r="M2031" s="197"/>
      <c r="N2031" s="197"/>
      <c r="O2031" s="197"/>
    </row>
    <row r="2032" spans="1:15">
      <c r="A2032" s="188" t="s">
        <v>137</v>
      </c>
      <c r="B2032" s="188" t="s">
        <v>138</v>
      </c>
      <c r="C2032" s="188" t="s">
        <v>139</v>
      </c>
      <c r="D2032" s="188" t="s">
        <v>201</v>
      </c>
      <c r="E2032" s="188" t="s">
        <v>2356</v>
      </c>
      <c r="F2032" s="234" t="s">
        <v>268</v>
      </c>
      <c r="G2032" s="253">
        <v>-39.85</v>
      </c>
      <c r="H2032" s="253">
        <v>-39.85</v>
      </c>
      <c r="I2032" s="257" t="s">
        <v>84</v>
      </c>
      <c r="J2032" s="198" t="s">
        <v>143</v>
      </c>
      <c r="K2032" s="188"/>
      <c r="L2032" s="197"/>
      <c r="M2032" s="197"/>
      <c r="N2032" s="197"/>
      <c r="O2032" s="197"/>
    </row>
    <row r="2033" spans="1:15">
      <c r="A2033" s="188" t="s">
        <v>137</v>
      </c>
      <c r="B2033" s="188" t="s">
        <v>138</v>
      </c>
      <c r="C2033" s="188" t="s">
        <v>139</v>
      </c>
      <c r="D2033" s="188" t="s">
        <v>201</v>
      </c>
      <c r="E2033" s="188" t="s">
        <v>2357</v>
      </c>
      <c r="F2033" s="234" t="s">
        <v>268</v>
      </c>
      <c r="G2033" s="253">
        <v>-24.93</v>
      </c>
      <c r="H2033" s="253">
        <v>-24.93</v>
      </c>
      <c r="I2033" s="257" t="s">
        <v>84</v>
      </c>
      <c r="J2033" s="198" t="s">
        <v>143</v>
      </c>
      <c r="K2033" s="188"/>
      <c r="L2033" s="197"/>
      <c r="M2033" s="197"/>
      <c r="N2033" s="197"/>
      <c r="O2033" s="197"/>
    </row>
    <row r="2034" spans="1:15">
      <c r="A2034" s="188" t="s">
        <v>137</v>
      </c>
      <c r="B2034" s="188" t="s">
        <v>138</v>
      </c>
      <c r="C2034" s="188" t="s">
        <v>84</v>
      </c>
      <c r="D2034" s="188" t="s">
        <v>1648</v>
      </c>
      <c r="E2034" s="188" t="s">
        <v>2358</v>
      </c>
      <c r="F2034" s="234" t="s">
        <v>268</v>
      </c>
      <c r="G2034" s="253">
        <v>-200</v>
      </c>
      <c r="H2034" s="253">
        <v>-200</v>
      </c>
      <c r="I2034" s="257" t="s">
        <v>84</v>
      </c>
      <c r="J2034" s="198" t="s">
        <v>143</v>
      </c>
      <c r="K2034" s="188"/>
      <c r="L2034" s="197"/>
      <c r="M2034" s="197"/>
      <c r="N2034" s="197"/>
      <c r="O2034" s="197"/>
    </row>
    <row r="2035" spans="1:15">
      <c r="A2035" s="188" t="s">
        <v>137</v>
      </c>
      <c r="B2035" s="188" t="s">
        <v>138</v>
      </c>
      <c r="C2035" s="188" t="s">
        <v>84</v>
      </c>
      <c r="D2035" s="188" t="s">
        <v>1648</v>
      </c>
      <c r="E2035" s="188" t="s">
        <v>2359</v>
      </c>
      <c r="F2035" s="234" t="s">
        <v>268</v>
      </c>
      <c r="G2035" s="253">
        <v>-15</v>
      </c>
      <c r="H2035" s="253">
        <v>-15</v>
      </c>
      <c r="I2035" s="257" t="s">
        <v>84</v>
      </c>
      <c r="J2035" s="198" t="s">
        <v>143</v>
      </c>
      <c r="K2035" s="188"/>
      <c r="L2035" s="197"/>
      <c r="M2035" s="197"/>
      <c r="N2035" s="197"/>
      <c r="O2035" s="197"/>
    </row>
    <row r="2036" spans="1:15">
      <c r="A2036" s="188" t="s">
        <v>137</v>
      </c>
      <c r="B2036" s="188" t="s">
        <v>138</v>
      </c>
      <c r="C2036" s="188" t="s">
        <v>84</v>
      </c>
      <c r="D2036" s="188" t="s">
        <v>1648</v>
      </c>
      <c r="E2036" s="188" t="s">
        <v>2360</v>
      </c>
      <c r="F2036" s="234" t="s">
        <v>268</v>
      </c>
      <c r="G2036" s="253">
        <v>-13.5</v>
      </c>
      <c r="H2036" s="253">
        <v>-13.5</v>
      </c>
      <c r="I2036" s="257" t="s">
        <v>84</v>
      </c>
      <c r="J2036" s="198" t="s">
        <v>143</v>
      </c>
      <c r="K2036" s="188"/>
      <c r="L2036" s="197"/>
      <c r="M2036" s="197"/>
      <c r="N2036" s="197"/>
      <c r="O2036" s="197"/>
    </row>
    <row r="2037" spans="1:15">
      <c r="A2037" s="188" t="s">
        <v>137</v>
      </c>
      <c r="B2037" s="188" t="s">
        <v>138</v>
      </c>
      <c r="C2037" s="188" t="s">
        <v>84</v>
      </c>
      <c r="D2037" s="188" t="s">
        <v>2361</v>
      </c>
      <c r="E2037" s="188" t="s">
        <v>2362</v>
      </c>
      <c r="F2037" s="234" t="s">
        <v>268</v>
      </c>
      <c r="G2037" s="253">
        <v>-118.53</v>
      </c>
      <c r="H2037" s="253">
        <v>-118.53</v>
      </c>
      <c r="I2037" s="257" t="s">
        <v>84</v>
      </c>
      <c r="J2037" s="198" t="s">
        <v>143</v>
      </c>
      <c r="K2037" s="188"/>
      <c r="L2037" s="197"/>
      <c r="M2037" s="197"/>
      <c r="N2037" s="197"/>
      <c r="O2037" s="197"/>
    </row>
    <row r="2038" spans="1:15">
      <c r="A2038" s="188" t="s">
        <v>209</v>
      </c>
      <c r="B2038" s="188" t="s">
        <v>138</v>
      </c>
      <c r="C2038" s="188" t="s">
        <v>84</v>
      </c>
      <c r="D2038" s="188" t="s">
        <v>176</v>
      </c>
      <c r="E2038" s="188" t="s">
        <v>2363</v>
      </c>
      <c r="F2038" s="234" t="s">
        <v>268</v>
      </c>
      <c r="G2038" s="253">
        <v>-19.98</v>
      </c>
      <c r="H2038" s="253">
        <v>-19.98</v>
      </c>
      <c r="I2038" s="257" t="s">
        <v>84</v>
      </c>
      <c r="J2038" s="198" t="s">
        <v>164</v>
      </c>
      <c r="K2038" s="188"/>
      <c r="L2038" s="197"/>
      <c r="M2038" s="197"/>
      <c r="N2038" s="197"/>
      <c r="O2038" s="197"/>
    </row>
    <row r="2039" spans="1:15">
      <c r="A2039" s="274" t="s">
        <v>137</v>
      </c>
      <c r="B2039" s="227" t="s">
        <v>138</v>
      </c>
      <c r="C2039" s="274" t="s">
        <v>84</v>
      </c>
      <c r="D2039" s="274" t="s">
        <v>2364</v>
      </c>
      <c r="E2039" s="274" t="s">
        <v>2365</v>
      </c>
      <c r="F2039" s="257" t="s">
        <v>268</v>
      </c>
      <c r="G2039" s="321">
        <v>-135.91999999999999</v>
      </c>
      <c r="H2039" s="322">
        <v>-135.91999999999999</v>
      </c>
      <c r="I2039" s="228" t="s">
        <v>84</v>
      </c>
      <c r="J2039" s="228" t="s">
        <v>143</v>
      </c>
      <c r="K2039" s="274" t="s">
        <v>2366</v>
      </c>
      <c r="L2039" s="197"/>
      <c r="M2039" s="197"/>
      <c r="N2039" s="197"/>
      <c r="O2039" s="197"/>
    </row>
    <row r="2040" spans="1:15">
      <c r="A2040" s="188" t="s">
        <v>137</v>
      </c>
      <c r="B2040" s="188" t="s">
        <v>138</v>
      </c>
      <c r="C2040" s="188" t="s">
        <v>84</v>
      </c>
      <c r="D2040" s="188" t="s">
        <v>431</v>
      </c>
      <c r="E2040" s="188" t="s">
        <v>2367</v>
      </c>
      <c r="F2040" s="234" t="s">
        <v>268</v>
      </c>
      <c r="G2040" s="253">
        <v>-184</v>
      </c>
      <c r="H2040" s="253">
        <v>-184</v>
      </c>
      <c r="I2040" s="257" t="s">
        <v>84</v>
      </c>
      <c r="J2040" s="198" t="s">
        <v>277</v>
      </c>
      <c r="K2040" s="188"/>
      <c r="L2040" s="197"/>
      <c r="M2040" s="197"/>
      <c r="N2040" s="197"/>
      <c r="O2040" s="197"/>
    </row>
    <row r="2041" spans="1:15">
      <c r="A2041" s="188" t="s">
        <v>137</v>
      </c>
      <c r="B2041" s="188" t="s">
        <v>138</v>
      </c>
      <c r="C2041" s="188" t="s">
        <v>84</v>
      </c>
      <c r="D2041" s="188" t="s">
        <v>2368</v>
      </c>
      <c r="E2041" s="188" t="s">
        <v>2369</v>
      </c>
      <c r="F2041" s="234" t="s">
        <v>268</v>
      </c>
      <c r="G2041" s="253">
        <v>-1032.7</v>
      </c>
      <c r="H2041" s="253">
        <v>-1032.7</v>
      </c>
      <c r="I2041" s="257" t="s">
        <v>84</v>
      </c>
      <c r="J2041" s="198" t="s">
        <v>143</v>
      </c>
      <c r="K2041" s="188"/>
      <c r="L2041" s="197"/>
      <c r="M2041" s="197"/>
      <c r="N2041" s="197"/>
      <c r="O2041" s="197"/>
    </row>
    <row r="2042" spans="1:15">
      <c r="A2042" s="188" t="s">
        <v>137</v>
      </c>
      <c r="B2042" s="188" t="s">
        <v>138</v>
      </c>
      <c r="C2042" s="188" t="s">
        <v>84</v>
      </c>
      <c r="D2042" s="188" t="s">
        <v>2370</v>
      </c>
      <c r="E2042" s="188" t="s">
        <v>2371</v>
      </c>
      <c r="F2042" s="234" t="s">
        <v>268</v>
      </c>
      <c r="G2042" s="253">
        <v>-373.1</v>
      </c>
      <c r="H2042" s="253">
        <v>-373.1</v>
      </c>
      <c r="I2042" s="257" t="s">
        <v>84</v>
      </c>
      <c r="J2042" s="198" t="s">
        <v>143</v>
      </c>
      <c r="K2042" s="188"/>
      <c r="L2042" s="197"/>
      <c r="M2042" s="197"/>
      <c r="N2042" s="197"/>
      <c r="O2042" s="197"/>
    </row>
    <row r="2043" spans="1:15">
      <c r="A2043" s="188" t="s">
        <v>232</v>
      </c>
      <c r="B2043" s="188" t="s">
        <v>138</v>
      </c>
      <c r="C2043" s="188" t="s">
        <v>94</v>
      </c>
      <c r="D2043" s="188" t="s">
        <v>233</v>
      </c>
      <c r="E2043" s="188" t="s">
        <v>2372</v>
      </c>
      <c r="F2043" s="234" t="s">
        <v>268</v>
      </c>
      <c r="G2043" s="253">
        <v>-1621</v>
      </c>
      <c r="H2043" s="253">
        <v>-1621</v>
      </c>
      <c r="I2043" s="257" t="s">
        <v>94</v>
      </c>
      <c r="J2043" s="198" t="s">
        <v>277</v>
      </c>
      <c r="K2043" s="188"/>
      <c r="L2043" s="197"/>
      <c r="M2043" s="197"/>
      <c r="N2043" s="197"/>
      <c r="O2043" s="197"/>
    </row>
    <row r="2044" spans="1:15">
      <c r="A2044" s="188" t="s">
        <v>137</v>
      </c>
      <c r="B2044" s="188" t="s">
        <v>138</v>
      </c>
      <c r="C2044" s="188" t="s">
        <v>94</v>
      </c>
      <c r="D2044" s="188" t="s">
        <v>238</v>
      </c>
      <c r="E2044" s="188" t="s">
        <v>2373</v>
      </c>
      <c r="F2044" s="234" t="s">
        <v>268</v>
      </c>
      <c r="G2044" s="253">
        <v>-5664.66</v>
      </c>
      <c r="H2044" s="253">
        <v>-5664.66</v>
      </c>
      <c r="I2044" s="257" t="s">
        <v>94</v>
      </c>
      <c r="J2044" s="198" t="s">
        <v>277</v>
      </c>
      <c r="K2044" s="188"/>
      <c r="L2044" s="197"/>
      <c r="M2044" s="197"/>
      <c r="N2044" s="197"/>
      <c r="O2044" s="197"/>
    </row>
    <row r="2045" spans="1:15" hidden="1">
      <c r="A2045" s="188" t="s">
        <v>243</v>
      </c>
      <c r="B2045" s="188" t="s">
        <v>138</v>
      </c>
      <c r="C2045" s="188" t="s">
        <v>106</v>
      </c>
      <c r="D2045" s="188" t="s">
        <v>492</v>
      </c>
      <c r="E2045" s="234" t="s">
        <v>1513</v>
      </c>
      <c r="F2045" s="234" t="s">
        <v>142</v>
      </c>
      <c r="G2045" s="252">
        <v>-81.400000000000006</v>
      </c>
      <c r="H2045" s="253">
        <v>-81.400000000000006</v>
      </c>
      <c r="I2045" s="198" t="s">
        <v>106</v>
      </c>
      <c r="J2045" s="198" t="s">
        <v>164</v>
      </c>
      <c r="K2045" s="188"/>
      <c r="L2045" s="197"/>
      <c r="M2045" s="197"/>
      <c r="N2045" s="197"/>
      <c r="O2045" s="197"/>
    </row>
    <row r="2046" spans="1:15">
      <c r="A2046" s="188" t="s">
        <v>232</v>
      </c>
      <c r="B2046" s="188" t="s">
        <v>138</v>
      </c>
      <c r="C2046" s="188" t="s">
        <v>88</v>
      </c>
      <c r="D2046" s="188" t="s">
        <v>247</v>
      </c>
      <c r="E2046" s="188" t="s">
        <v>2374</v>
      </c>
      <c r="F2046" s="234" t="s">
        <v>268</v>
      </c>
      <c r="G2046" s="253">
        <v>-276.68</v>
      </c>
      <c r="H2046" s="253">
        <v>-276.68</v>
      </c>
      <c r="I2046" s="257" t="s">
        <v>88</v>
      </c>
      <c r="J2046" s="198" t="s">
        <v>277</v>
      </c>
      <c r="K2046" s="188"/>
      <c r="L2046" s="197"/>
      <c r="M2046" s="197"/>
      <c r="N2046" s="197"/>
      <c r="O2046" s="197"/>
    </row>
    <row r="2047" spans="1:15">
      <c r="A2047" s="188" t="s">
        <v>137</v>
      </c>
      <c r="B2047" s="188" t="s">
        <v>138</v>
      </c>
      <c r="C2047" s="188" t="s">
        <v>88</v>
      </c>
      <c r="D2047" s="188" t="s">
        <v>252</v>
      </c>
      <c r="E2047" s="188" t="s">
        <v>2375</v>
      </c>
      <c r="F2047" s="234" t="s">
        <v>268</v>
      </c>
      <c r="G2047" s="253">
        <v>-16000</v>
      </c>
      <c r="H2047" s="253">
        <v>-16000</v>
      </c>
      <c r="I2047" s="257" t="s">
        <v>88</v>
      </c>
      <c r="J2047" s="198" t="s">
        <v>277</v>
      </c>
      <c r="K2047" s="188"/>
      <c r="L2047" s="197"/>
      <c r="M2047" s="197"/>
      <c r="N2047" s="197"/>
      <c r="O2047" s="197"/>
    </row>
    <row r="2048" spans="1:15" ht="51" hidden="1">
      <c r="A2048" s="188" t="s">
        <v>243</v>
      </c>
      <c r="B2048" s="188" t="s">
        <v>138</v>
      </c>
      <c r="C2048" s="188" t="s">
        <v>106</v>
      </c>
      <c r="D2048" s="188" t="s">
        <v>492</v>
      </c>
      <c r="E2048" s="234" t="s">
        <v>2376</v>
      </c>
      <c r="F2048" s="234" t="s">
        <v>146</v>
      </c>
      <c r="G2048" s="252">
        <v>-1.99</v>
      </c>
      <c r="H2048" s="253">
        <v>-1.99</v>
      </c>
      <c r="I2048" s="188" t="s">
        <v>106</v>
      </c>
      <c r="J2048" s="198" t="s">
        <v>164</v>
      </c>
      <c r="K2048" s="188"/>
      <c r="L2048" s="197"/>
      <c r="M2048" s="197"/>
      <c r="N2048" s="197"/>
      <c r="O2048" s="197"/>
    </row>
    <row r="2049" spans="1:15">
      <c r="A2049" s="188" t="s">
        <v>137</v>
      </c>
      <c r="B2049" s="188" t="s">
        <v>138</v>
      </c>
      <c r="C2049" s="188" t="s">
        <v>271</v>
      </c>
      <c r="D2049" s="188" t="s">
        <v>272</v>
      </c>
      <c r="E2049" s="188" t="s">
        <v>2377</v>
      </c>
      <c r="F2049" s="234" t="s">
        <v>268</v>
      </c>
      <c r="G2049" s="253">
        <v>-2000</v>
      </c>
      <c r="H2049" s="253">
        <v>-2000</v>
      </c>
      <c r="I2049" s="257" t="s">
        <v>101</v>
      </c>
      <c r="J2049" s="198" t="s">
        <v>277</v>
      </c>
      <c r="K2049" s="188"/>
      <c r="L2049" s="197"/>
      <c r="M2049" s="197"/>
      <c r="N2049" s="197"/>
      <c r="O2049" s="197"/>
    </row>
    <row r="2050" spans="1:15">
      <c r="A2050" s="188" t="s">
        <v>137</v>
      </c>
      <c r="B2050" s="188" t="s">
        <v>138</v>
      </c>
      <c r="C2050" s="188" t="s">
        <v>271</v>
      </c>
      <c r="D2050" s="188" t="s">
        <v>272</v>
      </c>
      <c r="E2050" s="188" t="s">
        <v>2378</v>
      </c>
      <c r="F2050" s="234" t="s">
        <v>268</v>
      </c>
      <c r="G2050" s="253">
        <v>-400</v>
      </c>
      <c r="H2050" s="253">
        <v>-400</v>
      </c>
      <c r="I2050" s="257" t="s">
        <v>101</v>
      </c>
      <c r="J2050" s="198" t="s">
        <v>277</v>
      </c>
      <c r="K2050" s="188"/>
      <c r="L2050" s="197"/>
      <c r="M2050" s="197"/>
      <c r="N2050" s="197"/>
      <c r="O2050" s="197"/>
    </row>
    <row r="2051" spans="1:15">
      <c r="A2051" s="188" t="s">
        <v>137</v>
      </c>
      <c r="B2051" s="188" t="s">
        <v>138</v>
      </c>
      <c r="C2051" s="188" t="s">
        <v>271</v>
      </c>
      <c r="D2051" s="188" t="s">
        <v>278</v>
      </c>
      <c r="E2051" s="188" t="s">
        <v>2379</v>
      </c>
      <c r="F2051" s="234" t="s">
        <v>268</v>
      </c>
      <c r="G2051" s="253">
        <v>-694</v>
      </c>
      <c r="H2051" s="253">
        <v>-694</v>
      </c>
      <c r="I2051" s="257" t="s">
        <v>101</v>
      </c>
      <c r="J2051" s="198" t="s">
        <v>277</v>
      </c>
      <c r="K2051" s="188"/>
      <c r="L2051" s="197"/>
      <c r="M2051" s="197"/>
      <c r="N2051" s="197"/>
      <c r="O2051" s="197"/>
    </row>
    <row r="2052" spans="1:15">
      <c r="A2052" s="188" t="s">
        <v>137</v>
      </c>
      <c r="B2052" s="188" t="s">
        <v>138</v>
      </c>
      <c r="C2052" s="188" t="s">
        <v>287</v>
      </c>
      <c r="D2052" s="188" t="s">
        <v>2380</v>
      </c>
      <c r="E2052" s="188" t="s">
        <v>2381</v>
      </c>
      <c r="F2052" s="234" t="s">
        <v>268</v>
      </c>
      <c r="G2052" s="253">
        <v>-168</v>
      </c>
      <c r="H2052" s="253">
        <v>-168</v>
      </c>
      <c r="I2052" s="257" t="s">
        <v>290</v>
      </c>
      <c r="J2052" s="198" t="s">
        <v>246</v>
      </c>
      <c r="K2052" s="188"/>
      <c r="L2052" s="197"/>
      <c r="M2052" s="197"/>
      <c r="N2052" s="197"/>
      <c r="O2052" s="197"/>
    </row>
    <row r="2053" spans="1:15">
      <c r="A2053" s="274" t="s">
        <v>137</v>
      </c>
      <c r="B2053" s="227" t="s">
        <v>138</v>
      </c>
      <c r="C2053" s="274" t="s">
        <v>308</v>
      </c>
      <c r="D2053" s="274" t="s">
        <v>521</v>
      </c>
      <c r="E2053" s="274" t="s">
        <v>2382</v>
      </c>
      <c r="F2053" s="257" t="s">
        <v>268</v>
      </c>
      <c r="G2053" s="321">
        <v>-27.65</v>
      </c>
      <c r="H2053" s="322">
        <v>-27.65</v>
      </c>
      <c r="I2053" s="228" t="s">
        <v>290</v>
      </c>
      <c r="J2053" s="228" t="s">
        <v>206</v>
      </c>
      <c r="K2053" s="274" t="s">
        <v>2366</v>
      </c>
      <c r="L2053" s="197"/>
      <c r="M2053" s="197"/>
      <c r="N2053" s="197"/>
      <c r="O2053" s="197"/>
    </row>
    <row r="2054" spans="1:15">
      <c r="A2054" s="188" t="s">
        <v>232</v>
      </c>
      <c r="B2054" s="188" t="s">
        <v>138</v>
      </c>
      <c r="C2054" s="188" t="s">
        <v>313</v>
      </c>
      <c r="D2054" s="188" t="s">
        <v>333</v>
      </c>
      <c r="E2054" s="188" t="s">
        <v>2383</v>
      </c>
      <c r="F2054" s="234" t="s">
        <v>268</v>
      </c>
      <c r="G2054" s="253">
        <v>-26.5</v>
      </c>
      <c r="H2054" s="253">
        <v>-26.5</v>
      </c>
      <c r="I2054" s="257" t="s">
        <v>61</v>
      </c>
      <c r="J2054" s="189" t="s">
        <v>316</v>
      </c>
      <c r="K2054" s="188"/>
      <c r="L2054" s="197"/>
      <c r="M2054" s="197"/>
      <c r="N2054" s="197"/>
      <c r="O2054" s="197"/>
    </row>
    <row r="2055" spans="1:15">
      <c r="A2055" s="188" t="s">
        <v>209</v>
      </c>
      <c r="B2055" s="188" t="s">
        <v>138</v>
      </c>
      <c r="C2055" s="188" t="s">
        <v>2057</v>
      </c>
      <c r="D2055" s="188" t="s">
        <v>2058</v>
      </c>
      <c r="E2055" s="188" t="s">
        <v>2384</v>
      </c>
      <c r="F2055" s="234" t="s">
        <v>268</v>
      </c>
      <c r="G2055" s="253">
        <v>-456.78</v>
      </c>
      <c r="H2055" s="253">
        <v>-456.78</v>
      </c>
      <c r="I2055" s="257" t="s">
        <v>2385</v>
      </c>
      <c r="J2055" s="198" t="s">
        <v>2060</v>
      </c>
      <c r="K2055" s="188"/>
      <c r="L2055" s="197"/>
      <c r="M2055" s="197"/>
      <c r="N2055" s="197"/>
      <c r="O2055" s="197"/>
    </row>
    <row r="2056" spans="1:15">
      <c r="A2056" s="188" t="s">
        <v>209</v>
      </c>
      <c r="B2056" s="188" t="s">
        <v>138</v>
      </c>
      <c r="C2056" s="188" t="s">
        <v>2057</v>
      </c>
      <c r="D2056" s="188" t="s">
        <v>2058</v>
      </c>
      <c r="E2056" s="188" t="s">
        <v>2386</v>
      </c>
      <c r="F2056" s="234" t="s">
        <v>268</v>
      </c>
      <c r="G2056" s="253">
        <v>-166.12</v>
      </c>
      <c r="H2056" s="253">
        <v>-166.12</v>
      </c>
      <c r="I2056" s="257" t="s">
        <v>2385</v>
      </c>
      <c r="J2056" s="198" t="s">
        <v>2060</v>
      </c>
      <c r="K2056" s="188"/>
      <c r="L2056" s="197"/>
      <c r="M2056" s="197"/>
      <c r="N2056" s="197"/>
      <c r="O2056" s="197"/>
    </row>
    <row r="2057" spans="1:15">
      <c r="A2057" s="188" t="s">
        <v>209</v>
      </c>
      <c r="B2057" s="188" t="s">
        <v>138</v>
      </c>
      <c r="C2057" s="188" t="s">
        <v>2057</v>
      </c>
      <c r="D2057" s="188" t="s">
        <v>2058</v>
      </c>
      <c r="E2057" s="188" t="s">
        <v>2387</v>
      </c>
      <c r="F2057" s="234" t="s">
        <v>268</v>
      </c>
      <c r="G2057" s="253">
        <v>-119.12</v>
      </c>
      <c r="H2057" s="253">
        <v>-119.12</v>
      </c>
      <c r="I2057" s="257" t="s">
        <v>2385</v>
      </c>
      <c r="J2057" s="198" t="s">
        <v>2060</v>
      </c>
      <c r="K2057" s="188"/>
      <c r="L2057" s="197"/>
      <c r="M2057" s="197"/>
      <c r="N2057" s="197"/>
      <c r="O2057" s="197"/>
    </row>
    <row r="2058" spans="1:15">
      <c r="A2058" s="188" t="s">
        <v>209</v>
      </c>
      <c r="B2058" s="188" t="s">
        <v>138</v>
      </c>
      <c r="C2058" s="188" t="s">
        <v>2057</v>
      </c>
      <c r="D2058" s="188" t="s">
        <v>2058</v>
      </c>
      <c r="E2058" s="188" t="s">
        <v>2388</v>
      </c>
      <c r="F2058" s="234" t="s">
        <v>268</v>
      </c>
      <c r="G2058" s="253">
        <v>-82</v>
      </c>
      <c r="H2058" s="253">
        <v>-82</v>
      </c>
      <c r="I2058" s="257" t="s">
        <v>2385</v>
      </c>
      <c r="J2058" s="198" t="s">
        <v>2060</v>
      </c>
      <c r="K2058" s="188"/>
      <c r="L2058" s="197"/>
      <c r="M2058" s="197"/>
      <c r="N2058" s="197"/>
      <c r="O2058" s="197"/>
    </row>
    <row r="2059" spans="1:15">
      <c r="A2059" s="188" t="s">
        <v>209</v>
      </c>
      <c r="B2059" s="188" t="s">
        <v>138</v>
      </c>
      <c r="C2059" s="188" t="s">
        <v>2057</v>
      </c>
      <c r="D2059" s="188" t="s">
        <v>2389</v>
      </c>
      <c r="E2059" s="188" t="s">
        <v>2390</v>
      </c>
      <c r="F2059" s="234" t="s">
        <v>268</v>
      </c>
      <c r="G2059" s="253">
        <v>-500</v>
      </c>
      <c r="H2059" s="253">
        <v>-500</v>
      </c>
      <c r="I2059" s="257" t="s">
        <v>2385</v>
      </c>
      <c r="J2059" s="198" t="s">
        <v>2060</v>
      </c>
      <c r="K2059" s="188"/>
      <c r="L2059" s="197"/>
      <c r="M2059" s="197"/>
      <c r="N2059" s="197"/>
      <c r="O2059" s="197"/>
    </row>
    <row r="2060" spans="1:15">
      <c r="A2060" s="188" t="s">
        <v>209</v>
      </c>
      <c r="B2060" s="188" t="s">
        <v>138</v>
      </c>
      <c r="C2060" s="188" t="s">
        <v>2057</v>
      </c>
      <c r="D2060" s="188" t="s">
        <v>2389</v>
      </c>
      <c r="E2060" s="188" t="s">
        <v>2391</v>
      </c>
      <c r="F2060" s="234" t="s">
        <v>268</v>
      </c>
      <c r="G2060" s="253">
        <v>-405</v>
      </c>
      <c r="H2060" s="253">
        <v>-404.25</v>
      </c>
      <c r="I2060" s="257" t="s">
        <v>2385</v>
      </c>
      <c r="J2060" s="198" t="s">
        <v>2060</v>
      </c>
      <c r="K2060" s="188"/>
      <c r="L2060" s="197"/>
      <c r="M2060" s="197"/>
      <c r="N2060" s="197"/>
      <c r="O2060" s="197"/>
    </row>
    <row r="2061" spans="1:15">
      <c r="A2061" s="188" t="s">
        <v>209</v>
      </c>
      <c r="B2061" s="188" t="s">
        <v>138</v>
      </c>
      <c r="C2061" s="188" t="s">
        <v>2057</v>
      </c>
      <c r="D2061" s="188" t="s">
        <v>2389</v>
      </c>
      <c r="E2061" s="188" t="s">
        <v>2392</v>
      </c>
      <c r="F2061" s="234" t="s">
        <v>268</v>
      </c>
      <c r="G2061" s="253">
        <v>-400</v>
      </c>
      <c r="H2061" s="253">
        <v>-400</v>
      </c>
      <c r="I2061" s="257" t="s">
        <v>2385</v>
      </c>
      <c r="J2061" s="198" t="s">
        <v>2060</v>
      </c>
      <c r="K2061" s="188"/>
      <c r="L2061" s="197"/>
      <c r="M2061" s="197"/>
      <c r="N2061" s="197"/>
      <c r="O2061" s="197"/>
    </row>
    <row r="2062" spans="1:15">
      <c r="A2062" s="188" t="s">
        <v>137</v>
      </c>
      <c r="B2062" s="188" t="s">
        <v>138</v>
      </c>
      <c r="C2062" s="188" t="s">
        <v>2057</v>
      </c>
      <c r="D2062" s="188" t="s">
        <v>201</v>
      </c>
      <c r="E2062" s="188" t="s">
        <v>2393</v>
      </c>
      <c r="F2062" s="234" t="s">
        <v>268</v>
      </c>
      <c r="G2062" s="253">
        <v>-325.92</v>
      </c>
      <c r="H2062" s="253">
        <v>-325.92</v>
      </c>
      <c r="I2062" s="257" t="s">
        <v>2385</v>
      </c>
      <c r="J2062" s="198" t="s">
        <v>2060</v>
      </c>
      <c r="K2062" s="188" t="s">
        <v>128</v>
      </c>
      <c r="L2062" s="197"/>
      <c r="M2062" s="197"/>
      <c r="N2062" s="197"/>
      <c r="O2062" s="197"/>
    </row>
    <row r="2063" spans="1:15">
      <c r="A2063" s="188" t="s">
        <v>137</v>
      </c>
      <c r="B2063" s="188" t="s">
        <v>138</v>
      </c>
      <c r="C2063" s="188" t="s">
        <v>2057</v>
      </c>
      <c r="D2063" s="188" t="s">
        <v>201</v>
      </c>
      <c r="E2063" s="188" t="s">
        <v>2394</v>
      </c>
      <c r="F2063" s="234" t="s">
        <v>268</v>
      </c>
      <c r="G2063" s="253">
        <v>-218.85</v>
      </c>
      <c r="H2063" s="253">
        <v>-218.85</v>
      </c>
      <c r="I2063" s="257" t="s">
        <v>2385</v>
      </c>
      <c r="J2063" s="198" t="s">
        <v>2060</v>
      </c>
      <c r="K2063" s="188"/>
      <c r="L2063" s="197"/>
      <c r="M2063" s="197"/>
      <c r="N2063" s="197"/>
      <c r="O2063" s="197"/>
    </row>
    <row r="2064" spans="1:15" hidden="1">
      <c r="A2064" s="188" t="s">
        <v>137</v>
      </c>
      <c r="B2064" s="188" t="s">
        <v>138</v>
      </c>
      <c r="C2064" s="188" t="s">
        <v>349</v>
      </c>
      <c r="D2064" s="188" t="s">
        <v>362</v>
      </c>
      <c r="E2064" s="188" t="s">
        <v>2395</v>
      </c>
      <c r="F2064" s="234" t="s">
        <v>265</v>
      </c>
      <c r="G2064" s="253">
        <v>-1666.37</v>
      </c>
      <c r="H2064" s="253">
        <v>-1666.37</v>
      </c>
      <c r="I2064" s="257" t="s">
        <v>100</v>
      </c>
      <c r="J2064" s="198" t="s">
        <v>277</v>
      </c>
      <c r="K2064" s="188"/>
      <c r="L2064" s="197"/>
      <c r="M2064" s="197"/>
      <c r="N2064" s="197"/>
      <c r="O2064" s="197"/>
    </row>
    <row r="2065" spans="1:15" hidden="1">
      <c r="A2065" s="188" t="s">
        <v>137</v>
      </c>
      <c r="B2065" s="188" t="s">
        <v>138</v>
      </c>
      <c r="C2065" s="188" t="s">
        <v>349</v>
      </c>
      <c r="D2065" s="188" t="s">
        <v>362</v>
      </c>
      <c r="E2065" s="188" t="s">
        <v>2396</v>
      </c>
      <c r="F2065" s="234" t="s">
        <v>265</v>
      </c>
      <c r="G2065" s="253">
        <v>-1270</v>
      </c>
      <c r="H2065" s="253">
        <v>-1270</v>
      </c>
      <c r="I2065" s="257" t="s">
        <v>100</v>
      </c>
      <c r="J2065" s="198" t="s">
        <v>277</v>
      </c>
      <c r="K2065" s="188"/>
      <c r="L2065" s="197"/>
      <c r="M2065" s="197"/>
      <c r="N2065" s="197"/>
      <c r="O2065" s="197"/>
    </row>
    <row r="2066" spans="1:15" hidden="1">
      <c r="A2066" s="188" t="s">
        <v>137</v>
      </c>
      <c r="B2066" s="188" t="s">
        <v>138</v>
      </c>
      <c r="C2066" s="188" t="s">
        <v>349</v>
      </c>
      <c r="D2066" s="188" t="s">
        <v>362</v>
      </c>
      <c r="E2066" s="188" t="s">
        <v>2397</v>
      </c>
      <c r="F2066" s="234" t="s">
        <v>265</v>
      </c>
      <c r="G2066" s="253">
        <v>-567.79999999999995</v>
      </c>
      <c r="H2066" s="253">
        <v>-567.79999999999995</v>
      </c>
      <c r="I2066" s="257" t="s">
        <v>100</v>
      </c>
      <c r="J2066" s="198" t="s">
        <v>277</v>
      </c>
      <c r="K2066" s="188"/>
      <c r="L2066" s="197"/>
      <c r="M2066" s="197"/>
      <c r="N2066" s="197"/>
      <c r="O2066" s="197"/>
    </row>
    <row r="2067" spans="1:15" hidden="1">
      <c r="A2067" s="188" t="s">
        <v>137</v>
      </c>
      <c r="B2067" s="188" t="s">
        <v>138</v>
      </c>
      <c r="C2067" s="188" t="s">
        <v>349</v>
      </c>
      <c r="D2067" s="188" t="s">
        <v>362</v>
      </c>
      <c r="E2067" s="188" t="s">
        <v>2398</v>
      </c>
      <c r="F2067" s="234" t="s">
        <v>265</v>
      </c>
      <c r="G2067" s="253">
        <v>-567.79999999999995</v>
      </c>
      <c r="H2067" s="253">
        <v>-567.79999999999995</v>
      </c>
      <c r="I2067" s="257" t="s">
        <v>100</v>
      </c>
      <c r="J2067" s="198" t="s">
        <v>277</v>
      </c>
      <c r="K2067" s="188"/>
      <c r="L2067" s="197"/>
      <c r="M2067" s="197"/>
      <c r="N2067" s="197"/>
      <c r="O2067" s="197"/>
    </row>
    <row r="2068" spans="1:15" hidden="1">
      <c r="A2068" s="188" t="s">
        <v>137</v>
      </c>
      <c r="B2068" s="188" t="s">
        <v>138</v>
      </c>
      <c r="C2068" s="188" t="s">
        <v>349</v>
      </c>
      <c r="D2068" s="188" t="s">
        <v>362</v>
      </c>
      <c r="E2068" s="188" t="s">
        <v>2399</v>
      </c>
      <c r="F2068" s="234" t="s">
        <v>265</v>
      </c>
      <c r="G2068" s="253">
        <v>-14</v>
      </c>
      <c r="H2068" s="253">
        <v>-14</v>
      </c>
      <c r="I2068" s="257" t="s">
        <v>100</v>
      </c>
      <c r="J2068" s="198" t="s">
        <v>277</v>
      </c>
      <c r="K2068" s="188"/>
      <c r="L2068" s="197"/>
      <c r="M2068" s="197"/>
      <c r="N2068" s="197"/>
      <c r="O2068" s="197"/>
    </row>
    <row r="2069" spans="1:15" hidden="1">
      <c r="A2069" s="188" t="s">
        <v>137</v>
      </c>
      <c r="B2069" s="188" t="s">
        <v>138</v>
      </c>
      <c r="C2069" s="188" t="s">
        <v>349</v>
      </c>
      <c r="D2069" s="188" t="s">
        <v>362</v>
      </c>
      <c r="E2069" s="188" t="s">
        <v>2400</v>
      </c>
      <c r="F2069" s="234" t="s">
        <v>265</v>
      </c>
      <c r="G2069" s="253">
        <v>-14</v>
      </c>
      <c r="H2069" s="253">
        <v>-14</v>
      </c>
      <c r="I2069" s="257" t="s">
        <v>100</v>
      </c>
      <c r="J2069" s="198" t="s">
        <v>277</v>
      </c>
      <c r="K2069" s="188"/>
      <c r="L2069" s="197"/>
      <c r="M2069" s="197"/>
      <c r="N2069" s="197"/>
      <c r="O2069" s="197"/>
    </row>
    <row r="2070" spans="1:15">
      <c r="A2070" s="188" t="s">
        <v>137</v>
      </c>
      <c r="B2070" s="188" t="s">
        <v>138</v>
      </c>
      <c r="C2070" s="188" t="s">
        <v>2057</v>
      </c>
      <c r="D2070" s="188" t="s">
        <v>201</v>
      </c>
      <c r="E2070" s="188" t="s">
        <v>2401</v>
      </c>
      <c r="F2070" s="234" t="s">
        <v>268</v>
      </c>
      <c r="G2070" s="253">
        <v>-39.619999999999997</v>
      </c>
      <c r="H2070" s="253">
        <v>-39.619999999999997</v>
      </c>
      <c r="I2070" s="257" t="s">
        <v>2385</v>
      </c>
      <c r="J2070" s="198" t="s">
        <v>2060</v>
      </c>
      <c r="K2070" s="188" t="s">
        <v>128</v>
      </c>
      <c r="L2070" s="197"/>
      <c r="M2070" s="197"/>
      <c r="N2070" s="197"/>
      <c r="O2070" s="197"/>
    </row>
    <row r="2071" spans="1:15">
      <c r="A2071" s="188" t="s">
        <v>137</v>
      </c>
      <c r="B2071" s="188" t="s">
        <v>138</v>
      </c>
      <c r="C2071" s="188" t="s">
        <v>339</v>
      </c>
      <c r="D2071" s="188" t="s">
        <v>340</v>
      </c>
      <c r="E2071" s="188" t="s">
        <v>2402</v>
      </c>
      <c r="F2071" s="234" t="s">
        <v>268</v>
      </c>
      <c r="G2071" s="253">
        <v>-587.77</v>
      </c>
      <c r="H2071" s="253">
        <v>-587.77</v>
      </c>
      <c r="I2071" s="257" t="s">
        <v>88</v>
      </c>
      <c r="J2071" s="198" t="s">
        <v>277</v>
      </c>
      <c r="K2071" s="188"/>
      <c r="L2071" s="197"/>
      <c r="M2071" s="197"/>
      <c r="N2071" s="197"/>
      <c r="O2071" s="197"/>
    </row>
    <row r="2072" spans="1:15">
      <c r="A2072" s="188" t="s">
        <v>137</v>
      </c>
      <c r="B2072" s="188" t="s">
        <v>138</v>
      </c>
      <c r="C2072" s="188" t="s">
        <v>100</v>
      </c>
      <c r="D2072" s="188" t="s">
        <v>1678</v>
      </c>
      <c r="E2072" s="188" t="s">
        <v>2403</v>
      </c>
      <c r="F2072" s="234" t="s">
        <v>268</v>
      </c>
      <c r="G2072" s="253">
        <v>-5000</v>
      </c>
      <c r="H2072" s="253">
        <v>-5000</v>
      </c>
      <c r="I2072" s="257" t="s">
        <v>100</v>
      </c>
      <c r="J2072" s="198" t="s">
        <v>422</v>
      </c>
      <c r="K2072" s="188"/>
      <c r="L2072" s="197"/>
      <c r="M2072" s="197"/>
      <c r="N2072" s="197"/>
      <c r="O2072" s="197"/>
    </row>
    <row r="2073" spans="1:15">
      <c r="A2073" s="188" t="s">
        <v>137</v>
      </c>
      <c r="B2073" s="188" t="s">
        <v>138</v>
      </c>
      <c r="C2073" s="188" t="s">
        <v>100</v>
      </c>
      <c r="D2073" s="188" t="s">
        <v>2404</v>
      </c>
      <c r="E2073" s="188" t="s">
        <v>2405</v>
      </c>
      <c r="F2073" s="234" t="s">
        <v>268</v>
      </c>
      <c r="G2073" s="253">
        <v>-394</v>
      </c>
      <c r="H2073" s="253">
        <v>-394</v>
      </c>
      <c r="I2073" s="257" t="s">
        <v>100</v>
      </c>
      <c r="J2073" s="198" t="s">
        <v>162</v>
      </c>
      <c r="K2073" s="188"/>
      <c r="L2073" s="197"/>
      <c r="M2073" s="197"/>
      <c r="N2073" s="197"/>
      <c r="O2073" s="197"/>
    </row>
    <row r="2074" spans="1:15">
      <c r="A2074" s="188" t="s">
        <v>137</v>
      </c>
      <c r="B2074" s="188" t="s">
        <v>138</v>
      </c>
      <c r="C2074" s="188" t="s">
        <v>349</v>
      </c>
      <c r="D2074" s="188" t="s">
        <v>350</v>
      </c>
      <c r="E2074" s="188" t="s">
        <v>2406</v>
      </c>
      <c r="F2074" s="234" t="s">
        <v>268</v>
      </c>
      <c r="G2074" s="253">
        <v>-92.65</v>
      </c>
      <c r="H2074" s="253">
        <v>-92.65</v>
      </c>
      <c r="I2074" s="257" t="s">
        <v>100</v>
      </c>
      <c r="J2074" s="198" t="s">
        <v>143</v>
      </c>
      <c r="K2074" s="188"/>
      <c r="L2074" s="197"/>
      <c r="M2074" s="197"/>
      <c r="N2074" s="197"/>
      <c r="O2074" s="197"/>
    </row>
    <row r="2075" spans="1:15">
      <c r="A2075" s="188" t="s">
        <v>137</v>
      </c>
      <c r="B2075" s="188" t="s">
        <v>138</v>
      </c>
      <c r="C2075" s="188" t="s">
        <v>349</v>
      </c>
      <c r="D2075" s="188" t="s">
        <v>2407</v>
      </c>
      <c r="E2075" s="188" t="s">
        <v>2408</v>
      </c>
      <c r="F2075" s="234" t="s">
        <v>268</v>
      </c>
      <c r="G2075" s="253">
        <v>-600</v>
      </c>
      <c r="H2075" s="253">
        <v>-600</v>
      </c>
      <c r="I2075" s="257" t="s">
        <v>100</v>
      </c>
      <c r="J2075" s="198" t="s">
        <v>2109</v>
      </c>
      <c r="K2075" s="188"/>
      <c r="L2075" s="197"/>
      <c r="M2075" s="197"/>
      <c r="N2075" s="197"/>
      <c r="O2075" s="197"/>
    </row>
    <row r="2076" spans="1:15">
      <c r="A2076" s="188" t="s">
        <v>232</v>
      </c>
      <c r="B2076" s="188" t="s">
        <v>138</v>
      </c>
      <c r="C2076" s="188" t="s">
        <v>349</v>
      </c>
      <c r="D2076" s="188" t="s">
        <v>356</v>
      </c>
      <c r="E2076" s="188" t="s">
        <v>2409</v>
      </c>
      <c r="F2076" s="234" t="s">
        <v>268</v>
      </c>
      <c r="G2076" s="253">
        <v>-119</v>
      </c>
      <c r="H2076" s="253">
        <v>-119</v>
      </c>
      <c r="I2076" s="257" t="s">
        <v>100</v>
      </c>
      <c r="J2076" s="198" t="s">
        <v>143</v>
      </c>
      <c r="K2076" s="188"/>
      <c r="L2076" s="197"/>
      <c r="M2076" s="197"/>
      <c r="N2076" s="197"/>
      <c r="O2076" s="197"/>
    </row>
    <row r="2077" spans="1:15">
      <c r="A2077" s="188" t="s">
        <v>137</v>
      </c>
      <c r="B2077" s="188" t="s">
        <v>138</v>
      </c>
      <c r="C2077" s="188" t="s">
        <v>93</v>
      </c>
      <c r="D2077" s="188" t="s">
        <v>364</v>
      </c>
      <c r="E2077" s="257" t="s">
        <v>2410</v>
      </c>
      <c r="F2077" s="234" t="s">
        <v>268</v>
      </c>
      <c r="G2077" s="320">
        <v>-1028.1600000000001</v>
      </c>
      <c r="H2077" s="320">
        <v>-1028.1600000000001</v>
      </c>
      <c r="I2077" s="257" t="s">
        <v>93</v>
      </c>
      <c r="J2077" s="198" t="s">
        <v>164</v>
      </c>
      <c r="K2077" s="188"/>
      <c r="L2077" s="197"/>
      <c r="M2077" s="197"/>
      <c r="N2077" s="197"/>
      <c r="O2077" s="197"/>
    </row>
    <row r="2078" spans="1:15">
      <c r="A2078" s="188" t="s">
        <v>232</v>
      </c>
      <c r="B2078" s="188" t="s">
        <v>138</v>
      </c>
      <c r="C2078" s="188" t="s">
        <v>93</v>
      </c>
      <c r="D2078" s="188" t="s">
        <v>364</v>
      </c>
      <c r="E2078" s="257" t="s">
        <v>2411</v>
      </c>
      <c r="F2078" s="234" t="s">
        <v>268</v>
      </c>
      <c r="G2078" s="320">
        <v>-146.88</v>
      </c>
      <c r="H2078" s="320">
        <v>-146.88</v>
      </c>
      <c r="I2078" s="257" t="s">
        <v>93</v>
      </c>
      <c r="J2078" s="198" t="s">
        <v>164</v>
      </c>
      <c r="K2078" s="188"/>
      <c r="L2078" s="197"/>
      <c r="M2078" s="197"/>
      <c r="N2078" s="197"/>
      <c r="O2078" s="197"/>
    </row>
    <row r="2079" spans="1:15">
      <c r="A2079" s="188" t="s">
        <v>232</v>
      </c>
      <c r="B2079" s="188" t="s">
        <v>138</v>
      </c>
      <c r="C2079" s="188" t="s">
        <v>93</v>
      </c>
      <c r="D2079" s="188" t="s">
        <v>372</v>
      </c>
      <c r="E2079" s="188" t="s">
        <v>2412</v>
      </c>
      <c r="F2079" s="234" t="s">
        <v>268</v>
      </c>
      <c r="G2079" s="253">
        <v>-2647.76</v>
      </c>
      <c r="H2079" s="253">
        <v>-2647.76</v>
      </c>
      <c r="I2079" s="257" t="s">
        <v>93</v>
      </c>
      <c r="J2079" s="198" t="s">
        <v>164</v>
      </c>
      <c r="K2079" s="188"/>
      <c r="L2079" s="197"/>
      <c r="M2079" s="197"/>
      <c r="N2079" s="197"/>
      <c r="O2079" s="197"/>
    </row>
    <row r="2080" spans="1:15">
      <c r="A2080" s="188" t="s">
        <v>137</v>
      </c>
      <c r="B2080" s="188" t="s">
        <v>138</v>
      </c>
      <c r="C2080" s="188" t="s">
        <v>93</v>
      </c>
      <c r="D2080" s="188" t="s">
        <v>372</v>
      </c>
      <c r="E2080" s="188" t="s">
        <v>2413</v>
      </c>
      <c r="F2080" s="234" t="s">
        <v>268</v>
      </c>
      <c r="G2080" s="253">
        <v>-2144.65</v>
      </c>
      <c r="H2080" s="253">
        <v>-2144.65</v>
      </c>
      <c r="I2080" s="257" t="s">
        <v>93</v>
      </c>
      <c r="J2080" s="198" t="s">
        <v>164</v>
      </c>
      <c r="K2080" s="188"/>
      <c r="L2080" s="197"/>
      <c r="M2080" s="197"/>
      <c r="N2080" s="197"/>
      <c r="O2080" s="197"/>
    </row>
    <row r="2081" spans="1:15">
      <c r="A2081" s="188" t="s">
        <v>137</v>
      </c>
      <c r="B2081" s="188" t="s">
        <v>138</v>
      </c>
      <c r="C2081" s="188" t="s">
        <v>93</v>
      </c>
      <c r="D2081" s="188" t="s">
        <v>372</v>
      </c>
      <c r="E2081" s="188" t="s">
        <v>2414</v>
      </c>
      <c r="F2081" s="234" t="s">
        <v>268</v>
      </c>
      <c r="G2081" s="253">
        <v>-800</v>
      </c>
      <c r="H2081" s="253">
        <v>-800</v>
      </c>
      <c r="I2081" s="257" t="s">
        <v>93</v>
      </c>
      <c r="J2081" s="198" t="s">
        <v>164</v>
      </c>
      <c r="K2081" s="188"/>
      <c r="L2081" s="197"/>
      <c r="M2081" s="197"/>
      <c r="N2081" s="197"/>
      <c r="O2081" s="197"/>
    </row>
    <row r="2082" spans="1:15">
      <c r="A2082" s="188" t="s">
        <v>137</v>
      </c>
      <c r="B2082" s="188" t="s">
        <v>138</v>
      </c>
      <c r="C2082" s="188" t="s">
        <v>93</v>
      </c>
      <c r="D2082" s="188" t="s">
        <v>372</v>
      </c>
      <c r="E2082" s="188" t="s">
        <v>2415</v>
      </c>
      <c r="F2082" s="234" t="s">
        <v>268</v>
      </c>
      <c r="G2082" s="253">
        <v>-130</v>
      </c>
      <c r="H2082" s="253">
        <v>-130</v>
      </c>
      <c r="I2082" s="257" t="s">
        <v>93</v>
      </c>
      <c r="J2082" s="198" t="s">
        <v>164</v>
      </c>
      <c r="K2082" s="188"/>
      <c r="L2082" s="197"/>
      <c r="M2082" s="197"/>
      <c r="N2082" s="197"/>
      <c r="O2082" s="197"/>
    </row>
    <row r="2083" spans="1:15" ht="51" hidden="1">
      <c r="A2083" s="188" t="s">
        <v>243</v>
      </c>
      <c r="B2083" s="188" t="s">
        <v>138</v>
      </c>
      <c r="C2083" s="188" t="s">
        <v>106</v>
      </c>
      <c r="D2083" s="188" t="s">
        <v>492</v>
      </c>
      <c r="E2083" s="234" t="s">
        <v>2416</v>
      </c>
      <c r="F2083" s="234" t="s">
        <v>149</v>
      </c>
      <c r="G2083" s="252">
        <v>-1.99</v>
      </c>
      <c r="H2083" s="253">
        <v>-1.99</v>
      </c>
      <c r="I2083" s="198" t="s">
        <v>106</v>
      </c>
      <c r="J2083" s="198" t="s">
        <v>164</v>
      </c>
      <c r="K2083" s="188"/>
      <c r="L2083" s="197"/>
      <c r="M2083" s="197"/>
      <c r="N2083" s="197"/>
      <c r="O2083" s="197"/>
    </row>
    <row r="2084" spans="1:15">
      <c r="A2084" s="188" t="s">
        <v>137</v>
      </c>
      <c r="B2084" s="188" t="s">
        <v>138</v>
      </c>
      <c r="C2084" s="188" t="s">
        <v>83</v>
      </c>
      <c r="D2084" s="188" t="s">
        <v>157</v>
      </c>
      <c r="E2084" s="188" t="s">
        <v>2417</v>
      </c>
      <c r="F2084" s="234" t="s">
        <v>268</v>
      </c>
      <c r="G2084" s="253">
        <v>-6750</v>
      </c>
      <c r="H2084" s="253">
        <v>-6750</v>
      </c>
      <c r="I2084" s="257" t="s">
        <v>83</v>
      </c>
      <c r="J2084" s="189" t="s">
        <v>159</v>
      </c>
      <c r="K2084" s="188"/>
      <c r="L2084" s="197"/>
      <c r="M2084" s="197"/>
      <c r="N2084" s="197"/>
      <c r="O2084" s="197"/>
    </row>
    <row r="2085" spans="1:15">
      <c r="A2085" s="188" t="s">
        <v>232</v>
      </c>
      <c r="B2085" s="188" t="s">
        <v>138</v>
      </c>
      <c r="C2085" s="188" t="s">
        <v>83</v>
      </c>
      <c r="D2085" s="188" t="s">
        <v>393</v>
      </c>
      <c r="E2085" s="188" t="s">
        <v>2418</v>
      </c>
      <c r="F2085" s="234" t="s">
        <v>268</v>
      </c>
      <c r="G2085" s="253">
        <v>-1250</v>
      </c>
      <c r="H2085" s="253">
        <v>-1250</v>
      </c>
      <c r="I2085" s="257" t="s">
        <v>83</v>
      </c>
      <c r="J2085" s="198" t="s">
        <v>164</v>
      </c>
      <c r="K2085" s="188"/>
      <c r="L2085" s="197"/>
      <c r="M2085" s="197"/>
      <c r="N2085" s="197"/>
      <c r="O2085" s="197"/>
    </row>
    <row r="2086" spans="1:15">
      <c r="A2086" s="188" t="s">
        <v>137</v>
      </c>
      <c r="B2086" s="188" t="s">
        <v>138</v>
      </c>
      <c r="C2086" s="188" t="s">
        <v>83</v>
      </c>
      <c r="D2086" s="188" t="s">
        <v>2073</v>
      </c>
      <c r="E2086" s="188" t="s">
        <v>2419</v>
      </c>
      <c r="F2086" s="234" t="s">
        <v>268</v>
      </c>
      <c r="G2086" s="253">
        <v>-1000</v>
      </c>
      <c r="H2086" s="253">
        <v>-1000</v>
      </c>
      <c r="I2086" s="257" t="s">
        <v>83</v>
      </c>
      <c r="J2086" s="228" t="s">
        <v>476</v>
      </c>
      <c r="K2086" s="188"/>
      <c r="L2086" s="197"/>
      <c r="M2086" s="197"/>
      <c r="N2086" s="197"/>
      <c r="O2086" s="197"/>
    </row>
    <row r="2087" spans="1:15">
      <c r="A2087" s="188" t="s">
        <v>137</v>
      </c>
      <c r="B2087" s="188" t="s">
        <v>138</v>
      </c>
      <c r="C2087" s="188" t="s">
        <v>2420</v>
      </c>
      <c r="D2087" s="188" t="s">
        <v>2421</v>
      </c>
      <c r="E2087" s="188" t="s">
        <v>2422</v>
      </c>
      <c r="F2087" s="234" t="s">
        <v>268</v>
      </c>
      <c r="G2087" s="253">
        <v>-500</v>
      </c>
      <c r="H2087" s="253">
        <v>-500</v>
      </c>
      <c r="I2087" s="257" t="s">
        <v>55</v>
      </c>
      <c r="J2087" s="198" t="s">
        <v>476</v>
      </c>
      <c r="K2087" s="188"/>
      <c r="L2087" s="197"/>
      <c r="M2087" s="197"/>
      <c r="N2087" s="197"/>
      <c r="O2087" s="197"/>
    </row>
    <row r="2088" spans="1:15">
      <c r="A2088" s="188" t="s">
        <v>137</v>
      </c>
      <c r="B2088" s="188" t="s">
        <v>138</v>
      </c>
      <c r="C2088" s="188" t="s">
        <v>2420</v>
      </c>
      <c r="D2088" s="188" t="s">
        <v>2423</v>
      </c>
      <c r="E2088" s="188" t="s">
        <v>2424</v>
      </c>
      <c r="F2088" s="234" t="s">
        <v>268</v>
      </c>
      <c r="G2088" s="253">
        <v>-250</v>
      </c>
      <c r="H2088" s="253">
        <v>-250</v>
      </c>
      <c r="I2088" s="257" t="s">
        <v>55</v>
      </c>
      <c r="J2088" s="198" t="s">
        <v>2109</v>
      </c>
      <c r="K2088" s="188"/>
      <c r="L2088" s="197"/>
      <c r="M2088" s="197"/>
      <c r="N2088" s="197"/>
      <c r="O2088" s="197"/>
    </row>
    <row r="2089" spans="1:15">
      <c r="A2089" s="188" t="s">
        <v>137</v>
      </c>
      <c r="B2089" s="188" t="s">
        <v>138</v>
      </c>
      <c r="C2089" s="188" t="s">
        <v>2420</v>
      </c>
      <c r="D2089" s="188" t="s">
        <v>2425</v>
      </c>
      <c r="E2089" s="188" t="s">
        <v>2426</v>
      </c>
      <c r="F2089" s="234" t="s">
        <v>268</v>
      </c>
      <c r="G2089" s="253">
        <v>-400</v>
      </c>
      <c r="H2089" s="253">
        <v>-400</v>
      </c>
      <c r="I2089" s="257" t="s">
        <v>55</v>
      </c>
      <c r="J2089" s="198" t="s">
        <v>2109</v>
      </c>
      <c r="K2089" s="188"/>
      <c r="L2089" s="197"/>
      <c r="M2089" s="197"/>
      <c r="N2089" s="197"/>
      <c r="O2089" s="197"/>
    </row>
    <row r="2090" spans="1:15">
      <c r="A2090" s="188" t="s">
        <v>137</v>
      </c>
      <c r="B2090" s="188" t="s">
        <v>138</v>
      </c>
      <c r="C2090" s="188" t="s">
        <v>2420</v>
      </c>
      <c r="D2090" s="188" t="s">
        <v>2427</v>
      </c>
      <c r="E2090" s="188" t="s">
        <v>2428</v>
      </c>
      <c r="F2090" s="234" t="s">
        <v>268</v>
      </c>
      <c r="G2090" s="253">
        <v>-100</v>
      </c>
      <c r="H2090" s="253">
        <v>-100</v>
      </c>
      <c r="I2090" s="257" t="s">
        <v>55</v>
      </c>
      <c r="J2090" s="198" t="s">
        <v>476</v>
      </c>
      <c r="K2090" s="188"/>
      <c r="L2090" s="197"/>
      <c r="M2090" s="197"/>
      <c r="N2090" s="197"/>
      <c r="O2090" s="197"/>
    </row>
    <row r="2091" spans="1:15">
      <c r="A2091" s="188" t="s">
        <v>137</v>
      </c>
      <c r="B2091" s="188" t="s">
        <v>138</v>
      </c>
      <c r="C2091" s="188" t="s">
        <v>2420</v>
      </c>
      <c r="D2091" s="188" t="s">
        <v>2143</v>
      </c>
      <c r="E2091" s="188" t="s">
        <v>2429</v>
      </c>
      <c r="F2091" s="234" t="s">
        <v>268</v>
      </c>
      <c r="G2091" s="253">
        <v>-1000</v>
      </c>
      <c r="H2091" s="253">
        <v>-1000</v>
      </c>
      <c r="I2091" s="215" t="s">
        <v>55</v>
      </c>
      <c r="J2091" s="198" t="s">
        <v>2109</v>
      </c>
      <c r="K2091" s="188"/>
      <c r="L2091" s="197"/>
      <c r="M2091" s="197"/>
      <c r="N2091" s="197"/>
      <c r="O2091" s="197"/>
    </row>
    <row r="2092" spans="1:15">
      <c r="A2092" s="188" t="s">
        <v>137</v>
      </c>
      <c r="B2092" s="188" t="s">
        <v>138</v>
      </c>
      <c r="C2092" s="188" t="s">
        <v>2420</v>
      </c>
      <c r="D2092" s="188" t="s">
        <v>759</v>
      </c>
      <c r="E2092" s="188" t="s">
        <v>2430</v>
      </c>
      <c r="F2092" s="234" t="s">
        <v>268</v>
      </c>
      <c r="G2092" s="253">
        <v>-250</v>
      </c>
      <c r="H2092" s="253">
        <v>-250</v>
      </c>
      <c r="I2092" s="215" t="s">
        <v>55</v>
      </c>
      <c r="J2092" s="198" t="s">
        <v>476</v>
      </c>
      <c r="K2092" s="188"/>
      <c r="L2092" s="197"/>
      <c r="M2092" s="197"/>
      <c r="N2092" s="197"/>
      <c r="O2092" s="197"/>
    </row>
    <row r="2093" spans="1:15">
      <c r="A2093" s="188" t="s">
        <v>137</v>
      </c>
      <c r="B2093" s="188" t="s">
        <v>138</v>
      </c>
      <c r="C2093" s="188" t="s">
        <v>109</v>
      </c>
      <c r="D2093" s="188" t="s">
        <v>426</v>
      </c>
      <c r="E2093" s="188" t="s">
        <v>2431</v>
      </c>
      <c r="F2093" s="234" t="s">
        <v>268</v>
      </c>
      <c r="G2093" s="253">
        <v>-124.7</v>
      </c>
      <c r="H2093" s="253">
        <v>-124.7</v>
      </c>
      <c r="I2093" s="257" t="s">
        <v>109</v>
      </c>
      <c r="J2093" s="198" t="s">
        <v>277</v>
      </c>
      <c r="K2093" s="188"/>
      <c r="L2093" s="197"/>
      <c r="M2093" s="197"/>
      <c r="N2093" s="197"/>
      <c r="O2093" s="197"/>
    </row>
    <row r="2094" spans="1:15">
      <c r="A2094" s="188" t="s">
        <v>209</v>
      </c>
      <c r="B2094" s="188" t="s">
        <v>138</v>
      </c>
      <c r="C2094" s="188" t="s">
        <v>109</v>
      </c>
      <c r="D2094" s="188" t="s">
        <v>639</v>
      </c>
      <c r="E2094" s="188" t="s">
        <v>2432</v>
      </c>
      <c r="F2094" s="234" t="s">
        <v>268</v>
      </c>
      <c r="G2094" s="253">
        <v>-254</v>
      </c>
      <c r="H2094" s="253">
        <v>-254</v>
      </c>
      <c r="I2094" s="257" t="s">
        <v>109</v>
      </c>
      <c r="J2094" s="244" t="s">
        <v>470</v>
      </c>
      <c r="K2094" s="188"/>
      <c r="L2094" s="197"/>
      <c r="M2094" s="197"/>
      <c r="N2094" s="197"/>
      <c r="O2094" s="197"/>
    </row>
    <row r="2095" spans="1:15">
      <c r="A2095" s="188" t="s">
        <v>209</v>
      </c>
      <c r="B2095" s="188" t="s">
        <v>138</v>
      </c>
      <c r="C2095" s="188" t="s">
        <v>109</v>
      </c>
      <c r="D2095" s="188" t="s">
        <v>2433</v>
      </c>
      <c r="E2095" s="188" t="s">
        <v>2434</v>
      </c>
      <c r="F2095" s="234" t="s">
        <v>268</v>
      </c>
      <c r="G2095" s="253">
        <v>-1011</v>
      </c>
      <c r="H2095" s="253">
        <v>-1011</v>
      </c>
      <c r="I2095" s="257" t="s">
        <v>109</v>
      </c>
      <c r="J2095" s="228" t="s">
        <v>143</v>
      </c>
      <c r="K2095" s="188"/>
      <c r="L2095" s="197"/>
      <c r="M2095" s="197"/>
      <c r="N2095" s="197"/>
      <c r="O2095" s="197"/>
    </row>
    <row r="2096" spans="1:15">
      <c r="A2096" s="188" t="s">
        <v>137</v>
      </c>
      <c r="B2096" s="188" t="s">
        <v>138</v>
      </c>
      <c r="C2096" s="188" t="s">
        <v>89</v>
      </c>
      <c r="D2096" s="188" t="s">
        <v>433</v>
      </c>
      <c r="E2096" s="188" t="s">
        <v>2435</v>
      </c>
      <c r="F2096" s="234" t="s">
        <v>268</v>
      </c>
      <c r="G2096" s="253">
        <v>-2517.6</v>
      </c>
      <c r="H2096" s="253">
        <v>-2517.6</v>
      </c>
      <c r="I2096" s="257" t="s">
        <v>89</v>
      </c>
      <c r="J2096" s="198" t="s">
        <v>246</v>
      </c>
      <c r="K2096" s="188"/>
      <c r="L2096" s="197"/>
      <c r="M2096" s="197"/>
      <c r="N2096" s="197"/>
      <c r="O2096" s="197"/>
    </row>
    <row r="2097" spans="1:15">
      <c r="A2097" s="274" t="s">
        <v>137</v>
      </c>
      <c r="B2097" s="227" t="s">
        <v>138</v>
      </c>
      <c r="C2097" s="274" t="s">
        <v>438</v>
      </c>
      <c r="D2097" s="274" t="s">
        <v>439</v>
      </c>
      <c r="E2097" s="274" t="s">
        <v>2436</v>
      </c>
      <c r="F2097" s="257" t="s">
        <v>268</v>
      </c>
      <c r="G2097" s="321">
        <v>-574.9</v>
      </c>
      <c r="H2097" s="322">
        <v>-574.9</v>
      </c>
      <c r="I2097" s="228" t="s">
        <v>290</v>
      </c>
      <c r="J2097" s="228" t="s">
        <v>206</v>
      </c>
      <c r="K2097" s="274" t="s">
        <v>2366</v>
      </c>
      <c r="L2097" s="197"/>
      <c r="M2097" s="197"/>
      <c r="N2097" s="197"/>
      <c r="O2097" s="197"/>
    </row>
    <row r="2098" spans="1:15">
      <c r="A2098" s="188" t="s">
        <v>137</v>
      </c>
      <c r="B2098" s="188" t="s">
        <v>138</v>
      </c>
      <c r="C2098" s="188" t="s">
        <v>99</v>
      </c>
      <c r="D2098" s="188" t="s">
        <v>446</v>
      </c>
      <c r="E2098" s="188" t="s">
        <v>2437</v>
      </c>
      <c r="F2098" s="234" t="s">
        <v>268</v>
      </c>
      <c r="G2098" s="253">
        <v>-371.6</v>
      </c>
      <c r="H2098" s="253">
        <v>-380.5</v>
      </c>
      <c r="I2098" s="257" t="s">
        <v>99</v>
      </c>
      <c r="J2098" s="198" t="s">
        <v>246</v>
      </c>
      <c r="K2098" s="188"/>
      <c r="L2098" s="197"/>
      <c r="M2098" s="197"/>
      <c r="N2098" s="197"/>
      <c r="O2098" s="197"/>
    </row>
    <row r="2099" spans="1:15" hidden="1">
      <c r="A2099" s="195" t="s">
        <v>137</v>
      </c>
      <c r="B2099" s="195" t="s">
        <v>138</v>
      </c>
      <c r="C2099" s="195" t="s">
        <v>106</v>
      </c>
      <c r="D2099" s="195" t="s">
        <v>655</v>
      </c>
      <c r="E2099" s="208" t="s">
        <v>1337</v>
      </c>
      <c r="F2099" s="195" t="s">
        <v>153</v>
      </c>
      <c r="G2099" s="242">
        <v>-40</v>
      </c>
      <c r="H2099" s="243">
        <v>-40</v>
      </c>
      <c r="I2099" s="195" t="s">
        <v>106</v>
      </c>
      <c r="J2099" s="244" t="s">
        <v>164</v>
      </c>
      <c r="K2099" s="188"/>
      <c r="L2099" s="197"/>
      <c r="M2099" s="197"/>
      <c r="N2099" s="197"/>
      <c r="O2099" s="197"/>
    </row>
    <row r="2100" spans="1:15">
      <c r="A2100" s="188" t="s">
        <v>137</v>
      </c>
      <c r="B2100" s="188" t="s">
        <v>138</v>
      </c>
      <c r="C2100" s="188" t="s">
        <v>452</v>
      </c>
      <c r="D2100" s="188" t="s">
        <v>455</v>
      </c>
      <c r="E2100" s="188" t="s">
        <v>2438</v>
      </c>
      <c r="F2100" s="234" t="s">
        <v>268</v>
      </c>
      <c r="G2100" s="253">
        <v>-31</v>
      </c>
      <c r="H2100" s="253">
        <v>-31</v>
      </c>
      <c r="I2100" s="257" t="s">
        <v>99</v>
      </c>
      <c r="J2100" s="198" t="s">
        <v>164</v>
      </c>
      <c r="K2100" s="188"/>
      <c r="L2100" s="197"/>
      <c r="M2100" s="197"/>
      <c r="N2100" s="197"/>
      <c r="O2100" s="197"/>
    </row>
    <row r="2101" spans="1:15">
      <c r="A2101" s="274" t="s">
        <v>137</v>
      </c>
      <c r="B2101" s="227" t="s">
        <v>138</v>
      </c>
      <c r="C2101" s="274" t="s">
        <v>452</v>
      </c>
      <c r="D2101" s="274" t="s">
        <v>201</v>
      </c>
      <c r="E2101" s="274" t="s">
        <v>2439</v>
      </c>
      <c r="F2101" s="323" t="s">
        <v>268</v>
      </c>
      <c r="G2101" s="324">
        <v>-529.35</v>
      </c>
      <c r="H2101" s="322">
        <v>-529.35</v>
      </c>
      <c r="I2101" s="228" t="s">
        <v>99</v>
      </c>
      <c r="J2101" s="228" t="s">
        <v>164</v>
      </c>
      <c r="K2101" s="274" t="s">
        <v>2366</v>
      </c>
      <c r="L2101" s="197"/>
      <c r="M2101" s="197"/>
      <c r="N2101" s="197"/>
      <c r="O2101" s="197"/>
    </row>
    <row r="2102" spans="1:15">
      <c r="A2102" s="274" t="s">
        <v>137</v>
      </c>
      <c r="B2102" s="227" t="s">
        <v>138</v>
      </c>
      <c r="C2102" s="274" t="s">
        <v>452</v>
      </c>
      <c r="D2102" s="274" t="s">
        <v>201</v>
      </c>
      <c r="E2102" s="274" t="s">
        <v>2440</v>
      </c>
      <c r="F2102" s="323" t="s">
        <v>268</v>
      </c>
      <c r="G2102" s="324">
        <v>-121.06</v>
      </c>
      <c r="H2102" s="322">
        <v>-121.06</v>
      </c>
      <c r="I2102" s="228" t="s">
        <v>99</v>
      </c>
      <c r="J2102" s="228" t="s">
        <v>143</v>
      </c>
      <c r="K2102" s="274" t="s">
        <v>2366</v>
      </c>
      <c r="L2102" s="197"/>
      <c r="M2102" s="197"/>
      <c r="N2102" s="197"/>
      <c r="O2102" s="197"/>
    </row>
    <row r="2103" spans="1:15">
      <c r="A2103" s="188" t="s">
        <v>137</v>
      </c>
      <c r="B2103" s="188" t="s">
        <v>138</v>
      </c>
      <c r="C2103" s="188" t="s">
        <v>452</v>
      </c>
      <c r="D2103" s="188" t="s">
        <v>201</v>
      </c>
      <c r="E2103" s="188" t="s">
        <v>2441</v>
      </c>
      <c r="F2103" s="234" t="s">
        <v>268</v>
      </c>
      <c r="G2103" s="253">
        <v>-57.8</v>
      </c>
      <c r="H2103" s="253">
        <v>-57.8</v>
      </c>
      <c r="I2103" s="257" t="s">
        <v>99</v>
      </c>
      <c r="J2103" s="198" t="s">
        <v>164</v>
      </c>
      <c r="K2103" s="188"/>
      <c r="L2103" s="197"/>
      <c r="M2103" s="197"/>
      <c r="N2103" s="197"/>
      <c r="O2103" s="197"/>
    </row>
    <row r="2104" spans="1:15">
      <c r="A2104" s="274" t="s">
        <v>137</v>
      </c>
      <c r="B2104" s="274" t="s">
        <v>138</v>
      </c>
      <c r="C2104" s="274" t="s">
        <v>491</v>
      </c>
      <c r="D2104" s="274" t="s">
        <v>655</v>
      </c>
      <c r="E2104" s="283" t="s">
        <v>2442</v>
      </c>
      <c r="F2104" s="283" t="s">
        <v>268</v>
      </c>
      <c r="G2104" s="320">
        <v>-25.61</v>
      </c>
      <c r="H2104" s="320">
        <v>-25.61</v>
      </c>
      <c r="I2104" s="228" t="s">
        <v>107</v>
      </c>
      <c r="J2104" s="228" t="s">
        <v>164</v>
      </c>
      <c r="K2104" s="233"/>
      <c r="L2104" s="197"/>
      <c r="M2104" s="197"/>
      <c r="N2104" s="197"/>
      <c r="O2104" s="197"/>
    </row>
    <row r="2105" spans="1:15">
      <c r="A2105" s="274" t="s">
        <v>137</v>
      </c>
      <c r="B2105" s="274" t="s">
        <v>138</v>
      </c>
      <c r="C2105" s="274" t="s">
        <v>491</v>
      </c>
      <c r="D2105" s="274" t="s">
        <v>655</v>
      </c>
      <c r="E2105" s="283" t="s">
        <v>2443</v>
      </c>
      <c r="F2105" s="283" t="s">
        <v>268</v>
      </c>
      <c r="G2105" s="320">
        <v>-4.5999999999999996</v>
      </c>
      <c r="H2105" s="320">
        <v>-4.5999999999999996</v>
      </c>
      <c r="I2105" s="228" t="s">
        <v>107</v>
      </c>
      <c r="J2105" s="228" t="s">
        <v>164</v>
      </c>
      <c r="K2105" s="233"/>
      <c r="L2105" s="197"/>
      <c r="M2105" s="197"/>
      <c r="N2105" s="197"/>
      <c r="O2105" s="197"/>
    </row>
    <row r="2106" spans="1:15" ht="51" hidden="1">
      <c r="A2106" s="188" t="s">
        <v>243</v>
      </c>
      <c r="B2106" s="188" t="s">
        <v>138</v>
      </c>
      <c r="C2106" s="188" t="s">
        <v>106</v>
      </c>
      <c r="D2106" s="188" t="s">
        <v>492</v>
      </c>
      <c r="E2106" s="234" t="s">
        <v>2444</v>
      </c>
      <c r="F2106" s="234" t="s">
        <v>146</v>
      </c>
      <c r="G2106" s="252">
        <v>-0.5</v>
      </c>
      <c r="H2106" s="253">
        <v>-0.5</v>
      </c>
      <c r="I2106" s="188" t="s">
        <v>106</v>
      </c>
      <c r="J2106" s="198" t="s">
        <v>164</v>
      </c>
      <c r="K2106" s="188"/>
      <c r="L2106" s="197"/>
      <c r="M2106" s="197"/>
      <c r="N2106" s="197"/>
      <c r="O2106" s="197"/>
    </row>
    <row r="2107" spans="1:15">
      <c r="A2107" s="188" t="s">
        <v>137</v>
      </c>
      <c r="B2107" s="188" t="s">
        <v>138</v>
      </c>
      <c r="C2107" s="188" t="s">
        <v>91</v>
      </c>
      <c r="D2107" s="188" t="s">
        <v>2445</v>
      </c>
      <c r="E2107" s="188" t="s">
        <v>2446</v>
      </c>
      <c r="F2107" s="234" t="s">
        <v>268</v>
      </c>
      <c r="G2107" s="253">
        <v>-96.58</v>
      </c>
      <c r="H2107" s="253">
        <v>-96.58</v>
      </c>
      <c r="I2107" s="257" t="s">
        <v>91</v>
      </c>
      <c r="J2107" s="198" t="s">
        <v>246</v>
      </c>
      <c r="K2107" s="188"/>
      <c r="L2107" s="197"/>
      <c r="M2107" s="197"/>
      <c r="N2107" s="197"/>
      <c r="O2107" s="197"/>
    </row>
    <row r="2108" spans="1:15">
      <c r="A2108" s="188" t="s">
        <v>137</v>
      </c>
      <c r="B2108" s="188" t="s">
        <v>138</v>
      </c>
      <c r="C2108" s="188" t="s">
        <v>91</v>
      </c>
      <c r="D2108" s="188" t="s">
        <v>2447</v>
      </c>
      <c r="E2108" s="188" t="s">
        <v>2448</v>
      </c>
      <c r="F2108" s="234" t="s">
        <v>268</v>
      </c>
      <c r="G2108" s="253">
        <v>-520</v>
      </c>
      <c r="H2108" s="253">
        <v>-520</v>
      </c>
      <c r="I2108" s="257" t="s">
        <v>91</v>
      </c>
      <c r="J2108" s="198" t="s">
        <v>964</v>
      </c>
      <c r="K2108" s="188"/>
      <c r="L2108" s="197"/>
      <c r="M2108" s="197"/>
      <c r="N2108" s="197"/>
      <c r="O2108" s="197"/>
    </row>
    <row r="2109" spans="1:15">
      <c r="A2109" s="188" t="s">
        <v>137</v>
      </c>
      <c r="B2109" s="188" t="s">
        <v>138</v>
      </c>
      <c r="C2109" s="188" t="s">
        <v>91</v>
      </c>
      <c r="D2109" s="188" t="s">
        <v>2447</v>
      </c>
      <c r="E2109" s="188" t="s">
        <v>2449</v>
      </c>
      <c r="F2109" s="234" t="s">
        <v>268</v>
      </c>
      <c r="G2109" s="253">
        <v>-215.58</v>
      </c>
      <c r="H2109" s="253">
        <v>-220</v>
      </c>
      <c r="I2109" s="257" t="s">
        <v>91</v>
      </c>
      <c r="J2109" s="189" t="s">
        <v>159</v>
      </c>
      <c r="K2109" s="188"/>
      <c r="L2109" s="197"/>
      <c r="M2109" s="197"/>
      <c r="N2109" s="197"/>
      <c r="O2109" s="197"/>
    </row>
    <row r="2110" spans="1:15">
      <c r="A2110" s="188" t="s">
        <v>137</v>
      </c>
      <c r="B2110" s="188" t="s">
        <v>138</v>
      </c>
      <c r="C2110" s="188" t="s">
        <v>91</v>
      </c>
      <c r="D2110" s="188" t="s">
        <v>2450</v>
      </c>
      <c r="E2110" s="188" t="s">
        <v>2451</v>
      </c>
      <c r="F2110" s="234" t="s">
        <v>268</v>
      </c>
      <c r="G2110" s="253">
        <v>-94.5</v>
      </c>
      <c r="H2110" s="253">
        <v>-94.5</v>
      </c>
      <c r="I2110" s="257" t="s">
        <v>91</v>
      </c>
      <c r="J2110" s="198" t="s">
        <v>246</v>
      </c>
      <c r="K2110" s="188"/>
      <c r="L2110" s="197"/>
      <c r="M2110" s="197"/>
      <c r="N2110" s="197"/>
      <c r="O2110" s="197"/>
    </row>
    <row r="2111" spans="1:15">
      <c r="A2111" s="188" t="s">
        <v>137</v>
      </c>
      <c r="B2111" s="188" t="s">
        <v>138</v>
      </c>
      <c r="C2111" s="188" t="s">
        <v>91</v>
      </c>
      <c r="D2111" s="188" t="s">
        <v>2380</v>
      </c>
      <c r="E2111" s="188" t="s">
        <v>2452</v>
      </c>
      <c r="F2111" s="234" t="s">
        <v>268</v>
      </c>
      <c r="G2111" s="253">
        <v>-659</v>
      </c>
      <c r="H2111" s="253">
        <v>-659</v>
      </c>
      <c r="I2111" s="257" t="s">
        <v>91</v>
      </c>
      <c r="J2111" s="198" t="s">
        <v>964</v>
      </c>
      <c r="K2111" s="188"/>
      <c r="L2111" s="197"/>
      <c r="M2111" s="197"/>
      <c r="N2111" s="197"/>
      <c r="O2111" s="197"/>
    </row>
    <row r="2112" spans="1:15">
      <c r="A2112" s="188" t="s">
        <v>137</v>
      </c>
      <c r="B2112" s="188" t="s">
        <v>138</v>
      </c>
      <c r="C2112" s="188" t="s">
        <v>91</v>
      </c>
      <c r="D2112" s="188" t="s">
        <v>2097</v>
      </c>
      <c r="E2112" s="188" t="s">
        <v>2453</v>
      </c>
      <c r="F2112" s="234" t="s">
        <v>268</v>
      </c>
      <c r="G2112" s="253">
        <v>-180.9</v>
      </c>
      <c r="H2112" s="253">
        <v>-180.9</v>
      </c>
      <c r="I2112" s="257" t="s">
        <v>91</v>
      </c>
      <c r="J2112" s="198" t="s">
        <v>246</v>
      </c>
      <c r="K2112" s="188"/>
      <c r="L2112" s="197"/>
      <c r="M2112" s="197"/>
      <c r="N2112" s="197"/>
      <c r="O2112" s="197"/>
    </row>
    <row r="2113" spans="1:15">
      <c r="A2113" s="274" t="s">
        <v>137</v>
      </c>
      <c r="B2113" s="227" t="s">
        <v>138</v>
      </c>
      <c r="C2113" s="274" t="s">
        <v>520</v>
      </c>
      <c r="D2113" s="274" t="s">
        <v>2454</v>
      </c>
      <c r="E2113" s="274" t="s">
        <v>2455</v>
      </c>
      <c r="F2113" s="323" t="s">
        <v>268</v>
      </c>
      <c r="G2113" s="324">
        <v>-126</v>
      </c>
      <c r="H2113" s="322">
        <v>-126</v>
      </c>
      <c r="I2113" s="228" t="s">
        <v>91</v>
      </c>
      <c r="J2113" s="228" t="s">
        <v>2456</v>
      </c>
      <c r="K2113" s="274" t="s">
        <v>2366</v>
      </c>
      <c r="L2113" s="197"/>
      <c r="M2113" s="197"/>
      <c r="N2113" s="197"/>
      <c r="O2113" s="197"/>
    </row>
    <row r="2114" spans="1:15">
      <c r="A2114" s="188" t="s">
        <v>137</v>
      </c>
      <c r="B2114" s="188" t="s">
        <v>138</v>
      </c>
      <c r="C2114" s="188" t="s">
        <v>520</v>
      </c>
      <c r="D2114" s="188" t="s">
        <v>525</v>
      </c>
      <c r="E2114" s="188" t="s">
        <v>2457</v>
      </c>
      <c r="F2114" s="234" t="s">
        <v>268</v>
      </c>
      <c r="G2114" s="253">
        <v>-200</v>
      </c>
      <c r="H2114" s="253">
        <v>-200</v>
      </c>
      <c r="I2114" s="257" t="s">
        <v>91</v>
      </c>
      <c r="J2114" s="198" t="s">
        <v>143</v>
      </c>
      <c r="K2114" s="188"/>
      <c r="L2114" s="197"/>
      <c r="M2114" s="197"/>
      <c r="N2114" s="197"/>
      <c r="O2114" s="197"/>
    </row>
    <row r="2115" spans="1:15">
      <c r="A2115" s="188" t="s">
        <v>137</v>
      </c>
      <c r="B2115" s="188" t="s">
        <v>138</v>
      </c>
      <c r="C2115" s="188" t="s">
        <v>2458</v>
      </c>
      <c r="D2115" s="188" t="s">
        <v>2459</v>
      </c>
      <c r="E2115" s="188" t="s">
        <v>2460</v>
      </c>
      <c r="F2115" s="234" t="s">
        <v>268</v>
      </c>
      <c r="G2115" s="253">
        <v>-5500</v>
      </c>
      <c r="H2115" s="253">
        <v>-5500</v>
      </c>
      <c r="I2115" s="257" t="s">
        <v>290</v>
      </c>
      <c r="J2115" s="257" t="s">
        <v>206</v>
      </c>
      <c r="K2115" s="188"/>
      <c r="L2115" s="197"/>
      <c r="M2115" s="197"/>
      <c r="N2115" s="197"/>
      <c r="O2115" s="197"/>
    </row>
    <row r="2116" spans="1:15">
      <c r="A2116" s="274" t="s">
        <v>137</v>
      </c>
      <c r="B2116" s="227" t="s">
        <v>138</v>
      </c>
      <c r="C2116" s="274" t="s">
        <v>61</v>
      </c>
      <c r="D2116" s="274" t="s">
        <v>536</v>
      </c>
      <c r="E2116" s="274" t="s">
        <v>2461</v>
      </c>
      <c r="F2116" s="323" t="s">
        <v>268</v>
      </c>
      <c r="G2116" s="324">
        <v>-683.99</v>
      </c>
      <c r="H2116" s="322">
        <v>-683.99</v>
      </c>
      <c r="I2116" s="228" t="s">
        <v>61</v>
      </c>
      <c r="J2116" s="228" t="s">
        <v>422</v>
      </c>
      <c r="K2116" s="274" t="s">
        <v>2366</v>
      </c>
      <c r="L2116" s="197"/>
      <c r="M2116" s="197"/>
      <c r="N2116" s="197"/>
      <c r="O2116" s="197"/>
    </row>
    <row r="2117" spans="1:15">
      <c r="A2117" s="188" t="s">
        <v>137</v>
      </c>
      <c r="B2117" s="188" t="s">
        <v>138</v>
      </c>
      <c r="C2117" s="188" t="s">
        <v>61</v>
      </c>
      <c r="D2117" s="188" t="s">
        <v>2108</v>
      </c>
      <c r="E2117" s="188" t="s">
        <v>2462</v>
      </c>
      <c r="F2117" s="234" t="s">
        <v>268</v>
      </c>
      <c r="G2117" s="253">
        <v>-1593.15</v>
      </c>
      <c r="H2117" s="253">
        <v>-1593.15</v>
      </c>
      <c r="I2117" s="257" t="s">
        <v>61</v>
      </c>
      <c r="J2117" s="198" t="s">
        <v>2109</v>
      </c>
      <c r="K2117" s="188"/>
      <c r="L2117" s="197"/>
      <c r="M2117" s="197"/>
      <c r="N2117" s="197"/>
      <c r="O2117" s="197"/>
    </row>
    <row r="2118" spans="1:15" hidden="1">
      <c r="A2118" s="188" t="s">
        <v>137</v>
      </c>
      <c r="B2118" s="188" t="s">
        <v>138</v>
      </c>
      <c r="C2118" s="188" t="s">
        <v>97</v>
      </c>
      <c r="D2118" s="188" t="s">
        <v>618</v>
      </c>
      <c r="E2118" s="188" t="s">
        <v>2120</v>
      </c>
      <c r="F2118" s="234" t="s">
        <v>265</v>
      </c>
      <c r="G2118" s="253">
        <v>-1844.48</v>
      </c>
      <c r="H2118" s="253">
        <v>-1844.48</v>
      </c>
      <c r="I2118" s="257" t="s">
        <v>97</v>
      </c>
      <c r="J2118" s="198" t="s">
        <v>246</v>
      </c>
      <c r="K2118" s="188"/>
      <c r="L2118" s="197"/>
      <c r="M2118" s="197"/>
      <c r="N2118" s="197"/>
      <c r="O2118" s="197"/>
    </row>
    <row r="2119" spans="1:15">
      <c r="A2119" s="188" t="s">
        <v>137</v>
      </c>
      <c r="B2119" s="188" t="s">
        <v>138</v>
      </c>
      <c r="C2119" s="188" t="s">
        <v>61</v>
      </c>
      <c r="D2119" s="188" t="s">
        <v>556</v>
      </c>
      <c r="E2119" s="267" t="s">
        <v>2463</v>
      </c>
      <c r="F2119" s="189" t="s">
        <v>268</v>
      </c>
      <c r="G2119" s="260">
        <v>-584.28</v>
      </c>
      <c r="H2119" s="260">
        <v>-584.28</v>
      </c>
      <c r="I2119" s="257" t="s">
        <v>61</v>
      </c>
      <c r="J2119" s="198" t="s">
        <v>143</v>
      </c>
      <c r="K2119" s="188"/>
      <c r="L2119" s="197"/>
      <c r="M2119" s="197"/>
      <c r="N2119" s="197"/>
      <c r="O2119" s="197"/>
    </row>
    <row r="2120" spans="1:15">
      <c r="A2120" s="188" t="s">
        <v>137</v>
      </c>
      <c r="B2120" s="188" t="s">
        <v>138</v>
      </c>
      <c r="C2120" s="188" t="s">
        <v>570</v>
      </c>
      <c r="D2120" s="188" t="s">
        <v>993</v>
      </c>
      <c r="E2120" s="188" t="s">
        <v>2464</v>
      </c>
      <c r="F2120" s="234" t="s">
        <v>268</v>
      </c>
      <c r="G2120" s="253">
        <v>-120.9</v>
      </c>
      <c r="H2120" s="253">
        <v>-120.9</v>
      </c>
      <c r="I2120" s="257" t="s">
        <v>61</v>
      </c>
      <c r="J2120" s="189" t="s">
        <v>159</v>
      </c>
      <c r="K2120" s="188"/>
      <c r="L2120" s="197"/>
      <c r="M2120" s="197"/>
      <c r="N2120" s="197"/>
      <c r="O2120" s="197"/>
    </row>
    <row r="2121" spans="1:15">
      <c r="A2121" s="188" t="s">
        <v>137</v>
      </c>
      <c r="B2121" s="188" t="s">
        <v>138</v>
      </c>
      <c r="C2121" s="188" t="s">
        <v>570</v>
      </c>
      <c r="D2121" s="188" t="s">
        <v>2465</v>
      </c>
      <c r="E2121" s="188" t="s">
        <v>2466</v>
      </c>
      <c r="F2121" s="234" t="s">
        <v>268</v>
      </c>
      <c r="G2121" s="253">
        <v>-638.48</v>
      </c>
      <c r="H2121" s="253">
        <v>-638.48</v>
      </c>
      <c r="I2121" s="257" t="s">
        <v>61</v>
      </c>
      <c r="J2121" s="189" t="s">
        <v>159</v>
      </c>
      <c r="K2121" s="188"/>
      <c r="L2121" s="197"/>
      <c r="M2121" s="197"/>
      <c r="N2121" s="197"/>
      <c r="O2121" s="197"/>
    </row>
    <row r="2122" spans="1:15">
      <c r="A2122" s="274" t="s">
        <v>137</v>
      </c>
      <c r="B2122" s="227" t="s">
        <v>138</v>
      </c>
      <c r="C2122" s="274" t="s">
        <v>570</v>
      </c>
      <c r="D2122" s="274" t="s">
        <v>540</v>
      </c>
      <c r="E2122" s="274" t="s">
        <v>2467</v>
      </c>
      <c r="F2122" s="323" t="s">
        <v>268</v>
      </c>
      <c r="G2122" s="324">
        <v>-454.08</v>
      </c>
      <c r="H2122" s="322">
        <v>-454.08</v>
      </c>
      <c r="I2122" s="228" t="s">
        <v>61</v>
      </c>
      <c r="J2122" s="189" t="s">
        <v>159</v>
      </c>
      <c r="K2122" s="274" t="s">
        <v>2366</v>
      </c>
      <c r="L2122" s="197"/>
      <c r="M2122" s="197"/>
      <c r="N2122" s="197"/>
      <c r="O2122" s="197"/>
    </row>
    <row r="2123" spans="1:15">
      <c r="A2123" s="188" t="s">
        <v>137</v>
      </c>
      <c r="B2123" s="188" t="s">
        <v>138</v>
      </c>
      <c r="C2123" s="188" t="s">
        <v>570</v>
      </c>
      <c r="D2123" s="188" t="s">
        <v>581</v>
      </c>
      <c r="E2123" s="188" t="s">
        <v>2468</v>
      </c>
      <c r="F2123" s="234" t="s">
        <v>268</v>
      </c>
      <c r="G2123" s="253">
        <v>-100</v>
      </c>
      <c r="H2123" s="253">
        <v>-100</v>
      </c>
      <c r="I2123" s="257" t="s">
        <v>61</v>
      </c>
      <c r="J2123" s="198" t="s">
        <v>422</v>
      </c>
      <c r="K2123" s="188"/>
      <c r="L2123" s="197"/>
      <c r="M2123" s="197"/>
      <c r="N2123" s="197"/>
      <c r="O2123" s="197"/>
    </row>
    <row r="2124" spans="1:15">
      <c r="A2124" s="188" t="s">
        <v>137</v>
      </c>
      <c r="B2124" s="188" t="s">
        <v>138</v>
      </c>
      <c r="C2124" s="188" t="s">
        <v>570</v>
      </c>
      <c r="D2124" s="188" t="s">
        <v>581</v>
      </c>
      <c r="E2124" s="188" t="s">
        <v>2469</v>
      </c>
      <c r="F2124" s="234" t="s">
        <v>268</v>
      </c>
      <c r="G2124" s="253">
        <v>-90</v>
      </c>
      <c r="H2124" s="253">
        <v>-90</v>
      </c>
      <c r="I2124" s="257" t="s">
        <v>61</v>
      </c>
      <c r="J2124" s="198" t="s">
        <v>422</v>
      </c>
      <c r="K2124" s="188"/>
      <c r="L2124" s="197"/>
      <c r="M2124" s="197"/>
      <c r="N2124" s="197"/>
      <c r="O2124" s="197"/>
    </row>
    <row r="2125" spans="1:15">
      <c r="A2125" s="188" t="s">
        <v>137</v>
      </c>
      <c r="B2125" s="188" t="s">
        <v>138</v>
      </c>
      <c r="C2125" s="188" t="s">
        <v>570</v>
      </c>
      <c r="D2125" s="188" t="s">
        <v>588</v>
      </c>
      <c r="E2125" s="188" t="s">
        <v>2470</v>
      </c>
      <c r="F2125" s="234" t="s">
        <v>268</v>
      </c>
      <c r="G2125" s="253">
        <v>-119.5</v>
      </c>
      <c r="H2125" s="253">
        <v>-119.5</v>
      </c>
      <c r="I2125" s="257" t="s">
        <v>61</v>
      </c>
      <c r="J2125" s="198" t="s">
        <v>422</v>
      </c>
      <c r="K2125" s="188"/>
      <c r="L2125" s="197"/>
      <c r="M2125" s="197"/>
      <c r="N2125" s="197"/>
      <c r="O2125" s="197"/>
    </row>
    <row r="2126" spans="1:15">
      <c r="A2126" s="188" t="s">
        <v>137</v>
      </c>
      <c r="B2126" s="188" t="s">
        <v>138</v>
      </c>
      <c r="C2126" s="188" t="s">
        <v>570</v>
      </c>
      <c r="D2126" s="188" t="s">
        <v>588</v>
      </c>
      <c r="E2126" s="188" t="s">
        <v>2471</v>
      </c>
      <c r="F2126" s="234" t="s">
        <v>268</v>
      </c>
      <c r="G2126" s="253">
        <v>-45.93</v>
      </c>
      <c r="H2126" s="253">
        <v>-45.93</v>
      </c>
      <c r="I2126" s="257" t="s">
        <v>61</v>
      </c>
      <c r="J2126" s="198" t="s">
        <v>422</v>
      </c>
      <c r="K2126" s="188"/>
      <c r="L2126" s="197"/>
      <c r="M2126" s="197"/>
      <c r="N2126" s="197"/>
      <c r="O2126" s="197"/>
    </row>
    <row r="2127" spans="1:15">
      <c r="A2127" s="274" t="s">
        <v>137</v>
      </c>
      <c r="B2127" s="227" t="s">
        <v>138</v>
      </c>
      <c r="C2127" s="274" t="s">
        <v>570</v>
      </c>
      <c r="D2127" s="274" t="s">
        <v>562</v>
      </c>
      <c r="E2127" s="274" t="s">
        <v>2472</v>
      </c>
      <c r="F2127" s="323" t="s">
        <v>268</v>
      </c>
      <c r="G2127" s="324">
        <v>0</v>
      </c>
      <c r="H2127" s="322">
        <v>-330</v>
      </c>
      <c r="I2127" s="228" t="s">
        <v>61</v>
      </c>
      <c r="J2127" s="189" t="s">
        <v>159</v>
      </c>
      <c r="K2127" s="274" t="s">
        <v>2366</v>
      </c>
      <c r="L2127" s="197"/>
      <c r="M2127" s="197"/>
      <c r="N2127" s="197"/>
      <c r="O2127" s="197"/>
    </row>
    <row r="2128" spans="1:15">
      <c r="A2128" s="188" t="s">
        <v>137</v>
      </c>
      <c r="B2128" s="188" t="s">
        <v>138</v>
      </c>
      <c r="C2128" s="188" t="s">
        <v>570</v>
      </c>
      <c r="D2128" s="188" t="s">
        <v>201</v>
      </c>
      <c r="E2128" s="188" t="s">
        <v>2473</v>
      </c>
      <c r="F2128" s="234" t="s">
        <v>268</v>
      </c>
      <c r="G2128" s="253">
        <v>-282.17</v>
      </c>
      <c r="H2128" s="253">
        <v>-282.17</v>
      </c>
      <c r="I2128" s="257" t="s">
        <v>61</v>
      </c>
      <c r="J2128" s="198" t="s">
        <v>2060</v>
      </c>
      <c r="K2128" s="188"/>
      <c r="L2128" s="197"/>
      <c r="M2128" s="197"/>
      <c r="N2128" s="197"/>
      <c r="O2128" s="197"/>
    </row>
    <row r="2129" spans="1:15">
      <c r="A2129" s="274" t="s">
        <v>137</v>
      </c>
      <c r="B2129" s="227" t="s">
        <v>138</v>
      </c>
      <c r="C2129" s="274" t="s">
        <v>570</v>
      </c>
      <c r="D2129" s="274" t="s">
        <v>201</v>
      </c>
      <c r="E2129" s="274" t="s">
        <v>2474</v>
      </c>
      <c r="F2129" s="323" t="s">
        <v>268</v>
      </c>
      <c r="G2129" s="324">
        <v>-56.42</v>
      </c>
      <c r="H2129" s="322">
        <v>-56.42</v>
      </c>
      <c r="I2129" s="228" t="s">
        <v>61</v>
      </c>
      <c r="J2129" s="228" t="s">
        <v>422</v>
      </c>
      <c r="K2129" s="274" t="s">
        <v>2366</v>
      </c>
      <c r="L2129" s="197"/>
      <c r="M2129" s="197"/>
      <c r="N2129" s="197"/>
      <c r="O2129" s="197"/>
    </row>
    <row r="2130" spans="1:15">
      <c r="A2130" s="274" t="s">
        <v>137</v>
      </c>
      <c r="B2130" s="227" t="s">
        <v>138</v>
      </c>
      <c r="C2130" s="274" t="s">
        <v>570</v>
      </c>
      <c r="D2130" s="274" t="s">
        <v>201</v>
      </c>
      <c r="E2130" s="274" t="s">
        <v>2475</v>
      </c>
      <c r="F2130" s="323" t="s">
        <v>268</v>
      </c>
      <c r="G2130" s="324">
        <v>-35.67</v>
      </c>
      <c r="H2130" s="322">
        <v>-35.67</v>
      </c>
      <c r="I2130" s="228" t="s">
        <v>61</v>
      </c>
      <c r="J2130" s="228" t="s">
        <v>422</v>
      </c>
      <c r="K2130" s="274" t="s">
        <v>2366</v>
      </c>
      <c r="L2130" s="197"/>
      <c r="M2130" s="197"/>
      <c r="N2130" s="197"/>
      <c r="O2130" s="197"/>
    </row>
    <row r="2131" spans="1:15">
      <c r="A2131" s="188" t="s">
        <v>137</v>
      </c>
      <c r="B2131" s="188" t="s">
        <v>138</v>
      </c>
      <c r="C2131" s="188" t="s">
        <v>599</v>
      </c>
      <c r="D2131" s="188" t="s">
        <v>639</v>
      </c>
      <c r="E2131" s="188" t="s">
        <v>2476</v>
      </c>
      <c r="F2131" s="234" t="s">
        <v>268</v>
      </c>
      <c r="G2131" s="253">
        <v>-32</v>
      </c>
      <c r="H2131" s="253">
        <v>-32</v>
      </c>
      <c r="I2131" s="257" t="s">
        <v>98</v>
      </c>
      <c r="J2131" s="198" t="s">
        <v>246</v>
      </c>
      <c r="K2131" s="188"/>
      <c r="L2131" s="197"/>
      <c r="M2131" s="197"/>
      <c r="N2131" s="197"/>
      <c r="O2131" s="197"/>
    </row>
    <row r="2132" spans="1:15">
      <c r="A2132" s="188" t="s">
        <v>137</v>
      </c>
      <c r="B2132" s="188" t="s">
        <v>138</v>
      </c>
      <c r="C2132" s="188" t="s">
        <v>98</v>
      </c>
      <c r="D2132" s="188" t="s">
        <v>2116</v>
      </c>
      <c r="E2132" s="188" t="s">
        <v>2477</v>
      </c>
      <c r="F2132" s="234" t="s">
        <v>268</v>
      </c>
      <c r="G2132" s="253">
        <v>-62.65</v>
      </c>
      <c r="H2132" s="253">
        <v>-62.65</v>
      </c>
      <c r="I2132" s="257" t="s">
        <v>98</v>
      </c>
      <c r="J2132" s="198" t="s">
        <v>246</v>
      </c>
      <c r="K2132" s="188"/>
      <c r="L2132" s="197"/>
      <c r="M2132" s="197"/>
      <c r="N2132" s="197"/>
      <c r="O2132" s="197"/>
    </row>
    <row r="2133" spans="1:15">
      <c r="A2133" s="188" t="s">
        <v>137</v>
      </c>
      <c r="B2133" s="188" t="s">
        <v>138</v>
      </c>
      <c r="C2133" s="188" t="s">
        <v>98</v>
      </c>
      <c r="D2133" s="188" t="s">
        <v>2478</v>
      </c>
      <c r="E2133" s="188" t="s">
        <v>2479</v>
      </c>
      <c r="F2133" s="234" t="s">
        <v>268</v>
      </c>
      <c r="G2133" s="253">
        <v>-87.22</v>
      </c>
      <c r="H2133" s="253">
        <v>-87.22</v>
      </c>
      <c r="I2133" s="257" t="s">
        <v>98</v>
      </c>
      <c r="J2133" s="198" t="s">
        <v>246</v>
      </c>
      <c r="K2133" s="188"/>
      <c r="L2133" s="197"/>
      <c r="M2133" s="197"/>
      <c r="N2133" s="197"/>
      <c r="O2133" s="197"/>
    </row>
    <row r="2134" spans="1:15">
      <c r="A2134" s="188" t="s">
        <v>137</v>
      </c>
      <c r="B2134" s="188" t="s">
        <v>138</v>
      </c>
      <c r="C2134" s="188" t="s">
        <v>98</v>
      </c>
      <c r="D2134" s="188" t="s">
        <v>2118</v>
      </c>
      <c r="E2134" s="188" t="s">
        <v>2480</v>
      </c>
      <c r="F2134" s="234" t="s">
        <v>268</v>
      </c>
      <c r="G2134" s="253">
        <v>-1514</v>
      </c>
      <c r="H2134" s="253">
        <v>-1514</v>
      </c>
      <c r="I2134" s="257" t="s">
        <v>98</v>
      </c>
      <c r="J2134" s="198" t="s">
        <v>246</v>
      </c>
      <c r="K2134" s="188"/>
      <c r="L2134" s="197"/>
      <c r="M2134" s="197"/>
      <c r="N2134" s="197"/>
      <c r="O2134" s="197"/>
    </row>
    <row r="2135" spans="1:15">
      <c r="A2135" s="188" t="s">
        <v>137</v>
      </c>
      <c r="B2135" s="188" t="s">
        <v>138</v>
      </c>
      <c r="C2135" s="188" t="s">
        <v>98</v>
      </c>
      <c r="D2135" s="188" t="s">
        <v>625</v>
      </c>
      <c r="E2135" s="188" t="s">
        <v>2481</v>
      </c>
      <c r="F2135" s="234" t="s">
        <v>268</v>
      </c>
      <c r="G2135" s="253">
        <v>-682.5</v>
      </c>
      <c r="H2135" s="253">
        <v>-682.5</v>
      </c>
      <c r="I2135" s="257" t="s">
        <v>98</v>
      </c>
      <c r="J2135" s="198" t="s">
        <v>246</v>
      </c>
      <c r="K2135" s="188"/>
      <c r="L2135" s="197"/>
      <c r="M2135" s="197"/>
      <c r="N2135" s="197"/>
      <c r="O2135" s="197"/>
    </row>
    <row r="2136" spans="1:15">
      <c r="A2136" s="188" t="s">
        <v>137</v>
      </c>
      <c r="B2136" s="188" t="s">
        <v>138</v>
      </c>
      <c r="C2136" s="188" t="s">
        <v>98</v>
      </c>
      <c r="D2136" s="188" t="s">
        <v>625</v>
      </c>
      <c r="E2136" s="188" t="s">
        <v>2482</v>
      </c>
      <c r="F2136" s="234" t="s">
        <v>268</v>
      </c>
      <c r="G2136" s="253">
        <v>-189</v>
      </c>
      <c r="H2136" s="253">
        <v>-189</v>
      </c>
      <c r="I2136" s="257" t="s">
        <v>98</v>
      </c>
      <c r="J2136" s="198" t="s">
        <v>246</v>
      </c>
      <c r="K2136" s="188"/>
      <c r="L2136" s="197"/>
      <c r="M2136" s="197"/>
      <c r="N2136" s="197"/>
      <c r="O2136" s="197"/>
    </row>
    <row r="2137" spans="1:15">
      <c r="A2137" s="188" t="s">
        <v>232</v>
      </c>
      <c r="B2137" s="188" t="s">
        <v>138</v>
      </c>
      <c r="C2137" s="188" t="s">
        <v>98</v>
      </c>
      <c r="D2137" s="188" t="s">
        <v>1760</v>
      </c>
      <c r="E2137" s="188" t="s">
        <v>643</v>
      </c>
      <c r="F2137" s="234" t="s">
        <v>268</v>
      </c>
      <c r="G2137" s="253">
        <v>-200</v>
      </c>
      <c r="H2137" s="253">
        <v>-200</v>
      </c>
      <c r="I2137" s="257" t="s">
        <v>98</v>
      </c>
      <c r="J2137" s="244" t="s">
        <v>246</v>
      </c>
      <c r="K2137" s="188"/>
      <c r="L2137" s="197"/>
      <c r="M2137" s="197"/>
      <c r="N2137" s="197"/>
      <c r="O2137" s="197"/>
    </row>
    <row r="2138" spans="1:15">
      <c r="A2138" s="188" t="s">
        <v>137</v>
      </c>
      <c r="B2138" s="188" t="s">
        <v>138</v>
      </c>
      <c r="C2138" s="188" t="s">
        <v>98</v>
      </c>
      <c r="D2138" s="188" t="s">
        <v>2483</v>
      </c>
      <c r="E2138" s="188" t="s">
        <v>2484</v>
      </c>
      <c r="F2138" s="234" t="s">
        <v>268</v>
      </c>
      <c r="G2138" s="253">
        <v>-89.9</v>
      </c>
      <c r="H2138" s="253">
        <v>-89.9</v>
      </c>
      <c r="I2138" s="257" t="s">
        <v>98</v>
      </c>
      <c r="J2138" s="198" t="s">
        <v>246</v>
      </c>
      <c r="K2138" s="188"/>
      <c r="L2138" s="197"/>
      <c r="M2138" s="197"/>
      <c r="N2138" s="197"/>
      <c r="O2138" s="197"/>
    </row>
    <row r="2139" spans="1:15">
      <c r="A2139" s="188" t="s">
        <v>137</v>
      </c>
      <c r="B2139" s="188" t="s">
        <v>138</v>
      </c>
      <c r="C2139" s="188" t="s">
        <v>98</v>
      </c>
      <c r="D2139" s="188" t="s">
        <v>2483</v>
      </c>
      <c r="E2139" s="188" t="s">
        <v>2484</v>
      </c>
      <c r="F2139" s="234" t="s">
        <v>268</v>
      </c>
      <c r="G2139" s="253">
        <v>-89.9</v>
      </c>
      <c r="H2139" s="253">
        <v>-89.9</v>
      </c>
      <c r="I2139" s="257" t="s">
        <v>98</v>
      </c>
      <c r="J2139" s="198" t="s">
        <v>246</v>
      </c>
      <c r="K2139" s="188"/>
      <c r="L2139" s="197"/>
      <c r="M2139" s="197"/>
      <c r="N2139" s="197"/>
      <c r="O2139" s="197"/>
    </row>
    <row r="2140" spans="1:15">
      <c r="A2140" s="188" t="s">
        <v>137</v>
      </c>
      <c r="B2140" s="188" t="s">
        <v>138</v>
      </c>
      <c r="C2140" s="188" t="s">
        <v>97</v>
      </c>
      <c r="D2140" s="188" t="s">
        <v>2485</v>
      </c>
      <c r="E2140" s="188" t="s">
        <v>2486</v>
      </c>
      <c r="F2140" s="234" t="s">
        <v>268</v>
      </c>
      <c r="G2140" s="253">
        <v>-295.47000000000003</v>
      </c>
      <c r="H2140" s="253">
        <v>-295.47000000000003</v>
      </c>
      <c r="I2140" s="257" t="s">
        <v>97</v>
      </c>
      <c r="J2140" s="198" t="s">
        <v>143</v>
      </c>
      <c r="K2140" s="188"/>
      <c r="L2140" s="197"/>
      <c r="M2140" s="197"/>
      <c r="N2140" s="197"/>
      <c r="O2140" s="197"/>
    </row>
    <row r="2141" spans="1:15">
      <c r="A2141" s="188" t="s">
        <v>137</v>
      </c>
      <c r="B2141" s="188" t="s">
        <v>138</v>
      </c>
      <c r="C2141" s="188" t="s">
        <v>652</v>
      </c>
      <c r="D2141" s="188" t="s">
        <v>1178</v>
      </c>
      <c r="E2141" s="188" t="s">
        <v>2487</v>
      </c>
      <c r="F2141" s="234" t="s">
        <v>268</v>
      </c>
      <c r="G2141" s="253">
        <v>-120</v>
      </c>
      <c r="H2141" s="253">
        <v>-120</v>
      </c>
      <c r="I2141" s="257" t="s">
        <v>97</v>
      </c>
      <c r="J2141" s="198" t="s">
        <v>246</v>
      </c>
      <c r="K2141" s="188"/>
      <c r="L2141" s="197"/>
      <c r="M2141" s="197"/>
      <c r="N2141" s="197"/>
      <c r="O2141" s="197"/>
    </row>
    <row r="2142" spans="1:15" hidden="1">
      <c r="A2142" s="195" t="s">
        <v>137</v>
      </c>
      <c r="B2142" s="195" t="s">
        <v>138</v>
      </c>
      <c r="C2142" s="195" t="s">
        <v>106</v>
      </c>
      <c r="D2142" s="195" t="s">
        <v>655</v>
      </c>
      <c r="E2142" s="208" t="s">
        <v>2488</v>
      </c>
      <c r="F2142" s="195" t="s">
        <v>153</v>
      </c>
      <c r="G2142" s="242">
        <v>-37.07</v>
      </c>
      <c r="H2142" s="243">
        <v>-37.07</v>
      </c>
      <c r="I2142" s="195" t="s">
        <v>106</v>
      </c>
      <c r="J2142" s="244" t="s">
        <v>164</v>
      </c>
      <c r="K2142" s="188"/>
      <c r="L2142" s="197"/>
      <c r="M2142" s="197"/>
      <c r="N2142" s="197"/>
      <c r="O2142" s="197"/>
    </row>
    <row r="2143" spans="1:15">
      <c r="A2143" s="188" t="s">
        <v>137</v>
      </c>
      <c r="B2143" s="188" t="s">
        <v>138</v>
      </c>
      <c r="C2143" s="188" t="s">
        <v>652</v>
      </c>
      <c r="D2143" s="188" t="s">
        <v>1178</v>
      </c>
      <c r="E2143" s="188" t="s">
        <v>2489</v>
      </c>
      <c r="F2143" s="234" t="s">
        <v>268</v>
      </c>
      <c r="G2143" s="253">
        <v>-120</v>
      </c>
      <c r="H2143" s="253">
        <v>-120</v>
      </c>
      <c r="I2143" s="257" t="s">
        <v>97</v>
      </c>
      <c r="J2143" s="198" t="s">
        <v>246</v>
      </c>
      <c r="K2143" s="188"/>
      <c r="L2143" s="197"/>
      <c r="M2143" s="197"/>
      <c r="N2143" s="197"/>
      <c r="O2143" s="197"/>
    </row>
    <row r="2144" spans="1:15">
      <c r="A2144" s="188" t="s">
        <v>137</v>
      </c>
      <c r="B2144" s="188" t="s">
        <v>138</v>
      </c>
      <c r="C2144" s="188" t="s">
        <v>652</v>
      </c>
      <c r="D2144" s="188" t="s">
        <v>1178</v>
      </c>
      <c r="E2144" s="188" t="s">
        <v>2490</v>
      </c>
      <c r="F2144" s="234" t="s">
        <v>268</v>
      </c>
      <c r="G2144" s="253">
        <v>-120</v>
      </c>
      <c r="H2144" s="253">
        <v>-120</v>
      </c>
      <c r="I2144" s="257" t="s">
        <v>97</v>
      </c>
      <c r="J2144" s="198" t="s">
        <v>246</v>
      </c>
      <c r="K2144" s="188"/>
      <c r="L2144" s="197"/>
      <c r="M2144" s="197"/>
      <c r="N2144" s="197"/>
      <c r="O2144" s="197"/>
    </row>
    <row r="2145" spans="1:15">
      <c r="A2145" s="188" t="s">
        <v>137</v>
      </c>
      <c r="B2145" s="188" t="s">
        <v>138</v>
      </c>
      <c r="C2145" s="188" t="s">
        <v>652</v>
      </c>
      <c r="D2145" s="188" t="s">
        <v>1178</v>
      </c>
      <c r="E2145" s="188" t="s">
        <v>2491</v>
      </c>
      <c r="F2145" s="234" t="s">
        <v>268</v>
      </c>
      <c r="G2145" s="253">
        <v>-120</v>
      </c>
      <c r="H2145" s="253">
        <v>-120</v>
      </c>
      <c r="I2145" s="257" t="s">
        <v>97</v>
      </c>
      <c r="J2145" s="198" t="s">
        <v>246</v>
      </c>
      <c r="K2145" s="188"/>
      <c r="L2145" s="197"/>
      <c r="M2145" s="197"/>
      <c r="N2145" s="197"/>
      <c r="O2145" s="197"/>
    </row>
    <row r="2146" spans="1:15">
      <c r="A2146" s="188" t="s">
        <v>137</v>
      </c>
      <c r="B2146" s="188" t="s">
        <v>138</v>
      </c>
      <c r="C2146" s="188" t="s">
        <v>652</v>
      </c>
      <c r="D2146" s="188" t="s">
        <v>1178</v>
      </c>
      <c r="E2146" s="188" t="s">
        <v>2492</v>
      </c>
      <c r="F2146" s="234" t="s">
        <v>268</v>
      </c>
      <c r="G2146" s="253">
        <v>-120</v>
      </c>
      <c r="H2146" s="253">
        <v>-120</v>
      </c>
      <c r="I2146" s="257" t="s">
        <v>97</v>
      </c>
      <c r="J2146" s="198" t="s">
        <v>246</v>
      </c>
      <c r="K2146" s="188"/>
      <c r="L2146" s="197"/>
      <c r="M2146" s="197"/>
      <c r="N2146" s="197"/>
      <c r="O2146" s="197"/>
    </row>
    <row r="2147" spans="1:15">
      <c r="A2147" s="188" t="s">
        <v>137</v>
      </c>
      <c r="B2147" s="188" t="s">
        <v>138</v>
      </c>
      <c r="C2147" s="188" t="s">
        <v>652</v>
      </c>
      <c r="D2147" s="188" t="s">
        <v>1178</v>
      </c>
      <c r="E2147" s="188" t="s">
        <v>2493</v>
      </c>
      <c r="F2147" s="234" t="s">
        <v>268</v>
      </c>
      <c r="G2147" s="253">
        <v>-120</v>
      </c>
      <c r="H2147" s="253">
        <v>-120</v>
      </c>
      <c r="I2147" s="257" t="s">
        <v>97</v>
      </c>
      <c r="J2147" s="198" t="s">
        <v>246</v>
      </c>
      <c r="K2147" s="188"/>
      <c r="L2147" s="197"/>
      <c r="M2147" s="197"/>
      <c r="N2147" s="197"/>
      <c r="O2147" s="197"/>
    </row>
    <row r="2148" spans="1:15">
      <c r="A2148" s="188" t="s">
        <v>137</v>
      </c>
      <c r="B2148" s="188" t="s">
        <v>138</v>
      </c>
      <c r="C2148" s="188" t="s">
        <v>652</v>
      </c>
      <c r="D2148" s="188" t="s">
        <v>1178</v>
      </c>
      <c r="E2148" s="188" t="s">
        <v>2493</v>
      </c>
      <c r="F2148" s="234" t="s">
        <v>268</v>
      </c>
      <c r="G2148" s="253">
        <v>-120</v>
      </c>
      <c r="H2148" s="253">
        <v>-120</v>
      </c>
      <c r="I2148" s="257" t="s">
        <v>97</v>
      </c>
      <c r="J2148" s="198" t="s">
        <v>246</v>
      </c>
      <c r="K2148" s="188"/>
      <c r="L2148" s="197"/>
      <c r="M2148" s="197"/>
      <c r="N2148" s="197"/>
      <c r="O2148" s="197"/>
    </row>
    <row r="2149" spans="1:15">
      <c r="A2149" s="188" t="s">
        <v>137</v>
      </c>
      <c r="B2149" s="188" t="s">
        <v>138</v>
      </c>
      <c r="C2149" s="188" t="s">
        <v>652</v>
      </c>
      <c r="D2149" s="188" t="s">
        <v>1178</v>
      </c>
      <c r="E2149" s="188" t="s">
        <v>2493</v>
      </c>
      <c r="F2149" s="234" t="s">
        <v>268</v>
      </c>
      <c r="G2149" s="253">
        <v>-120</v>
      </c>
      <c r="H2149" s="253">
        <v>-120</v>
      </c>
      <c r="I2149" s="257" t="s">
        <v>97</v>
      </c>
      <c r="J2149" s="198" t="s">
        <v>246</v>
      </c>
      <c r="K2149" s="188"/>
      <c r="L2149" s="197"/>
      <c r="M2149" s="197"/>
      <c r="N2149" s="197"/>
      <c r="O2149" s="197"/>
    </row>
    <row r="2150" spans="1:15">
      <c r="A2150" s="188" t="s">
        <v>137</v>
      </c>
      <c r="B2150" s="188" t="s">
        <v>138</v>
      </c>
      <c r="C2150" s="188" t="s">
        <v>652</v>
      </c>
      <c r="D2150" s="188" t="s">
        <v>1178</v>
      </c>
      <c r="E2150" s="188" t="s">
        <v>2493</v>
      </c>
      <c r="F2150" s="234" t="s">
        <v>268</v>
      </c>
      <c r="G2150" s="253">
        <v>-120</v>
      </c>
      <c r="H2150" s="253">
        <v>-120</v>
      </c>
      <c r="I2150" s="257" t="s">
        <v>97</v>
      </c>
      <c r="J2150" s="198" t="s">
        <v>246</v>
      </c>
      <c r="K2150" s="188"/>
      <c r="L2150" s="197"/>
      <c r="M2150" s="197"/>
      <c r="N2150" s="197"/>
      <c r="O2150" s="197"/>
    </row>
    <row r="2151" spans="1:15">
      <c r="A2151" s="188" t="s">
        <v>137</v>
      </c>
      <c r="B2151" s="188" t="s">
        <v>138</v>
      </c>
      <c r="C2151" s="188" t="s">
        <v>652</v>
      </c>
      <c r="D2151" s="188" t="s">
        <v>1178</v>
      </c>
      <c r="E2151" s="188" t="s">
        <v>2494</v>
      </c>
      <c r="F2151" s="234" t="s">
        <v>268</v>
      </c>
      <c r="G2151" s="253">
        <v>-120</v>
      </c>
      <c r="H2151" s="253">
        <v>-120</v>
      </c>
      <c r="I2151" s="257" t="s">
        <v>97</v>
      </c>
      <c r="J2151" s="198" t="s">
        <v>246</v>
      </c>
      <c r="K2151" s="188"/>
      <c r="L2151" s="197"/>
      <c r="M2151" s="197"/>
      <c r="N2151" s="197"/>
      <c r="O2151" s="197"/>
    </row>
    <row r="2152" spans="1:15">
      <c r="A2152" s="188" t="s">
        <v>137</v>
      </c>
      <c r="B2152" s="188" t="s">
        <v>138</v>
      </c>
      <c r="C2152" s="188" t="s">
        <v>652</v>
      </c>
      <c r="D2152" s="188" t="s">
        <v>1178</v>
      </c>
      <c r="E2152" s="188" t="s">
        <v>2495</v>
      </c>
      <c r="F2152" s="234" t="s">
        <v>268</v>
      </c>
      <c r="G2152" s="253">
        <v>-120</v>
      </c>
      <c r="H2152" s="253">
        <v>-120</v>
      </c>
      <c r="I2152" s="257" t="s">
        <v>97</v>
      </c>
      <c r="J2152" s="198" t="s">
        <v>246</v>
      </c>
      <c r="K2152" s="188"/>
      <c r="L2152" s="197"/>
      <c r="M2152" s="197"/>
      <c r="N2152" s="197"/>
      <c r="O2152" s="197"/>
    </row>
    <row r="2153" spans="1:15">
      <c r="A2153" s="188" t="s">
        <v>137</v>
      </c>
      <c r="B2153" s="188" t="s">
        <v>683</v>
      </c>
      <c r="C2153" s="188" t="s">
        <v>684</v>
      </c>
      <c r="D2153" s="188" t="s">
        <v>2129</v>
      </c>
      <c r="E2153" s="188" t="s">
        <v>2496</v>
      </c>
      <c r="F2153" s="234" t="s">
        <v>268</v>
      </c>
      <c r="G2153" s="316">
        <v>44.22</v>
      </c>
      <c r="H2153" s="316">
        <v>44.22</v>
      </c>
      <c r="I2153" s="198" t="s">
        <v>112</v>
      </c>
      <c r="J2153" s="250" t="s">
        <v>143</v>
      </c>
      <c r="K2153" s="195" t="s">
        <v>687</v>
      </c>
      <c r="L2153" s="197"/>
      <c r="M2153" s="197"/>
      <c r="N2153" s="197"/>
      <c r="O2153" s="197"/>
    </row>
    <row r="2154" spans="1:15">
      <c r="A2154" s="188" t="s">
        <v>137</v>
      </c>
      <c r="B2154" s="188" t="s">
        <v>683</v>
      </c>
      <c r="C2154" s="188" t="s">
        <v>684</v>
      </c>
      <c r="D2154" s="188" t="s">
        <v>689</v>
      </c>
      <c r="E2154" s="188" t="s">
        <v>2497</v>
      </c>
      <c r="F2154" s="234" t="s">
        <v>268</v>
      </c>
      <c r="G2154" s="316">
        <v>110.55</v>
      </c>
      <c r="H2154" s="316">
        <v>110.55</v>
      </c>
      <c r="I2154" s="198" t="s">
        <v>112</v>
      </c>
      <c r="J2154" s="250" t="s">
        <v>143</v>
      </c>
      <c r="K2154" s="195" t="s">
        <v>687</v>
      </c>
      <c r="L2154" s="197"/>
      <c r="M2154" s="197"/>
      <c r="N2154" s="197"/>
      <c r="O2154" s="197"/>
    </row>
    <row r="2155" spans="1:15">
      <c r="A2155" s="188" t="s">
        <v>137</v>
      </c>
      <c r="B2155" s="188" t="s">
        <v>683</v>
      </c>
      <c r="C2155" s="188" t="s">
        <v>684</v>
      </c>
      <c r="D2155" s="188" t="s">
        <v>694</v>
      </c>
      <c r="E2155" s="188" t="s">
        <v>2498</v>
      </c>
      <c r="F2155" s="234" t="s">
        <v>268</v>
      </c>
      <c r="G2155" s="316">
        <v>7.37</v>
      </c>
      <c r="H2155" s="316">
        <v>7.37</v>
      </c>
      <c r="I2155" s="198" t="s">
        <v>112</v>
      </c>
      <c r="J2155" s="250" t="s">
        <v>143</v>
      </c>
      <c r="K2155" s="195" t="s">
        <v>687</v>
      </c>
      <c r="L2155" s="197"/>
      <c r="M2155" s="197"/>
      <c r="N2155" s="197"/>
      <c r="O2155" s="197"/>
    </row>
    <row r="2156" spans="1:15">
      <c r="A2156" s="188" t="s">
        <v>137</v>
      </c>
      <c r="B2156" s="188" t="s">
        <v>683</v>
      </c>
      <c r="C2156" s="188" t="s">
        <v>684</v>
      </c>
      <c r="D2156" s="188" t="s">
        <v>699</v>
      </c>
      <c r="E2156" s="188" t="s">
        <v>2499</v>
      </c>
      <c r="F2156" s="234" t="s">
        <v>268</v>
      </c>
      <c r="G2156" s="316">
        <v>66.33</v>
      </c>
      <c r="H2156" s="316">
        <v>66.33</v>
      </c>
      <c r="I2156" s="198" t="s">
        <v>112</v>
      </c>
      <c r="J2156" s="250" t="s">
        <v>143</v>
      </c>
      <c r="K2156" s="195" t="s">
        <v>687</v>
      </c>
      <c r="L2156" s="197"/>
      <c r="M2156" s="197"/>
      <c r="N2156" s="197"/>
      <c r="O2156" s="197"/>
    </row>
    <row r="2157" spans="1:15">
      <c r="A2157" s="188" t="s">
        <v>137</v>
      </c>
      <c r="B2157" s="188" t="s">
        <v>683</v>
      </c>
      <c r="C2157" s="188" t="s">
        <v>684</v>
      </c>
      <c r="D2157" s="188" t="s">
        <v>704</v>
      </c>
      <c r="E2157" s="188" t="s">
        <v>2500</v>
      </c>
      <c r="F2157" s="234" t="s">
        <v>268</v>
      </c>
      <c r="G2157" s="316">
        <v>22.11</v>
      </c>
      <c r="H2157" s="316">
        <v>22.11</v>
      </c>
      <c r="I2157" s="198" t="s">
        <v>112</v>
      </c>
      <c r="J2157" s="250" t="s">
        <v>143</v>
      </c>
      <c r="K2157" s="195" t="s">
        <v>687</v>
      </c>
      <c r="L2157" s="197"/>
      <c r="M2157" s="197"/>
      <c r="N2157" s="197"/>
      <c r="O2157" s="197"/>
    </row>
    <row r="2158" spans="1:15">
      <c r="A2158" s="188" t="s">
        <v>137</v>
      </c>
      <c r="B2158" s="188" t="s">
        <v>683</v>
      </c>
      <c r="C2158" s="188" t="s">
        <v>684</v>
      </c>
      <c r="D2158" s="188" t="s">
        <v>709</v>
      </c>
      <c r="E2158" s="188" t="s">
        <v>2501</v>
      </c>
      <c r="F2158" s="234" t="s">
        <v>268</v>
      </c>
      <c r="G2158" s="316">
        <v>22.11</v>
      </c>
      <c r="H2158" s="316">
        <v>22.11</v>
      </c>
      <c r="I2158" s="198" t="s">
        <v>112</v>
      </c>
      <c r="J2158" s="250" t="s">
        <v>143</v>
      </c>
      <c r="K2158" s="195" t="s">
        <v>687</v>
      </c>
      <c r="L2158" s="197"/>
      <c r="M2158" s="197"/>
      <c r="N2158" s="197"/>
      <c r="O2158" s="197"/>
    </row>
    <row r="2159" spans="1:15">
      <c r="A2159" s="188" t="s">
        <v>137</v>
      </c>
      <c r="B2159" s="188" t="s">
        <v>683</v>
      </c>
      <c r="C2159" s="188" t="s">
        <v>684</v>
      </c>
      <c r="D2159" s="188" t="s">
        <v>322</v>
      </c>
      <c r="E2159" s="188" t="s">
        <v>2502</v>
      </c>
      <c r="F2159" s="234" t="s">
        <v>268</v>
      </c>
      <c r="G2159" s="316">
        <v>101.59</v>
      </c>
      <c r="H2159" s="316">
        <v>101.59</v>
      </c>
      <c r="I2159" s="198" t="s">
        <v>112</v>
      </c>
      <c r="J2159" s="250" t="s">
        <v>143</v>
      </c>
      <c r="K2159" s="195" t="s">
        <v>687</v>
      </c>
      <c r="L2159" s="197"/>
      <c r="M2159" s="197"/>
      <c r="N2159" s="197"/>
      <c r="O2159" s="197"/>
    </row>
    <row r="2160" spans="1:15">
      <c r="A2160" s="188" t="s">
        <v>137</v>
      </c>
      <c r="B2160" s="188" t="s">
        <v>683</v>
      </c>
      <c r="C2160" s="188" t="s">
        <v>684</v>
      </c>
      <c r="D2160" s="188" t="s">
        <v>718</v>
      </c>
      <c r="E2160" s="188" t="s">
        <v>2503</v>
      </c>
      <c r="F2160" s="234" t="s">
        <v>268</v>
      </c>
      <c r="G2160" s="316">
        <v>14.74</v>
      </c>
      <c r="H2160" s="316">
        <v>14.74</v>
      </c>
      <c r="I2160" s="198" t="s">
        <v>112</v>
      </c>
      <c r="J2160" s="250" t="s">
        <v>143</v>
      </c>
      <c r="K2160" s="195" t="s">
        <v>687</v>
      </c>
      <c r="L2160" s="197"/>
      <c r="M2160" s="197"/>
      <c r="N2160" s="197"/>
      <c r="O2160" s="197"/>
    </row>
    <row r="2161" spans="1:15">
      <c r="A2161" s="188" t="s">
        <v>137</v>
      </c>
      <c r="B2161" s="188" t="s">
        <v>683</v>
      </c>
      <c r="C2161" s="188" t="s">
        <v>684</v>
      </c>
      <c r="D2161" s="188" t="s">
        <v>721</v>
      </c>
      <c r="E2161" s="188" t="s">
        <v>2504</v>
      </c>
      <c r="F2161" s="234" t="s">
        <v>268</v>
      </c>
      <c r="G2161" s="316">
        <v>64.739999999999995</v>
      </c>
      <c r="H2161" s="316">
        <v>64.739999999999995</v>
      </c>
      <c r="I2161" s="198" t="s">
        <v>112</v>
      </c>
      <c r="J2161" s="250" t="s">
        <v>143</v>
      </c>
      <c r="K2161" s="195" t="s">
        <v>687</v>
      </c>
      <c r="L2161" s="197"/>
      <c r="M2161" s="197"/>
      <c r="N2161" s="197"/>
      <c r="O2161" s="197"/>
    </row>
    <row r="2162" spans="1:15">
      <c r="A2162" s="188" t="s">
        <v>137</v>
      </c>
      <c r="B2162" s="188" t="s">
        <v>683</v>
      </c>
      <c r="C2162" s="188" t="s">
        <v>684</v>
      </c>
      <c r="D2162" s="188" t="s">
        <v>726</v>
      </c>
      <c r="E2162" s="188" t="s">
        <v>2505</v>
      </c>
      <c r="F2162" s="234" t="s">
        <v>268</v>
      </c>
      <c r="G2162" s="316">
        <v>94.22</v>
      </c>
      <c r="H2162" s="316">
        <v>94.22</v>
      </c>
      <c r="I2162" s="198" t="s">
        <v>112</v>
      </c>
      <c r="J2162" s="250" t="s">
        <v>143</v>
      </c>
      <c r="K2162" s="195" t="s">
        <v>687</v>
      </c>
      <c r="L2162" s="197"/>
      <c r="M2162" s="197"/>
      <c r="N2162" s="197"/>
      <c r="O2162" s="197"/>
    </row>
    <row r="2163" spans="1:15">
      <c r="A2163" s="188" t="s">
        <v>137</v>
      </c>
      <c r="B2163" s="188" t="s">
        <v>683</v>
      </c>
      <c r="C2163" s="188" t="s">
        <v>684</v>
      </c>
      <c r="D2163" s="188" t="s">
        <v>731</v>
      </c>
      <c r="E2163" s="188" t="s">
        <v>2506</v>
      </c>
      <c r="F2163" s="234" t="s">
        <v>268</v>
      </c>
      <c r="G2163" s="316">
        <v>22.11</v>
      </c>
      <c r="H2163" s="316">
        <v>22.11</v>
      </c>
      <c r="I2163" s="198" t="s">
        <v>112</v>
      </c>
      <c r="J2163" s="250" t="s">
        <v>143</v>
      </c>
      <c r="K2163" s="195" t="s">
        <v>687</v>
      </c>
      <c r="L2163" s="197"/>
      <c r="M2163" s="197"/>
      <c r="N2163" s="197"/>
      <c r="O2163" s="197"/>
    </row>
    <row r="2164" spans="1:15">
      <c r="A2164" s="188" t="s">
        <v>137</v>
      </c>
      <c r="B2164" s="188" t="s">
        <v>683</v>
      </c>
      <c r="C2164" s="188" t="s">
        <v>684</v>
      </c>
      <c r="D2164" s="188" t="s">
        <v>736</v>
      </c>
      <c r="E2164" s="188" t="s">
        <v>2507</v>
      </c>
      <c r="F2164" s="234" t="s">
        <v>268</v>
      </c>
      <c r="G2164" s="316">
        <v>44.22</v>
      </c>
      <c r="H2164" s="316">
        <v>44.22</v>
      </c>
      <c r="I2164" s="198" t="s">
        <v>112</v>
      </c>
      <c r="J2164" s="250" t="s">
        <v>143</v>
      </c>
      <c r="K2164" s="195" t="s">
        <v>687</v>
      </c>
      <c r="L2164" s="197"/>
      <c r="M2164" s="197"/>
      <c r="N2164" s="197"/>
      <c r="O2164" s="197"/>
    </row>
    <row r="2165" spans="1:15">
      <c r="A2165" s="188" t="s">
        <v>137</v>
      </c>
      <c r="B2165" s="188" t="s">
        <v>683</v>
      </c>
      <c r="C2165" s="188" t="s">
        <v>684</v>
      </c>
      <c r="D2165" s="188" t="s">
        <v>1801</v>
      </c>
      <c r="E2165" s="188" t="s">
        <v>2508</v>
      </c>
      <c r="F2165" s="234" t="s">
        <v>268</v>
      </c>
      <c r="G2165" s="316">
        <v>14.74</v>
      </c>
      <c r="H2165" s="316">
        <v>14.74</v>
      </c>
      <c r="I2165" s="198" t="s">
        <v>112</v>
      </c>
      <c r="J2165" s="250" t="s">
        <v>143</v>
      </c>
      <c r="K2165" s="195" t="s">
        <v>687</v>
      </c>
      <c r="L2165" s="197"/>
      <c r="M2165" s="197"/>
      <c r="N2165" s="197"/>
      <c r="O2165" s="197"/>
    </row>
    <row r="2166" spans="1:15">
      <c r="A2166" s="188" t="s">
        <v>137</v>
      </c>
      <c r="B2166" s="188" t="s">
        <v>683</v>
      </c>
      <c r="C2166" s="188" t="s">
        <v>684</v>
      </c>
      <c r="D2166" s="188" t="s">
        <v>2143</v>
      </c>
      <c r="E2166" s="188" t="s">
        <v>2509</v>
      </c>
      <c r="F2166" s="234" t="s">
        <v>268</v>
      </c>
      <c r="G2166" s="316">
        <v>66.33</v>
      </c>
      <c r="H2166" s="316">
        <v>66.33</v>
      </c>
      <c r="I2166" s="198" t="s">
        <v>112</v>
      </c>
      <c r="J2166" s="250" t="s">
        <v>143</v>
      </c>
      <c r="K2166" s="195" t="s">
        <v>687</v>
      </c>
      <c r="L2166" s="197"/>
      <c r="M2166" s="197"/>
      <c r="N2166" s="197"/>
      <c r="O2166" s="197"/>
    </row>
    <row r="2167" spans="1:15">
      <c r="A2167" s="188" t="s">
        <v>137</v>
      </c>
      <c r="B2167" s="188" t="s">
        <v>683</v>
      </c>
      <c r="C2167" s="188" t="s">
        <v>684</v>
      </c>
      <c r="D2167" s="188" t="s">
        <v>747</v>
      </c>
      <c r="E2167" s="188" t="s">
        <v>2510</v>
      </c>
      <c r="F2167" s="234" t="s">
        <v>268</v>
      </c>
      <c r="G2167" s="316">
        <v>22.11</v>
      </c>
      <c r="H2167" s="316">
        <v>22.11</v>
      </c>
      <c r="I2167" s="198" t="s">
        <v>112</v>
      </c>
      <c r="J2167" s="250" t="s">
        <v>143</v>
      </c>
      <c r="K2167" s="195" t="s">
        <v>687</v>
      </c>
      <c r="L2167" s="197"/>
      <c r="M2167" s="197"/>
      <c r="N2167" s="197"/>
      <c r="O2167" s="197"/>
    </row>
    <row r="2168" spans="1:15">
      <c r="A2168" s="188" t="s">
        <v>137</v>
      </c>
      <c r="B2168" s="188" t="s">
        <v>683</v>
      </c>
      <c r="C2168" s="188" t="s">
        <v>684</v>
      </c>
      <c r="D2168" s="188" t="s">
        <v>2511</v>
      </c>
      <c r="E2168" s="188" t="s">
        <v>2512</v>
      </c>
      <c r="F2168" s="234" t="s">
        <v>268</v>
      </c>
      <c r="G2168" s="316">
        <v>22.11</v>
      </c>
      <c r="H2168" s="316">
        <v>22.11</v>
      </c>
      <c r="I2168" s="198" t="s">
        <v>112</v>
      </c>
      <c r="J2168" s="250" t="s">
        <v>143</v>
      </c>
      <c r="K2168" s="195" t="s">
        <v>687</v>
      </c>
      <c r="L2168" s="197"/>
      <c r="M2168" s="197"/>
      <c r="N2168" s="197"/>
      <c r="O2168" s="197"/>
    </row>
    <row r="2169" spans="1:15">
      <c r="A2169" s="188" t="s">
        <v>137</v>
      </c>
      <c r="B2169" s="188" t="s">
        <v>683</v>
      </c>
      <c r="C2169" s="188" t="s">
        <v>684</v>
      </c>
      <c r="D2169" s="188" t="s">
        <v>754</v>
      </c>
      <c r="E2169" s="188" t="s">
        <v>2513</v>
      </c>
      <c r="F2169" s="234" t="s">
        <v>268</v>
      </c>
      <c r="G2169" s="316">
        <v>117.92</v>
      </c>
      <c r="H2169" s="316">
        <v>117.92</v>
      </c>
      <c r="I2169" s="198" t="s">
        <v>112</v>
      </c>
      <c r="J2169" s="250" t="s">
        <v>143</v>
      </c>
      <c r="K2169" s="195" t="s">
        <v>687</v>
      </c>
      <c r="L2169" s="197"/>
      <c r="M2169" s="197"/>
      <c r="N2169" s="197"/>
      <c r="O2169" s="197"/>
    </row>
    <row r="2170" spans="1:15">
      <c r="A2170" s="188" t="s">
        <v>137</v>
      </c>
      <c r="B2170" s="188" t="s">
        <v>683</v>
      </c>
      <c r="C2170" s="188" t="s">
        <v>684</v>
      </c>
      <c r="D2170" s="188" t="s">
        <v>759</v>
      </c>
      <c r="E2170" s="188" t="s">
        <v>2514</v>
      </c>
      <c r="F2170" s="234" t="s">
        <v>268</v>
      </c>
      <c r="G2170" s="316">
        <v>44.22</v>
      </c>
      <c r="H2170" s="316">
        <v>44.22</v>
      </c>
      <c r="I2170" s="198" t="s">
        <v>112</v>
      </c>
      <c r="J2170" s="250" t="s">
        <v>143</v>
      </c>
      <c r="K2170" s="195" t="s">
        <v>687</v>
      </c>
      <c r="L2170" s="197"/>
      <c r="M2170" s="197"/>
      <c r="N2170" s="197"/>
      <c r="O2170" s="197"/>
    </row>
    <row r="2171" spans="1:15">
      <c r="A2171" s="188" t="s">
        <v>137</v>
      </c>
      <c r="B2171" s="188" t="s">
        <v>683</v>
      </c>
      <c r="C2171" s="188" t="s">
        <v>684</v>
      </c>
      <c r="D2171" s="188" t="s">
        <v>764</v>
      </c>
      <c r="E2171" s="188" t="s">
        <v>2515</v>
      </c>
      <c r="F2171" s="234" t="s">
        <v>268</v>
      </c>
      <c r="G2171" s="316">
        <v>36.85</v>
      </c>
      <c r="H2171" s="316">
        <v>36.85</v>
      </c>
      <c r="I2171" s="198" t="s">
        <v>112</v>
      </c>
      <c r="J2171" s="250" t="s">
        <v>143</v>
      </c>
      <c r="K2171" s="195" t="s">
        <v>687</v>
      </c>
      <c r="L2171" s="197"/>
      <c r="M2171" s="197"/>
      <c r="N2171" s="197"/>
      <c r="O2171" s="197"/>
    </row>
    <row r="2172" spans="1:15">
      <c r="A2172" s="188" t="s">
        <v>137</v>
      </c>
      <c r="B2172" s="188" t="s">
        <v>683</v>
      </c>
      <c r="C2172" s="188" t="s">
        <v>684</v>
      </c>
      <c r="D2172" s="188" t="s">
        <v>774</v>
      </c>
      <c r="E2172" s="188" t="s">
        <v>2516</v>
      </c>
      <c r="F2172" s="234" t="s">
        <v>268</v>
      </c>
      <c r="G2172" s="316">
        <v>36.85</v>
      </c>
      <c r="H2172" s="316">
        <v>36.85</v>
      </c>
      <c r="I2172" s="198" t="s">
        <v>112</v>
      </c>
      <c r="J2172" s="250" t="s">
        <v>143</v>
      </c>
      <c r="K2172" s="195" t="s">
        <v>687</v>
      </c>
      <c r="L2172" s="197"/>
      <c r="M2172" s="197"/>
      <c r="N2172" s="197"/>
      <c r="O2172" s="197"/>
    </row>
    <row r="2173" spans="1:15">
      <c r="A2173" s="188" t="s">
        <v>137</v>
      </c>
      <c r="B2173" s="188" t="s">
        <v>683</v>
      </c>
      <c r="C2173" s="188" t="s">
        <v>684</v>
      </c>
      <c r="D2173" s="188" t="s">
        <v>779</v>
      </c>
      <c r="E2173" s="188" t="s">
        <v>2517</v>
      </c>
      <c r="F2173" s="234" t="s">
        <v>268</v>
      </c>
      <c r="G2173" s="316">
        <v>7.37</v>
      </c>
      <c r="H2173" s="316">
        <v>7.37</v>
      </c>
      <c r="I2173" s="198" t="s">
        <v>112</v>
      </c>
      <c r="J2173" s="250" t="s">
        <v>143</v>
      </c>
      <c r="K2173" s="195" t="s">
        <v>687</v>
      </c>
      <c r="L2173" s="197"/>
      <c r="M2173" s="197"/>
      <c r="N2173" s="197"/>
      <c r="O2173" s="197"/>
    </row>
    <row r="2174" spans="1:15">
      <c r="A2174" s="188" t="s">
        <v>137</v>
      </c>
      <c r="B2174" s="188" t="s">
        <v>683</v>
      </c>
      <c r="C2174" s="188" t="s">
        <v>684</v>
      </c>
      <c r="D2174" s="188" t="s">
        <v>784</v>
      </c>
      <c r="E2174" s="188" t="s">
        <v>2518</v>
      </c>
      <c r="F2174" s="234" t="s">
        <v>268</v>
      </c>
      <c r="G2174" s="316">
        <v>22.11</v>
      </c>
      <c r="H2174" s="316">
        <v>22.11</v>
      </c>
      <c r="I2174" s="198" t="s">
        <v>112</v>
      </c>
      <c r="J2174" s="250" t="s">
        <v>143</v>
      </c>
      <c r="K2174" s="195" t="s">
        <v>687</v>
      </c>
      <c r="L2174" s="197"/>
      <c r="M2174" s="197"/>
      <c r="N2174" s="197"/>
      <c r="O2174" s="197"/>
    </row>
    <row r="2175" spans="1:15">
      <c r="A2175" s="188" t="s">
        <v>137</v>
      </c>
      <c r="B2175" s="188" t="s">
        <v>683</v>
      </c>
      <c r="C2175" s="188" t="s">
        <v>684</v>
      </c>
      <c r="D2175" s="188" t="s">
        <v>789</v>
      </c>
      <c r="E2175" s="188" t="s">
        <v>2519</v>
      </c>
      <c r="F2175" s="234" t="s">
        <v>268</v>
      </c>
      <c r="G2175" s="316">
        <v>66.33</v>
      </c>
      <c r="H2175" s="316">
        <v>66.33</v>
      </c>
      <c r="I2175" s="198" t="s">
        <v>112</v>
      </c>
      <c r="J2175" s="250" t="s">
        <v>143</v>
      </c>
      <c r="K2175" s="195" t="s">
        <v>687</v>
      </c>
      <c r="L2175" s="197"/>
      <c r="M2175" s="197"/>
      <c r="N2175" s="197"/>
      <c r="O2175" s="197"/>
    </row>
    <row r="2176" spans="1:15">
      <c r="A2176" s="188" t="s">
        <v>137</v>
      </c>
      <c r="B2176" s="188" t="s">
        <v>683</v>
      </c>
      <c r="C2176" s="188" t="s">
        <v>684</v>
      </c>
      <c r="D2176" s="188" t="s">
        <v>403</v>
      </c>
      <c r="E2176" s="188" t="s">
        <v>2520</v>
      </c>
      <c r="F2176" s="234" t="s">
        <v>268</v>
      </c>
      <c r="G2176" s="316">
        <v>110.55</v>
      </c>
      <c r="H2176" s="316">
        <v>110.55</v>
      </c>
      <c r="I2176" s="198" t="s">
        <v>112</v>
      </c>
      <c r="J2176" s="250" t="s">
        <v>143</v>
      </c>
      <c r="K2176" s="195" t="s">
        <v>687</v>
      </c>
      <c r="L2176" s="197"/>
      <c r="M2176" s="197"/>
      <c r="N2176" s="197"/>
      <c r="O2176" s="197"/>
    </row>
    <row r="2177" spans="1:15">
      <c r="A2177" s="188" t="s">
        <v>137</v>
      </c>
      <c r="B2177" s="188" t="s">
        <v>683</v>
      </c>
      <c r="C2177" s="188" t="s">
        <v>684</v>
      </c>
      <c r="D2177" s="188" t="s">
        <v>425</v>
      </c>
      <c r="E2177" s="188" t="s">
        <v>2521</v>
      </c>
      <c r="F2177" s="234" t="s">
        <v>268</v>
      </c>
      <c r="G2177" s="316">
        <v>140.03</v>
      </c>
      <c r="H2177" s="316">
        <v>140.03</v>
      </c>
      <c r="I2177" s="198" t="s">
        <v>112</v>
      </c>
      <c r="J2177" s="250" t="s">
        <v>143</v>
      </c>
      <c r="K2177" s="195" t="s">
        <v>687</v>
      </c>
      <c r="L2177" s="197"/>
      <c r="M2177" s="197"/>
      <c r="N2177" s="197"/>
      <c r="O2177" s="197"/>
    </row>
    <row r="2178" spans="1:15">
      <c r="A2178" s="188" t="s">
        <v>137</v>
      </c>
      <c r="B2178" s="188" t="s">
        <v>683</v>
      </c>
      <c r="C2178" s="188" t="s">
        <v>684</v>
      </c>
      <c r="D2178" s="188" t="s">
        <v>598</v>
      </c>
      <c r="E2178" s="188" t="s">
        <v>2522</v>
      </c>
      <c r="F2178" s="234" t="s">
        <v>268</v>
      </c>
      <c r="G2178" s="316">
        <v>58.96</v>
      </c>
      <c r="H2178" s="316">
        <v>58.96</v>
      </c>
      <c r="I2178" s="198" t="s">
        <v>112</v>
      </c>
      <c r="J2178" s="250" t="s">
        <v>143</v>
      </c>
      <c r="K2178" s="195" t="s">
        <v>687</v>
      </c>
      <c r="L2178" s="197"/>
      <c r="M2178" s="197"/>
      <c r="N2178" s="197"/>
      <c r="O2178" s="197"/>
    </row>
    <row r="2179" spans="1:15" hidden="1">
      <c r="A2179" s="195" t="s">
        <v>137</v>
      </c>
      <c r="B2179" s="195" t="s">
        <v>138</v>
      </c>
      <c r="C2179" s="195" t="s">
        <v>106</v>
      </c>
      <c r="D2179" s="195" t="s">
        <v>655</v>
      </c>
      <c r="E2179" s="208" t="s">
        <v>2018</v>
      </c>
      <c r="F2179" s="195" t="s">
        <v>153</v>
      </c>
      <c r="G2179" s="242">
        <v>-139.19999999999999</v>
      </c>
      <c r="H2179" s="243">
        <v>-139.19999999999999</v>
      </c>
      <c r="I2179" s="195" t="s">
        <v>106</v>
      </c>
      <c r="J2179" s="244" t="s">
        <v>164</v>
      </c>
      <c r="K2179" s="188"/>
      <c r="L2179" s="197"/>
      <c r="M2179" s="197"/>
      <c r="N2179" s="197"/>
      <c r="O2179" s="197"/>
    </row>
    <row r="2180" spans="1:15">
      <c r="A2180" s="188" t="s">
        <v>137</v>
      </c>
      <c r="B2180" s="188" t="s">
        <v>683</v>
      </c>
      <c r="C2180" s="188" t="s">
        <v>684</v>
      </c>
      <c r="D2180" s="188" t="s">
        <v>808</v>
      </c>
      <c r="E2180" s="188" t="s">
        <v>2523</v>
      </c>
      <c r="F2180" s="234" t="s">
        <v>268</v>
      </c>
      <c r="G2180" s="316">
        <v>36.85</v>
      </c>
      <c r="H2180" s="316">
        <v>36.85</v>
      </c>
      <c r="I2180" s="198" t="s">
        <v>112</v>
      </c>
      <c r="J2180" s="250" t="s">
        <v>143</v>
      </c>
      <c r="K2180" s="195" t="s">
        <v>687</v>
      </c>
      <c r="L2180" s="197"/>
      <c r="M2180" s="197"/>
      <c r="N2180" s="197"/>
      <c r="O2180" s="197"/>
    </row>
    <row r="2181" spans="1:15">
      <c r="A2181" s="188" t="s">
        <v>137</v>
      </c>
      <c r="B2181" s="188" t="s">
        <v>683</v>
      </c>
      <c r="C2181" s="188" t="s">
        <v>684</v>
      </c>
      <c r="D2181" s="188" t="s">
        <v>815</v>
      </c>
      <c r="E2181" s="188" t="s">
        <v>2524</v>
      </c>
      <c r="F2181" s="234" t="s">
        <v>268</v>
      </c>
      <c r="G2181" s="316">
        <v>22.11</v>
      </c>
      <c r="H2181" s="316">
        <v>22.11</v>
      </c>
      <c r="I2181" s="198" t="s">
        <v>112</v>
      </c>
      <c r="J2181" s="250" t="s">
        <v>143</v>
      </c>
      <c r="K2181" s="195" t="s">
        <v>687</v>
      </c>
      <c r="L2181" s="197"/>
      <c r="M2181" s="197"/>
      <c r="N2181" s="197"/>
      <c r="O2181" s="197"/>
    </row>
    <row r="2182" spans="1:15">
      <c r="A2182" s="188" t="s">
        <v>137</v>
      </c>
      <c r="B2182" s="188" t="s">
        <v>683</v>
      </c>
      <c r="C2182" s="188" t="s">
        <v>684</v>
      </c>
      <c r="D2182" s="188" t="s">
        <v>817</v>
      </c>
      <c r="E2182" s="188" t="s">
        <v>2525</v>
      </c>
      <c r="F2182" s="234" t="s">
        <v>268</v>
      </c>
      <c r="G2182" s="316">
        <v>29.48</v>
      </c>
      <c r="H2182" s="316">
        <v>29.48</v>
      </c>
      <c r="I2182" s="198" t="s">
        <v>112</v>
      </c>
      <c r="J2182" s="250" t="s">
        <v>143</v>
      </c>
      <c r="K2182" s="195" t="s">
        <v>687</v>
      </c>
      <c r="L2182" s="197"/>
      <c r="M2182" s="197"/>
      <c r="N2182" s="197"/>
      <c r="O2182" s="197"/>
    </row>
    <row r="2183" spans="1:15">
      <c r="A2183" s="188" t="s">
        <v>137</v>
      </c>
      <c r="B2183" s="188" t="s">
        <v>683</v>
      </c>
      <c r="C2183" s="188" t="s">
        <v>684</v>
      </c>
      <c r="D2183" s="188" t="s">
        <v>819</v>
      </c>
      <c r="E2183" s="188" t="s">
        <v>2526</v>
      </c>
      <c r="F2183" s="234" t="s">
        <v>268</v>
      </c>
      <c r="G2183" s="316">
        <v>44.22</v>
      </c>
      <c r="H2183" s="316">
        <v>44.22</v>
      </c>
      <c r="I2183" s="198" t="s">
        <v>112</v>
      </c>
      <c r="J2183" s="250" t="s">
        <v>143</v>
      </c>
      <c r="K2183" s="195" t="s">
        <v>687</v>
      </c>
      <c r="L2183" s="197"/>
      <c r="M2183" s="197"/>
      <c r="N2183" s="197"/>
      <c r="O2183" s="197"/>
    </row>
    <row r="2184" spans="1:15">
      <c r="A2184" s="188" t="s">
        <v>137</v>
      </c>
      <c r="B2184" s="188" t="s">
        <v>683</v>
      </c>
      <c r="C2184" s="188" t="s">
        <v>684</v>
      </c>
      <c r="D2184" s="188" t="s">
        <v>824</v>
      </c>
      <c r="E2184" s="188" t="s">
        <v>2527</v>
      </c>
      <c r="F2184" s="234" t="s">
        <v>268</v>
      </c>
      <c r="G2184" s="316">
        <v>129.47999999999999</v>
      </c>
      <c r="H2184" s="316">
        <v>129.47999999999999</v>
      </c>
      <c r="I2184" s="198" t="s">
        <v>112</v>
      </c>
      <c r="J2184" s="250" t="s">
        <v>143</v>
      </c>
      <c r="K2184" s="195" t="s">
        <v>687</v>
      </c>
      <c r="L2184" s="197"/>
      <c r="M2184" s="197"/>
      <c r="N2184" s="197"/>
      <c r="O2184" s="197"/>
    </row>
    <row r="2185" spans="1:15">
      <c r="A2185" s="188" t="s">
        <v>137</v>
      </c>
      <c r="B2185" s="188" t="s">
        <v>683</v>
      </c>
      <c r="C2185" s="188" t="s">
        <v>684</v>
      </c>
      <c r="D2185" s="188" t="s">
        <v>828</v>
      </c>
      <c r="E2185" s="188" t="s">
        <v>2528</v>
      </c>
      <c r="F2185" s="234" t="s">
        <v>268</v>
      </c>
      <c r="G2185" s="316">
        <v>29.48</v>
      </c>
      <c r="H2185" s="316">
        <v>29.48</v>
      </c>
      <c r="I2185" s="198" t="s">
        <v>112</v>
      </c>
      <c r="J2185" s="250" t="s">
        <v>143</v>
      </c>
      <c r="K2185" s="195" t="s">
        <v>687</v>
      </c>
      <c r="L2185" s="197"/>
      <c r="M2185" s="197"/>
      <c r="N2185" s="197"/>
      <c r="O2185" s="197"/>
    </row>
    <row r="2186" spans="1:15">
      <c r="A2186" s="188" t="s">
        <v>137</v>
      </c>
      <c r="B2186" s="188" t="s">
        <v>683</v>
      </c>
      <c r="C2186" s="188" t="s">
        <v>684</v>
      </c>
      <c r="D2186" s="188" t="s">
        <v>410</v>
      </c>
      <c r="E2186" s="188" t="s">
        <v>2529</v>
      </c>
      <c r="F2186" s="234" t="s">
        <v>268</v>
      </c>
      <c r="G2186" s="316">
        <v>108.96</v>
      </c>
      <c r="H2186" s="316">
        <v>108.96</v>
      </c>
      <c r="I2186" s="198" t="s">
        <v>112</v>
      </c>
      <c r="J2186" s="250" t="s">
        <v>143</v>
      </c>
      <c r="K2186" s="195" t="s">
        <v>687</v>
      </c>
      <c r="L2186" s="197"/>
      <c r="M2186" s="197"/>
      <c r="N2186" s="197"/>
      <c r="O2186" s="197"/>
    </row>
    <row r="2187" spans="1:15">
      <c r="A2187" s="188" t="s">
        <v>137</v>
      </c>
      <c r="B2187" s="188" t="s">
        <v>683</v>
      </c>
      <c r="C2187" s="188" t="s">
        <v>684</v>
      </c>
      <c r="D2187" s="188" t="s">
        <v>837</v>
      </c>
      <c r="E2187" s="188" t="s">
        <v>2530</v>
      </c>
      <c r="F2187" s="234" t="s">
        <v>268</v>
      </c>
      <c r="G2187" s="316">
        <v>136.85</v>
      </c>
      <c r="H2187" s="316">
        <v>136.85</v>
      </c>
      <c r="I2187" s="198" t="s">
        <v>112</v>
      </c>
      <c r="J2187" s="250" t="s">
        <v>143</v>
      </c>
      <c r="K2187" s="195" t="s">
        <v>687</v>
      </c>
      <c r="L2187" s="197"/>
      <c r="M2187" s="197"/>
      <c r="N2187" s="197"/>
      <c r="O2187" s="197"/>
    </row>
    <row r="2188" spans="1:15">
      <c r="A2188" s="188" t="s">
        <v>137</v>
      </c>
      <c r="B2188" s="188" t="s">
        <v>683</v>
      </c>
      <c r="C2188" s="188" t="s">
        <v>684</v>
      </c>
      <c r="D2188" s="188" t="s">
        <v>842</v>
      </c>
      <c r="E2188" s="188" t="s">
        <v>2531</v>
      </c>
      <c r="F2188" s="234" t="s">
        <v>268</v>
      </c>
      <c r="G2188" s="316">
        <v>51.59</v>
      </c>
      <c r="H2188" s="316">
        <v>51.59</v>
      </c>
      <c r="I2188" s="198" t="s">
        <v>112</v>
      </c>
      <c r="J2188" s="250" t="s">
        <v>143</v>
      </c>
      <c r="K2188" s="195" t="s">
        <v>687</v>
      </c>
      <c r="L2188" s="197"/>
      <c r="M2188" s="197"/>
      <c r="N2188" s="197"/>
      <c r="O2188" s="197"/>
    </row>
    <row r="2189" spans="1:15">
      <c r="A2189" s="188" t="s">
        <v>137</v>
      </c>
      <c r="B2189" s="188" t="s">
        <v>683</v>
      </c>
      <c r="C2189" s="188" t="s">
        <v>684</v>
      </c>
      <c r="D2189" s="188" t="s">
        <v>338</v>
      </c>
      <c r="E2189" s="188" t="s">
        <v>2532</v>
      </c>
      <c r="F2189" s="234" t="s">
        <v>268</v>
      </c>
      <c r="G2189" s="316">
        <v>44.22</v>
      </c>
      <c r="H2189" s="316">
        <v>44.22</v>
      </c>
      <c r="I2189" s="198" t="s">
        <v>112</v>
      </c>
      <c r="J2189" s="250" t="s">
        <v>143</v>
      </c>
      <c r="K2189" s="195" t="s">
        <v>687</v>
      </c>
      <c r="L2189" s="197"/>
      <c r="M2189" s="197"/>
      <c r="N2189" s="197"/>
      <c r="O2189" s="197"/>
    </row>
    <row r="2190" spans="1:15">
      <c r="A2190" s="188" t="s">
        <v>137</v>
      </c>
      <c r="B2190" s="188" t="s">
        <v>683</v>
      </c>
      <c r="C2190" s="188" t="s">
        <v>684</v>
      </c>
      <c r="D2190" s="188" t="s">
        <v>851</v>
      </c>
      <c r="E2190" s="188" t="s">
        <v>2533</v>
      </c>
      <c r="F2190" s="234" t="s">
        <v>268</v>
      </c>
      <c r="G2190" s="316">
        <v>7.37</v>
      </c>
      <c r="H2190" s="316">
        <v>7.37</v>
      </c>
      <c r="I2190" s="198" t="s">
        <v>112</v>
      </c>
      <c r="J2190" s="250" t="s">
        <v>143</v>
      </c>
      <c r="K2190" s="195" t="s">
        <v>687</v>
      </c>
      <c r="L2190" s="197"/>
      <c r="M2190" s="197"/>
      <c r="N2190" s="197"/>
      <c r="O2190" s="197"/>
    </row>
    <row r="2191" spans="1:15">
      <c r="A2191" s="188" t="s">
        <v>137</v>
      </c>
      <c r="B2191" s="188" t="s">
        <v>683</v>
      </c>
      <c r="C2191" s="188" t="s">
        <v>684</v>
      </c>
      <c r="D2191" s="188" t="s">
        <v>856</v>
      </c>
      <c r="E2191" s="188" t="s">
        <v>2534</v>
      </c>
      <c r="F2191" s="234" t="s">
        <v>268</v>
      </c>
      <c r="G2191" s="316">
        <v>22.11</v>
      </c>
      <c r="H2191" s="316">
        <v>22.11</v>
      </c>
      <c r="I2191" s="198" t="s">
        <v>112</v>
      </c>
      <c r="J2191" s="250" t="s">
        <v>143</v>
      </c>
      <c r="K2191" s="195" t="s">
        <v>687</v>
      </c>
      <c r="L2191" s="197"/>
      <c r="M2191" s="197"/>
      <c r="N2191" s="197"/>
      <c r="O2191" s="197"/>
    </row>
    <row r="2192" spans="1:15">
      <c r="A2192" s="188" t="s">
        <v>137</v>
      </c>
      <c r="B2192" s="188" t="s">
        <v>683</v>
      </c>
      <c r="C2192" s="188" t="s">
        <v>684</v>
      </c>
      <c r="D2192" s="188" t="s">
        <v>859</v>
      </c>
      <c r="E2192" s="188" t="s">
        <v>2535</v>
      </c>
      <c r="F2192" s="234" t="s">
        <v>268</v>
      </c>
      <c r="G2192" s="316">
        <v>44.22</v>
      </c>
      <c r="H2192" s="316">
        <v>44.22</v>
      </c>
      <c r="I2192" s="198" t="s">
        <v>112</v>
      </c>
      <c r="J2192" s="250" t="s">
        <v>143</v>
      </c>
      <c r="K2192" s="195" t="s">
        <v>687</v>
      </c>
      <c r="L2192" s="197"/>
      <c r="M2192" s="197"/>
      <c r="N2192" s="197"/>
      <c r="O2192" s="197"/>
    </row>
    <row r="2193" spans="1:15">
      <c r="A2193" s="188" t="s">
        <v>137</v>
      </c>
      <c r="B2193" s="188" t="s">
        <v>683</v>
      </c>
      <c r="C2193" s="188" t="s">
        <v>684</v>
      </c>
      <c r="D2193" s="188" t="s">
        <v>869</v>
      </c>
      <c r="E2193" s="188" t="s">
        <v>2536</v>
      </c>
      <c r="F2193" s="234" t="s">
        <v>268</v>
      </c>
      <c r="G2193" s="316">
        <v>36.85</v>
      </c>
      <c r="H2193" s="316">
        <v>36.85</v>
      </c>
      <c r="I2193" s="198" t="s">
        <v>112</v>
      </c>
      <c r="J2193" s="250" t="s">
        <v>143</v>
      </c>
      <c r="K2193" s="195" t="s">
        <v>687</v>
      </c>
      <c r="L2193" s="197"/>
      <c r="M2193" s="197"/>
      <c r="N2193" s="197"/>
      <c r="O2193" s="197"/>
    </row>
    <row r="2194" spans="1:15">
      <c r="A2194" s="188" t="s">
        <v>137</v>
      </c>
      <c r="B2194" s="188" t="s">
        <v>683</v>
      </c>
      <c r="C2194" s="188" t="s">
        <v>684</v>
      </c>
      <c r="D2194" s="188" t="s">
        <v>874</v>
      </c>
      <c r="E2194" s="188" t="s">
        <v>2537</v>
      </c>
      <c r="F2194" s="234" t="s">
        <v>268</v>
      </c>
      <c r="G2194" s="316">
        <v>88.44</v>
      </c>
      <c r="H2194" s="316">
        <v>88.44</v>
      </c>
      <c r="I2194" s="198" t="s">
        <v>112</v>
      </c>
      <c r="J2194" s="250" t="s">
        <v>143</v>
      </c>
      <c r="K2194" s="195" t="s">
        <v>687</v>
      </c>
      <c r="L2194" s="197"/>
      <c r="M2194" s="197"/>
      <c r="N2194" s="197"/>
      <c r="O2194" s="197"/>
    </row>
    <row r="2195" spans="1:15">
      <c r="A2195" s="188" t="s">
        <v>137</v>
      </c>
      <c r="B2195" s="188" t="s">
        <v>683</v>
      </c>
      <c r="C2195" s="188" t="s">
        <v>684</v>
      </c>
      <c r="D2195" s="188" t="s">
        <v>413</v>
      </c>
      <c r="E2195" s="188" t="s">
        <v>2538</v>
      </c>
      <c r="F2195" s="234" t="s">
        <v>268</v>
      </c>
      <c r="G2195" s="316">
        <v>176.88</v>
      </c>
      <c r="H2195" s="316">
        <v>176.88</v>
      </c>
      <c r="I2195" s="198" t="s">
        <v>112</v>
      </c>
      <c r="J2195" s="250" t="s">
        <v>143</v>
      </c>
      <c r="K2195" s="195" t="s">
        <v>687</v>
      </c>
      <c r="L2195" s="197"/>
      <c r="M2195" s="197"/>
      <c r="N2195" s="197"/>
      <c r="O2195" s="197"/>
    </row>
    <row r="2196" spans="1:15">
      <c r="A2196" s="257" t="s">
        <v>137</v>
      </c>
      <c r="B2196" s="257" t="s">
        <v>138</v>
      </c>
      <c r="C2196" s="257" t="s">
        <v>82</v>
      </c>
      <c r="D2196" s="257" t="s">
        <v>883</v>
      </c>
      <c r="E2196" s="257" t="s">
        <v>2539</v>
      </c>
      <c r="F2196" s="283" t="s">
        <v>268</v>
      </c>
      <c r="G2196" s="320">
        <v>-328.25</v>
      </c>
      <c r="H2196" s="320">
        <v>-338.61</v>
      </c>
      <c r="I2196" s="257" t="s">
        <v>82</v>
      </c>
      <c r="J2196" s="244" t="s">
        <v>143</v>
      </c>
      <c r="K2196" s="188"/>
      <c r="L2196" s="197"/>
      <c r="M2196" s="197"/>
      <c r="N2196" s="197"/>
      <c r="O2196" s="197"/>
    </row>
    <row r="2197" spans="1:15" ht="51" hidden="1">
      <c r="A2197" s="188" t="s">
        <v>243</v>
      </c>
      <c r="B2197" s="188" t="s">
        <v>138</v>
      </c>
      <c r="C2197" s="188" t="s">
        <v>106</v>
      </c>
      <c r="D2197" s="188" t="s">
        <v>492</v>
      </c>
      <c r="E2197" s="234" t="s">
        <v>2540</v>
      </c>
      <c r="F2197" s="234" t="s">
        <v>146</v>
      </c>
      <c r="G2197" s="252">
        <v>-0.5</v>
      </c>
      <c r="H2197" s="253">
        <v>-0.5</v>
      </c>
      <c r="I2197" s="188" t="s">
        <v>106</v>
      </c>
      <c r="J2197" s="198" t="s">
        <v>164</v>
      </c>
      <c r="K2197" s="188"/>
      <c r="L2197" s="197"/>
      <c r="M2197" s="197"/>
      <c r="N2197" s="197"/>
      <c r="O2197" s="197"/>
    </row>
    <row r="2198" spans="1:15">
      <c r="A2198" s="257" t="s">
        <v>232</v>
      </c>
      <c r="B2198" s="257" t="s">
        <v>138</v>
      </c>
      <c r="C2198" s="257" t="s">
        <v>82</v>
      </c>
      <c r="D2198" s="257" t="s">
        <v>883</v>
      </c>
      <c r="E2198" s="257" t="s">
        <v>2541</v>
      </c>
      <c r="F2198" s="283" t="s">
        <v>268</v>
      </c>
      <c r="G2198" s="320">
        <v>-112.99</v>
      </c>
      <c r="H2198" s="320">
        <v>-112.99</v>
      </c>
      <c r="I2198" s="257" t="s">
        <v>82</v>
      </c>
      <c r="J2198" s="244" t="s">
        <v>143</v>
      </c>
      <c r="K2198" s="188"/>
      <c r="L2198" s="197"/>
      <c r="M2198" s="197"/>
      <c r="N2198" s="197"/>
      <c r="O2198" s="197"/>
    </row>
    <row r="2199" spans="1:15">
      <c r="A2199" s="188" t="s">
        <v>232</v>
      </c>
      <c r="B2199" s="188" t="s">
        <v>138</v>
      </c>
      <c r="C2199" s="188" t="s">
        <v>2177</v>
      </c>
      <c r="D2199" s="188" t="s">
        <v>671</v>
      </c>
      <c r="E2199" s="188" t="s">
        <v>2542</v>
      </c>
      <c r="F2199" s="234" t="s">
        <v>268</v>
      </c>
      <c r="G2199" s="320">
        <v>0</v>
      </c>
      <c r="H2199" s="253">
        <v>-4000</v>
      </c>
      <c r="I2199" s="188" t="s">
        <v>2543</v>
      </c>
      <c r="J2199" s="198" t="s">
        <v>277</v>
      </c>
      <c r="K2199" s="188" t="s">
        <v>2543</v>
      </c>
      <c r="L2199" s="197"/>
      <c r="M2199" s="197"/>
      <c r="N2199" s="197"/>
      <c r="O2199" s="197"/>
    </row>
    <row r="2200" spans="1:15">
      <c r="A2200" s="188" t="s">
        <v>232</v>
      </c>
      <c r="B2200" s="188" t="s">
        <v>138</v>
      </c>
      <c r="C2200" s="188" t="s">
        <v>2177</v>
      </c>
      <c r="D2200" s="188" t="s">
        <v>671</v>
      </c>
      <c r="E2200" s="188" t="s">
        <v>2544</v>
      </c>
      <c r="F2200" s="234" t="s">
        <v>268</v>
      </c>
      <c r="G2200" s="320">
        <v>0</v>
      </c>
      <c r="H2200" s="253">
        <v>-4000</v>
      </c>
      <c r="I2200" s="188" t="s">
        <v>2543</v>
      </c>
      <c r="J2200" s="198" t="s">
        <v>277</v>
      </c>
      <c r="K2200" s="188" t="s">
        <v>2543</v>
      </c>
      <c r="L2200" s="197"/>
      <c r="M2200" s="197"/>
      <c r="N2200" s="197"/>
      <c r="O2200" s="197"/>
    </row>
    <row r="2201" spans="1:15">
      <c r="A2201" s="188" t="s">
        <v>232</v>
      </c>
      <c r="B2201" s="188" t="s">
        <v>138</v>
      </c>
      <c r="C2201" s="188" t="s">
        <v>2177</v>
      </c>
      <c r="D2201" s="188" t="s">
        <v>671</v>
      </c>
      <c r="E2201" s="188" t="s">
        <v>2545</v>
      </c>
      <c r="F2201" s="234" t="s">
        <v>268</v>
      </c>
      <c r="G2201" s="320">
        <v>0</v>
      </c>
      <c r="H2201" s="253">
        <v>-4000</v>
      </c>
      <c r="I2201" s="188" t="s">
        <v>2543</v>
      </c>
      <c r="J2201" s="198" t="s">
        <v>277</v>
      </c>
      <c r="K2201" s="188" t="s">
        <v>2543</v>
      </c>
      <c r="L2201" s="197"/>
      <c r="M2201" s="197"/>
      <c r="N2201" s="197"/>
      <c r="O2201" s="197"/>
    </row>
    <row r="2202" spans="1:15" hidden="1">
      <c r="A2202" s="195" t="s">
        <v>137</v>
      </c>
      <c r="B2202" s="195" t="s">
        <v>138</v>
      </c>
      <c r="C2202" s="195" t="s">
        <v>106</v>
      </c>
      <c r="D2202" s="195" t="s">
        <v>655</v>
      </c>
      <c r="E2202" s="208" t="s">
        <v>2546</v>
      </c>
      <c r="F2202" s="195" t="s">
        <v>153</v>
      </c>
      <c r="G2202" s="242">
        <v>-10</v>
      </c>
      <c r="H2202" s="243">
        <v>-10</v>
      </c>
      <c r="I2202" s="195" t="s">
        <v>106</v>
      </c>
      <c r="J2202" s="244" t="s">
        <v>164</v>
      </c>
      <c r="K2202" s="188"/>
      <c r="L2202" s="197"/>
      <c r="M2202" s="197"/>
      <c r="N2202" s="197"/>
      <c r="O2202" s="197"/>
    </row>
    <row r="2203" spans="1:15" hidden="1">
      <c r="A2203" s="195" t="s">
        <v>137</v>
      </c>
      <c r="B2203" s="195" t="s">
        <v>138</v>
      </c>
      <c r="C2203" s="195" t="s">
        <v>106</v>
      </c>
      <c r="D2203" s="195" t="s">
        <v>655</v>
      </c>
      <c r="E2203" s="208" t="s">
        <v>2088</v>
      </c>
      <c r="F2203" s="195" t="s">
        <v>153</v>
      </c>
      <c r="G2203" s="242">
        <v>-11</v>
      </c>
      <c r="H2203" s="243">
        <v>-11</v>
      </c>
      <c r="I2203" s="195" t="s">
        <v>106</v>
      </c>
      <c r="J2203" s="244" t="s">
        <v>164</v>
      </c>
      <c r="K2203" s="213"/>
      <c r="L2203" s="197"/>
      <c r="M2203" s="197"/>
      <c r="N2203" s="197"/>
      <c r="O2203" s="197"/>
    </row>
    <row r="2204" spans="1:15">
      <c r="A2204" s="245" t="s">
        <v>232</v>
      </c>
      <c r="B2204" s="245" t="s">
        <v>138</v>
      </c>
      <c r="C2204" s="227" t="s">
        <v>106</v>
      </c>
      <c r="D2204" s="227" t="s">
        <v>655</v>
      </c>
      <c r="E2204" s="227" t="s">
        <v>2547</v>
      </c>
      <c r="F2204" s="227" t="s">
        <v>268</v>
      </c>
      <c r="G2204" s="322">
        <v>-237</v>
      </c>
      <c r="H2204" s="322">
        <v>-237</v>
      </c>
      <c r="I2204" s="257" t="s">
        <v>106</v>
      </c>
      <c r="J2204" s="244" t="s">
        <v>164</v>
      </c>
      <c r="K2204" s="188"/>
      <c r="L2204" s="197"/>
      <c r="M2204" s="197"/>
      <c r="N2204" s="197"/>
      <c r="O2204" s="197"/>
    </row>
    <row r="2205" spans="1:15">
      <c r="A2205" s="257" t="s">
        <v>209</v>
      </c>
      <c r="B2205" s="257" t="s">
        <v>683</v>
      </c>
      <c r="C2205" s="257" t="s">
        <v>894</v>
      </c>
      <c r="D2205" s="257" t="s">
        <v>2548</v>
      </c>
      <c r="E2205" s="257" t="s">
        <v>2549</v>
      </c>
      <c r="F2205" s="283" t="s">
        <v>268</v>
      </c>
      <c r="G2205" s="278">
        <v>0</v>
      </c>
      <c r="H2205" s="278">
        <v>705.73</v>
      </c>
      <c r="I2205" s="257" t="s">
        <v>112</v>
      </c>
      <c r="J2205" s="228" t="s">
        <v>206</v>
      </c>
      <c r="K2205" s="188"/>
      <c r="L2205" s="197"/>
      <c r="M2205" s="197"/>
      <c r="N2205" s="197"/>
      <c r="O2205" s="197"/>
    </row>
    <row r="2206" spans="1:15">
      <c r="A2206" s="257" t="s">
        <v>209</v>
      </c>
      <c r="B2206" s="257" t="s">
        <v>683</v>
      </c>
      <c r="C2206" s="257" t="s">
        <v>894</v>
      </c>
      <c r="D2206" s="257" t="s">
        <v>2548</v>
      </c>
      <c r="E2206" s="257" t="s">
        <v>2550</v>
      </c>
      <c r="F2206" s="283" t="s">
        <v>268</v>
      </c>
      <c r="G2206" s="278">
        <v>0</v>
      </c>
      <c r="H2206" s="278">
        <v>1068.53</v>
      </c>
      <c r="I2206" s="257" t="s">
        <v>112</v>
      </c>
      <c r="J2206" s="228" t="s">
        <v>206</v>
      </c>
      <c r="K2206" s="188"/>
      <c r="L2206" s="197"/>
      <c r="M2206" s="197"/>
      <c r="N2206" s="197"/>
      <c r="O2206" s="197"/>
    </row>
    <row r="2207" spans="1:15">
      <c r="A2207" s="257" t="s">
        <v>209</v>
      </c>
      <c r="B2207" s="257" t="s">
        <v>683</v>
      </c>
      <c r="C2207" s="257" t="s">
        <v>894</v>
      </c>
      <c r="D2207" s="257" t="s">
        <v>2548</v>
      </c>
      <c r="E2207" s="257" t="s">
        <v>2551</v>
      </c>
      <c r="F2207" s="283" t="s">
        <v>268</v>
      </c>
      <c r="G2207" s="278">
        <v>0</v>
      </c>
      <c r="H2207" s="278">
        <v>120</v>
      </c>
      <c r="I2207" s="257" t="s">
        <v>112</v>
      </c>
      <c r="J2207" s="228" t="s">
        <v>206</v>
      </c>
      <c r="K2207" s="188"/>
      <c r="L2207" s="197"/>
      <c r="M2207" s="197"/>
      <c r="N2207" s="197"/>
      <c r="O2207" s="197"/>
    </row>
    <row r="2208" spans="1:15">
      <c r="A2208" s="245" t="s">
        <v>232</v>
      </c>
      <c r="B2208" s="245" t="s">
        <v>138</v>
      </c>
      <c r="C2208" s="227" t="s">
        <v>78</v>
      </c>
      <c r="D2208" s="227" t="s">
        <v>2552</v>
      </c>
      <c r="E2208" s="227" t="s">
        <v>2553</v>
      </c>
      <c r="F2208" s="227" t="s">
        <v>407</v>
      </c>
      <c r="G2208" s="322">
        <v>-2232</v>
      </c>
      <c r="H2208" s="322">
        <v>-2232</v>
      </c>
      <c r="I2208" s="227" t="s">
        <v>78</v>
      </c>
      <c r="J2208" s="227" t="s">
        <v>143</v>
      </c>
      <c r="K2208" s="233"/>
      <c r="L2208" s="197"/>
      <c r="M2208" s="197"/>
      <c r="N2208" s="197"/>
      <c r="O2208" s="197"/>
    </row>
    <row r="2209" spans="1:15">
      <c r="A2209" s="245" t="s">
        <v>232</v>
      </c>
      <c r="B2209" s="245" t="s">
        <v>138</v>
      </c>
      <c r="C2209" s="227" t="s">
        <v>78</v>
      </c>
      <c r="D2209" s="227" t="s">
        <v>2552</v>
      </c>
      <c r="E2209" s="227" t="s">
        <v>2554</v>
      </c>
      <c r="F2209" s="227" t="s">
        <v>407</v>
      </c>
      <c r="G2209" s="322">
        <v>-1926</v>
      </c>
      <c r="H2209" s="322">
        <v>-1926</v>
      </c>
      <c r="I2209" s="227" t="s">
        <v>78</v>
      </c>
      <c r="J2209" s="227" t="s">
        <v>143</v>
      </c>
      <c r="K2209" s="233"/>
      <c r="L2209" s="197"/>
      <c r="M2209" s="197"/>
      <c r="N2209" s="197"/>
      <c r="O2209" s="197"/>
    </row>
    <row r="2210" spans="1:15">
      <c r="A2210" s="245" t="s">
        <v>137</v>
      </c>
      <c r="B2210" s="245" t="s">
        <v>138</v>
      </c>
      <c r="C2210" s="227" t="s">
        <v>78</v>
      </c>
      <c r="D2210" s="227" t="s">
        <v>2552</v>
      </c>
      <c r="E2210" s="227" t="s">
        <v>2555</v>
      </c>
      <c r="F2210" s="227" t="s">
        <v>407</v>
      </c>
      <c r="G2210" s="322">
        <v>-2736</v>
      </c>
      <c r="H2210" s="322">
        <v>-2736</v>
      </c>
      <c r="I2210" s="227" t="s">
        <v>78</v>
      </c>
      <c r="J2210" s="227" t="s">
        <v>143</v>
      </c>
      <c r="K2210" s="233"/>
      <c r="L2210" s="197"/>
      <c r="M2210" s="197"/>
      <c r="N2210" s="197"/>
      <c r="O2210" s="197"/>
    </row>
    <row r="2211" spans="1:15">
      <c r="A2211" s="245" t="s">
        <v>137</v>
      </c>
      <c r="B2211" s="245" t="s">
        <v>138</v>
      </c>
      <c r="C2211" s="227" t="s">
        <v>78</v>
      </c>
      <c r="D2211" s="227" t="s">
        <v>2552</v>
      </c>
      <c r="E2211" s="227" t="s">
        <v>2556</v>
      </c>
      <c r="F2211" s="227" t="s">
        <v>407</v>
      </c>
      <c r="G2211" s="322">
        <v>-2070</v>
      </c>
      <c r="H2211" s="322">
        <v>-2070</v>
      </c>
      <c r="I2211" s="227" t="s">
        <v>78</v>
      </c>
      <c r="J2211" s="227" t="s">
        <v>143</v>
      </c>
      <c r="K2211" s="233"/>
      <c r="L2211" s="197"/>
      <c r="M2211" s="197"/>
      <c r="N2211" s="197"/>
      <c r="O2211" s="197"/>
    </row>
    <row r="2212" spans="1:15">
      <c r="A2212" s="245" t="s">
        <v>232</v>
      </c>
      <c r="B2212" s="245" t="s">
        <v>138</v>
      </c>
      <c r="C2212" s="227" t="s">
        <v>78</v>
      </c>
      <c r="D2212" s="227" t="s">
        <v>903</v>
      </c>
      <c r="E2212" s="227" t="s">
        <v>2557</v>
      </c>
      <c r="F2212" s="227" t="s">
        <v>407</v>
      </c>
      <c r="G2212" s="322">
        <v>-2070</v>
      </c>
      <c r="H2212" s="322">
        <v>-2070</v>
      </c>
      <c r="I2212" s="227" t="s">
        <v>78</v>
      </c>
      <c r="J2212" s="227" t="s">
        <v>143</v>
      </c>
      <c r="K2212" s="233"/>
      <c r="L2212" s="197"/>
      <c r="M2212" s="197"/>
      <c r="N2212" s="197"/>
      <c r="O2212" s="197"/>
    </row>
    <row r="2213" spans="1:15">
      <c r="A2213" s="245" t="s">
        <v>232</v>
      </c>
      <c r="B2213" s="245" t="s">
        <v>138</v>
      </c>
      <c r="C2213" s="227" t="s">
        <v>78</v>
      </c>
      <c r="D2213" s="227" t="s">
        <v>922</v>
      </c>
      <c r="E2213" s="227" t="s">
        <v>2558</v>
      </c>
      <c r="F2213" s="227" t="s">
        <v>407</v>
      </c>
      <c r="G2213" s="322">
        <v>-1521</v>
      </c>
      <c r="H2213" s="322">
        <v>-1521</v>
      </c>
      <c r="I2213" s="227" t="s">
        <v>78</v>
      </c>
      <c r="J2213" s="227" t="s">
        <v>143</v>
      </c>
      <c r="K2213" s="233"/>
      <c r="L2213" s="197"/>
      <c r="M2213" s="197"/>
      <c r="N2213" s="197"/>
      <c r="O2213" s="197"/>
    </row>
    <row r="2214" spans="1:15">
      <c r="A2214" s="245" t="s">
        <v>232</v>
      </c>
      <c r="B2214" s="245" t="s">
        <v>138</v>
      </c>
      <c r="C2214" s="227" t="s">
        <v>78</v>
      </c>
      <c r="D2214" s="227" t="s">
        <v>922</v>
      </c>
      <c r="E2214" s="227" t="s">
        <v>2559</v>
      </c>
      <c r="F2214" s="227" t="s">
        <v>407</v>
      </c>
      <c r="G2214" s="322">
        <v>-1385.8</v>
      </c>
      <c r="H2214" s="322">
        <v>-1385.8</v>
      </c>
      <c r="I2214" s="227" t="s">
        <v>78</v>
      </c>
      <c r="J2214" s="227" t="s">
        <v>143</v>
      </c>
      <c r="K2214" s="233"/>
      <c r="L2214" s="197"/>
      <c r="M2214" s="197"/>
      <c r="N2214" s="197"/>
      <c r="O2214" s="197"/>
    </row>
    <row r="2215" spans="1:15">
      <c r="A2215" s="245" t="s">
        <v>232</v>
      </c>
      <c r="B2215" s="245" t="s">
        <v>138</v>
      </c>
      <c r="C2215" s="227" t="s">
        <v>78</v>
      </c>
      <c r="D2215" s="227" t="s">
        <v>922</v>
      </c>
      <c r="E2215" s="227" t="s">
        <v>2560</v>
      </c>
      <c r="F2215" s="227" t="s">
        <v>407</v>
      </c>
      <c r="G2215" s="322">
        <v>-997.1</v>
      </c>
      <c r="H2215" s="322">
        <v>-997.1</v>
      </c>
      <c r="I2215" s="227" t="s">
        <v>78</v>
      </c>
      <c r="J2215" s="227" t="s">
        <v>143</v>
      </c>
      <c r="K2215" s="233"/>
      <c r="L2215" s="197"/>
      <c r="M2215" s="197"/>
      <c r="N2215" s="197"/>
      <c r="O2215" s="197"/>
    </row>
    <row r="2216" spans="1:15">
      <c r="A2216" s="245" t="s">
        <v>137</v>
      </c>
      <c r="B2216" s="245" t="s">
        <v>138</v>
      </c>
      <c r="C2216" s="227" t="s">
        <v>78</v>
      </c>
      <c r="D2216" s="227" t="s">
        <v>922</v>
      </c>
      <c r="E2216" s="227" t="s">
        <v>2561</v>
      </c>
      <c r="F2216" s="227" t="s">
        <v>407</v>
      </c>
      <c r="G2216" s="322">
        <v>-2771.6</v>
      </c>
      <c r="H2216" s="322">
        <v>-2771.6</v>
      </c>
      <c r="I2216" s="227" t="s">
        <v>78</v>
      </c>
      <c r="J2216" s="227" t="s">
        <v>143</v>
      </c>
      <c r="K2216" s="233"/>
      <c r="L2216" s="197"/>
      <c r="M2216" s="197"/>
      <c r="N2216" s="197"/>
      <c r="O2216" s="197"/>
    </row>
    <row r="2217" spans="1:15">
      <c r="A2217" s="274" t="s">
        <v>232</v>
      </c>
      <c r="B2217" s="274" t="s">
        <v>683</v>
      </c>
      <c r="C2217" s="274" t="s">
        <v>943</v>
      </c>
      <c r="D2217" s="274" t="s">
        <v>655</v>
      </c>
      <c r="E2217" s="274" t="s">
        <v>2562</v>
      </c>
      <c r="F2217" s="283" t="s">
        <v>268</v>
      </c>
      <c r="G2217" s="278">
        <v>4025</v>
      </c>
      <c r="H2217" s="278">
        <v>4025</v>
      </c>
      <c r="I2217" s="198" t="s">
        <v>945</v>
      </c>
      <c r="J2217" s="228" t="s">
        <v>206</v>
      </c>
      <c r="K2217" s="233"/>
      <c r="L2217" s="197"/>
      <c r="M2217" s="197"/>
      <c r="N2217" s="197"/>
      <c r="O2217" s="197"/>
    </row>
    <row r="2218" spans="1:15">
      <c r="A2218" s="274" t="s">
        <v>232</v>
      </c>
      <c r="B2218" s="274" t="s">
        <v>683</v>
      </c>
      <c r="C2218" s="274" t="s">
        <v>943</v>
      </c>
      <c r="D2218" s="274" t="s">
        <v>655</v>
      </c>
      <c r="E2218" s="274" t="s">
        <v>2563</v>
      </c>
      <c r="F2218" s="283" t="s">
        <v>268</v>
      </c>
      <c r="G2218" s="278">
        <v>1346.39</v>
      </c>
      <c r="H2218" s="278">
        <v>1346.39</v>
      </c>
      <c r="I2218" s="198" t="s">
        <v>945</v>
      </c>
      <c r="J2218" s="228" t="s">
        <v>206</v>
      </c>
      <c r="K2218" s="233"/>
      <c r="L2218" s="197"/>
      <c r="M2218" s="197"/>
      <c r="N2218" s="197"/>
      <c r="O2218" s="197"/>
    </row>
    <row r="2219" spans="1:15">
      <c r="A2219" s="274" t="s">
        <v>232</v>
      </c>
      <c r="B2219" s="274" t="s">
        <v>683</v>
      </c>
      <c r="C2219" s="274" t="s">
        <v>943</v>
      </c>
      <c r="D2219" s="274" t="s">
        <v>655</v>
      </c>
      <c r="E2219" s="274" t="s">
        <v>2564</v>
      </c>
      <c r="F2219" s="283" t="s">
        <v>268</v>
      </c>
      <c r="G2219" s="278">
        <v>927.9</v>
      </c>
      <c r="H2219" s="278">
        <v>927.9</v>
      </c>
      <c r="I2219" s="198" t="s">
        <v>945</v>
      </c>
      <c r="J2219" s="228" t="s">
        <v>206</v>
      </c>
      <c r="K2219" s="233"/>
      <c r="L2219" s="197"/>
      <c r="M2219" s="197"/>
      <c r="N2219" s="197"/>
      <c r="O2219" s="197"/>
    </row>
    <row r="2220" spans="1:15">
      <c r="A2220" s="274" t="s">
        <v>232</v>
      </c>
      <c r="B2220" s="274" t="s">
        <v>683</v>
      </c>
      <c r="C2220" s="274" t="s">
        <v>943</v>
      </c>
      <c r="D2220" s="274" t="s">
        <v>655</v>
      </c>
      <c r="E2220" s="274" t="s">
        <v>2565</v>
      </c>
      <c r="F2220" s="283" t="s">
        <v>268</v>
      </c>
      <c r="G2220" s="278">
        <v>274.41000000000003</v>
      </c>
      <c r="H2220" s="278">
        <v>274.41000000000003</v>
      </c>
      <c r="I2220" s="198" t="s">
        <v>945</v>
      </c>
      <c r="J2220" s="228" t="s">
        <v>206</v>
      </c>
      <c r="K2220" s="233"/>
      <c r="L2220" s="197"/>
      <c r="M2220" s="197"/>
      <c r="N2220" s="197"/>
      <c r="O2220" s="197"/>
    </row>
    <row r="2221" spans="1:15">
      <c r="A2221" s="274" t="s">
        <v>137</v>
      </c>
      <c r="B2221" s="274" t="s">
        <v>683</v>
      </c>
      <c r="C2221" s="274" t="s">
        <v>943</v>
      </c>
      <c r="D2221" s="274" t="s">
        <v>655</v>
      </c>
      <c r="E2221" s="274" t="s">
        <v>2566</v>
      </c>
      <c r="F2221" s="283" t="s">
        <v>268</v>
      </c>
      <c r="G2221" s="278">
        <v>169.78</v>
      </c>
      <c r="H2221" s="278">
        <v>169.78</v>
      </c>
      <c r="I2221" s="198" t="s">
        <v>945</v>
      </c>
      <c r="J2221" s="228" t="s">
        <v>206</v>
      </c>
      <c r="K2221" s="233"/>
      <c r="L2221" s="197"/>
      <c r="M2221" s="197"/>
      <c r="N2221" s="197"/>
      <c r="O2221" s="197"/>
    </row>
    <row r="2222" spans="1:15">
      <c r="A2222" s="274" t="s">
        <v>137</v>
      </c>
      <c r="B2222" s="274" t="s">
        <v>683</v>
      </c>
      <c r="C2222" s="274" t="s">
        <v>943</v>
      </c>
      <c r="D2222" s="274" t="s">
        <v>655</v>
      </c>
      <c r="E2222" s="274" t="s">
        <v>2566</v>
      </c>
      <c r="F2222" s="283" t="s">
        <v>268</v>
      </c>
      <c r="G2222" s="278">
        <v>12.97</v>
      </c>
      <c r="H2222" s="278">
        <v>12.97</v>
      </c>
      <c r="I2222" s="198" t="s">
        <v>945</v>
      </c>
      <c r="J2222" s="228" t="s">
        <v>206</v>
      </c>
      <c r="K2222" s="233"/>
      <c r="L2222" s="197"/>
      <c r="M2222" s="197"/>
      <c r="N2222" s="197"/>
      <c r="O2222" s="197"/>
    </row>
    <row r="2223" spans="1:15">
      <c r="A2223" s="274" t="s">
        <v>137</v>
      </c>
      <c r="B2223" s="274" t="s">
        <v>683</v>
      </c>
      <c r="C2223" s="274" t="s">
        <v>943</v>
      </c>
      <c r="D2223" s="274" t="s">
        <v>655</v>
      </c>
      <c r="E2223" s="274" t="s">
        <v>2566</v>
      </c>
      <c r="F2223" s="283" t="s">
        <v>268</v>
      </c>
      <c r="G2223" s="278">
        <v>3.67</v>
      </c>
      <c r="H2223" s="278">
        <v>3.67</v>
      </c>
      <c r="I2223" s="198" t="s">
        <v>945</v>
      </c>
      <c r="J2223" s="228" t="s">
        <v>206</v>
      </c>
      <c r="K2223" s="233"/>
      <c r="L2223" s="197"/>
      <c r="M2223" s="197"/>
      <c r="N2223" s="197"/>
      <c r="O2223" s="197"/>
    </row>
    <row r="2224" spans="1:15">
      <c r="A2224" s="274" t="s">
        <v>137</v>
      </c>
      <c r="B2224" s="274" t="s">
        <v>683</v>
      </c>
      <c r="C2224" s="274" t="s">
        <v>943</v>
      </c>
      <c r="D2224" s="274" t="s">
        <v>655</v>
      </c>
      <c r="E2224" s="274" t="s">
        <v>2567</v>
      </c>
      <c r="F2224" s="283" t="s">
        <v>268</v>
      </c>
      <c r="G2224" s="278">
        <v>1.53</v>
      </c>
      <c r="H2224" s="278">
        <v>1.53</v>
      </c>
      <c r="I2224" s="198" t="s">
        <v>945</v>
      </c>
      <c r="J2224" s="228" t="s">
        <v>206</v>
      </c>
      <c r="K2224" s="233"/>
      <c r="L2224" s="197"/>
      <c r="M2224" s="197"/>
      <c r="N2224" s="197"/>
      <c r="O2224" s="197"/>
    </row>
    <row r="2225" spans="1:15">
      <c r="A2225" s="274" t="s">
        <v>232</v>
      </c>
      <c r="B2225" s="274" t="s">
        <v>683</v>
      </c>
      <c r="C2225" s="274" t="s">
        <v>943</v>
      </c>
      <c r="D2225" s="274" t="s">
        <v>655</v>
      </c>
      <c r="E2225" s="274" t="s">
        <v>655</v>
      </c>
      <c r="F2225" s="283" t="s">
        <v>268</v>
      </c>
      <c r="G2225" s="278">
        <v>0.02</v>
      </c>
      <c r="H2225" s="278">
        <v>0.02</v>
      </c>
      <c r="I2225" s="198" t="s">
        <v>945</v>
      </c>
      <c r="J2225" s="228" t="s">
        <v>206</v>
      </c>
      <c r="K2225" s="233"/>
      <c r="L2225" s="197"/>
      <c r="M2225" s="197"/>
      <c r="N2225" s="197"/>
      <c r="O2225" s="197"/>
    </row>
    <row r="2226" spans="1:15">
      <c r="A2226" s="274" t="s">
        <v>137</v>
      </c>
      <c r="B2226" s="274" t="s">
        <v>138</v>
      </c>
      <c r="C2226" s="274" t="s">
        <v>501</v>
      </c>
      <c r="D2226" s="274" t="s">
        <v>655</v>
      </c>
      <c r="E2226" s="274" t="s">
        <v>2568</v>
      </c>
      <c r="F2226" s="283" t="s">
        <v>268</v>
      </c>
      <c r="G2226" s="320">
        <v>-0.16</v>
      </c>
      <c r="H2226" s="320">
        <v>-0.16</v>
      </c>
      <c r="I2226" s="198" t="s">
        <v>503</v>
      </c>
      <c r="J2226" s="228" t="s">
        <v>206</v>
      </c>
      <c r="K2226" s="233"/>
      <c r="L2226" s="197"/>
      <c r="M2226" s="197"/>
      <c r="N2226" s="197"/>
      <c r="O2226" s="197"/>
    </row>
    <row r="2227" spans="1:15">
      <c r="A2227" s="274" t="s">
        <v>137</v>
      </c>
      <c r="B2227" s="274" t="s">
        <v>138</v>
      </c>
      <c r="C2227" s="274" t="s">
        <v>501</v>
      </c>
      <c r="D2227" s="274" t="s">
        <v>655</v>
      </c>
      <c r="E2227" s="274" t="s">
        <v>2569</v>
      </c>
      <c r="F2227" s="283" t="s">
        <v>268</v>
      </c>
      <c r="G2227" s="320">
        <v>-0.38</v>
      </c>
      <c r="H2227" s="320">
        <v>-0.38</v>
      </c>
      <c r="I2227" s="198" t="s">
        <v>503</v>
      </c>
      <c r="J2227" s="228" t="s">
        <v>206</v>
      </c>
      <c r="K2227" s="233"/>
      <c r="L2227" s="197"/>
      <c r="M2227" s="197"/>
      <c r="N2227" s="197"/>
      <c r="O2227" s="197"/>
    </row>
    <row r="2228" spans="1:15">
      <c r="A2228" s="274" t="s">
        <v>137</v>
      </c>
      <c r="B2228" s="274" t="s">
        <v>138</v>
      </c>
      <c r="C2228" s="274" t="s">
        <v>501</v>
      </c>
      <c r="D2228" s="274" t="s">
        <v>655</v>
      </c>
      <c r="E2228" s="274" t="s">
        <v>2568</v>
      </c>
      <c r="F2228" s="283" t="s">
        <v>268</v>
      </c>
      <c r="G2228" s="320">
        <v>-2.21</v>
      </c>
      <c r="H2228" s="320">
        <v>-2.21</v>
      </c>
      <c r="I2228" s="198" t="s">
        <v>503</v>
      </c>
      <c r="J2228" s="228" t="s">
        <v>206</v>
      </c>
      <c r="K2228" s="233"/>
      <c r="L2228" s="197"/>
      <c r="M2228" s="197"/>
      <c r="N2228" s="197"/>
      <c r="O2228" s="197"/>
    </row>
    <row r="2229" spans="1:15">
      <c r="A2229" s="274" t="s">
        <v>137</v>
      </c>
      <c r="B2229" s="274" t="s">
        <v>138</v>
      </c>
      <c r="C2229" s="274" t="s">
        <v>501</v>
      </c>
      <c r="D2229" s="274" t="s">
        <v>655</v>
      </c>
      <c r="E2229" s="274" t="s">
        <v>2568</v>
      </c>
      <c r="F2229" s="283" t="s">
        <v>268</v>
      </c>
      <c r="G2229" s="320">
        <v>-45.44</v>
      </c>
      <c r="H2229" s="320">
        <v>-45.44</v>
      </c>
      <c r="I2229" s="198" t="s">
        <v>503</v>
      </c>
      <c r="J2229" s="228" t="s">
        <v>206</v>
      </c>
      <c r="K2229" s="233"/>
      <c r="L2229" s="197"/>
      <c r="M2229" s="197"/>
      <c r="N2229" s="197"/>
      <c r="O2229" s="197"/>
    </row>
    <row r="2230" spans="1:15">
      <c r="A2230" s="274" t="s">
        <v>232</v>
      </c>
      <c r="B2230" s="274" t="s">
        <v>138</v>
      </c>
      <c r="C2230" s="274" t="s">
        <v>501</v>
      </c>
      <c r="D2230" s="274" t="s">
        <v>655</v>
      </c>
      <c r="E2230" s="274" t="s">
        <v>2568</v>
      </c>
      <c r="F2230" s="283" t="s">
        <v>268</v>
      </c>
      <c r="G2230" s="320">
        <v>-48.73</v>
      </c>
      <c r="H2230" s="320">
        <v>-48.73</v>
      </c>
      <c r="I2230" s="198" t="s">
        <v>503</v>
      </c>
      <c r="J2230" s="228" t="s">
        <v>206</v>
      </c>
      <c r="K2230" s="233"/>
      <c r="L2230" s="197"/>
      <c r="M2230" s="197"/>
      <c r="N2230" s="197"/>
      <c r="O2230" s="197"/>
    </row>
    <row r="2231" spans="1:15">
      <c r="A2231" s="274" t="s">
        <v>232</v>
      </c>
      <c r="B2231" s="274" t="s">
        <v>138</v>
      </c>
      <c r="C2231" s="274" t="s">
        <v>501</v>
      </c>
      <c r="D2231" s="274" t="s">
        <v>655</v>
      </c>
      <c r="E2231" s="274" t="s">
        <v>2570</v>
      </c>
      <c r="F2231" s="283" t="s">
        <v>268</v>
      </c>
      <c r="G2231" s="320">
        <v>-511.71</v>
      </c>
      <c r="H2231" s="320">
        <v>-511.71</v>
      </c>
      <c r="I2231" s="198" t="s">
        <v>503</v>
      </c>
      <c r="J2231" s="228" t="s">
        <v>206</v>
      </c>
      <c r="K2231" s="233"/>
      <c r="L2231" s="197"/>
      <c r="M2231" s="197"/>
      <c r="N2231" s="197"/>
      <c r="O2231" s="197"/>
    </row>
    <row r="2232" spans="1:15">
      <c r="A2232" s="274" t="s">
        <v>232</v>
      </c>
      <c r="B2232" s="274" t="s">
        <v>138</v>
      </c>
      <c r="C2232" s="274" t="s">
        <v>501</v>
      </c>
      <c r="D2232" s="274" t="s">
        <v>655</v>
      </c>
      <c r="E2232" s="274" t="s">
        <v>2571</v>
      </c>
      <c r="F2232" s="283" t="s">
        <v>268</v>
      </c>
      <c r="G2232" s="320">
        <v>-905</v>
      </c>
      <c r="H2232" s="320">
        <v>-905</v>
      </c>
      <c r="I2232" s="198" t="s">
        <v>503</v>
      </c>
      <c r="J2232" s="228" t="s">
        <v>206</v>
      </c>
      <c r="K2232" s="233"/>
      <c r="L2232" s="197"/>
      <c r="M2232" s="197"/>
      <c r="N2232" s="197"/>
      <c r="O2232" s="197"/>
    </row>
    <row r="2233" spans="1:15" ht="51" hidden="1">
      <c r="A2233" s="188" t="s">
        <v>243</v>
      </c>
      <c r="B2233" s="188" t="s">
        <v>138</v>
      </c>
      <c r="C2233" s="188" t="s">
        <v>106</v>
      </c>
      <c r="D2233" s="188" t="s">
        <v>492</v>
      </c>
      <c r="E2233" s="234" t="s">
        <v>2572</v>
      </c>
      <c r="F2233" s="234" t="s">
        <v>146</v>
      </c>
      <c r="G2233" s="252">
        <v>-0.5</v>
      </c>
      <c r="H2233" s="253">
        <v>-0.5</v>
      </c>
      <c r="I2233" s="188" t="s">
        <v>106</v>
      </c>
      <c r="J2233" s="198" t="s">
        <v>164</v>
      </c>
      <c r="K2233" s="188"/>
      <c r="L2233" s="197"/>
      <c r="M2233" s="197"/>
      <c r="N2233" s="197"/>
      <c r="O2233" s="197"/>
    </row>
    <row r="2234" spans="1:15">
      <c r="A2234" s="274" t="s">
        <v>137</v>
      </c>
      <c r="B2234" s="227" t="s">
        <v>138</v>
      </c>
      <c r="C2234" s="227" t="s">
        <v>96</v>
      </c>
      <c r="D2234" s="227" t="s">
        <v>952</v>
      </c>
      <c r="E2234" s="283" t="s">
        <v>2573</v>
      </c>
      <c r="F2234" s="227" t="s">
        <v>268</v>
      </c>
      <c r="G2234" s="322">
        <v>-243.76</v>
      </c>
      <c r="H2234" s="322">
        <v>-243.76</v>
      </c>
      <c r="I2234" s="198" t="s">
        <v>96</v>
      </c>
      <c r="J2234" s="228" t="s">
        <v>192</v>
      </c>
      <c r="K2234" s="233"/>
      <c r="L2234" s="197"/>
      <c r="M2234" s="197"/>
      <c r="N2234" s="197"/>
      <c r="O2234" s="197"/>
    </row>
    <row r="2235" spans="1:15">
      <c r="A2235" s="274" t="s">
        <v>232</v>
      </c>
      <c r="B2235" s="227" t="s">
        <v>138</v>
      </c>
      <c r="C2235" s="227" t="s">
        <v>96</v>
      </c>
      <c r="D2235" s="227" t="s">
        <v>957</v>
      </c>
      <c r="E2235" s="275" t="s">
        <v>2574</v>
      </c>
      <c r="F2235" s="244" t="s">
        <v>268</v>
      </c>
      <c r="G2235" s="322">
        <v>-62.4</v>
      </c>
      <c r="H2235" s="322">
        <v>-62.4</v>
      </c>
      <c r="I2235" s="198" t="s">
        <v>96</v>
      </c>
      <c r="J2235" s="228" t="s">
        <v>164</v>
      </c>
      <c r="K2235" s="233"/>
      <c r="L2235" s="197"/>
      <c r="M2235" s="197"/>
      <c r="N2235" s="197"/>
      <c r="O2235" s="197"/>
    </row>
    <row r="2236" spans="1:15" ht="25.5">
      <c r="A2236" s="274" t="s">
        <v>137</v>
      </c>
      <c r="B2236" s="227" t="s">
        <v>138</v>
      </c>
      <c r="C2236" s="227" t="s">
        <v>973</v>
      </c>
      <c r="D2236" s="227" t="s">
        <v>974</v>
      </c>
      <c r="E2236" s="283" t="s">
        <v>2575</v>
      </c>
      <c r="F2236" s="323" t="s">
        <v>268</v>
      </c>
      <c r="G2236" s="324">
        <v>-1156.1099999999999</v>
      </c>
      <c r="H2236" s="322">
        <v>-1156.1099999999999</v>
      </c>
      <c r="I2236" s="198" t="s">
        <v>96</v>
      </c>
      <c r="J2236" s="228" t="s">
        <v>964</v>
      </c>
      <c r="K2236" s="274" t="s">
        <v>2576</v>
      </c>
      <c r="L2236" s="197"/>
      <c r="M2236" s="197"/>
      <c r="N2236" s="197"/>
      <c r="O2236" s="197"/>
    </row>
    <row r="2237" spans="1:15" ht="25.5">
      <c r="A2237" s="274" t="s">
        <v>137</v>
      </c>
      <c r="B2237" s="227" t="s">
        <v>138</v>
      </c>
      <c r="C2237" s="227" t="s">
        <v>973</v>
      </c>
      <c r="D2237" s="227" t="s">
        <v>974</v>
      </c>
      <c r="E2237" s="283" t="s">
        <v>2577</v>
      </c>
      <c r="F2237" s="323" t="s">
        <v>268</v>
      </c>
      <c r="G2237" s="324">
        <v>-1069.6099999999999</v>
      </c>
      <c r="H2237" s="322">
        <v>-1069.6099999999999</v>
      </c>
      <c r="I2237" s="198" t="s">
        <v>96</v>
      </c>
      <c r="J2237" s="228" t="s">
        <v>964</v>
      </c>
      <c r="K2237" s="274" t="s">
        <v>2576</v>
      </c>
      <c r="L2237" s="197"/>
      <c r="M2237" s="197"/>
      <c r="N2237" s="197"/>
      <c r="O2237" s="197"/>
    </row>
    <row r="2238" spans="1:15" ht="25.5">
      <c r="A2238" s="274" t="s">
        <v>137</v>
      </c>
      <c r="B2238" s="227" t="s">
        <v>138</v>
      </c>
      <c r="C2238" s="227" t="s">
        <v>973</v>
      </c>
      <c r="D2238" s="227" t="s">
        <v>974</v>
      </c>
      <c r="E2238" s="283" t="s">
        <v>2578</v>
      </c>
      <c r="F2238" s="227" t="s">
        <v>268</v>
      </c>
      <c r="G2238" s="322">
        <v>-802.43</v>
      </c>
      <c r="H2238" s="322">
        <v>-802.43</v>
      </c>
      <c r="I2238" s="198" t="s">
        <v>96</v>
      </c>
      <c r="J2238" s="228" t="s">
        <v>964</v>
      </c>
      <c r="K2238" s="233"/>
      <c r="L2238" s="197"/>
      <c r="M2238" s="197"/>
      <c r="N2238" s="197"/>
      <c r="O2238" s="197"/>
    </row>
    <row r="2239" spans="1:15">
      <c r="A2239" s="245" t="s">
        <v>232</v>
      </c>
      <c r="B2239" s="245" t="s">
        <v>138</v>
      </c>
      <c r="C2239" s="227" t="s">
        <v>96</v>
      </c>
      <c r="D2239" s="227" t="s">
        <v>957</v>
      </c>
      <c r="E2239" s="227" t="s">
        <v>2579</v>
      </c>
      <c r="F2239" s="227" t="s">
        <v>407</v>
      </c>
      <c r="G2239" s="322">
        <v>-40.72</v>
      </c>
      <c r="H2239" s="322">
        <v>-40.72</v>
      </c>
      <c r="I2239" s="227" t="s">
        <v>96</v>
      </c>
      <c r="J2239" s="227" t="s">
        <v>164</v>
      </c>
      <c r="K2239" s="227" t="s">
        <v>195</v>
      </c>
      <c r="L2239" s="197"/>
      <c r="M2239" s="197"/>
      <c r="N2239" s="197"/>
      <c r="O2239" s="197"/>
    </row>
    <row r="2240" spans="1:15">
      <c r="A2240" s="274" t="s">
        <v>137</v>
      </c>
      <c r="B2240" s="227" t="s">
        <v>138</v>
      </c>
      <c r="C2240" s="274" t="s">
        <v>973</v>
      </c>
      <c r="D2240" s="274" t="s">
        <v>974</v>
      </c>
      <c r="E2240" s="283" t="s">
        <v>2580</v>
      </c>
      <c r="F2240" s="323" t="s">
        <v>268</v>
      </c>
      <c r="G2240" s="324">
        <v>-3.42</v>
      </c>
      <c r="H2240" s="322">
        <v>-3.42</v>
      </c>
      <c r="I2240" s="228" t="s">
        <v>96</v>
      </c>
      <c r="J2240" s="228" t="s">
        <v>964</v>
      </c>
      <c r="K2240" s="274" t="s">
        <v>2366</v>
      </c>
      <c r="L2240" s="197"/>
      <c r="M2240" s="197"/>
      <c r="N2240" s="197"/>
      <c r="O2240" s="197"/>
    </row>
    <row r="2241" spans="1:15" ht="25.5">
      <c r="A2241" s="274" t="s">
        <v>137</v>
      </c>
      <c r="B2241" s="227" t="s">
        <v>138</v>
      </c>
      <c r="C2241" s="227" t="s">
        <v>973</v>
      </c>
      <c r="D2241" s="227" t="s">
        <v>974</v>
      </c>
      <c r="E2241" s="283" t="s">
        <v>2581</v>
      </c>
      <c r="F2241" s="257" t="s">
        <v>268</v>
      </c>
      <c r="G2241" s="321">
        <v>-564.35</v>
      </c>
      <c r="H2241" s="322">
        <v>-564.35</v>
      </c>
      <c r="I2241" s="228" t="s">
        <v>96</v>
      </c>
      <c r="J2241" s="228" t="s">
        <v>964</v>
      </c>
      <c r="K2241" s="274"/>
      <c r="L2241" s="197"/>
      <c r="M2241" s="197"/>
      <c r="N2241" s="197"/>
      <c r="O2241" s="197"/>
    </row>
    <row r="2242" spans="1:15" ht="25.5">
      <c r="A2242" s="274" t="s">
        <v>137</v>
      </c>
      <c r="B2242" s="227" t="s">
        <v>138</v>
      </c>
      <c r="C2242" s="227" t="s">
        <v>96</v>
      </c>
      <c r="D2242" s="227" t="s">
        <v>974</v>
      </c>
      <c r="E2242" s="283" t="s">
        <v>2581</v>
      </c>
      <c r="F2242" s="257" t="s">
        <v>268</v>
      </c>
      <c r="G2242" s="321">
        <v>-238.08</v>
      </c>
      <c r="H2242" s="322">
        <v>-238.08</v>
      </c>
      <c r="I2242" s="228" t="s">
        <v>96</v>
      </c>
      <c r="J2242" s="228" t="s">
        <v>964</v>
      </c>
      <c r="K2242" s="274"/>
      <c r="L2242" s="197"/>
      <c r="M2242" s="197"/>
      <c r="N2242" s="197"/>
      <c r="O2242" s="197"/>
    </row>
    <row r="2243" spans="1:15">
      <c r="A2243" s="274" t="s">
        <v>137</v>
      </c>
      <c r="B2243" s="227" t="s">
        <v>138</v>
      </c>
      <c r="C2243" s="227" t="s">
        <v>96</v>
      </c>
      <c r="D2243" s="227" t="s">
        <v>1867</v>
      </c>
      <c r="E2243" s="283" t="s">
        <v>2582</v>
      </c>
      <c r="F2243" s="257" t="s">
        <v>268</v>
      </c>
      <c r="G2243" s="321">
        <v>-1400</v>
      </c>
      <c r="H2243" s="322">
        <v>-1400</v>
      </c>
      <c r="I2243" s="228" t="s">
        <v>96</v>
      </c>
      <c r="J2243" s="228" t="s">
        <v>143</v>
      </c>
      <c r="K2243" s="274"/>
      <c r="L2243" s="197"/>
      <c r="M2243" s="197"/>
      <c r="N2243" s="197"/>
      <c r="O2243" s="197"/>
    </row>
    <row r="2244" spans="1:15" ht="25.5">
      <c r="A2244" s="274" t="s">
        <v>137</v>
      </c>
      <c r="B2244" s="227" t="s">
        <v>138</v>
      </c>
      <c r="C2244" s="227" t="s">
        <v>96</v>
      </c>
      <c r="D2244" s="227" t="s">
        <v>2583</v>
      </c>
      <c r="E2244" s="283" t="s">
        <v>2584</v>
      </c>
      <c r="F2244" s="257" t="s">
        <v>268</v>
      </c>
      <c r="G2244" s="321">
        <v>-181</v>
      </c>
      <c r="H2244" s="322">
        <v>-181</v>
      </c>
      <c r="I2244" s="228" t="s">
        <v>96</v>
      </c>
      <c r="J2244" s="228" t="s">
        <v>964</v>
      </c>
      <c r="K2244" s="274"/>
      <c r="L2244" s="197"/>
      <c r="M2244" s="197"/>
      <c r="N2244" s="197"/>
      <c r="O2244" s="197"/>
    </row>
    <row r="2245" spans="1:15">
      <c r="A2245" s="274" t="s">
        <v>137</v>
      </c>
      <c r="B2245" s="227" t="s">
        <v>138</v>
      </c>
      <c r="C2245" s="227" t="s">
        <v>973</v>
      </c>
      <c r="D2245" s="227" t="s">
        <v>1121</v>
      </c>
      <c r="E2245" s="283" t="s">
        <v>2585</v>
      </c>
      <c r="F2245" s="257" t="s">
        <v>268</v>
      </c>
      <c r="G2245" s="321">
        <v>-112.43</v>
      </c>
      <c r="H2245" s="322">
        <v>-112.43</v>
      </c>
      <c r="I2245" s="228" t="s">
        <v>96</v>
      </c>
      <c r="J2245" s="228" t="s">
        <v>206</v>
      </c>
      <c r="K2245" s="274"/>
      <c r="L2245" s="197"/>
      <c r="M2245" s="197"/>
      <c r="N2245" s="197"/>
      <c r="O2245" s="197"/>
    </row>
    <row r="2246" spans="1:15" ht="25.5">
      <c r="A2246" s="274" t="s">
        <v>232</v>
      </c>
      <c r="B2246" s="227" t="s">
        <v>138</v>
      </c>
      <c r="C2246" s="227" t="s">
        <v>973</v>
      </c>
      <c r="D2246" s="227" t="s">
        <v>974</v>
      </c>
      <c r="E2246" s="283" t="s">
        <v>2586</v>
      </c>
      <c r="F2246" s="227" t="s">
        <v>268</v>
      </c>
      <c r="G2246" s="322">
        <v>-238.14</v>
      </c>
      <c r="H2246" s="322">
        <v>-238.14</v>
      </c>
      <c r="I2246" s="198" t="s">
        <v>96</v>
      </c>
      <c r="J2246" s="228" t="s">
        <v>143</v>
      </c>
      <c r="K2246" s="233"/>
      <c r="L2246" s="197"/>
      <c r="M2246" s="197"/>
      <c r="N2246" s="197"/>
      <c r="O2246" s="197"/>
    </row>
    <row r="2247" spans="1:15">
      <c r="A2247" s="274" t="s">
        <v>137</v>
      </c>
      <c r="B2247" s="227" t="s">
        <v>138</v>
      </c>
      <c r="C2247" s="227" t="s">
        <v>973</v>
      </c>
      <c r="D2247" s="227" t="s">
        <v>993</v>
      </c>
      <c r="E2247" s="283" t="s">
        <v>2587</v>
      </c>
      <c r="F2247" s="227" t="s">
        <v>268</v>
      </c>
      <c r="G2247" s="322">
        <v>-234.9</v>
      </c>
      <c r="H2247" s="322">
        <v>-234.9</v>
      </c>
      <c r="I2247" s="198" t="s">
        <v>96</v>
      </c>
      <c r="J2247" s="189" t="s">
        <v>159</v>
      </c>
      <c r="K2247" s="233"/>
      <c r="L2247" s="197"/>
      <c r="M2247" s="197"/>
      <c r="N2247" s="197"/>
      <c r="O2247" s="197"/>
    </row>
    <row r="2248" spans="1:15">
      <c r="A2248" s="245" t="s">
        <v>232</v>
      </c>
      <c r="B2248" s="245" t="s">
        <v>138</v>
      </c>
      <c r="C2248" s="227" t="s">
        <v>973</v>
      </c>
      <c r="D2248" s="257" t="s">
        <v>962</v>
      </c>
      <c r="E2248" s="227" t="s">
        <v>2588</v>
      </c>
      <c r="F2248" s="227" t="s">
        <v>407</v>
      </c>
      <c r="G2248" s="322">
        <v>-246.39</v>
      </c>
      <c r="H2248" s="322">
        <v>-246.39</v>
      </c>
      <c r="I2248" s="227" t="s">
        <v>96</v>
      </c>
      <c r="J2248" s="227" t="s">
        <v>143</v>
      </c>
      <c r="K2248" s="227" t="s">
        <v>195</v>
      </c>
      <c r="L2248" s="197"/>
      <c r="M2248" s="197"/>
      <c r="N2248" s="197"/>
      <c r="O2248" s="197"/>
    </row>
    <row r="2249" spans="1:15">
      <c r="A2249" s="274" t="s">
        <v>137</v>
      </c>
      <c r="B2249" s="227" t="s">
        <v>138</v>
      </c>
      <c r="C2249" s="274" t="s">
        <v>973</v>
      </c>
      <c r="D2249" s="274" t="s">
        <v>1004</v>
      </c>
      <c r="E2249" s="283" t="s">
        <v>2589</v>
      </c>
      <c r="F2249" s="323" t="s">
        <v>268</v>
      </c>
      <c r="G2249" s="264">
        <v>-24.15</v>
      </c>
      <c r="H2249" s="260">
        <v>-24.15</v>
      </c>
      <c r="I2249" s="228" t="s">
        <v>96</v>
      </c>
      <c r="J2249" s="198" t="s">
        <v>162</v>
      </c>
      <c r="K2249" s="274" t="s">
        <v>2366</v>
      </c>
      <c r="L2249" s="197"/>
      <c r="M2249" s="197"/>
      <c r="N2249" s="197"/>
      <c r="O2249" s="197"/>
    </row>
    <row r="2250" spans="1:15" ht="51" hidden="1">
      <c r="A2250" s="188" t="s">
        <v>243</v>
      </c>
      <c r="B2250" s="188" t="s">
        <v>138</v>
      </c>
      <c r="C2250" s="188" t="s">
        <v>106</v>
      </c>
      <c r="D2250" s="188" t="s">
        <v>492</v>
      </c>
      <c r="E2250" s="234" t="s">
        <v>2590</v>
      </c>
      <c r="F2250" s="234" t="s">
        <v>146</v>
      </c>
      <c r="G2250" s="252">
        <v>-0.5</v>
      </c>
      <c r="H2250" s="253">
        <v>-0.5</v>
      </c>
      <c r="I2250" s="188" t="s">
        <v>106</v>
      </c>
      <c r="J2250" s="198" t="s">
        <v>164</v>
      </c>
      <c r="K2250" s="188"/>
      <c r="L2250" s="197"/>
      <c r="M2250" s="197"/>
      <c r="N2250" s="197"/>
      <c r="O2250" s="197"/>
    </row>
    <row r="2251" spans="1:15" ht="25.5">
      <c r="A2251" s="274" t="s">
        <v>232</v>
      </c>
      <c r="B2251" s="227" t="s">
        <v>138</v>
      </c>
      <c r="C2251" s="227" t="s">
        <v>973</v>
      </c>
      <c r="D2251" s="227" t="s">
        <v>521</v>
      </c>
      <c r="E2251" s="283" t="s">
        <v>2591</v>
      </c>
      <c r="F2251" s="257" t="s">
        <v>268</v>
      </c>
      <c r="G2251" s="321">
        <v>-19.899999999999999</v>
      </c>
      <c r="H2251" s="322">
        <v>-19.899999999999999</v>
      </c>
      <c r="I2251" s="198" t="s">
        <v>96</v>
      </c>
      <c r="J2251" s="228" t="s">
        <v>143</v>
      </c>
      <c r="K2251" s="274" t="s">
        <v>2576</v>
      </c>
      <c r="L2251" s="197"/>
      <c r="M2251" s="197"/>
      <c r="N2251" s="197"/>
      <c r="O2251" s="197"/>
    </row>
    <row r="2252" spans="1:15">
      <c r="A2252" s="274" t="s">
        <v>137</v>
      </c>
      <c r="B2252" s="227" t="s">
        <v>138</v>
      </c>
      <c r="C2252" s="227" t="s">
        <v>96</v>
      </c>
      <c r="D2252" s="227" t="s">
        <v>976</v>
      </c>
      <c r="E2252" s="283" t="s">
        <v>2592</v>
      </c>
      <c r="F2252" s="227" t="s">
        <v>268</v>
      </c>
      <c r="G2252" s="322">
        <v>-60.25</v>
      </c>
      <c r="H2252" s="322">
        <v>-60.25</v>
      </c>
      <c r="I2252" s="198" t="s">
        <v>96</v>
      </c>
      <c r="J2252" s="228" t="s">
        <v>206</v>
      </c>
      <c r="K2252" s="233"/>
      <c r="L2252" s="197"/>
      <c r="M2252" s="197"/>
      <c r="N2252" s="197"/>
      <c r="O2252" s="197"/>
    </row>
    <row r="2253" spans="1:15">
      <c r="A2253" s="245" t="s">
        <v>232</v>
      </c>
      <c r="B2253" s="245" t="s">
        <v>138</v>
      </c>
      <c r="C2253" s="227" t="s">
        <v>973</v>
      </c>
      <c r="D2253" s="227" t="s">
        <v>521</v>
      </c>
      <c r="E2253" s="227" t="s">
        <v>2593</v>
      </c>
      <c r="F2253" s="227" t="s">
        <v>407</v>
      </c>
      <c r="G2253" s="322">
        <v>-19.899999999999999</v>
      </c>
      <c r="H2253" s="322">
        <v>-19.899999999999999</v>
      </c>
      <c r="I2253" s="227" t="s">
        <v>96</v>
      </c>
      <c r="J2253" s="227" t="s">
        <v>143</v>
      </c>
      <c r="K2253" s="227" t="s">
        <v>195</v>
      </c>
      <c r="L2253" s="197"/>
      <c r="M2253" s="197"/>
      <c r="N2253" s="197"/>
      <c r="O2253" s="197"/>
    </row>
    <row r="2254" spans="1:15">
      <c r="A2254" s="245" t="s">
        <v>232</v>
      </c>
      <c r="B2254" s="245" t="s">
        <v>138</v>
      </c>
      <c r="C2254" s="227" t="s">
        <v>96</v>
      </c>
      <c r="D2254" s="227" t="s">
        <v>993</v>
      </c>
      <c r="E2254" s="227" t="s">
        <v>2594</v>
      </c>
      <c r="F2254" s="227" t="s">
        <v>407</v>
      </c>
      <c r="G2254" s="322">
        <v>-550.13</v>
      </c>
      <c r="H2254" s="322">
        <v>-550.13</v>
      </c>
      <c r="I2254" s="227" t="s">
        <v>96</v>
      </c>
      <c r="J2254" s="227" t="s">
        <v>964</v>
      </c>
      <c r="K2254" s="227" t="s">
        <v>195</v>
      </c>
      <c r="L2254" s="197"/>
      <c r="M2254" s="197"/>
      <c r="N2254" s="197"/>
      <c r="O2254" s="197"/>
    </row>
    <row r="2255" spans="1:15" ht="25.5">
      <c r="A2255" s="274" t="s">
        <v>137</v>
      </c>
      <c r="B2255" s="227" t="s">
        <v>138</v>
      </c>
      <c r="C2255" s="227" t="s">
        <v>96</v>
      </c>
      <c r="D2255" s="227" t="s">
        <v>987</v>
      </c>
      <c r="E2255" s="283" t="s">
        <v>2595</v>
      </c>
      <c r="F2255" s="227" t="s">
        <v>268</v>
      </c>
      <c r="G2255" s="322">
        <v>-188.33</v>
      </c>
      <c r="H2255" s="322">
        <v>-188.33</v>
      </c>
      <c r="I2255" s="198" t="s">
        <v>96</v>
      </c>
      <c r="J2255" s="228" t="s">
        <v>422</v>
      </c>
      <c r="K2255" s="233"/>
      <c r="L2255" s="197"/>
      <c r="M2255" s="197"/>
      <c r="N2255" s="197"/>
      <c r="O2255" s="197"/>
    </row>
    <row r="2256" spans="1:15" ht="25.5">
      <c r="A2256" s="274" t="s">
        <v>137</v>
      </c>
      <c r="B2256" s="227" t="s">
        <v>138</v>
      </c>
      <c r="C2256" s="227" t="s">
        <v>96</v>
      </c>
      <c r="D2256" s="227" t="s">
        <v>996</v>
      </c>
      <c r="E2256" s="283" t="s">
        <v>2596</v>
      </c>
      <c r="F2256" s="323" t="s">
        <v>268</v>
      </c>
      <c r="G2256" s="324">
        <v>-1505</v>
      </c>
      <c r="H2256" s="322">
        <v>-1505</v>
      </c>
      <c r="I2256" s="198" t="s">
        <v>96</v>
      </c>
      <c r="J2256" s="228" t="s">
        <v>162</v>
      </c>
      <c r="K2256" s="274" t="s">
        <v>2576</v>
      </c>
      <c r="L2256" s="197"/>
      <c r="M2256" s="197"/>
      <c r="N2256" s="197"/>
      <c r="O2256" s="197"/>
    </row>
    <row r="2257" spans="1:15">
      <c r="A2257" s="274" t="s">
        <v>232</v>
      </c>
      <c r="B2257" s="227" t="s">
        <v>138</v>
      </c>
      <c r="C2257" s="227" t="s">
        <v>96</v>
      </c>
      <c r="D2257" s="227" t="s">
        <v>969</v>
      </c>
      <c r="E2257" s="283" t="s">
        <v>2597</v>
      </c>
      <c r="F2257" s="227" t="s">
        <v>268</v>
      </c>
      <c r="G2257" s="322">
        <v>-68.260000000000005</v>
      </c>
      <c r="H2257" s="322">
        <v>-68.260000000000005</v>
      </c>
      <c r="I2257" s="198" t="s">
        <v>96</v>
      </c>
      <c r="J2257" s="228" t="s">
        <v>164</v>
      </c>
      <c r="K2257" s="233"/>
      <c r="L2257" s="197"/>
      <c r="M2257" s="197"/>
      <c r="N2257" s="197"/>
      <c r="O2257" s="197"/>
    </row>
    <row r="2258" spans="1:15" ht="38.25">
      <c r="A2258" s="274" t="s">
        <v>137</v>
      </c>
      <c r="B2258" s="227" t="s">
        <v>138</v>
      </c>
      <c r="C2258" s="227" t="s">
        <v>96</v>
      </c>
      <c r="D2258" s="227" t="s">
        <v>996</v>
      </c>
      <c r="E2258" s="283" t="s">
        <v>2598</v>
      </c>
      <c r="F2258" s="227" t="s">
        <v>268</v>
      </c>
      <c r="G2258" s="322">
        <v>-183.75</v>
      </c>
      <c r="H2258" s="322">
        <v>-183.75</v>
      </c>
      <c r="I2258" s="268" t="s">
        <v>110</v>
      </c>
      <c r="J2258" s="228" t="s">
        <v>1003</v>
      </c>
      <c r="K2258" s="233"/>
      <c r="L2258" s="197"/>
      <c r="M2258" s="197"/>
      <c r="N2258" s="197"/>
      <c r="O2258" s="197"/>
    </row>
    <row r="2259" spans="1:15">
      <c r="A2259" s="245" t="s">
        <v>232</v>
      </c>
      <c r="B2259" s="245" t="s">
        <v>138</v>
      </c>
      <c r="C2259" s="227" t="s">
        <v>96</v>
      </c>
      <c r="D2259" s="227" t="s">
        <v>969</v>
      </c>
      <c r="E2259" s="227" t="s">
        <v>2599</v>
      </c>
      <c r="F2259" s="227" t="s">
        <v>407</v>
      </c>
      <c r="G2259" s="322">
        <v>-148.72999999999999</v>
      </c>
      <c r="H2259" s="322">
        <v>-148.72999999999999</v>
      </c>
      <c r="I2259" s="227" t="s">
        <v>96</v>
      </c>
      <c r="J2259" s="227" t="s">
        <v>164</v>
      </c>
      <c r="K2259" s="227" t="s">
        <v>195</v>
      </c>
      <c r="L2259" s="197"/>
      <c r="M2259" s="197"/>
      <c r="N2259" s="197"/>
      <c r="O2259" s="197"/>
    </row>
    <row r="2260" spans="1:15" ht="25.5">
      <c r="A2260" s="274" t="s">
        <v>232</v>
      </c>
      <c r="B2260" s="227" t="s">
        <v>138</v>
      </c>
      <c r="C2260" s="227" t="s">
        <v>973</v>
      </c>
      <c r="D2260" s="227" t="s">
        <v>1887</v>
      </c>
      <c r="E2260" s="283" t="s">
        <v>2600</v>
      </c>
      <c r="F2260" s="227" t="s">
        <v>268</v>
      </c>
      <c r="G2260" s="322">
        <v>-588.5</v>
      </c>
      <c r="H2260" s="322">
        <v>-588.5</v>
      </c>
      <c r="I2260" s="198" t="s">
        <v>96</v>
      </c>
      <c r="J2260" s="228" t="s">
        <v>964</v>
      </c>
      <c r="K2260" s="233"/>
      <c r="L2260" s="197"/>
      <c r="M2260" s="197"/>
      <c r="N2260" s="197"/>
      <c r="O2260" s="197"/>
    </row>
    <row r="2261" spans="1:15">
      <c r="A2261" s="274" t="s">
        <v>137</v>
      </c>
      <c r="B2261" s="227" t="s">
        <v>138</v>
      </c>
      <c r="C2261" s="227" t="s">
        <v>96</v>
      </c>
      <c r="D2261" s="227" t="s">
        <v>2218</v>
      </c>
      <c r="E2261" s="283" t="s">
        <v>2601</v>
      </c>
      <c r="F2261" s="257" t="s">
        <v>268</v>
      </c>
      <c r="G2261" s="321">
        <v>0</v>
      </c>
      <c r="H2261" s="322">
        <v>-3204.05</v>
      </c>
      <c r="I2261" s="198" t="s">
        <v>96</v>
      </c>
      <c r="J2261" s="228" t="s">
        <v>192</v>
      </c>
      <c r="K2261" s="274" t="s">
        <v>2576</v>
      </c>
      <c r="L2261" s="197"/>
      <c r="M2261" s="197"/>
      <c r="N2261" s="197"/>
      <c r="O2261" s="197"/>
    </row>
    <row r="2262" spans="1:15" ht="38.25">
      <c r="A2262" s="274" t="s">
        <v>137</v>
      </c>
      <c r="B2262" s="227" t="s">
        <v>138</v>
      </c>
      <c r="C2262" s="227" t="s">
        <v>96</v>
      </c>
      <c r="D2262" s="227" t="s">
        <v>2218</v>
      </c>
      <c r="E2262" s="283" t="s">
        <v>2602</v>
      </c>
      <c r="F2262" s="227" t="s">
        <v>268</v>
      </c>
      <c r="G2262" s="322">
        <v>-1909.66</v>
      </c>
      <c r="H2262" s="322">
        <v>-1832.12</v>
      </c>
      <c r="I2262" s="198" t="s">
        <v>96</v>
      </c>
      <c r="J2262" s="228" t="s">
        <v>192</v>
      </c>
      <c r="K2262" s="233"/>
      <c r="L2262" s="197"/>
      <c r="M2262" s="197"/>
      <c r="N2262" s="197"/>
      <c r="O2262" s="197"/>
    </row>
    <row r="2263" spans="1:15">
      <c r="A2263" s="274" t="s">
        <v>137</v>
      </c>
      <c r="B2263" s="227" t="s">
        <v>138</v>
      </c>
      <c r="C2263" s="227" t="s">
        <v>96</v>
      </c>
      <c r="D2263" s="227" t="s">
        <v>2603</v>
      </c>
      <c r="E2263" s="283" t="s">
        <v>2604</v>
      </c>
      <c r="F2263" s="227" t="s">
        <v>268</v>
      </c>
      <c r="G2263" s="322">
        <v>-119.9</v>
      </c>
      <c r="H2263" s="322">
        <v>-119.9</v>
      </c>
      <c r="I2263" s="198" t="s">
        <v>96</v>
      </c>
      <c r="J2263" s="228" t="s">
        <v>206</v>
      </c>
      <c r="K2263" s="233"/>
      <c r="L2263" s="197"/>
      <c r="M2263" s="197"/>
      <c r="N2263" s="197"/>
      <c r="O2263" s="197"/>
    </row>
    <row r="2264" spans="1:15">
      <c r="A2264" s="245" t="s">
        <v>232</v>
      </c>
      <c r="B2264" s="245" t="s">
        <v>138</v>
      </c>
      <c r="C2264" s="227" t="s">
        <v>973</v>
      </c>
      <c r="D2264" s="227" t="s">
        <v>1887</v>
      </c>
      <c r="E2264" s="227" t="s">
        <v>2605</v>
      </c>
      <c r="F2264" s="227" t="s">
        <v>407</v>
      </c>
      <c r="G2264" s="322">
        <v>-569.25</v>
      </c>
      <c r="H2264" s="322">
        <v>-569.25</v>
      </c>
      <c r="I2264" s="227" t="s">
        <v>96</v>
      </c>
      <c r="J2264" s="227" t="s">
        <v>206</v>
      </c>
      <c r="K2264" s="227" t="s">
        <v>195</v>
      </c>
      <c r="L2264" s="197"/>
      <c r="M2264" s="197"/>
      <c r="N2264" s="197"/>
      <c r="O2264" s="197"/>
    </row>
    <row r="2265" spans="1:15">
      <c r="A2265" s="245" t="s">
        <v>232</v>
      </c>
      <c r="B2265" s="245" t="s">
        <v>138</v>
      </c>
      <c r="C2265" s="227" t="s">
        <v>973</v>
      </c>
      <c r="D2265" s="227" t="s">
        <v>1887</v>
      </c>
      <c r="E2265" s="227" t="s">
        <v>2606</v>
      </c>
      <c r="F2265" s="227" t="s">
        <v>407</v>
      </c>
      <c r="G2265" s="322">
        <v>-569.25</v>
      </c>
      <c r="H2265" s="322">
        <v>-569.25</v>
      </c>
      <c r="I2265" s="227" t="s">
        <v>96</v>
      </c>
      <c r="J2265" s="228" t="s">
        <v>964</v>
      </c>
      <c r="K2265" s="227"/>
      <c r="L2265" s="197"/>
      <c r="M2265" s="197"/>
      <c r="N2265" s="197"/>
      <c r="O2265" s="197"/>
    </row>
    <row r="2266" spans="1:15">
      <c r="A2266" s="245" t="s">
        <v>232</v>
      </c>
      <c r="B2266" s="245" t="s">
        <v>138</v>
      </c>
      <c r="C2266" s="227" t="s">
        <v>973</v>
      </c>
      <c r="D2266" s="227" t="s">
        <v>1887</v>
      </c>
      <c r="E2266" s="227" t="s">
        <v>2605</v>
      </c>
      <c r="F2266" s="227" t="s">
        <v>407</v>
      </c>
      <c r="G2266" s="322">
        <v>-569.25</v>
      </c>
      <c r="H2266" s="322">
        <v>-569.25</v>
      </c>
      <c r="I2266" s="227" t="s">
        <v>96</v>
      </c>
      <c r="J2266" s="227" t="s">
        <v>162</v>
      </c>
      <c r="K2266" s="227"/>
      <c r="L2266" s="197"/>
      <c r="M2266" s="197"/>
      <c r="N2266" s="197"/>
      <c r="O2266" s="197"/>
    </row>
    <row r="2267" spans="1:15">
      <c r="A2267" s="245" t="s">
        <v>232</v>
      </c>
      <c r="B2267" s="245" t="s">
        <v>138</v>
      </c>
      <c r="C2267" s="227" t="s">
        <v>973</v>
      </c>
      <c r="D2267" s="227" t="s">
        <v>1887</v>
      </c>
      <c r="E2267" s="227" t="s">
        <v>2607</v>
      </c>
      <c r="F2267" s="227" t="s">
        <v>407</v>
      </c>
      <c r="G2267" s="322">
        <v>-262.45999999999998</v>
      </c>
      <c r="H2267" s="322">
        <v>-262.45999999999998</v>
      </c>
      <c r="I2267" s="227" t="s">
        <v>96</v>
      </c>
      <c r="J2267" s="227" t="s">
        <v>206</v>
      </c>
      <c r="K2267" s="227"/>
      <c r="L2267" s="197"/>
      <c r="M2267" s="197"/>
      <c r="N2267" s="197"/>
      <c r="O2267" s="197"/>
    </row>
    <row r="2268" spans="1:15">
      <c r="A2268" s="245" t="s">
        <v>232</v>
      </c>
      <c r="B2268" s="245" t="s">
        <v>138</v>
      </c>
      <c r="C2268" s="227" t="s">
        <v>973</v>
      </c>
      <c r="D2268" s="325" t="s">
        <v>2608</v>
      </c>
      <c r="E2268" s="227" t="s">
        <v>2609</v>
      </c>
      <c r="F2268" s="227" t="s">
        <v>407</v>
      </c>
      <c r="G2268" s="322">
        <v>-153.58000000000001</v>
      </c>
      <c r="H2268" s="322">
        <v>-153.58000000000001</v>
      </c>
      <c r="I2268" s="227" t="s">
        <v>96</v>
      </c>
      <c r="J2268" s="227" t="s">
        <v>2610</v>
      </c>
      <c r="K2268" s="227"/>
      <c r="L2268" s="197"/>
      <c r="M2268" s="197"/>
      <c r="N2268" s="197"/>
      <c r="O2268" s="197"/>
    </row>
    <row r="2269" spans="1:15">
      <c r="A2269" s="245" t="s">
        <v>232</v>
      </c>
      <c r="B2269" s="245" t="s">
        <v>138</v>
      </c>
      <c r="C2269" s="227" t="s">
        <v>973</v>
      </c>
      <c r="D2269" s="227" t="s">
        <v>996</v>
      </c>
      <c r="E2269" s="227" t="s">
        <v>2611</v>
      </c>
      <c r="F2269" s="227" t="s">
        <v>407</v>
      </c>
      <c r="G2269" s="322">
        <v>-60</v>
      </c>
      <c r="H2269" s="322">
        <v>-60</v>
      </c>
      <c r="I2269" s="227" t="s">
        <v>96</v>
      </c>
      <c r="J2269" s="227" t="s">
        <v>192</v>
      </c>
      <c r="K2269" s="227"/>
      <c r="L2269" s="197"/>
      <c r="M2269" s="197"/>
      <c r="N2269" s="197"/>
      <c r="O2269" s="197"/>
    </row>
    <row r="2270" spans="1:15" ht="25.5">
      <c r="A2270" s="274" t="s">
        <v>137</v>
      </c>
      <c r="B2270" s="227" t="s">
        <v>138</v>
      </c>
      <c r="C2270" s="227" t="s">
        <v>973</v>
      </c>
      <c r="D2270" s="227" t="s">
        <v>2612</v>
      </c>
      <c r="E2270" s="283" t="s">
        <v>2613</v>
      </c>
      <c r="F2270" s="227" t="s">
        <v>268</v>
      </c>
      <c r="G2270" s="322">
        <v>-40</v>
      </c>
      <c r="H2270" s="322">
        <v>-40</v>
      </c>
      <c r="I2270" s="198" t="s">
        <v>96</v>
      </c>
      <c r="J2270" s="228" t="s">
        <v>964</v>
      </c>
      <c r="K2270" s="233"/>
      <c r="L2270" s="197"/>
      <c r="M2270" s="197"/>
      <c r="N2270" s="197"/>
      <c r="O2270" s="197"/>
    </row>
    <row r="2271" spans="1:15">
      <c r="A2271" s="274" t="s">
        <v>232</v>
      </c>
      <c r="B2271" s="227" t="s">
        <v>138</v>
      </c>
      <c r="C2271" s="227" t="s">
        <v>973</v>
      </c>
      <c r="D2271" s="227" t="s">
        <v>2614</v>
      </c>
      <c r="E2271" s="283" t="s">
        <v>2615</v>
      </c>
      <c r="F2271" s="227" t="s">
        <v>268</v>
      </c>
      <c r="G2271" s="322">
        <v>-58.47</v>
      </c>
      <c r="H2271" s="322">
        <v>-58.47</v>
      </c>
      <c r="I2271" s="198" t="s">
        <v>96</v>
      </c>
      <c r="J2271" s="228" t="s">
        <v>206</v>
      </c>
      <c r="K2271" s="233"/>
      <c r="L2271" s="197"/>
      <c r="M2271" s="197"/>
      <c r="N2271" s="197"/>
      <c r="O2271" s="197"/>
    </row>
    <row r="2272" spans="1:15">
      <c r="A2272" s="274" t="s">
        <v>137</v>
      </c>
      <c r="B2272" s="227" t="s">
        <v>138</v>
      </c>
      <c r="C2272" s="227" t="s">
        <v>96</v>
      </c>
      <c r="D2272" s="227" t="s">
        <v>2108</v>
      </c>
      <c r="E2272" s="283" t="s">
        <v>551</v>
      </c>
      <c r="F2272" s="227" t="s">
        <v>268</v>
      </c>
      <c r="G2272" s="322">
        <v>-1593.15</v>
      </c>
      <c r="H2272" s="322">
        <v>-1593.15</v>
      </c>
      <c r="I2272" s="198" t="s">
        <v>96</v>
      </c>
      <c r="J2272" s="228" t="s">
        <v>2109</v>
      </c>
      <c r="K2272" s="233"/>
      <c r="L2272" s="197"/>
      <c r="M2272" s="197"/>
      <c r="N2272" s="197"/>
      <c r="O2272" s="197"/>
    </row>
    <row r="2273" spans="1:15">
      <c r="A2273" s="274" t="s">
        <v>137</v>
      </c>
      <c r="B2273" s="227" t="s">
        <v>138</v>
      </c>
      <c r="C2273" s="227" t="s">
        <v>96</v>
      </c>
      <c r="D2273" s="227" t="s">
        <v>362</v>
      </c>
      <c r="E2273" s="283" t="s">
        <v>2230</v>
      </c>
      <c r="F2273" s="227" t="s">
        <v>268</v>
      </c>
      <c r="G2273" s="322">
        <v>-399.99</v>
      </c>
      <c r="H2273" s="322">
        <v>-399.99</v>
      </c>
      <c r="I2273" s="198" t="s">
        <v>96</v>
      </c>
      <c r="J2273" s="228" t="s">
        <v>143</v>
      </c>
      <c r="K2273" s="233"/>
      <c r="L2273" s="197"/>
      <c r="M2273" s="197"/>
      <c r="N2273" s="197"/>
      <c r="O2273" s="197"/>
    </row>
    <row r="2274" spans="1:15">
      <c r="A2274" s="274" t="s">
        <v>232</v>
      </c>
      <c r="B2274" s="227" t="s">
        <v>138</v>
      </c>
      <c r="C2274" s="227" t="s">
        <v>973</v>
      </c>
      <c r="D2274" s="227" t="s">
        <v>1042</v>
      </c>
      <c r="E2274" s="283" t="s">
        <v>2616</v>
      </c>
      <c r="F2274" s="227" t="s">
        <v>268</v>
      </c>
      <c r="G2274" s="322">
        <v>-214.46</v>
      </c>
      <c r="H2274" s="322">
        <v>-214.46</v>
      </c>
      <c r="I2274" s="198" t="s">
        <v>96</v>
      </c>
      <c r="J2274" s="228" t="s">
        <v>162</v>
      </c>
      <c r="K2274" s="233"/>
      <c r="L2274" s="197"/>
      <c r="M2274" s="197"/>
      <c r="N2274" s="197"/>
      <c r="O2274" s="197"/>
    </row>
    <row r="2275" spans="1:15" hidden="1">
      <c r="A2275" s="245" t="s">
        <v>232</v>
      </c>
      <c r="B2275" s="245" t="s">
        <v>138</v>
      </c>
      <c r="C2275" s="227" t="s">
        <v>973</v>
      </c>
      <c r="D2275" s="227" t="s">
        <v>1042</v>
      </c>
      <c r="E2275" s="227" t="s">
        <v>2617</v>
      </c>
      <c r="F2275" s="244" t="s">
        <v>2618</v>
      </c>
      <c r="G2275" s="322">
        <v>-213.94</v>
      </c>
      <c r="H2275" s="322">
        <v>-213.94</v>
      </c>
      <c r="I2275" s="198" t="s">
        <v>96</v>
      </c>
      <c r="J2275" s="228" t="s">
        <v>162</v>
      </c>
      <c r="K2275" s="233"/>
      <c r="L2275" s="197"/>
      <c r="M2275" s="197"/>
      <c r="N2275" s="197"/>
      <c r="O2275" s="197"/>
    </row>
    <row r="2276" spans="1:15" ht="38.25">
      <c r="A2276" s="274" t="s">
        <v>232</v>
      </c>
      <c r="B2276" s="227" t="s">
        <v>138</v>
      </c>
      <c r="C2276" s="227" t="s">
        <v>973</v>
      </c>
      <c r="D2276" s="227" t="s">
        <v>996</v>
      </c>
      <c r="E2276" s="283" t="s">
        <v>2619</v>
      </c>
      <c r="F2276" s="323" t="s">
        <v>268</v>
      </c>
      <c r="G2276" s="324">
        <v>-208.75</v>
      </c>
      <c r="H2276" s="322">
        <v>-208.75</v>
      </c>
      <c r="I2276" s="198" t="s">
        <v>96</v>
      </c>
      <c r="J2276" s="228" t="s">
        <v>192</v>
      </c>
      <c r="K2276" s="274" t="s">
        <v>2576</v>
      </c>
      <c r="L2276" s="197"/>
      <c r="M2276" s="197"/>
      <c r="N2276" s="197"/>
      <c r="O2276" s="197"/>
    </row>
    <row r="2277" spans="1:15">
      <c r="A2277" s="274" t="s">
        <v>232</v>
      </c>
      <c r="B2277" s="227" t="s">
        <v>138</v>
      </c>
      <c r="C2277" s="227" t="s">
        <v>973</v>
      </c>
      <c r="D2277" s="227" t="s">
        <v>996</v>
      </c>
      <c r="E2277" s="283" t="s">
        <v>2620</v>
      </c>
      <c r="F2277" s="227" t="s">
        <v>268</v>
      </c>
      <c r="G2277" s="322">
        <v>-13.54</v>
      </c>
      <c r="H2277" s="322">
        <v>-13.54</v>
      </c>
      <c r="I2277" s="198" t="s">
        <v>96</v>
      </c>
      <c r="J2277" s="228" t="s">
        <v>2621</v>
      </c>
      <c r="K2277" s="233"/>
      <c r="L2277" s="197"/>
      <c r="M2277" s="197"/>
      <c r="N2277" s="197"/>
      <c r="O2277" s="197"/>
    </row>
    <row r="2278" spans="1:15">
      <c r="A2278" s="245" t="s">
        <v>232</v>
      </c>
      <c r="B2278" s="245" t="s">
        <v>138</v>
      </c>
      <c r="C2278" s="227" t="s">
        <v>973</v>
      </c>
      <c r="D2278" s="257" t="s">
        <v>996</v>
      </c>
      <c r="E2278" s="227" t="s">
        <v>2622</v>
      </c>
      <c r="F2278" s="227" t="s">
        <v>407</v>
      </c>
      <c r="G2278" s="322">
        <v>-368.59</v>
      </c>
      <c r="H2278" s="322">
        <v>-368.59</v>
      </c>
      <c r="I2278" s="227" t="s">
        <v>96</v>
      </c>
      <c r="J2278" s="227" t="s">
        <v>192</v>
      </c>
      <c r="K2278" s="227" t="s">
        <v>195</v>
      </c>
      <c r="L2278" s="197"/>
      <c r="M2278" s="197"/>
      <c r="N2278" s="197"/>
      <c r="O2278" s="197"/>
    </row>
    <row r="2279" spans="1:15" ht="25.5">
      <c r="A2279" s="274" t="s">
        <v>137</v>
      </c>
      <c r="B2279" s="227" t="s">
        <v>138</v>
      </c>
      <c r="C2279" s="227" t="s">
        <v>973</v>
      </c>
      <c r="D2279" s="227" t="s">
        <v>2623</v>
      </c>
      <c r="E2279" s="283" t="s">
        <v>2624</v>
      </c>
      <c r="F2279" s="227" t="s">
        <v>268</v>
      </c>
      <c r="G2279" s="322">
        <v>-295</v>
      </c>
      <c r="H2279" s="322">
        <v>-295</v>
      </c>
      <c r="I2279" s="198" t="s">
        <v>96</v>
      </c>
      <c r="J2279" s="228" t="s">
        <v>164</v>
      </c>
      <c r="K2279" s="233"/>
      <c r="L2279" s="197"/>
      <c r="M2279" s="197"/>
      <c r="N2279" s="197"/>
      <c r="O2279" s="197"/>
    </row>
    <row r="2280" spans="1:15">
      <c r="A2280" s="274" t="s">
        <v>137</v>
      </c>
      <c r="B2280" s="227" t="s">
        <v>138</v>
      </c>
      <c r="C2280" s="227" t="s">
        <v>96</v>
      </c>
      <c r="D2280" s="227" t="s">
        <v>2623</v>
      </c>
      <c r="E2280" s="283" t="s">
        <v>2625</v>
      </c>
      <c r="F2280" s="227" t="s">
        <v>268</v>
      </c>
      <c r="G2280" s="322">
        <v>-190</v>
      </c>
      <c r="H2280" s="322">
        <v>-190</v>
      </c>
      <c r="I2280" s="198" t="s">
        <v>96</v>
      </c>
      <c r="J2280" s="228" t="s">
        <v>164</v>
      </c>
      <c r="K2280" s="233"/>
      <c r="L2280" s="197"/>
      <c r="M2280" s="197"/>
      <c r="N2280" s="197"/>
      <c r="O2280" s="197"/>
    </row>
    <row r="2281" spans="1:15" ht="25.5">
      <c r="A2281" s="274" t="s">
        <v>232</v>
      </c>
      <c r="B2281" s="227" t="s">
        <v>138</v>
      </c>
      <c r="C2281" s="227" t="s">
        <v>973</v>
      </c>
      <c r="D2281" s="227" t="s">
        <v>2216</v>
      </c>
      <c r="E2281" s="283" t="s">
        <v>2626</v>
      </c>
      <c r="F2281" s="227" t="s">
        <v>268</v>
      </c>
      <c r="G2281" s="322">
        <v>-141.97</v>
      </c>
      <c r="H2281" s="322">
        <v>-141.97</v>
      </c>
      <c r="I2281" s="198" t="s">
        <v>96</v>
      </c>
      <c r="J2281" s="228" t="s">
        <v>206</v>
      </c>
      <c r="K2281" s="233"/>
      <c r="L2281" s="197"/>
      <c r="M2281" s="197"/>
      <c r="N2281" s="197"/>
      <c r="O2281" s="197"/>
    </row>
    <row r="2282" spans="1:15" ht="25.5">
      <c r="A2282" s="274" t="s">
        <v>137</v>
      </c>
      <c r="B2282" s="227" t="s">
        <v>138</v>
      </c>
      <c r="C2282" s="227" t="s">
        <v>96</v>
      </c>
      <c r="D2282" s="227" t="s">
        <v>1034</v>
      </c>
      <c r="E2282" s="283" t="s">
        <v>2627</v>
      </c>
      <c r="F2282" s="227" t="s">
        <v>268</v>
      </c>
      <c r="G2282" s="322">
        <v>-450</v>
      </c>
      <c r="H2282" s="322">
        <v>-450</v>
      </c>
      <c r="I2282" s="198" t="s">
        <v>96</v>
      </c>
      <c r="J2282" s="189" t="s">
        <v>159</v>
      </c>
      <c r="K2282" s="233"/>
      <c r="L2282" s="197"/>
      <c r="M2282" s="197"/>
      <c r="N2282" s="197"/>
      <c r="O2282" s="197"/>
    </row>
    <row r="2283" spans="1:15">
      <c r="A2283" s="274" t="s">
        <v>137</v>
      </c>
      <c r="B2283" s="227" t="s">
        <v>138</v>
      </c>
      <c r="C2283" s="227" t="s">
        <v>96</v>
      </c>
      <c r="D2283" s="227" t="s">
        <v>1038</v>
      </c>
      <c r="E2283" s="283" t="s">
        <v>2628</v>
      </c>
      <c r="F2283" s="227" t="s">
        <v>268</v>
      </c>
      <c r="G2283" s="322">
        <v>-3219.53</v>
      </c>
      <c r="H2283" s="322">
        <v>-3219.53</v>
      </c>
      <c r="I2283" s="198" t="s">
        <v>96</v>
      </c>
      <c r="J2283" s="244" t="s">
        <v>143</v>
      </c>
      <c r="K2283" s="233"/>
      <c r="L2283" s="197"/>
      <c r="M2283" s="197"/>
      <c r="N2283" s="197"/>
      <c r="O2283" s="197"/>
    </row>
    <row r="2284" spans="1:15">
      <c r="A2284" s="274" t="s">
        <v>137</v>
      </c>
      <c r="B2284" s="227" t="s">
        <v>138</v>
      </c>
      <c r="C2284" s="227" t="s">
        <v>96</v>
      </c>
      <c r="D2284" s="227" t="s">
        <v>1038</v>
      </c>
      <c r="E2284" s="283" t="s">
        <v>2628</v>
      </c>
      <c r="F2284" s="227" t="s">
        <v>268</v>
      </c>
      <c r="G2284" s="322">
        <v>-95.13</v>
      </c>
      <c r="H2284" s="322">
        <v>-95.13</v>
      </c>
      <c r="I2284" s="198" t="s">
        <v>96</v>
      </c>
      <c r="J2284" s="189" t="s">
        <v>316</v>
      </c>
      <c r="K2284" s="233"/>
      <c r="L2284" s="197"/>
      <c r="M2284" s="197"/>
      <c r="N2284" s="197"/>
      <c r="O2284" s="197"/>
    </row>
    <row r="2285" spans="1:15">
      <c r="A2285" s="245" t="s">
        <v>232</v>
      </c>
      <c r="B2285" s="245" t="s">
        <v>138</v>
      </c>
      <c r="C2285" s="227" t="s">
        <v>973</v>
      </c>
      <c r="D2285" s="227" t="s">
        <v>1110</v>
      </c>
      <c r="E2285" s="227" t="s">
        <v>2629</v>
      </c>
      <c r="F2285" s="227" t="s">
        <v>407</v>
      </c>
      <c r="G2285" s="322">
        <v>-1391.04</v>
      </c>
      <c r="H2285" s="322">
        <v>-1391.04</v>
      </c>
      <c r="I2285" s="227" t="s">
        <v>96</v>
      </c>
      <c r="J2285" s="227" t="s">
        <v>1848</v>
      </c>
      <c r="K2285" s="227" t="s">
        <v>195</v>
      </c>
      <c r="L2285" s="197"/>
      <c r="M2285" s="197"/>
      <c r="N2285" s="197"/>
      <c r="O2285" s="197"/>
    </row>
    <row r="2286" spans="1:15">
      <c r="A2286" s="274" t="s">
        <v>137</v>
      </c>
      <c r="B2286" s="227" t="s">
        <v>138</v>
      </c>
      <c r="C2286" s="227" t="s">
        <v>96</v>
      </c>
      <c r="D2286" s="227" t="s">
        <v>2241</v>
      </c>
      <c r="E2286" s="283" t="s">
        <v>2630</v>
      </c>
      <c r="F2286" s="227" t="s">
        <v>268</v>
      </c>
      <c r="G2286" s="322">
        <v>-2744.93</v>
      </c>
      <c r="H2286" s="322">
        <v>-2744.93</v>
      </c>
      <c r="I2286" s="198" t="s">
        <v>96</v>
      </c>
      <c r="J2286" s="228" t="s">
        <v>476</v>
      </c>
      <c r="K2286" s="233"/>
      <c r="L2286" s="197"/>
      <c r="M2286" s="197"/>
      <c r="N2286" s="197"/>
      <c r="O2286" s="197"/>
    </row>
    <row r="2287" spans="1:15">
      <c r="A2287" s="245" t="s">
        <v>232</v>
      </c>
      <c r="B2287" s="245" t="s">
        <v>138</v>
      </c>
      <c r="C2287" s="227" t="s">
        <v>973</v>
      </c>
      <c r="D2287" s="325" t="s">
        <v>2631</v>
      </c>
      <c r="E2287" s="227" t="s">
        <v>2632</v>
      </c>
      <c r="F2287" s="227" t="s">
        <v>407</v>
      </c>
      <c r="G2287" s="322">
        <v>-37.869999999999997</v>
      </c>
      <c r="H2287" s="322">
        <v>-37.869999999999997</v>
      </c>
      <c r="I2287" s="227" t="s">
        <v>96</v>
      </c>
      <c r="J2287" s="227" t="s">
        <v>2610</v>
      </c>
      <c r="K2287" s="227" t="s">
        <v>195</v>
      </c>
      <c r="L2287" s="197"/>
      <c r="M2287" s="197"/>
      <c r="N2287" s="197"/>
      <c r="O2287" s="197"/>
    </row>
    <row r="2288" spans="1:15">
      <c r="A2288" s="274" t="s">
        <v>137</v>
      </c>
      <c r="B2288" s="227" t="s">
        <v>138</v>
      </c>
      <c r="C2288" s="227" t="s">
        <v>96</v>
      </c>
      <c r="D2288" s="227" t="s">
        <v>1053</v>
      </c>
      <c r="E2288" s="283" t="s">
        <v>2633</v>
      </c>
      <c r="F2288" s="227" t="s">
        <v>268</v>
      </c>
      <c r="G2288" s="322">
        <v>-35.9</v>
      </c>
      <c r="H2288" s="322">
        <v>-35.9</v>
      </c>
      <c r="I2288" s="198" t="s">
        <v>96</v>
      </c>
      <c r="J2288" s="228" t="s">
        <v>422</v>
      </c>
      <c r="K2288" s="233"/>
      <c r="L2288" s="197"/>
      <c r="M2288" s="197"/>
      <c r="N2288" s="197"/>
      <c r="O2288" s="197"/>
    </row>
    <row r="2289" spans="1:15">
      <c r="A2289" s="245" t="s">
        <v>232</v>
      </c>
      <c r="B2289" s="245" t="s">
        <v>138</v>
      </c>
      <c r="C2289" s="227" t="s">
        <v>973</v>
      </c>
      <c r="D2289" s="325" t="s">
        <v>2631</v>
      </c>
      <c r="E2289" s="227" t="s">
        <v>2634</v>
      </c>
      <c r="F2289" s="227" t="s">
        <v>407</v>
      </c>
      <c r="G2289" s="322">
        <v>-273.31</v>
      </c>
      <c r="H2289" s="322">
        <v>-273.31</v>
      </c>
      <c r="I2289" s="227" t="s">
        <v>96</v>
      </c>
      <c r="J2289" s="227" t="s">
        <v>2610</v>
      </c>
      <c r="K2289" s="227" t="s">
        <v>195</v>
      </c>
      <c r="L2289" s="197"/>
      <c r="M2289" s="197"/>
      <c r="N2289" s="197"/>
      <c r="O2289" s="197"/>
    </row>
    <row r="2290" spans="1:15">
      <c r="A2290" s="274" t="s">
        <v>232</v>
      </c>
      <c r="B2290" s="227" t="s">
        <v>138</v>
      </c>
      <c r="C2290" s="227" t="s">
        <v>973</v>
      </c>
      <c r="D2290" s="227" t="s">
        <v>1097</v>
      </c>
      <c r="E2290" s="283" t="s">
        <v>2635</v>
      </c>
      <c r="F2290" s="323" t="s">
        <v>268</v>
      </c>
      <c r="G2290" s="324">
        <v>-27.49</v>
      </c>
      <c r="H2290" s="322">
        <v>-27.49</v>
      </c>
      <c r="I2290" s="198" t="s">
        <v>96</v>
      </c>
      <c r="J2290" s="228" t="s">
        <v>206</v>
      </c>
      <c r="K2290" s="274" t="s">
        <v>2576</v>
      </c>
      <c r="L2290" s="197"/>
      <c r="M2290" s="197"/>
      <c r="N2290" s="197"/>
      <c r="O2290" s="197"/>
    </row>
    <row r="2291" spans="1:15">
      <c r="A2291" s="326" t="s">
        <v>137</v>
      </c>
      <c r="B2291" s="326" t="s">
        <v>138</v>
      </c>
      <c r="C2291" s="244" t="s">
        <v>106</v>
      </c>
      <c r="D2291" s="244" t="s">
        <v>655</v>
      </c>
      <c r="E2291" s="244" t="s">
        <v>2547</v>
      </c>
      <c r="F2291" s="244" t="s">
        <v>268</v>
      </c>
      <c r="G2291" s="305">
        <v>-237</v>
      </c>
      <c r="H2291" s="305">
        <v>-237</v>
      </c>
      <c r="I2291" s="257" t="s">
        <v>106</v>
      </c>
      <c r="J2291" s="244" t="s">
        <v>164</v>
      </c>
      <c r="K2291" s="188"/>
      <c r="L2291" s="197"/>
      <c r="M2291" s="197"/>
      <c r="N2291" s="197"/>
      <c r="O2291" s="197"/>
    </row>
    <row r="2292" spans="1:15">
      <c r="A2292" s="326" t="s">
        <v>137</v>
      </c>
      <c r="B2292" s="326" t="s">
        <v>138</v>
      </c>
      <c r="C2292" s="244" t="s">
        <v>106</v>
      </c>
      <c r="D2292" s="244" t="s">
        <v>655</v>
      </c>
      <c r="E2292" s="244" t="s">
        <v>1931</v>
      </c>
      <c r="F2292" s="244" t="s">
        <v>268</v>
      </c>
      <c r="G2292" s="305">
        <v>-159.19999999999999</v>
      </c>
      <c r="H2292" s="305">
        <v>-159.19999999999999</v>
      </c>
      <c r="I2292" s="257" t="s">
        <v>106</v>
      </c>
      <c r="J2292" s="244" t="s">
        <v>164</v>
      </c>
      <c r="K2292" s="188"/>
      <c r="L2292" s="197"/>
      <c r="M2292" s="197"/>
      <c r="N2292" s="197"/>
      <c r="O2292" s="197"/>
    </row>
    <row r="2293" spans="1:15" ht="51" hidden="1">
      <c r="A2293" s="188" t="s">
        <v>243</v>
      </c>
      <c r="B2293" s="188" t="s">
        <v>138</v>
      </c>
      <c r="C2293" s="188" t="s">
        <v>106</v>
      </c>
      <c r="D2293" s="188" t="s">
        <v>492</v>
      </c>
      <c r="E2293" s="234" t="s">
        <v>2636</v>
      </c>
      <c r="F2293" s="234" t="s">
        <v>149</v>
      </c>
      <c r="G2293" s="252">
        <v>-0.5</v>
      </c>
      <c r="H2293" s="253">
        <v>-0.5</v>
      </c>
      <c r="I2293" s="198" t="s">
        <v>106</v>
      </c>
      <c r="J2293" s="198" t="s">
        <v>164</v>
      </c>
      <c r="K2293" s="188"/>
      <c r="L2293" s="197"/>
      <c r="M2293" s="197"/>
      <c r="N2293" s="197"/>
      <c r="O2293" s="197"/>
    </row>
    <row r="2294" spans="1:15">
      <c r="A2294" s="326" t="s">
        <v>232</v>
      </c>
      <c r="B2294" s="326" t="s">
        <v>138</v>
      </c>
      <c r="C2294" s="244" t="s">
        <v>106</v>
      </c>
      <c r="D2294" s="244" t="s">
        <v>655</v>
      </c>
      <c r="E2294" s="244" t="s">
        <v>2637</v>
      </c>
      <c r="F2294" s="244" t="s">
        <v>268</v>
      </c>
      <c r="G2294" s="305">
        <v>-69.819999999999993</v>
      </c>
      <c r="H2294" s="305">
        <v>-69.819999999999993</v>
      </c>
      <c r="I2294" s="257" t="s">
        <v>106</v>
      </c>
      <c r="J2294" s="244" t="s">
        <v>164</v>
      </c>
      <c r="K2294" s="188"/>
      <c r="L2294" s="197"/>
      <c r="M2294" s="197"/>
      <c r="N2294" s="197"/>
      <c r="O2294" s="197"/>
    </row>
    <row r="2295" spans="1:15">
      <c r="A2295" s="326" t="s">
        <v>137</v>
      </c>
      <c r="B2295" s="326" t="s">
        <v>138</v>
      </c>
      <c r="C2295" s="244" t="s">
        <v>106</v>
      </c>
      <c r="D2295" s="244" t="s">
        <v>655</v>
      </c>
      <c r="E2295" s="244" t="s">
        <v>2638</v>
      </c>
      <c r="F2295" s="244" t="s">
        <v>268</v>
      </c>
      <c r="G2295" s="305">
        <v>-40.44</v>
      </c>
      <c r="H2295" s="305">
        <v>-40.44</v>
      </c>
      <c r="I2295" s="257" t="s">
        <v>106</v>
      </c>
      <c r="J2295" s="244" t="s">
        <v>164</v>
      </c>
      <c r="K2295" s="188"/>
      <c r="L2295" s="197"/>
      <c r="M2295" s="197"/>
      <c r="N2295" s="197"/>
      <c r="O2295" s="197"/>
    </row>
    <row r="2296" spans="1:15">
      <c r="A2296" s="326" t="s">
        <v>232</v>
      </c>
      <c r="B2296" s="326" t="s">
        <v>138</v>
      </c>
      <c r="C2296" s="244" t="s">
        <v>106</v>
      </c>
      <c r="D2296" s="244" t="s">
        <v>655</v>
      </c>
      <c r="E2296" s="244" t="s">
        <v>1337</v>
      </c>
      <c r="F2296" s="244" t="s">
        <v>268</v>
      </c>
      <c r="G2296" s="305">
        <v>-40</v>
      </c>
      <c r="H2296" s="305">
        <v>-40</v>
      </c>
      <c r="I2296" s="257" t="s">
        <v>106</v>
      </c>
      <c r="J2296" s="244" t="s">
        <v>164</v>
      </c>
      <c r="K2296" s="188"/>
      <c r="L2296" s="197"/>
      <c r="M2296" s="197"/>
      <c r="N2296" s="197"/>
      <c r="O2296" s="197"/>
    </row>
    <row r="2297" spans="1:15">
      <c r="A2297" s="326" t="s">
        <v>137</v>
      </c>
      <c r="B2297" s="326" t="s">
        <v>138</v>
      </c>
      <c r="C2297" s="244" t="s">
        <v>106</v>
      </c>
      <c r="D2297" s="244" t="s">
        <v>655</v>
      </c>
      <c r="E2297" s="244" t="s">
        <v>1337</v>
      </c>
      <c r="F2297" s="244" t="s">
        <v>268</v>
      </c>
      <c r="G2297" s="305">
        <v>-40</v>
      </c>
      <c r="H2297" s="305">
        <v>-40</v>
      </c>
      <c r="I2297" s="257" t="s">
        <v>106</v>
      </c>
      <c r="J2297" s="244" t="s">
        <v>164</v>
      </c>
      <c r="K2297" s="188"/>
      <c r="L2297" s="197"/>
      <c r="M2297" s="197"/>
      <c r="N2297" s="197"/>
      <c r="O2297" s="197"/>
    </row>
    <row r="2298" spans="1:15">
      <c r="A2298" s="326" t="s">
        <v>137</v>
      </c>
      <c r="B2298" s="326" t="s">
        <v>138</v>
      </c>
      <c r="C2298" s="244" t="s">
        <v>106</v>
      </c>
      <c r="D2298" s="244" t="s">
        <v>655</v>
      </c>
      <c r="E2298" s="244" t="s">
        <v>1333</v>
      </c>
      <c r="F2298" s="244" t="s">
        <v>268</v>
      </c>
      <c r="G2298" s="305">
        <v>-18</v>
      </c>
      <c r="H2298" s="305">
        <v>-18</v>
      </c>
      <c r="I2298" s="257" t="s">
        <v>106</v>
      </c>
      <c r="J2298" s="244" t="s">
        <v>164</v>
      </c>
      <c r="K2298" s="188"/>
      <c r="L2298" s="197"/>
      <c r="M2298" s="197"/>
      <c r="N2298" s="197"/>
      <c r="O2298" s="197"/>
    </row>
    <row r="2299" spans="1:15">
      <c r="A2299" s="326" t="s">
        <v>137</v>
      </c>
      <c r="B2299" s="326" t="s">
        <v>138</v>
      </c>
      <c r="C2299" s="244" t="s">
        <v>106</v>
      </c>
      <c r="D2299" s="244" t="s">
        <v>655</v>
      </c>
      <c r="E2299" s="244" t="s">
        <v>2639</v>
      </c>
      <c r="F2299" s="244" t="s">
        <v>268</v>
      </c>
      <c r="G2299" s="305">
        <v>-10</v>
      </c>
      <c r="H2299" s="305">
        <v>-10</v>
      </c>
      <c r="I2299" s="257" t="s">
        <v>106</v>
      </c>
      <c r="J2299" s="244" t="s">
        <v>164</v>
      </c>
      <c r="K2299" s="188"/>
      <c r="L2299" s="197"/>
      <c r="M2299" s="197"/>
      <c r="N2299" s="197"/>
      <c r="O2299" s="197"/>
    </row>
    <row r="2300" spans="1:15">
      <c r="A2300" s="326" t="s">
        <v>137</v>
      </c>
      <c r="B2300" s="326" t="s">
        <v>138</v>
      </c>
      <c r="C2300" s="244" t="s">
        <v>106</v>
      </c>
      <c r="D2300" s="244" t="s">
        <v>655</v>
      </c>
      <c r="E2300" s="244" t="s">
        <v>2640</v>
      </c>
      <c r="F2300" s="244" t="s">
        <v>268</v>
      </c>
      <c r="G2300" s="305">
        <v>-10</v>
      </c>
      <c r="H2300" s="305">
        <v>-10</v>
      </c>
      <c r="I2300" s="257" t="s">
        <v>106</v>
      </c>
      <c r="J2300" s="244" t="s">
        <v>164</v>
      </c>
      <c r="K2300" s="188"/>
      <c r="L2300" s="197"/>
      <c r="M2300" s="197"/>
      <c r="N2300" s="197"/>
      <c r="O2300" s="197"/>
    </row>
    <row r="2301" spans="1:15">
      <c r="A2301" s="326" t="s">
        <v>137</v>
      </c>
      <c r="B2301" s="326" t="s">
        <v>138</v>
      </c>
      <c r="C2301" s="244" t="s">
        <v>106</v>
      </c>
      <c r="D2301" s="244" t="s">
        <v>655</v>
      </c>
      <c r="E2301" s="244" t="s">
        <v>2641</v>
      </c>
      <c r="F2301" s="244" t="s">
        <v>268</v>
      </c>
      <c r="G2301" s="305">
        <v>-10</v>
      </c>
      <c r="H2301" s="305">
        <v>-10</v>
      </c>
      <c r="I2301" s="257" t="s">
        <v>106</v>
      </c>
      <c r="J2301" s="244" t="s">
        <v>164</v>
      </c>
      <c r="K2301" s="188"/>
      <c r="L2301" s="197"/>
      <c r="M2301" s="197"/>
      <c r="N2301" s="197"/>
      <c r="O2301" s="197"/>
    </row>
    <row r="2302" spans="1:15">
      <c r="A2302" s="326" t="s">
        <v>137</v>
      </c>
      <c r="B2302" s="326" t="s">
        <v>138</v>
      </c>
      <c r="C2302" s="244" t="s">
        <v>106</v>
      </c>
      <c r="D2302" s="244" t="s">
        <v>655</v>
      </c>
      <c r="E2302" s="244" t="s">
        <v>2642</v>
      </c>
      <c r="F2302" s="244" t="s">
        <v>268</v>
      </c>
      <c r="G2302" s="305">
        <v>-10</v>
      </c>
      <c r="H2302" s="305">
        <v>-10</v>
      </c>
      <c r="I2302" s="257" t="s">
        <v>106</v>
      </c>
      <c r="J2302" s="244" t="s">
        <v>164</v>
      </c>
      <c r="K2302" s="188"/>
      <c r="L2302" s="197"/>
      <c r="M2302" s="197"/>
      <c r="N2302" s="197"/>
      <c r="O2302" s="197"/>
    </row>
    <row r="2303" spans="1:15">
      <c r="A2303" s="326" t="s">
        <v>137</v>
      </c>
      <c r="B2303" s="326" t="s">
        <v>138</v>
      </c>
      <c r="C2303" s="244" t="s">
        <v>106</v>
      </c>
      <c r="D2303" s="244" t="s">
        <v>655</v>
      </c>
      <c r="E2303" s="244" t="s">
        <v>2643</v>
      </c>
      <c r="F2303" s="244" t="s">
        <v>268</v>
      </c>
      <c r="G2303" s="305">
        <v>-10</v>
      </c>
      <c r="H2303" s="305">
        <v>-10</v>
      </c>
      <c r="I2303" s="257" t="s">
        <v>106</v>
      </c>
      <c r="J2303" s="244" t="s">
        <v>164</v>
      </c>
      <c r="K2303" s="188"/>
      <c r="L2303" s="197"/>
      <c r="M2303" s="197"/>
      <c r="N2303" s="197"/>
      <c r="O2303" s="197"/>
    </row>
    <row r="2304" spans="1:15">
      <c r="A2304" s="326" t="s">
        <v>137</v>
      </c>
      <c r="B2304" s="326" t="s">
        <v>138</v>
      </c>
      <c r="C2304" s="244" t="s">
        <v>106</v>
      </c>
      <c r="D2304" s="244" t="s">
        <v>655</v>
      </c>
      <c r="E2304" s="244" t="s">
        <v>2644</v>
      </c>
      <c r="F2304" s="244" t="s">
        <v>268</v>
      </c>
      <c r="G2304" s="305">
        <v>-10</v>
      </c>
      <c r="H2304" s="305">
        <v>-10</v>
      </c>
      <c r="I2304" s="257" t="s">
        <v>106</v>
      </c>
      <c r="J2304" s="244" t="s">
        <v>164</v>
      </c>
      <c r="K2304" s="188"/>
      <c r="L2304" s="197"/>
      <c r="M2304" s="197"/>
      <c r="N2304" s="197"/>
      <c r="O2304" s="197"/>
    </row>
    <row r="2305" spans="1:15">
      <c r="A2305" s="326" t="s">
        <v>232</v>
      </c>
      <c r="B2305" s="326" t="s">
        <v>138</v>
      </c>
      <c r="C2305" s="244" t="s">
        <v>106</v>
      </c>
      <c r="D2305" s="244" t="s">
        <v>655</v>
      </c>
      <c r="E2305" s="244" t="s">
        <v>2645</v>
      </c>
      <c r="F2305" s="244" t="s">
        <v>268</v>
      </c>
      <c r="G2305" s="305">
        <v>-3.5</v>
      </c>
      <c r="H2305" s="305">
        <v>-3.5</v>
      </c>
      <c r="I2305" s="257" t="s">
        <v>106</v>
      </c>
      <c r="J2305" s="244" t="s">
        <v>164</v>
      </c>
      <c r="K2305" s="188"/>
      <c r="L2305" s="197"/>
      <c r="M2305" s="197"/>
      <c r="N2305" s="197"/>
      <c r="O2305" s="197"/>
    </row>
    <row r="2306" spans="1:15">
      <c r="A2306" s="326" t="s">
        <v>232</v>
      </c>
      <c r="B2306" s="326" t="s">
        <v>138</v>
      </c>
      <c r="C2306" s="244" t="s">
        <v>106</v>
      </c>
      <c r="D2306" s="244" t="s">
        <v>655</v>
      </c>
      <c r="E2306" s="244" t="s">
        <v>2646</v>
      </c>
      <c r="F2306" s="244" t="s">
        <v>268</v>
      </c>
      <c r="G2306" s="305">
        <v>-3.5</v>
      </c>
      <c r="H2306" s="305">
        <v>-3.5</v>
      </c>
      <c r="I2306" s="257" t="s">
        <v>106</v>
      </c>
      <c r="J2306" s="244" t="s">
        <v>164</v>
      </c>
      <c r="K2306" s="188"/>
      <c r="L2306" s="197"/>
      <c r="M2306" s="197"/>
      <c r="N2306" s="197"/>
      <c r="O2306" s="197"/>
    </row>
    <row r="2307" spans="1:15">
      <c r="A2307" s="326" t="s">
        <v>137</v>
      </c>
      <c r="B2307" s="326" t="s">
        <v>138</v>
      </c>
      <c r="C2307" s="244" t="s">
        <v>106</v>
      </c>
      <c r="D2307" s="244" t="s">
        <v>655</v>
      </c>
      <c r="E2307" s="244" t="s">
        <v>2647</v>
      </c>
      <c r="F2307" s="244" t="s">
        <v>268</v>
      </c>
      <c r="G2307" s="305">
        <v>-3.37</v>
      </c>
      <c r="H2307" s="305">
        <v>-3.37</v>
      </c>
      <c r="I2307" s="257" t="s">
        <v>106</v>
      </c>
      <c r="J2307" s="244" t="s">
        <v>164</v>
      </c>
      <c r="K2307" s="188"/>
      <c r="L2307" s="197"/>
      <c r="M2307" s="197"/>
      <c r="N2307" s="197"/>
      <c r="O2307" s="197"/>
    </row>
    <row r="2308" spans="1:15">
      <c r="A2308" s="326" t="s">
        <v>232</v>
      </c>
      <c r="B2308" s="326" t="s">
        <v>138</v>
      </c>
      <c r="C2308" s="244" t="s">
        <v>106</v>
      </c>
      <c r="D2308" s="244" t="s">
        <v>655</v>
      </c>
      <c r="E2308" s="244" t="s">
        <v>2648</v>
      </c>
      <c r="F2308" s="244" t="s">
        <v>268</v>
      </c>
      <c r="G2308" s="305">
        <v>-2.72</v>
      </c>
      <c r="H2308" s="305">
        <v>-2.72</v>
      </c>
      <c r="I2308" s="257" t="s">
        <v>106</v>
      </c>
      <c r="J2308" s="244" t="s">
        <v>164</v>
      </c>
      <c r="K2308" s="188"/>
      <c r="L2308" s="197"/>
      <c r="M2308" s="197"/>
      <c r="N2308" s="197"/>
      <c r="O2308" s="197"/>
    </row>
    <row r="2309" spans="1:15" hidden="1">
      <c r="A2309" s="189" t="s">
        <v>137</v>
      </c>
      <c r="B2309" s="189" t="s">
        <v>138</v>
      </c>
      <c r="C2309" s="189" t="s">
        <v>102</v>
      </c>
      <c r="D2309" s="189" t="s">
        <v>2649</v>
      </c>
      <c r="E2309" s="189" t="s">
        <v>2650</v>
      </c>
      <c r="F2309" s="189" t="s">
        <v>265</v>
      </c>
      <c r="G2309" s="260">
        <v>-636.33000000000004</v>
      </c>
      <c r="H2309" s="260">
        <v>-636.33000000000004</v>
      </c>
      <c r="I2309" s="198" t="s">
        <v>102</v>
      </c>
      <c r="J2309" s="244" t="s">
        <v>206</v>
      </c>
      <c r="K2309" s="188"/>
      <c r="L2309" s="197"/>
      <c r="M2309" s="197"/>
      <c r="N2309" s="197"/>
      <c r="O2309" s="197"/>
    </row>
    <row r="2310" spans="1:15">
      <c r="A2310" s="326" t="s">
        <v>137</v>
      </c>
      <c r="B2310" s="326" t="s">
        <v>138</v>
      </c>
      <c r="C2310" s="244" t="s">
        <v>106</v>
      </c>
      <c r="D2310" s="244" t="s">
        <v>655</v>
      </c>
      <c r="E2310" s="244" t="s">
        <v>2651</v>
      </c>
      <c r="F2310" s="244" t="s">
        <v>268</v>
      </c>
      <c r="G2310" s="305">
        <v>-1.99</v>
      </c>
      <c r="H2310" s="305">
        <v>-1.99</v>
      </c>
      <c r="I2310" s="257" t="s">
        <v>106</v>
      </c>
      <c r="J2310" s="244" t="s">
        <v>164</v>
      </c>
      <c r="K2310" s="188"/>
      <c r="L2310" s="197"/>
      <c r="M2310" s="197"/>
      <c r="N2310" s="197"/>
      <c r="O2310" s="197"/>
    </row>
    <row r="2311" spans="1:15">
      <c r="A2311" s="326" t="s">
        <v>137</v>
      </c>
      <c r="B2311" s="326" t="s">
        <v>138</v>
      </c>
      <c r="C2311" s="244" t="s">
        <v>106</v>
      </c>
      <c r="D2311" s="244" t="s">
        <v>655</v>
      </c>
      <c r="E2311" s="244" t="s">
        <v>2652</v>
      </c>
      <c r="F2311" s="244" t="s">
        <v>268</v>
      </c>
      <c r="G2311" s="305">
        <v>-1.99</v>
      </c>
      <c r="H2311" s="305">
        <v>-1.99</v>
      </c>
      <c r="I2311" s="257" t="s">
        <v>106</v>
      </c>
      <c r="J2311" s="244" t="s">
        <v>164</v>
      </c>
      <c r="K2311" s="188"/>
      <c r="L2311" s="197"/>
      <c r="M2311" s="197"/>
      <c r="N2311" s="197"/>
      <c r="O2311" s="197"/>
    </row>
    <row r="2312" spans="1:15">
      <c r="A2312" s="326" t="s">
        <v>137</v>
      </c>
      <c r="B2312" s="326" t="s">
        <v>138</v>
      </c>
      <c r="C2312" s="244" t="s">
        <v>106</v>
      </c>
      <c r="D2312" s="244" t="s">
        <v>655</v>
      </c>
      <c r="E2312" s="244" t="s">
        <v>2653</v>
      </c>
      <c r="F2312" s="244" t="s">
        <v>268</v>
      </c>
      <c r="G2312" s="305">
        <v>-1.99</v>
      </c>
      <c r="H2312" s="305">
        <v>-1.99</v>
      </c>
      <c r="I2312" s="257" t="s">
        <v>106</v>
      </c>
      <c r="J2312" s="244" t="s">
        <v>164</v>
      </c>
      <c r="K2312" s="188"/>
      <c r="L2312" s="197"/>
      <c r="M2312" s="197"/>
      <c r="N2312" s="197"/>
      <c r="O2312" s="197"/>
    </row>
    <row r="2313" spans="1:15">
      <c r="A2313" s="326" t="s">
        <v>137</v>
      </c>
      <c r="B2313" s="326" t="s">
        <v>138</v>
      </c>
      <c r="C2313" s="244" t="s">
        <v>106</v>
      </c>
      <c r="D2313" s="244" t="s">
        <v>655</v>
      </c>
      <c r="E2313" s="244" t="s">
        <v>2654</v>
      </c>
      <c r="F2313" s="244" t="s">
        <v>268</v>
      </c>
      <c r="G2313" s="305">
        <v>-1.99</v>
      </c>
      <c r="H2313" s="305">
        <v>-1.99</v>
      </c>
      <c r="I2313" s="257" t="s">
        <v>106</v>
      </c>
      <c r="J2313" s="244" t="s">
        <v>164</v>
      </c>
      <c r="K2313" s="188"/>
      <c r="L2313" s="197"/>
      <c r="M2313" s="197"/>
      <c r="N2313" s="197"/>
      <c r="O2313" s="197"/>
    </row>
    <row r="2314" spans="1:15">
      <c r="A2314" s="326" t="s">
        <v>137</v>
      </c>
      <c r="B2314" s="326" t="s">
        <v>138</v>
      </c>
      <c r="C2314" s="244" t="s">
        <v>106</v>
      </c>
      <c r="D2314" s="244" t="s">
        <v>655</v>
      </c>
      <c r="E2314" s="244" t="s">
        <v>2655</v>
      </c>
      <c r="F2314" s="244" t="s">
        <v>268</v>
      </c>
      <c r="G2314" s="305">
        <v>-1.99</v>
      </c>
      <c r="H2314" s="305">
        <v>-1.99</v>
      </c>
      <c r="I2314" s="257" t="s">
        <v>106</v>
      </c>
      <c r="J2314" s="244" t="s">
        <v>164</v>
      </c>
      <c r="K2314" s="188"/>
      <c r="L2314" s="197"/>
      <c r="M2314" s="197"/>
      <c r="N2314" s="197"/>
      <c r="O2314" s="197"/>
    </row>
    <row r="2315" spans="1:15">
      <c r="A2315" s="326" t="s">
        <v>137</v>
      </c>
      <c r="B2315" s="326" t="s">
        <v>138</v>
      </c>
      <c r="C2315" s="244" t="s">
        <v>106</v>
      </c>
      <c r="D2315" s="244" t="s">
        <v>655</v>
      </c>
      <c r="E2315" s="244" t="s">
        <v>2656</v>
      </c>
      <c r="F2315" s="244" t="s">
        <v>268</v>
      </c>
      <c r="G2315" s="305">
        <v>-1.99</v>
      </c>
      <c r="H2315" s="305">
        <v>-1.99</v>
      </c>
      <c r="I2315" s="257" t="s">
        <v>106</v>
      </c>
      <c r="J2315" s="244" t="s">
        <v>164</v>
      </c>
      <c r="K2315" s="188"/>
      <c r="L2315" s="197"/>
      <c r="M2315" s="197"/>
      <c r="N2315" s="197"/>
      <c r="O2315" s="197"/>
    </row>
    <row r="2316" spans="1:15">
      <c r="A2316" s="326" t="s">
        <v>137</v>
      </c>
      <c r="B2316" s="326" t="s">
        <v>138</v>
      </c>
      <c r="C2316" s="244" t="s">
        <v>106</v>
      </c>
      <c r="D2316" s="244" t="s">
        <v>655</v>
      </c>
      <c r="E2316" s="244" t="s">
        <v>2657</v>
      </c>
      <c r="F2316" s="244" t="s">
        <v>268</v>
      </c>
      <c r="G2316" s="305">
        <v>-1.99</v>
      </c>
      <c r="H2316" s="305">
        <v>-1.99</v>
      </c>
      <c r="I2316" s="257" t="s">
        <v>106</v>
      </c>
      <c r="J2316" s="244" t="s">
        <v>164</v>
      </c>
      <c r="K2316" s="188"/>
      <c r="L2316" s="197"/>
      <c r="M2316" s="197"/>
      <c r="N2316" s="197"/>
      <c r="O2316" s="197"/>
    </row>
    <row r="2317" spans="1:15">
      <c r="A2317" s="326" t="s">
        <v>137</v>
      </c>
      <c r="B2317" s="326" t="s">
        <v>138</v>
      </c>
      <c r="C2317" s="244" t="s">
        <v>106</v>
      </c>
      <c r="D2317" s="244" t="s">
        <v>655</v>
      </c>
      <c r="E2317" s="244" t="s">
        <v>2658</v>
      </c>
      <c r="F2317" s="244" t="s">
        <v>268</v>
      </c>
      <c r="G2317" s="305">
        <v>-1.99</v>
      </c>
      <c r="H2317" s="305">
        <v>-1.99</v>
      </c>
      <c r="I2317" s="257" t="s">
        <v>106</v>
      </c>
      <c r="J2317" s="244" t="s">
        <v>164</v>
      </c>
      <c r="K2317" s="188"/>
      <c r="L2317" s="197"/>
      <c r="M2317" s="197"/>
      <c r="N2317" s="197"/>
      <c r="O2317" s="197"/>
    </row>
    <row r="2318" spans="1:15">
      <c r="A2318" s="326" t="s">
        <v>137</v>
      </c>
      <c r="B2318" s="326" t="s">
        <v>138</v>
      </c>
      <c r="C2318" s="244" t="s">
        <v>106</v>
      </c>
      <c r="D2318" s="244" t="s">
        <v>655</v>
      </c>
      <c r="E2318" s="244" t="s">
        <v>2659</v>
      </c>
      <c r="F2318" s="244" t="s">
        <v>268</v>
      </c>
      <c r="G2318" s="305">
        <v>-1.99</v>
      </c>
      <c r="H2318" s="305">
        <v>-1.99</v>
      </c>
      <c r="I2318" s="257" t="s">
        <v>106</v>
      </c>
      <c r="J2318" s="244" t="s">
        <v>164</v>
      </c>
      <c r="K2318" s="188"/>
      <c r="L2318" s="197"/>
      <c r="M2318" s="197"/>
      <c r="N2318" s="197"/>
      <c r="O2318" s="197"/>
    </row>
    <row r="2319" spans="1:15">
      <c r="A2319" s="326" t="s">
        <v>137</v>
      </c>
      <c r="B2319" s="326" t="s">
        <v>138</v>
      </c>
      <c r="C2319" s="244" t="s">
        <v>106</v>
      </c>
      <c r="D2319" s="244" t="s">
        <v>655</v>
      </c>
      <c r="E2319" s="244" t="s">
        <v>2660</v>
      </c>
      <c r="F2319" s="244" t="s">
        <v>268</v>
      </c>
      <c r="G2319" s="305">
        <v>-1.99</v>
      </c>
      <c r="H2319" s="305">
        <v>-1.99</v>
      </c>
      <c r="I2319" s="257" t="s">
        <v>106</v>
      </c>
      <c r="J2319" s="244" t="s">
        <v>164</v>
      </c>
      <c r="K2319" s="188"/>
      <c r="L2319" s="197"/>
      <c r="M2319" s="197"/>
      <c r="N2319" s="197"/>
      <c r="O2319" s="197"/>
    </row>
    <row r="2320" spans="1:15">
      <c r="A2320" s="326" t="s">
        <v>137</v>
      </c>
      <c r="B2320" s="326" t="s">
        <v>138</v>
      </c>
      <c r="C2320" s="244" t="s">
        <v>106</v>
      </c>
      <c r="D2320" s="244" t="s">
        <v>655</v>
      </c>
      <c r="E2320" s="244" t="s">
        <v>2661</v>
      </c>
      <c r="F2320" s="244" t="s">
        <v>268</v>
      </c>
      <c r="G2320" s="305">
        <v>-1.99</v>
      </c>
      <c r="H2320" s="305">
        <v>-1.99</v>
      </c>
      <c r="I2320" s="257" t="s">
        <v>106</v>
      </c>
      <c r="J2320" s="244" t="s">
        <v>164</v>
      </c>
      <c r="K2320" s="188"/>
      <c r="L2320" s="197"/>
      <c r="M2320" s="197"/>
      <c r="N2320" s="197"/>
      <c r="O2320" s="197"/>
    </row>
    <row r="2321" spans="1:15">
      <c r="A2321" s="326" t="s">
        <v>137</v>
      </c>
      <c r="B2321" s="326" t="s">
        <v>138</v>
      </c>
      <c r="C2321" s="244" t="s">
        <v>106</v>
      </c>
      <c r="D2321" s="244" t="s">
        <v>655</v>
      </c>
      <c r="E2321" s="244" t="s">
        <v>2662</v>
      </c>
      <c r="F2321" s="244" t="s">
        <v>268</v>
      </c>
      <c r="G2321" s="305">
        <v>-1.99</v>
      </c>
      <c r="H2321" s="305">
        <v>-1.99</v>
      </c>
      <c r="I2321" s="257" t="s">
        <v>106</v>
      </c>
      <c r="J2321" s="244" t="s">
        <v>164</v>
      </c>
      <c r="K2321" s="188"/>
      <c r="L2321" s="197"/>
      <c r="M2321" s="197"/>
      <c r="N2321" s="197"/>
      <c r="O2321" s="197"/>
    </row>
    <row r="2322" spans="1:15">
      <c r="A2322" s="326" t="s">
        <v>137</v>
      </c>
      <c r="B2322" s="326" t="s">
        <v>138</v>
      </c>
      <c r="C2322" s="244" t="s">
        <v>106</v>
      </c>
      <c r="D2322" s="244" t="s">
        <v>655</v>
      </c>
      <c r="E2322" s="244" t="s">
        <v>2663</v>
      </c>
      <c r="F2322" s="244" t="s">
        <v>268</v>
      </c>
      <c r="G2322" s="305">
        <v>-1.99</v>
      </c>
      <c r="H2322" s="305">
        <v>-1.99</v>
      </c>
      <c r="I2322" s="257" t="s">
        <v>106</v>
      </c>
      <c r="J2322" s="244" t="s">
        <v>164</v>
      </c>
      <c r="K2322" s="188"/>
      <c r="L2322" s="197"/>
      <c r="M2322" s="197"/>
      <c r="N2322" s="197"/>
      <c r="O2322" s="197"/>
    </row>
    <row r="2323" spans="1:15">
      <c r="A2323" s="326" t="s">
        <v>137</v>
      </c>
      <c r="B2323" s="326" t="s">
        <v>138</v>
      </c>
      <c r="C2323" s="244" t="s">
        <v>106</v>
      </c>
      <c r="D2323" s="244" t="s">
        <v>655</v>
      </c>
      <c r="E2323" s="244" t="s">
        <v>2664</v>
      </c>
      <c r="F2323" s="244" t="s">
        <v>268</v>
      </c>
      <c r="G2323" s="305">
        <v>-1.99</v>
      </c>
      <c r="H2323" s="305">
        <v>-1.99</v>
      </c>
      <c r="I2323" s="257" t="s">
        <v>106</v>
      </c>
      <c r="J2323" s="244" t="s">
        <v>164</v>
      </c>
      <c r="K2323" s="188"/>
      <c r="L2323" s="197"/>
      <c r="M2323" s="197"/>
      <c r="N2323" s="197"/>
      <c r="O2323" s="197"/>
    </row>
    <row r="2324" spans="1:15">
      <c r="A2324" s="326" t="s">
        <v>232</v>
      </c>
      <c r="B2324" s="326" t="s">
        <v>138</v>
      </c>
      <c r="C2324" s="244" t="s">
        <v>106</v>
      </c>
      <c r="D2324" s="244" t="s">
        <v>655</v>
      </c>
      <c r="E2324" s="244" t="s">
        <v>2665</v>
      </c>
      <c r="F2324" s="244" t="s">
        <v>268</v>
      </c>
      <c r="G2324" s="305">
        <v>-0.5</v>
      </c>
      <c r="H2324" s="305">
        <v>-0.5</v>
      </c>
      <c r="I2324" s="257" t="s">
        <v>106</v>
      </c>
      <c r="J2324" s="227" t="s">
        <v>164</v>
      </c>
      <c r="K2324" s="188"/>
      <c r="L2324" s="197"/>
      <c r="M2324" s="197"/>
      <c r="N2324" s="197"/>
      <c r="O2324" s="197"/>
    </row>
    <row r="2325" spans="1:15">
      <c r="A2325" s="326" t="s">
        <v>232</v>
      </c>
      <c r="B2325" s="326" t="s">
        <v>138</v>
      </c>
      <c r="C2325" s="244" t="s">
        <v>106</v>
      </c>
      <c r="D2325" s="244" t="s">
        <v>655</v>
      </c>
      <c r="E2325" s="244" t="s">
        <v>2666</v>
      </c>
      <c r="F2325" s="244" t="s">
        <v>268</v>
      </c>
      <c r="G2325" s="305">
        <v>-0.5</v>
      </c>
      <c r="H2325" s="305">
        <v>-0.5</v>
      </c>
      <c r="I2325" s="257" t="s">
        <v>106</v>
      </c>
      <c r="J2325" s="227" t="s">
        <v>164</v>
      </c>
      <c r="K2325" s="188"/>
      <c r="L2325" s="197"/>
      <c r="M2325" s="197"/>
      <c r="N2325" s="197"/>
      <c r="O2325" s="197"/>
    </row>
    <row r="2326" spans="1:15">
      <c r="A2326" s="326" t="s">
        <v>232</v>
      </c>
      <c r="B2326" s="326" t="s">
        <v>138</v>
      </c>
      <c r="C2326" s="244" t="s">
        <v>106</v>
      </c>
      <c r="D2326" s="244" t="s">
        <v>655</v>
      </c>
      <c r="E2326" s="244" t="s">
        <v>2667</v>
      </c>
      <c r="F2326" s="244" t="s">
        <v>268</v>
      </c>
      <c r="G2326" s="305">
        <v>-0.5</v>
      </c>
      <c r="H2326" s="305">
        <v>-0.5</v>
      </c>
      <c r="I2326" s="257" t="s">
        <v>106</v>
      </c>
      <c r="J2326" s="227" t="s">
        <v>164</v>
      </c>
      <c r="K2326" s="188"/>
      <c r="L2326" s="197"/>
      <c r="M2326" s="197"/>
      <c r="N2326" s="197"/>
      <c r="O2326" s="197"/>
    </row>
    <row r="2327" spans="1:15">
      <c r="A2327" s="326" t="s">
        <v>232</v>
      </c>
      <c r="B2327" s="326" t="s">
        <v>138</v>
      </c>
      <c r="C2327" s="244" t="s">
        <v>106</v>
      </c>
      <c r="D2327" s="244" t="s">
        <v>655</v>
      </c>
      <c r="E2327" s="244" t="s">
        <v>2668</v>
      </c>
      <c r="F2327" s="244" t="s">
        <v>268</v>
      </c>
      <c r="G2327" s="305">
        <v>-0.5</v>
      </c>
      <c r="H2327" s="305">
        <v>-0.5</v>
      </c>
      <c r="I2327" s="257" t="s">
        <v>106</v>
      </c>
      <c r="J2327" s="227" t="s">
        <v>164</v>
      </c>
      <c r="K2327" s="188"/>
      <c r="L2327" s="197"/>
      <c r="M2327" s="197"/>
      <c r="N2327" s="197"/>
      <c r="O2327" s="197"/>
    </row>
    <row r="2328" spans="1:15">
      <c r="A2328" s="326" t="s">
        <v>232</v>
      </c>
      <c r="B2328" s="326" t="s">
        <v>138</v>
      </c>
      <c r="C2328" s="244" t="s">
        <v>106</v>
      </c>
      <c r="D2328" s="244" t="s">
        <v>655</v>
      </c>
      <c r="E2328" s="244" t="s">
        <v>2669</v>
      </c>
      <c r="F2328" s="244" t="s">
        <v>268</v>
      </c>
      <c r="G2328" s="305">
        <v>-0.5</v>
      </c>
      <c r="H2328" s="305">
        <v>-0.5</v>
      </c>
      <c r="I2328" s="257" t="s">
        <v>106</v>
      </c>
      <c r="J2328" s="227" t="s">
        <v>164</v>
      </c>
      <c r="K2328" s="188"/>
      <c r="L2328" s="197"/>
      <c r="M2328" s="197"/>
      <c r="N2328" s="197"/>
      <c r="O2328" s="197"/>
    </row>
    <row r="2329" spans="1:15">
      <c r="A2329" s="326" t="s">
        <v>232</v>
      </c>
      <c r="B2329" s="326" t="s">
        <v>138</v>
      </c>
      <c r="C2329" s="244" t="s">
        <v>106</v>
      </c>
      <c r="D2329" s="244" t="s">
        <v>655</v>
      </c>
      <c r="E2329" s="244" t="s">
        <v>2670</v>
      </c>
      <c r="F2329" s="244" t="s">
        <v>268</v>
      </c>
      <c r="G2329" s="305">
        <v>-0.5</v>
      </c>
      <c r="H2329" s="305">
        <v>-0.5</v>
      </c>
      <c r="I2329" s="257" t="s">
        <v>106</v>
      </c>
      <c r="J2329" s="227" t="s">
        <v>164</v>
      </c>
      <c r="K2329" s="188"/>
      <c r="L2329" s="197"/>
      <c r="M2329" s="197"/>
      <c r="N2329" s="197"/>
      <c r="O2329" s="197"/>
    </row>
    <row r="2330" spans="1:15">
      <c r="A2330" s="326" t="s">
        <v>232</v>
      </c>
      <c r="B2330" s="326" t="s">
        <v>138</v>
      </c>
      <c r="C2330" s="244" t="s">
        <v>106</v>
      </c>
      <c r="D2330" s="244" t="s">
        <v>655</v>
      </c>
      <c r="E2330" s="244" t="s">
        <v>2671</v>
      </c>
      <c r="F2330" s="244" t="s">
        <v>268</v>
      </c>
      <c r="G2330" s="305">
        <v>-0.5</v>
      </c>
      <c r="H2330" s="305">
        <v>-0.5</v>
      </c>
      <c r="I2330" s="257" t="s">
        <v>106</v>
      </c>
      <c r="J2330" s="227" t="s">
        <v>164</v>
      </c>
      <c r="K2330" s="188"/>
      <c r="L2330" s="197"/>
      <c r="M2330" s="197"/>
      <c r="N2330" s="197"/>
      <c r="O2330" s="197"/>
    </row>
    <row r="2331" spans="1:15">
      <c r="A2331" s="326" t="s">
        <v>232</v>
      </c>
      <c r="B2331" s="326" t="s">
        <v>138</v>
      </c>
      <c r="C2331" s="244" t="s">
        <v>106</v>
      </c>
      <c r="D2331" s="244" t="s">
        <v>655</v>
      </c>
      <c r="E2331" s="244" t="s">
        <v>2672</v>
      </c>
      <c r="F2331" s="244" t="s">
        <v>268</v>
      </c>
      <c r="G2331" s="305">
        <v>-0.5</v>
      </c>
      <c r="H2331" s="305">
        <v>-0.5</v>
      </c>
      <c r="I2331" s="257" t="s">
        <v>106</v>
      </c>
      <c r="J2331" s="227" t="s">
        <v>164</v>
      </c>
      <c r="K2331" s="188"/>
      <c r="L2331" s="197"/>
      <c r="M2331" s="197"/>
      <c r="N2331" s="197"/>
      <c r="O2331" s="197"/>
    </row>
    <row r="2332" spans="1:15">
      <c r="A2332" s="326" t="s">
        <v>232</v>
      </c>
      <c r="B2332" s="326" t="s">
        <v>138</v>
      </c>
      <c r="C2332" s="244" t="s">
        <v>106</v>
      </c>
      <c r="D2332" s="244" t="s">
        <v>655</v>
      </c>
      <c r="E2332" s="244" t="s">
        <v>2673</v>
      </c>
      <c r="F2332" s="244" t="s">
        <v>268</v>
      </c>
      <c r="G2332" s="305">
        <v>-0.5</v>
      </c>
      <c r="H2332" s="305">
        <v>-0.5</v>
      </c>
      <c r="I2332" s="257" t="s">
        <v>106</v>
      </c>
      <c r="J2332" s="227" t="s">
        <v>164</v>
      </c>
      <c r="K2332" s="188"/>
      <c r="L2332" s="197"/>
      <c r="M2332" s="197"/>
      <c r="N2332" s="197"/>
      <c r="O2332" s="197"/>
    </row>
    <row r="2333" spans="1:15">
      <c r="A2333" s="326" t="s">
        <v>232</v>
      </c>
      <c r="B2333" s="326" t="s">
        <v>138</v>
      </c>
      <c r="C2333" s="244" t="s">
        <v>106</v>
      </c>
      <c r="D2333" s="244" t="s">
        <v>655</v>
      </c>
      <c r="E2333" s="244" t="s">
        <v>2674</v>
      </c>
      <c r="F2333" s="244" t="s">
        <v>268</v>
      </c>
      <c r="G2333" s="305">
        <v>-0.5</v>
      </c>
      <c r="H2333" s="305">
        <v>-0.5</v>
      </c>
      <c r="I2333" s="257" t="s">
        <v>106</v>
      </c>
      <c r="J2333" s="227" t="s">
        <v>164</v>
      </c>
      <c r="K2333" s="188"/>
      <c r="L2333" s="197"/>
      <c r="M2333" s="197"/>
      <c r="N2333" s="197"/>
      <c r="O2333" s="197"/>
    </row>
    <row r="2334" spans="1:15">
      <c r="A2334" s="326" t="s">
        <v>232</v>
      </c>
      <c r="B2334" s="326" t="s">
        <v>138</v>
      </c>
      <c r="C2334" s="244" t="s">
        <v>106</v>
      </c>
      <c r="D2334" s="244" t="s">
        <v>655</v>
      </c>
      <c r="E2334" s="244" t="s">
        <v>2675</v>
      </c>
      <c r="F2334" s="244" t="s">
        <v>268</v>
      </c>
      <c r="G2334" s="305">
        <v>-0.5</v>
      </c>
      <c r="H2334" s="305">
        <v>-0.5</v>
      </c>
      <c r="I2334" s="257" t="s">
        <v>106</v>
      </c>
      <c r="J2334" s="227" t="s">
        <v>164</v>
      </c>
      <c r="K2334" s="188"/>
      <c r="L2334" s="197"/>
      <c r="M2334" s="197"/>
      <c r="N2334" s="197"/>
      <c r="O2334" s="197"/>
    </row>
    <row r="2335" spans="1:15">
      <c r="A2335" s="326" t="s">
        <v>232</v>
      </c>
      <c r="B2335" s="326" t="s">
        <v>138</v>
      </c>
      <c r="C2335" s="244" t="s">
        <v>106</v>
      </c>
      <c r="D2335" s="244" t="s">
        <v>655</v>
      </c>
      <c r="E2335" s="244" t="s">
        <v>2676</v>
      </c>
      <c r="F2335" s="244" t="s">
        <v>268</v>
      </c>
      <c r="G2335" s="305">
        <v>-0.5</v>
      </c>
      <c r="H2335" s="305">
        <v>-0.5</v>
      </c>
      <c r="I2335" s="257" t="s">
        <v>106</v>
      </c>
      <c r="J2335" s="227" t="s">
        <v>164</v>
      </c>
      <c r="K2335" s="188"/>
      <c r="L2335" s="197"/>
      <c r="M2335" s="197"/>
      <c r="N2335" s="197"/>
      <c r="O2335" s="197"/>
    </row>
    <row r="2336" spans="1:15">
      <c r="A2336" s="326" t="s">
        <v>232</v>
      </c>
      <c r="B2336" s="326" t="s">
        <v>138</v>
      </c>
      <c r="C2336" s="244" t="s">
        <v>106</v>
      </c>
      <c r="D2336" s="244" t="s">
        <v>655</v>
      </c>
      <c r="E2336" s="244" t="s">
        <v>2677</v>
      </c>
      <c r="F2336" s="244" t="s">
        <v>268</v>
      </c>
      <c r="G2336" s="305">
        <v>-0.5</v>
      </c>
      <c r="H2336" s="305">
        <v>-0.5</v>
      </c>
      <c r="I2336" s="257" t="s">
        <v>106</v>
      </c>
      <c r="J2336" s="227" t="s">
        <v>164</v>
      </c>
      <c r="K2336" s="188"/>
      <c r="L2336" s="197"/>
      <c r="M2336" s="197"/>
      <c r="N2336" s="197"/>
      <c r="O2336" s="197"/>
    </row>
    <row r="2337" spans="1:15">
      <c r="A2337" s="326" t="s">
        <v>137</v>
      </c>
      <c r="B2337" s="326" t="s">
        <v>138</v>
      </c>
      <c r="C2337" s="244" t="s">
        <v>106</v>
      </c>
      <c r="D2337" s="244" t="s">
        <v>655</v>
      </c>
      <c r="E2337" s="244" t="s">
        <v>2678</v>
      </c>
      <c r="F2337" s="244" t="s">
        <v>268</v>
      </c>
      <c r="G2337" s="305">
        <v>-0.5</v>
      </c>
      <c r="H2337" s="305">
        <v>-0.5</v>
      </c>
      <c r="I2337" s="257" t="s">
        <v>106</v>
      </c>
      <c r="J2337" s="244" t="s">
        <v>164</v>
      </c>
      <c r="K2337" s="188"/>
      <c r="L2337" s="197"/>
      <c r="M2337" s="197"/>
      <c r="N2337" s="197"/>
      <c r="O2337" s="197"/>
    </row>
    <row r="2338" spans="1:15">
      <c r="A2338" s="326" t="s">
        <v>137</v>
      </c>
      <c r="B2338" s="326" t="s">
        <v>138</v>
      </c>
      <c r="C2338" s="244" t="s">
        <v>106</v>
      </c>
      <c r="D2338" s="244" t="s">
        <v>655</v>
      </c>
      <c r="E2338" s="244" t="s">
        <v>2679</v>
      </c>
      <c r="F2338" s="244" t="s">
        <v>268</v>
      </c>
      <c r="G2338" s="305">
        <v>-0.5</v>
      </c>
      <c r="H2338" s="305">
        <v>-0.5</v>
      </c>
      <c r="I2338" s="257" t="s">
        <v>106</v>
      </c>
      <c r="J2338" s="244" t="s">
        <v>164</v>
      </c>
      <c r="K2338" s="188"/>
      <c r="L2338" s="197"/>
      <c r="M2338" s="197"/>
      <c r="N2338" s="197"/>
      <c r="O2338" s="197"/>
    </row>
    <row r="2339" spans="1:15">
      <c r="A2339" s="326" t="s">
        <v>137</v>
      </c>
      <c r="B2339" s="326" t="s">
        <v>138</v>
      </c>
      <c r="C2339" s="244" t="s">
        <v>106</v>
      </c>
      <c r="D2339" s="244" t="s">
        <v>655</v>
      </c>
      <c r="E2339" s="244" t="s">
        <v>2680</v>
      </c>
      <c r="F2339" s="244" t="s">
        <v>268</v>
      </c>
      <c r="G2339" s="305">
        <v>-0.5</v>
      </c>
      <c r="H2339" s="305">
        <v>-0.5</v>
      </c>
      <c r="I2339" s="257" t="s">
        <v>106</v>
      </c>
      <c r="J2339" s="244" t="s">
        <v>164</v>
      </c>
      <c r="K2339" s="188"/>
      <c r="L2339" s="197"/>
      <c r="M2339" s="197"/>
      <c r="N2339" s="197"/>
      <c r="O2339" s="197"/>
    </row>
    <row r="2340" spans="1:15">
      <c r="A2340" s="326" t="s">
        <v>137</v>
      </c>
      <c r="B2340" s="326" t="s">
        <v>138</v>
      </c>
      <c r="C2340" s="244" t="s">
        <v>106</v>
      </c>
      <c r="D2340" s="244" t="s">
        <v>655</v>
      </c>
      <c r="E2340" s="244" t="s">
        <v>2681</v>
      </c>
      <c r="F2340" s="244" t="s">
        <v>268</v>
      </c>
      <c r="G2340" s="305">
        <v>-0.5</v>
      </c>
      <c r="H2340" s="305">
        <v>-0.5</v>
      </c>
      <c r="I2340" s="257" t="s">
        <v>106</v>
      </c>
      <c r="J2340" s="244" t="s">
        <v>164</v>
      </c>
      <c r="K2340" s="188"/>
      <c r="L2340" s="197"/>
      <c r="M2340" s="197"/>
      <c r="N2340" s="197"/>
      <c r="O2340" s="197"/>
    </row>
    <row r="2341" spans="1:15">
      <c r="A2341" s="326" t="s">
        <v>137</v>
      </c>
      <c r="B2341" s="326" t="s">
        <v>138</v>
      </c>
      <c r="C2341" s="244" t="s">
        <v>106</v>
      </c>
      <c r="D2341" s="244" t="s">
        <v>655</v>
      </c>
      <c r="E2341" s="244" t="s">
        <v>2682</v>
      </c>
      <c r="F2341" s="244" t="s">
        <v>268</v>
      </c>
      <c r="G2341" s="305">
        <v>-0.5</v>
      </c>
      <c r="H2341" s="305">
        <v>-0.5</v>
      </c>
      <c r="I2341" s="257" t="s">
        <v>106</v>
      </c>
      <c r="J2341" s="244" t="s">
        <v>164</v>
      </c>
      <c r="K2341" s="188"/>
      <c r="L2341" s="197"/>
      <c r="M2341" s="197"/>
      <c r="N2341" s="197"/>
      <c r="O2341" s="197"/>
    </row>
    <row r="2342" spans="1:15">
      <c r="A2342" s="326" t="s">
        <v>137</v>
      </c>
      <c r="B2342" s="326" t="s">
        <v>138</v>
      </c>
      <c r="C2342" s="244" t="s">
        <v>106</v>
      </c>
      <c r="D2342" s="244" t="s">
        <v>655</v>
      </c>
      <c r="E2342" s="244" t="s">
        <v>2683</v>
      </c>
      <c r="F2342" s="244" t="s">
        <v>268</v>
      </c>
      <c r="G2342" s="305">
        <v>-0.5</v>
      </c>
      <c r="H2342" s="305">
        <v>-0.5</v>
      </c>
      <c r="I2342" s="257" t="s">
        <v>106</v>
      </c>
      <c r="J2342" s="244" t="s">
        <v>164</v>
      </c>
      <c r="K2342" s="188"/>
      <c r="L2342" s="197"/>
      <c r="M2342" s="197"/>
      <c r="N2342" s="197"/>
      <c r="O2342" s="197"/>
    </row>
    <row r="2343" spans="1:15">
      <c r="A2343" s="326" t="s">
        <v>137</v>
      </c>
      <c r="B2343" s="326" t="s">
        <v>138</v>
      </c>
      <c r="C2343" s="244" t="s">
        <v>106</v>
      </c>
      <c r="D2343" s="244" t="s">
        <v>655</v>
      </c>
      <c r="E2343" s="244" t="s">
        <v>2684</v>
      </c>
      <c r="F2343" s="244" t="s">
        <v>268</v>
      </c>
      <c r="G2343" s="305">
        <v>-0.5</v>
      </c>
      <c r="H2343" s="305">
        <v>-0.5</v>
      </c>
      <c r="I2343" s="257" t="s">
        <v>106</v>
      </c>
      <c r="J2343" s="244" t="s">
        <v>164</v>
      </c>
      <c r="K2343" s="188"/>
      <c r="L2343" s="197"/>
      <c r="M2343" s="197"/>
      <c r="N2343" s="197"/>
      <c r="O2343" s="197"/>
    </row>
    <row r="2344" spans="1:15">
      <c r="A2344" s="326" t="s">
        <v>137</v>
      </c>
      <c r="B2344" s="326" t="s">
        <v>138</v>
      </c>
      <c r="C2344" s="244" t="s">
        <v>106</v>
      </c>
      <c r="D2344" s="244" t="s">
        <v>655</v>
      </c>
      <c r="E2344" s="244" t="s">
        <v>2685</v>
      </c>
      <c r="F2344" s="244" t="s">
        <v>268</v>
      </c>
      <c r="G2344" s="305">
        <v>-0.5</v>
      </c>
      <c r="H2344" s="305">
        <v>-0.5</v>
      </c>
      <c r="I2344" s="257" t="s">
        <v>106</v>
      </c>
      <c r="J2344" s="244" t="s">
        <v>164</v>
      </c>
      <c r="K2344" s="188"/>
      <c r="L2344" s="197"/>
      <c r="M2344" s="197"/>
      <c r="N2344" s="197"/>
      <c r="O2344" s="197"/>
    </row>
    <row r="2345" spans="1:15">
      <c r="A2345" s="326" t="s">
        <v>137</v>
      </c>
      <c r="B2345" s="326" t="s">
        <v>138</v>
      </c>
      <c r="C2345" s="244" t="s">
        <v>106</v>
      </c>
      <c r="D2345" s="244" t="s">
        <v>655</v>
      </c>
      <c r="E2345" s="244" t="s">
        <v>2686</v>
      </c>
      <c r="F2345" s="244" t="s">
        <v>268</v>
      </c>
      <c r="G2345" s="305">
        <v>-0.5</v>
      </c>
      <c r="H2345" s="305">
        <v>-0.5</v>
      </c>
      <c r="I2345" s="257" t="s">
        <v>106</v>
      </c>
      <c r="J2345" s="244" t="s">
        <v>164</v>
      </c>
      <c r="K2345" s="188"/>
      <c r="L2345" s="197"/>
      <c r="M2345" s="197"/>
      <c r="N2345" s="197"/>
      <c r="O2345" s="197"/>
    </row>
    <row r="2346" spans="1:15" ht="51" hidden="1">
      <c r="A2346" s="188" t="s">
        <v>243</v>
      </c>
      <c r="B2346" s="188" t="s">
        <v>138</v>
      </c>
      <c r="C2346" s="188" t="s">
        <v>106</v>
      </c>
      <c r="D2346" s="188" t="s">
        <v>492</v>
      </c>
      <c r="E2346" s="234" t="s">
        <v>2687</v>
      </c>
      <c r="F2346" s="234" t="s">
        <v>149</v>
      </c>
      <c r="G2346" s="252">
        <v>-0.5</v>
      </c>
      <c r="H2346" s="253">
        <v>-0.5</v>
      </c>
      <c r="I2346" s="198" t="s">
        <v>106</v>
      </c>
      <c r="J2346" s="198" t="s">
        <v>164</v>
      </c>
      <c r="K2346" s="188"/>
      <c r="L2346" s="197"/>
      <c r="M2346" s="197"/>
      <c r="N2346" s="197"/>
      <c r="O2346" s="197"/>
    </row>
    <row r="2347" spans="1:15">
      <c r="A2347" s="326" t="s">
        <v>137</v>
      </c>
      <c r="B2347" s="326" t="s">
        <v>138</v>
      </c>
      <c r="C2347" s="244" t="s">
        <v>106</v>
      </c>
      <c r="D2347" s="244" t="s">
        <v>655</v>
      </c>
      <c r="E2347" s="244" t="s">
        <v>2688</v>
      </c>
      <c r="F2347" s="244" t="s">
        <v>268</v>
      </c>
      <c r="G2347" s="305">
        <v>-0.5</v>
      </c>
      <c r="H2347" s="305">
        <v>-0.5</v>
      </c>
      <c r="I2347" s="257" t="s">
        <v>106</v>
      </c>
      <c r="J2347" s="244" t="s">
        <v>164</v>
      </c>
      <c r="K2347" s="188"/>
      <c r="L2347" s="197"/>
      <c r="M2347" s="197"/>
      <c r="N2347" s="197"/>
      <c r="O2347" s="197"/>
    </row>
    <row r="2348" spans="1:15">
      <c r="A2348" s="326" t="s">
        <v>137</v>
      </c>
      <c r="B2348" s="326" t="s">
        <v>138</v>
      </c>
      <c r="C2348" s="244" t="s">
        <v>106</v>
      </c>
      <c r="D2348" s="244" t="s">
        <v>655</v>
      </c>
      <c r="E2348" s="244" t="s">
        <v>2689</v>
      </c>
      <c r="F2348" s="244" t="s">
        <v>268</v>
      </c>
      <c r="G2348" s="305">
        <v>-0.5</v>
      </c>
      <c r="H2348" s="305">
        <v>-0.5</v>
      </c>
      <c r="I2348" s="257" t="s">
        <v>106</v>
      </c>
      <c r="J2348" s="244" t="s">
        <v>164</v>
      </c>
      <c r="K2348" s="188"/>
      <c r="L2348" s="197"/>
      <c r="M2348" s="197"/>
      <c r="N2348" s="197"/>
      <c r="O2348" s="197"/>
    </row>
    <row r="2349" spans="1:15">
      <c r="A2349" s="326" t="s">
        <v>137</v>
      </c>
      <c r="B2349" s="326" t="s">
        <v>138</v>
      </c>
      <c r="C2349" s="244" t="s">
        <v>106</v>
      </c>
      <c r="D2349" s="244" t="s">
        <v>655</v>
      </c>
      <c r="E2349" s="244" t="s">
        <v>2690</v>
      </c>
      <c r="F2349" s="244" t="s">
        <v>268</v>
      </c>
      <c r="G2349" s="305">
        <v>-0.5</v>
      </c>
      <c r="H2349" s="305">
        <v>-0.5</v>
      </c>
      <c r="I2349" s="257" t="s">
        <v>106</v>
      </c>
      <c r="J2349" s="244" t="s">
        <v>164</v>
      </c>
      <c r="K2349" s="188"/>
      <c r="L2349" s="197"/>
      <c r="M2349" s="197"/>
      <c r="N2349" s="197"/>
      <c r="O2349" s="197"/>
    </row>
    <row r="2350" spans="1:15">
      <c r="A2350" s="326" t="s">
        <v>137</v>
      </c>
      <c r="B2350" s="326" t="s">
        <v>138</v>
      </c>
      <c r="C2350" s="244" t="s">
        <v>106</v>
      </c>
      <c r="D2350" s="244" t="s">
        <v>655</v>
      </c>
      <c r="E2350" s="244" t="s">
        <v>2691</v>
      </c>
      <c r="F2350" s="244" t="s">
        <v>268</v>
      </c>
      <c r="G2350" s="305">
        <v>-0.5</v>
      </c>
      <c r="H2350" s="305">
        <v>-0.5</v>
      </c>
      <c r="I2350" s="257" t="s">
        <v>106</v>
      </c>
      <c r="J2350" s="244" t="s">
        <v>164</v>
      </c>
      <c r="K2350" s="188"/>
      <c r="L2350" s="197"/>
      <c r="M2350" s="197"/>
      <c r="N2350" s="197"/>
      <c r="O2350" s="197"/>
    </row>
    <row r="2351" spans="1:15">
      <c r="A2351" s="326" t="s">
        <v>137</v>
      </c>
      <c r="B2351" s="326" t="s">
        <v>138</v>
      </c>
      <c r="C2351" s="244" t="s">
        <v>106</v>
      </c>
      <c r="D2351" s="244" t="s">
        <v>655</v>
      </c>
      <c r="E2351" s="244" t="s">
        <v>2692</v>
      </c>
      <c r="F2351" s="244" t="s">
        <v>268</v>
      </c>
      <c r="G2351" s="305">
        <v>-0.5</v>
      </c>
      <c r="H2351" s="305">
        <v>-0.5</v>
      </c>
      <c r="I2351" s="257" t="s">
        <v>106</v>
      </c>
      <c r="J2351" s="244" t="s">
        <v>164</v>
      </c>
      <c r="K2351" s="188"/>
      <c r="L2351" s="197"/>
      <c r="M2351" s="197"/>
      <c r="N2351" s="197"/>
      <c r="O2351" s="197"/>
    </row>
    <row r="2352" spans="1:15">
      <c r="A2352" s="326" t="s">
        <v>137</v>
      </c>
      <c r="B2352" s="326" t="s">
        <v>138</v>
      </c>
      <c r="C2352" s="244" t="s">
        <v>106</v>
      </c>
      <c r="D2352" s="244" t="s">
        <v>655</v>
      </c>
      <c r="E2352" s="244" t="s">
        <v>2693</v>
      </c>
      <c r="F2352" s="244" t="s">
        <v>268</v>
      </c>
      <c r="G2352" s="305">
        <v>-0.5</v>
      </c>
      <c r="H2352" s="305">
        <v>-0.5</v>
      </c>
      <c r="I2352" s="257" t="s">
        <v>106</v>
      </c>
      <c r="J2352" s="244" t="s">
        <v>164</v>
      </c>
      <c r="K2352" s="188"/>
      <c r="L2352" s="197"/>
      <c r="M2352" s="197"/>
      <c r="N2352" s="197"/>
      <c r="O2352" s="197"/>
    </row>
    <row r="2353" spans="1:15">
      <c r="A2353" s="326" t="s">
        <v>137</v>
      </c>
      <c r="B2353" s="326" t="s">
        <v>138</v>
      </c>
      <c r="C2353" s="244" t="s">
        <v>106</v>
      </c>
      <c r="D2353" s="244" t="s">
        <v>655</v>
      </c>
      <c r="E2353" s="244" t="s">
        <v>2694</v>
      </c>
      <c r="F2353" s="244" t="s">
        <v>268</v>
      </c>
      <c r="G2353" s="305">
        <v>-0.5</v>
      </c>
      <c r="H2353" s="305">
        <v>-0.5</v>
      </c>
      <c r="I2353" s="257" t="s">
        <v>106</v>
      </c>
      <c r="J2353" s="244" t="s">
        <v>164</v>
      </c>
      <c r="K2353" s="188"/>
      <c r="L2353" s="197"/>
      <c r="M2353" s="197"/>
      <c r="N2353" s="197"/>
      <c r="O2353" s="197"/>
    </row>
    <row r="2354" spans="1:15">
      <c r="A2354" s="326" t="s">
        <v>137</v>
      </c>
      <c r="B2354" s="326" t="s">
        <v>138</v>
      </c>
      <c r="C2354" s="244" t="s">
        <v>106</v>
      </c>
      <c r="D2354" s="244" t="s">
        <v>655</v>
      </c>
      <c r="E2354" s="244" t="s">
        <v>2695</v>
      </c>
      <c r="F2354" s="244" t="s">
        <v>268</v>
      </c>
      <c r="G2354" s="305">
        <v>-0.5</v>
      </c>
      <c r="H2354" s="305">
        <v>-0.5</v>
      </c>
      <c r="I2354" s="257" t="s">
        <v>106</v>
      </c>
      <c r="J2354" s="244" t="s">
        <v>164</v>
      </c>
      <c r="K2354" s="188"/>
      <c r="L2354" s="197"/>
      <c r="M2354" s="197"/>
      <c r="N2354" s="197"/>
      <c r="O2354" s="197"/>
    </row>
    <row r="2355" spans="1:15">
      <c r="A2355" s="326" t="s">
        <v>137</v>
      </c>
      <c r="B2355" s="326" t="s">
        <v>138</v>
      </c>
      <c r="C2355" s="244" t="s">
        <v>106</v>
      </c>
      <c r="D2355" s="244" t="s">
        <v>655</v>
      </c>
      <c r="E2355" s="244" t="s">
        <v>2696</v>
      </c>
      <c r="F2355" s="244" t="s">
        <v>268</v>
      </c>
      <c r="G2355" s="305">
        <v>-0.5</v>
      </c>
      <c r="H2355" s="305">
        <v>-0.5</v>
      </c>
      <c r="I2355" s="257" t="s">
        <v>106</v>
      </c>
      <c r="J2355" s="244" t="s">
        <v>164</v>
      </c>
      <c r="K2355" s="188"/>
      <c r="L2355" s="197"/>
      <c r="M2355" s="197"/>
      <c r="N2355" s="197"/>
      <c r="O2355" s="197"/>
    </row>
    <row r="2356" spans="1:15">
      <c r="A2356" s="326" t="s">
        <v>137</v>
      </c>
      <c r="B2356" s="326" t="s">
        <v>138</v>
      </c>
      <c r="C2356" s="244" t="s">
        <v>106</v>
      </c>
      <c r="D2356" s="244" t="s">
        <v>655</v>
      </c>
      <c r="E2356" s="244" t="s">
        <v>2697</v>
      </c>
      <c r="F2356" s="244" t="s">
        <v>268</v>
      </c>
      <c r="G2356" s="305">
        <v>-0.5</v>
      </c>
      <c r="H2356" s="305">
        <v>-0.5</v>
      </c>
      <c r="I2356" s="257" t="s">
        <v>106</v>
      </c>
      <c r="J2356" s="244" t="s">
        <v>164</v>
      </c>
      <c r="K2356" s="188"/>
      <c r="L2356" s="197"/>
      <c r="M2356" s="197"/>
      <c r="N2356" s="197"/>
      <c r="O2356" s="197"/>
    </row>
    <row r="2357" spans="1:15">
      <c r="A2357" s="326" t="s">
        <v>137</v>
      </c>
      <c r="B2357" s="326" t="s">
        <v>138</v>
      </c>
      <c r="C2357" s="244" t="s">
        <v>106</v>
      </c>
      <c r="D2357" s="244" t="s">
        <v>655</v>
      </c>
      <c r="E2357" s="244" t="s">
        <v>2698</v>
      </c>
      <c r="F2357" s="244" t="s">
        <v>268</v>
      </c>
      <c r="G2357" s="305">
        <v>-0.5</v>
      </c>
      <c r="H2357" s="305">
        <v>-0.5</v>
      </c>
      <c r="I2357" s="257" t="s">
        <v>106</v>
      </c>
      <c r="J2357" s="244" t="s">
        <v>164</v>
      </c>
      <c r="K2357" s="188"/>
      <c r="L2357" s="197"/>
      <c r="M2357" s="197"/>
      <c r="N2357" s="197"/>
      <c r="O2357" s="197"/>
    </row>
    <row r="2358" spans="1:15">
      <c r="A2358" s="326" t="s">
        <v>137</v>
      </c>
      <c r="B2358" s="326" t="s">
        <v>138</v>
      </c>
      <c r="C2358" s="244" t="s">
        <v>106</v>
      </c>
      <c r="D2358" s="244" t="s">
        <v>655</v>
      </c>
      <c r="E2358" s="244" t="s">
        <v>2699</v>
      </c>
      <c r="F2358" s="244" t="s">
        <v>268</v>
      </c>
      <c r="G2358" s="305">
        <v>-0.5</v>
      </c>
      <c r="H2358" s="305">
        <v>-0.5</v>
      </c>
      <c r="I2358" s="257" t="s">
        <v>106</v>
      </c>
      <c r="J2358" s="244" t="s">
        <v>164</v>
      </c>
      <c r="K2358" s="188"/>
      <c r="L2358" s="197"/>
      <c r="M2358" s="197"/>
      <c r="N2358" s="197"/>
      <c r="O2358" s="197"/>
    </row>
    <row r="2359" spans="1:15">
      <c r="A2359" s="326" t="s">
        <v>137</v>
      </c>
      <c r="B2359" s="326" t="s">
        <v>138</v>
      </c>
      <c r="C2359" s="244" t="s">
        <v>106</v>
      </c>
      <c r="D2359" s="244" t="s">
        <v>655</v>
      </c>
      <c r="E2359" s="244" t="s">
        <v>2700</v>
      </c>
      <c r="F2359" s="244" t="s">
        <v>268</v>
      </c>
      <c r="G2359" s="305">
        <v>-0.5</v>
      </c>
      <c r="H2359" s="305">
        <v>-0.5</v>
      </c>
      <c r="I2359" s="257" t="s">
        <v>106</v>
      </c>
      <c r="J2359" s="244" t="s">
        <v>164</v>
      </c>
      <c r="K2359" s="188"/>
      <c r="L2359" s="197"/>
      <c r="M2359" s="197"/>
      <c r="N2359" s="197"/>
      <c r="O2359" s="197"/>
    </row>
    <row r="2360" spans="1:15">
      <c r="A2360" s="326" t="s">
        <v>137</v>
      </c>
      <c r="B2360" s="326" t="s">
        <v>138</v>
      </c>
      <c r="C2360" s="244" t="s">
        <v>106</v>
      </c>
      <c r="D2360" s="244" t="s">
        <v>655</v>
      </c>
      <c r="E2360" s="244" t="s">
        <v>2701</v>
      </c>
      <c r="F2360" s="244" t="s">
        <v>268</v>
      </c>
      <c r="G2360" s="305">
        <v>-0.5</v>
      </c>
      <c r="H2360" s="305">
        <v>-0.5</v>
      </c>
      <c r="I2360" s="257" t="s">
        <v>106</v>
      </c>
      <c r="J2360" s="244" t="s">
        <v>164</v>
      </c>
      <c r="K2360" s="188"/>
      <c r="L2360" s="197"/>
      <c r="M2360" s="197"/>
      <c r="N2360" s="197"/>
      <c r="O2360" s="197"/>
    </row>
    <row r="2361" spans="1:15">
      <c r="A2361" s="326" t="s">
        <v>137</v>
      </c>
      <c r="B2361" s="326" t="s">
        <v>138</v>
      </c>
      <c r="C2361" s="244" t="s">
        <v>106</v>
      </c>
      <c r="D2361" s="244" t="s">
        <v>655</v>
      </c>
      <c r="E2361" s="244" t="s">
        <v>2702</v>
      </c>
      <c r="F2361" s="244" t="s">
        <v>268</v>
      </c>
      <c r="G2361" s="305">
        <v>-0.5</v>
      </c>
      <c r="H2361" s="305">
        <v>-0.5</v>
      </c>
      <c r="I2361" s="257" t="s">
        <v>106</v>
      </c>
      <c r="J2361" s="244" t="s">
        <v>164</v>
      </c>
      <c r="K2361" s="188"/>
      <c r="L2361" s="197"/>
      <c r="M2361" s="197"/>
      <c r="N2361" s="197"/>
      <c r="O2361" s="197"/>
    </row>
    <row r="2362" spans="1:15">
      <c r="A2362" s="326" t="s">
        <v>137</v>
      </c>
      <c r="B2362" s="326" t="s">
        <v>138</v>
      </c>
      <c r="C2362" s="244" t="s">
        <v>106</v>
      </c>
      <c r="D2362" s="244" t="s">
        <v>655</v>
      </c>
      <c r="E2362" s="244" t="s">
        <v>2703</v>
      </c>
      <c r="F2362" s="244" t="s">
        <v>268</v>
      </c>
      <c r="G2362" s="305">
        <v>-0.5</v>
      </c>
      <c r="H2362" s="305">
        <v>-0.5</v>
      </c>
      <c r="I2362" s="257" t="s">
        <v>106</v>
      </c>
      <c r="J2362" s="244" t="s">
        <v>164</v>
      </c>
      <c r="K2362" s="188"/>
      <c r="L2362" s="197"/>
      <c r="M2362" s="197"/>
      <c r="N2362" s="197"/>
      <c r="O2362" s="197"/>
    </row>
    <row r="2363" spans="1:15">
      <c r="A2363" s="326" t="s">
        <v>137</v>
      </c>
      <c r="B2363" s="326" t="s">
        <v>138</v>
      </c>
      <c r="C2363" s="244" t="s">
        <v>106</v>
      </c>
      <c r="D2363" s="244" t="s">
        <v>655</v>
      </c>
      <c r="E2363" s="244" t="s">
        <v>2704</v>
      </c>
      <c r="F2363" s="244" t="s">
        <v>268</v>
      </c>
      <c r="G2363" s="305">
        <v>-0.5</v>
      </c>
      <c r="H2363" s="305">
        <v>-0.5</v>
      </c>
      <c r="I2363" s="257" t="s">
        <v>106</v>
      </c>
      <c r="J2363" s="244" t="s">
        <v>164</v>
      </c>
      <c r="K2363" s="188"/>
      <c r="L2363" s="197"/>
      <c r="M2363" s="197"/>
      <c r="N2363" s="197"/>
      <c r="O2363" s="197"/>
    </row>
    <row r="2364" spans="1:15">
      <c r="A2364" s="326" t="s">
        <v>137</v>
      </c>
      <c r="B2364" s="326" t="s">
        <v>138</v>
      </c>
      <c r="C2364" s="244" t="s">
        <v>106</v>
      </c>
      <c r="D2364" s="244" t="s">
        <v>655</v>
      </c>
      <c r="E2364" s="244" t="s">
        <v>2705</v>
      </c>
      <c r="F2364" s="244" t="s">
        <v>268</v>
      </c>
      <c r="G2364" s="305">
        <v>-0.5</v>
      </c>
      <c r="H2364" s="305">
        <v>-0.5</v>
      </c>
      <c r="I2364" s="257" t="s">
        <v>106</v>
      </c>
      <c r="J2364" s="244" t="s">
        <v>164</v>
      </c>
      <c r="K2364" s="188"/>
      <c r="L2364" s="197"/>
      <c r="M2364" s="197"/>
      <c r="N2364" s="197"/>
      <c r="O2364" s="197"/>
    </row>
    <row r="2365" spans="1:15">
      <c r="A2365" s="326" t="s">
        <v>137</v>
      </c>
      <c r="B2365" s="326" t="s">
        <v>138</v>
      </c>
      <c r="C2365" s="244" t="s">
        <v>106</v>
      </c>
      <c r="D2365" s="244" t="s">
        <v>655</v>
      </c>
      <c r="E2365" s="244" t="s">
        <v>2706</v>
      </c>
      <c r="F2365" s="244" t="s">
        <v>268</v>
      </c>
      <c r="G2365" s="305">
        <v>-0.5</v>
      </c>
      <c r="H2365" s="305">
        <v>-0.5</v>
      </c>
      <c r="I2365" s="257" t="s">
        <v>106</v>
      </c>
      <c r="J2365" s="244" t="s">
        <v>164</v>
      </c>
      <c r="K2365" s="188"/>
      <c r="L2365" s="197"/>
      <c r="M2365" s="197"/>
      <c r="N2365" s="197"/>
      <c r="O2365" s="197"/>
    </row>
    <row r="2366" spans="1:15">
      <c r="A2366" s="326" t="s">
        <v>137</v>
      </c>
      <c r="B2366" s="326" t="s">
        <v>138</v>
      </c>
      <c r="C2366" s="244" t="s">
        <v>106</v>
      </c>
      <c r="D2366" s="244" t="s">
        <v>655</v>
      </c>
      <c r="E2366" s="244" t="s">
        <v>2707</v>
      </c>
      <c r="F2366" s="244" t="s">
        <v>268</v>
      </c>
      <c r="G2366" s="305">
        <v>-0.5</v>
      </c>
      <c r="H2366" s="305">
        <v>-0.5</v>
      </c>
      <c r="I2366" s="257" t="s">
        <v>106</v>
      </c>
      <c r="J2366" s="244" t="s">
        <v>164</v>
      </c>
      <c r="K2366" s="188"/>
      <c r="L2366" s="197"/>
      <c r="M2366" s="197"/>
      <c r="N2366" s="197"/>
      <c r="O2366" s="197"/>
    </row>
    <row r="2367" spans="1:15">
      <c r="A2367" s="326" t="s">
        <v>137</v>
      </c>
      <c r="B2367" s="326" t="s">
        <v>138</v>
      </c>
      <c r="C2367" s="244" t="s">
        <v>106</v>
      </c>
      <c r="D2367" s="244" t="s">
        <v>655</v>
      </c>
      <c r="E2367" s="244" t="s">
        <v>2708</v>
      </c>
      <c r="F2367" s="244" t="s">
        <v>268</v>
      </c>
      <c r="G2367" s="305">
        <v>-0.5</v>
      </c>
      <c r="H2367" s="305">
        <v>-0.5</v>
      </c>
      <c r="I2367" s="257" t="s">
        <v>106</v>
      </c>
      <c r="J2367" s="244" t="s">
        <v>164</v>
      </c>
      <c r="K2367" s="188"/>
      <c r="L2367" s="197"/>
      <c r="M2367" s="197"/>
      <c r="N2367" s="197"/>
      <c r="O2367" s="197"/>
    </row>
    <row r="2368" spans="1:15">
      <c r="A2368" s="326" t="s">
        <v>137</v>
      </c>
      <c r="B2368" s="326" t="s">
        <v>138</v>
      </c>
      <c r="C2368" s="244" t="s">
        <v>106</v>
      </c>
      <c r="D2368" s="244" t="s">
        <v>655</v>
      </c>
      <c r="E2368" s="244" t="s">
        <v>2709</v>
      </c>
      <c r="F2368" s="244" t="s">
        <v>268</v>
      </c>
      <c r="G2368" s="305">
        <v>-0.5</v>
      </c>
      <c r="H2368" s="305">
        <v>-0.5</v>
      </c>
      <c r="I2368" s="257" t="s">
        <v>106</v>
      </c>
      <c r="J2368" s="244" t="s">
        <v>164</v>
      </c>
      <c r="K2368" s="188"/>
      <c r="L2368" s="197"/>
      <c r="M2368" s="197"/>
      <c r="N2368" s="197"/>
      <c r="O2368" s="197"/>
    </row>
    <row r="2369" spans="1:15">
      <c r="A2369" s="326" t="s">
        <v>137</v>
      </c>
      <c r="B2369" s="326" t="s">
        <v>138</v>
      </c>
      <c r="C2369" s="244" t="s">
        <v>106</v>
      </c>
      <c r="D2369" s="244" t="s">
        <v>655</v>
      </c>
      <c r="E2369" s="244" t="s">
        <v>2710</v>
      </c>
      <c r="F2369" s="244" t="s">
        <v>268</v>
      </c>
      <c r="G2369" s="305">
        <v>-0.5</v>
      </c>
      <c r="H2369" s="305">
        <v>-0.5</v>
      </c>
      <c r="I2369" s="257" t="s">
        <v>106</v>
      </c>
      <c r="J2369" s="244" t="s">
        <v>164</v>
      </c>
      <c r="K2369" s="188"/>
      <c r="L2369" s="197"/>
      <c r="M2369" s="197"/>
      <c r="N2369" s="197"/>
      <c r="O2369" s="197"/>
    </row>
    <row r="2370" spans="1:15">
      <c r="A2370" s="326" t="s">
        <v>137</v>
      </c>
      <c r="B2370" s="326" t="s">
        <v>138</v>
      </c>
      <c r="C2370" s="244" t="s">
        <v>106</v>
      </c>
      <c r="D2370" s="244" t="s">
        <v>655</v>
      </c>
      <c r="E2370" s="244" t="s">
        <v>2711</v>
      </c>
      <c r="F2370" s="244" t="s">
        <v>268</v>
      </c>
      <c r="G2370" s="305">
        <v>-0.5</v>
      </c>
      <c r="H2370" s="305">
        <v>-0.5</v>
      </c>
      <c r="I2370" s="257" t="s">
        <v>106</v>
      </c>
      <c r="J2370" s="244" t="s">
        <v>164</v>
      </c>
      <c r="K2370" s="188"/>
      <c r="L2370" s="197"/>
      <c r="M2370" s="197"/>
      <c r="N2370" s="197"/>
      <c r="O2370" s="197"/>
    </row>
    <row r="2371" spans="1:15">
      <c r="A2371" s="326" t="s">
        <v>137</v>
      </c>
      <c r="B2371" s="326" t="s">
        <v>138</v>
      </c>
      <c r="C2371" s="244" t="s">
        <v>106</v>
      </c>
      <c r="D2371" s="244" t="s">
        <v>655</v>
      </c>
      <c r="E2371" s="244" t="s">
        <v>2712</v>
      </c>
      <c r="F2371" s="244" t="s">
        <v>268</v>
      </c>
      <c r="G2371" s="305">
        <v>-0.5</v>
      </c>
      <c r="H2371" s="305">
        <v>-0.5</v>
      </c>
      <c r="I2371" s="257" t="s">
        <v>106</v>
      </c>
      <c r="J2371" s="244" t="s">
        <v>164</v>
      </c>
      <c r="K2371" s="188"/>
      <c r="L2371" s="197"/>
      <c r="M2371" s="197"/>
      <c r="N2371" s="197"/>
      <c r="O2371" s="197"/>
    </row>
    <row r="2372" spans="1:15">
      <c r="A2372" s="326" t="s">
        <v>137</v>
      </c>
      <c r="B2372" s="326" t="s">
        <v>138</v>
      </c>
      <c r="C2372" s="244" t="s">
        <v>106</v>
      </c>
      <c r="D2372" s="244" t="s">
        <v>655</v>
      </c>
      <c r="E2372" s="244" t="s">
        <v>2713</v>
      </c>
      <c r="F2372" s="244" t="s">
        <v>268</v>
      </c>
      <c r="G2372" s="305">
        <v>-0.5</v>
      </c>
      <c r="H2372" s="305">
        <v>-0.5</v>
      </c>
      <c r="I2372" s="257" t="s">
        <v>106</v>
      </c>
      <c r="J2372" s="244" t="s">
        <v>164</v>
      </c>
      <c r="K2372" s="188"/>
      <c r="L2372" s="197"/>
      <c r="M2372" s="197"/>
      <c r="N2372" s="197"/>
      <c r="O2372" s="197"/>
    </row>
    <row r="2373" spans="1:15">
      <c r="A2373" s="326" t="s">
        <v>137</v>
      </c>
      <c r="B2373" s="326" t="s">
        <v>138</v>
      </c>
      <c r="C2373" s="244" t="s">
        <v>106</v>
      </c>
      <c r="D2373" s="244" t="s">
        <v>655</v>
      </c>
      <c r="E2373" s="244" t="s">
        <v>2714</v>
      </c>
      <c r="F2373" s="244" t="s">
        <v>268</v>
      </c>
      <c r="G2373" s="305">
        <v>-0.5</v>
      </c>
      <c r="H2373" s="305">
        <v>-0.5</v>
      </c>
      <c r="I2373" s="257" t="s">
        <v>106</v>
      </c>
      <c r="J2373" s="244" t="s">
        <v>164</v>
      </c>
      <c r="K2373" s="188"/>
      <c r="L2373" s="197"/>
      <c r="M2373" s="197"/>
      <c r="N2373" s="197"/>
      <c r="O2373" s="197"/>
    </row>
    <row r="2374" spans="1:15">
      <c r="A2374" s="326" t="s">
        <v>137</v>
      </c>
      <c r="B2374" s="326" t="s">
        <v>138</v>
      </c>
      <c r="C2374" s="244" t="s">
        <v>106</v>
      </c>
      <c r="D2374" s="244" t="s">
        <v>655</v>
      </c>
      <c r="E2374" s="244" t="s">
        <v>2715</v>
      </c>
      <c r="F2374" s="244" t="s">
        <v>268</v>
      </c>
      <c r="G2374" s="305">
        <v>-0.5</v>
      </c>
      <c r="H2374" s="305">
        <v>-0.5</v>
      </c>
      <c r="I2374" s="257" t="s">
        <v>106</v>
      </c>
      <c r="J2374" s="244" t="s">
        <v>164</v>
      </c>
      <c r="K2374" s="188"/>
      <c r="L2374" s="197"/>
      <c r="M2374" s="197"/>
      <c r="N2374" s="197"/>
      <c r="O2374" s="197"/>
    </row>
    <row r="2375" spans="1:15">
      <c r="A2375" s="326" t="s">
        <v>137</v>
      </c>
      <c r="B2375" s="326" t="s">
        <v>138</v>
      </c>
      <c r="C2375" s="244" t="s">
        <v>106</v>
      </c>
      <c r="D2375" s="244" t="s">
        <v>655</v>
      </c>
      <c r="E2375" s="244" t="s">
        <v>2716</v>
      </c>
      <c r="F2375" s="244" t="s">
        <v>268</v>
      </c>
      <c r="G2375" s="305">
        <v>-0.5</v>
      </c>
      <c r="H2375" s="305">
        <v>-0.5</v>
      </c>
      <c r="I2375" s="257" t="s">
        <v>106</v>
      </c>
      <c r="J2375" s="244" t="s">
        <v>164</v>
      </c>
      <c r="K2375" s="188"/>
      <c r="L2375" s="197"/>
      <c r="M2375" s="197"/>
      <c r="N2375" s="197"/>
      <c r="O2375" s="197"/>
    </row>
    <row r="2376" spans="1:15">
      <c r="A2376" s="326" t="s">
        <v>137</v>
      </c>
      <c r="B2376" s="326" t="s">
        <v>138</v>
      </c>
      <c r="C2376" s="244" t="s">
        <v>106</v>
      </c>
      <c r="D2376" s="244" t="s">
        <v>655</v>
      </c>
      <c r="E2376" s="244" t="s">
        <v>2717</v>
      </c>
      <c r="F2376" s="244" t="s">
        <v>268</v>
      </c>
      <c r="G2376" s="305">
        <v>-0.5</v>
      </c>
      <c r="H2376" s="305">
        <v>-0.5</v>
      </c>
      <c r="I2376" s="257" t="s">
        <v>106</v>
      </c>
      <c r="J2376" s="244" t="s">
        <v>164</v>
      </c>
      <c r="K2376" s="188"/>
      <c r="L2376" s="197"/>
      <c r="M2376" s="197"/>
      <c r="N2376" s="197"/>
      <c r="O2376" s="197"/>
    </row>
    <row r="2377" spans="1:15">
      <c r="A2377" s="326" t="s">
        <v>137</v>
      </c>
      <c r="B2377" s="326" t="s">
        <v>138</v>
      </c>
      <c r="C2377" s="244" t="s">
        <v>106</v>
      </c>
      <c r="D2377" s="244" t="s">
        <v>655</v>
      </c>
      <c r="E2377" s="244" t="s">
        <v>2718</v>
      </c>
      <c r="F2377" s="244" t="s">
        <v>268</v>
      </c>
      <c r="G2377" s="305">
        <v>-0.5</v>
      </c>
      <c r="H2377" s="305">
        <v>-0.5</v>
      </c>
      <c r="I2377" s="257" t="s">
        <v>106</v>
      </c>
      <c r="J2377" s="244" t="s">
        <v>164</v>
      </c>
      <c r="K2377" s="188"/>
      <c r="L2377" s="197"/>
      <c r="M2377" s="197"/>
      <c r="N2377" s="197"/>
      <c r="O2377" s="197"/>
    </row>
    <row r="2378" spans="1:15">
      <c r="A2378" s="326" t="s">
        <v>137</v>
      </c>
      <c r="B2378" s="326" t="s">
        <v>138</v>
      </c>
      <c r="C2378" s="244" t="s">
        <v>106</v>
      </c>
      <c r="D2378" s="244" t="s">
        <v>655</v>
      </c>
      <c r="E2378" s="244" t="s">
        <v>2719</v>
      </c>
      <c r="F2378" s="244" t="s">
        <v>268</v>
      </c>
      <c r="G2378" s="305">
        <v>-0.5</v>
      </c>
      <c r="H2378" s="305">
        <v>-0.5</v>
      </c>
      <c r="I2378" s="257" t="s">
        <v>106</v>
      </c>
      <c r="J2378" s="244" t="s">
        <v>164</v>
      </c>
      <c r="K2378" s="188"/>
      <c r="L2378" s="197"/>
      <c r="M2378" s="197"/>
      <c r="N2378" s="197"/>
      <c r="O2378" s="197"/>
    </row>
    <row r="2379" spans="1:15">
      <c r="A2379" s="326" t="s">
        <v>137</v>
      </c>
      <c r="B2379" s="326" t="s">
        <v>138</v>
      </c>
      <c r="C2379" s="244" t="s">
        <v>106</v>
      </c>
      <c r="D2379" s="244" t="s">
        <v>655</v>
      </c>
      <c r="E2379" s="244" t="s">
        <v>2720</v>
      </c>
      <c r="F2379" s="244" t="s">
        <v>268</v>
      </c>
      <c r="G2379" s="305">
        <v>-0.5</v>
      </c>
      <c r="H2379" s="305">
        <v>-0.5</v>
      </c>
      <c r="I2379" s="257" t="s">
        <v>106</v>
      </c>
      <c r="J2379" s="244" t="s">
        <v>164</v>
      </c>
      <c r="K2379" s="188"/>
      <c r="L2379" s="197"/>
      <c r="M2379" s="197"/>
      <c r="N2379" s="197"/>
      <c r="O2379" s="197"/>
    </row>
    <row r="2380" spans="1:15">
      <c r="A2380" s="326" t="s">
        <v>137</v>
      </c>
      <c r="B2380" s="326" t="s">
        <v>138</v>
      </c>
      <c r="C2380" s="244" t="s">
        <v>106</v>
      </c>
      <c r="D2380" s="244" t="s">
        <v>655</v>
      </c>
      <c r="E2380" s="244" t="s">
        <v>2721</v>
      </c>
      <c r="F2380" s="244" t="s">
        <v>268</v>
      </c>
      <c r="G2380" s="305">
        <v>-0.5</v>
      </c>
      <c r="H2380" s="305">
        <v>-0.5</v>
      </c>
      <c r="I2380" s="257" t="s">
        <v>106</v>
      </c>
      <c r="J2380" s="244" t="s">
        <v>164</v>
      </c>
      <c r="K2380" s="188"/>
      <c r="L2380" s="197"/>
      <c r="M2380" s="197"/>
      <c r="N2380" s="197"/>
      <c r="O2380" s="197"/>
    </row>
    <row r="2381" spans="1:15">
      <c r="A2381" s="326" t="s">
        <v>137</v>
      </c>
      <c r="B2381" s="326" t="s">
        <v>138</v>
      </c>
      <c r="C2381" s="244" t="s">
        <v>106</v>
      </c>
      <c r="D2381" s="244" t="s">
        <v>655</v>
      </c>
      <c r="E2381" s="244" t="s">
        <v>2722</v>
      </c>
      <c r="F2381" s="244" t="s">
        <v>268</v>
      </c>
      <c r="G2381" s="305">
        <v>-0.5</v>
      </c>
      <c r="H2381" s="305">
        <v>-0.5</v>
      </c>
      <c r="I2381" s="257" t="s">
        <v>106</v>
      </c>
      <c r="J2381" s="244" t="s">
        <v>164</v>
      </c>
      <c r="K2381" s="188"/>
      <c r="L2381" s="197"/>
      <c r="M2381" s="197"/>
      <c r="N2381" s="197"/>
      <c r="O2381" s="197"/>
    </row>
    <row r="2382" spans="1:15">
      <c r="A2382" s="326" t="s">
        <v>137</v>
      </c>
      <c r="B2382" s="326" t="s">
        <v>138</v>
      </c>
      <c r="C2382" s="244" t="s">
        <v>106</v>
      </c>
      <c r="D2382" s="244" t="s">
        <v>655</v>
      </c>
      <c r="E2382" s="244" t="s">
        <v>2723</v>
      </c>
      <c r="F2382" s="244" t="s">
        <v>268</v>
      </c>
      <c r="G2382" s="305">
        <v>-0.5</v>
      </c>
      <c r="H2382" s="305">
        <v>-0.5</v>
      </c>
      <c r="I2382" s="257" t="s">
        <v>106</v>
      </c>
      <c r="J2382" s="244" t="s">
        <v>164</v>
      </c>
      <c r="K2382" s="188"/>
      <c r="L2382" s="197"/>
      <c r="M2382" s="197"/>
      <c r="N2382" s="197"/>
      <c r="O2382" s="197"/>
    </row>
    <row r="2383" spans="1:15">
      <c r="A2383" s="326" t="s">
        <v>137</v>
      </c>
      <c r="B2383" s="326" t="s">
        <v>138</v>
      </c>
      <c r="C2383" s="244" t="s">
        <v>106</v>
      </c>
      <c r="D2383" s="244" t="s">
        <v>655</v>
      </c>
      <c r="E2383" s="244" t="s">
        <v>2724</v>
      </c>
      <c r="F2383" s="244" t="s">
        <v>268</v>
      </c>
      <c r="G2383" s="305">
        <v>-0.5</v>
      </c>
      <c r="H2383" s="305">
        <v>-0.5</v>
      </c>
      <c r="I2383" s="257" t="s">
        <v>106</v>
      </c>
      <c r="J2383" s="244" t="s">
        <v>164</v>
      </c>
      <c r="K2383" s="188"/>
      <c r="L2383" s="197"/>
      <c r="M2383" s="197"/>
      <c r="N2383" s="197"/>
      <c r="O2383" s="197"/>
    </row>
    <row r="2384" spans="1:15">
      <c r="A2384" s="326" t="s">
        <v>137</v>
      </c>
      <c r="B2384" s="326" t="s">
        <v>138</v>
      </c>
      <c r="C2384" s="244" t="s">
        <v>106</v>
      </c>
      <c r="D2384" s="244" t="s">
        <v>655</v>
      </c>
      <c r="E2384" s="244" t="s">
        <v>2725</v>
      </c>
      <c r="F2384" s="244" t="s">
        <v>268</v>
      </c>
      <c r="G2384" s="305">
        <v>-0.5</v>
      </c>
      <c r="H2384" s="305">
        <v>-0.5</v>
      </c>
      <c r="I2384" s="257" t="s">
        <v>106</v>
      </c>
      <c r="J2384" s="244" t="s">
        <v>164</v>
      </c>
      <c r="K2384" s="188"/>
      <c r="L2384" s="197"/>
      <c r="M2384" s="197"/>
      <c r="N2384" s="197"/>
      <c r="O2384" s="197"/>
    </row>
    <row r="2385" spans="1:15">
      <c r="A2385" s="326" t="s">
        <v>137</v>
      </c>
      <c r="B2385" s="326" t="s">
        <v>138</v>
      </c>
      <c r="C2385" s="244" t="s">
        <v>106</v>
      </c>
      <c r="D2385" s="244" t="s">
        <v>655</v>
      </c>
      <c r="E2385" s="244" t="s">
        <v>2726</v>
      </c>
      <c r="F2385" s="244" t="s">
        <v>268</v>
      </c>
      <c r="G2385" s="305">
        <v>-0.5</v>
      </c>
      <c r="H2385" s="305">
        <v>-0.5</v>
      </c>
      <c r="I2385" s="257" t="s">
        <v>106</v>
      </c>
      <c r="J2385" s="244" t="s">
        <v>164</v>
      </c>
      <c r="K2385" s="188"/>
      <c r="L2385" s="197"/>
      <c r="M2385" s="197"/>
      <c r="N2385" s="197"/>
      <c r="O2385" s="197"/>
    </row>
    <row r="2386" spans="1:15">
      <c r="A2386" s="326" t="s">
        <v>137</v>
      </c>
      <c r="B2386" s="326" t="s">
        <v>138</v>
      </c>
      <c r="C2386" s="244" t="s">
        <v>106</v>
      </c>
      <c r="D2386" s="244" t="s">
        <v>655</v>
      </c>
      <c r="E2386" s="244" t="s">
        <v>2727</v>
      </c>
      <c r="F2386" s="244" t="s">
        <v>268</v>
      </c>
      <c r="G2386" s="305">
        <v>-0.5</v>
      </c>
      <c r="H2386" s="305">
        <v>-0.5</v>
      </c>
      <c r="I2386" s="257" t="s">
        <v>106</v>
      </c>
      <c r="J2386" s="244" t="s">
        <v>164</v>
      </c>
      <c r="K2386" s="188"/>
      <c r="L2386" s="197"/>
      <c r="M2386" s="197"/>
      <c r="N2386" s="197"/>
      <c r="O2386" s="197"/>
    </row>
    <row r="2387" spans="1:15">
      <c r="A2387" s="326" t="s">
        <v>137</v>
      </c>
      <c r="B2387" s="326" t="s">
        <v>138</v>
      </c>
      <c r="C2387" s="244" t="s">
        <v>106</v>
      </c>
      <c r="D2387" s="244" t="s">
        <v>655</v>
      </c>
      <c r="E2387" s="244" t="s">
        <v>2728</v>
      </c>
      <c r="F2387" s="244" t="s">
        <v>268</v>
      </c>
      <c r="G2387" s="305">
        <v>-0.5</v>
      </c>
      <c r="H2387" s="305">
        <v>-0.5</v>
      </c>
      <c r="I2387" s="257" t="s">
        <v>106</v>
      </c>
      <c r="J2387" s="244" t="s">
        <v>164</v>
      </c>
      <c r="K2387" s="188"/>
      <c r="L2387" s="197"/>
      <c r="M2387" s="197"/>
      <c r="N2387" s="197"/>
      <c r="O2387" s="197"/>
    </row>
    <row r="2388" spans="1:15">
      <c r="A2388" s="326" t="s">
        <v>137</v>
      </c>
      <c r="B2388" s="326" t="s">
        <v>138</v>
      </c>
      <c r="C2388" s="244" t="s">
        <v>106</v>
      </c>
      <c r="D2388" s="244" t="s">
        <v>655</v>
      </c>
      <c r="E2388" s="244" t="s">
        <v>2729</v>
      </c>
      <c r="F2388" s="244" t="s">
        <v>268</v>
      </c>
      <c r="G2388" s="305">
        <v>-0.5</v>
      </c>
      <c r="H2388" s="305">
        <v>-0.5</v>
      </c>
      <c r="I2388" s="257" t="s">
        <v>106</v>
      </c>
      <c r="J2388" s="244" t="s">
        <v>164</v>
      </c>
      <c r="K2388" s="188"/>
      <c r="L2388" s="197"/>
      <c r="M2388" s="197"/>
      <c r="N2388" s="197"/>
      <c r="O2388" s="197"/>
    </row>
    <row r="2389" spans="1:15">
      <c r="A2389" s="326" t="s">
        <v>137</v>
      </c>
      <c r="B2389" s="326" t="s">
        <v>138</v>
      </c>
      <c r="C2389" s="244" t="s">
        <v>106</v>
      </c>
      <c r="D2389" s="244" t="s">
        <v>655</v>
      </c>
      <c r="E2389" s="244" t="s">
        <v>2730</v>
      </c>
      <c r="F2389" s="244" t="s">
        <v>268</v>
      </c>
      <c r="G2389" s="305">
        <v>-0.5</v>
      </c>
      <c r="H2389" s="305">
        <v>-0.5</v>
      </c>
      <c r="I2389" s="257" t="s">
        <v>106</v>
      </c>
      <c r="J2389" s="244" t="s">
        <v>164</v>
      </c>
      <c r="K2389" s="188"/>
      <c r="L2389" s="197"/>
      <c r="M2389" s="197"/>
      <c r="N2389" s="197"/>
      <c r="O2389" s="197"/>
    </row>
    <row r="2390" spans="1:15">
      <c r="A2390" s="326" t="s">
        <v>137</v>
      </c>
      <c r="B2390" s="326" t="s">
        <v>138</v>
      </c>
      <c r="C2390" s="244" t="s">
        <v>106</v>
      </c>
      <c r="D2390" s="244" t="s">
        <v>655</v>
      </c>
      <c r="E2390" s="244" t="s">
        <v>2731</v>
      </c>
      <c r="F2390" s="244" t="s">
        <v>268</v>
      </c>
      <c r="G2390" s="305">
        <v>-0.5</v>
      </c>
      <c r="H2390" s="305">
        <v>-0.5</v>
      </c>
      <c r="I2390" s="257" t="s">
        <v>106</v>
      </c>
      <c r="J2390" s="244" t="s">
        <v>164</v>
      </c>
      <c r="K2390" s="188"/>
      <c r="L2390" s="197"/>
      <c r="M2390" s="197"/>
      <c r="N2390" s="197"/>
      <c r="O2390" s="197"/>
    </row>
    <row r="2391" spans="1:15">
      <c r="A2391" s="326" t="s">
        <v>137</v>
      </c>
      <c r="B2391" s="326" t="s">
        <v>138</v>
      </c>
      <c r="C2391" s="244" t="s">
        <v>106</v>
      </c>
      <c r="D2391" s="244" t="s">
        <v>655</v>
      </c>
      <c r="E2391" s="244" t="s">
        <v>2732</v>
      </c>
      <c r="F2391" s="244" t="s">
        <v>268</v>
      </c>
      <c r="G2391" s="305">
        <v>-0.5</v>
      </c>
      <c r="H2391" s="305">
        <v>-0.5</v>
      </c>
      <c r="I2391" s="257" t="s">
        <v>106</v>
      </c>
      <c r="J2391" s="244" t="s">
        <v>164</v>
      </c>
      <c r="K2391" s="188"/>
      <c r="L2391" s="197"/>
      <c r="M2391" s="197"/>
      <c r="N2391" s="197"/>
      <c r="O2391" s="197"/>
    </row>
    <row r="2392" spans="1:15">
      <c r="A2392" s="326" t="s">
        <v>137</v>
      </c>
      <c r="B2392" s="326" t="s">
        <v>138</v>
      </c>
      <c r="C2392" s="244" t="s">
        <v>106</v>
      </c>
      <c r="D2392" s="244" t="s">
        <v>655</v>
      </c>
      <c r="E2392" s="244" t="s">
        <v>2733</v>
      </c>
      <c r="F2392" s="244" t="s">
        <v>268</v>
      </c>
      <c r="G2392" s="305">
        <v>-0.5</v>
      </c>
      <c r="H2392" s="305">
        <v>-0.5</v>
      </c>
      <c r="I2392" s="257" t="s">
        <v>106</v>
      </c>
      <c r="J2392" s="244" t="s">
        <v>164</v>
      </c>
      <c r="K2392" s="188"/>
      <c r="L2392" s="197"/>
      <c r="M2392" s="197"/>
      <c r="N2392" s="197"/>
      <c r="O2392" s="197"/>
    </row>
    <row r="2393" spans="1:15">
      <c r="A2393" s="326" t="s">
        <v>137</v>
      </c>
      <c r="B2393" s="326" t="s">
        <v>138</v>
      </c>
      <c r="C2393" s="244" t="s">
        <v>106</v>
      </c>
      <c r="D2393" s="244" t="s">
        <v>655</v>
      </c>
      <c r="E2393" s="244" t="s">
        <v>2734</v>
      </c>
      <c r="F2393" s="244" t="s">
        <v>268</v>
      </c>
      <c r="G2393" s="305">
        <v>-0.5</v>
      </c>
      <c r="H2393" s="305">
        <v>-0.5</v>
      </c>
      <c r="I2393" s="257" t="s">
        <v>106</v>
      </c>
      <c r="J2393" s="244" t="s">
        <v>164</v>
      </c>
      <c r="K2393" s="188"/>
      <c r="L2393" s="197"/>
      <c r="M2393" s="197"/>
      <c r="N2393" s="197"/>
      <c r="O2393" s="197"/>
    </row>
    <row r="2394" spans="1:15">
      <c r="A2394" s="326" t="s">
        <v>137</v>
      </c>
      <c r="B2394" s="326" t="s">
        <v>138</v>
      </c>
      <c r="C2394" s="244" t="s">
        <v>106</v>
      </c>
      <c r="D2394" s="244" t="s">
        <v>655</v>
      </c>
      <c r="E2394" s="244" t="s">
        <v>2735</v>
      </c>
      <c r="F2394" s="244" t="s">
        <v>268</v>
      </c>
      <c r="G2394" s="305">
        <v>-0.5</v>
      </c>
      <c r="H2394" s="305">
        <v>-0.5</v>
      </c>
      <c r="I2394" s="257" t="s">
        <v>106</v>
      </c>
      <c r="J2394" s="244" t="s">
        <v>164</v>
      </c>
      <c r="K2394" s="188"/>
      <c r="L2394" s="197"/>
      <c r="M2394" s="197"/>
      <c r="N2394" s="197"/>
      <c r="O2394" s="197"/>
    </row>
    <row r="2395" spans="1:15">
      <c r="A2395" s="326" t="s">
        <v>137</v>
      </c>
      <c r="B2395" s="326" t="s">
        <v>138</v>
      </c>
      <c r="C2395" s="244" t="s">
        <v>106</v>
      </c>
      <c r="D2395" s="244" t="s">
        <v>655</v>
      </c>
      <c r="E2395" s="244" t="s">
        <v>2736</v>
      </c>
      <c r="F2395" s="244" t="s">
        <v>268</v>
      </c>
      <c r="G2395" s="305">
        <v>-0.5</v>
      </c>
      <c r="H2395" s="305">
        <v>-0.5</v>
      </c>
      <c r="I2395" s="257" t="s">
        <v>106</v>
      </c>
      <c r="J2395" s="244" t="s">
        <v>164</v>
      </c>
      <c r="K2395" s="188"/>
      <c r="L2395" s="197"/>
      <c r="M2395" s="197"/>
      <c r="N2395" s="197"/>
      <c r="O2395" s="197"/>
    </row>
    <row r="2396" spans="1:15">
      <c r="A2396" s="326" t="s">
        <v>137</v>
      </c>
      <c r="B2396" s="326" t="s">
        <v>138</v>
      </c>
      <c r="C2396" s="244" t="s">
        <v>106</v>
      </c>
      <c r="D2396" s="244" t="s">
        <v>655</v>
      </c>
      <c r="E2396" s="244" t="s">
        <v>2737</v>
      </c>
      <c r="F2396" s="244" t="s">
        <v>268</v>
      </c>
      <c r="G2396" s="305">
        <v>-0.5</v>
      </c>
      <c r="H2396" s="305">
        <v>-0.5</v>
      </c>
      <c r="I2396" s="257" t="s">
        <v>106</v>
      </c>
      <c r="J2396" s="244" t="s">
        <v>164</v>
      </c>
      <c r="K2396" s="188"/>
      <c r="L2396" s="197"/>
      <c r="M2396" s="197"/>
      <c r="N2396" s="197"/>
      <c r="O2396" s="197"/>
    </row>
    <row r="2397" spans="1:15" hidden="1">
      <c r="A2397" s="195" t="s">
        <v>232</v>
      </c>
      <c r="B2397" s="195" t="s">
        <v>138</v>
      </c>
      <c r="C2397" s="195" t="s">
        <v>973</v>
      </c>
      <c r="D2397" s="195" t="s">
        <v>1153</v>
      </c>
      <c r="E2397" s="195" t="s">
        <v>2738</v>
      </c>
      <c r="F2397" s="265" t="s">
        <v>265</v>
      </c>
      <c r="G2397" s="264">
        <v>-111.43</v>
      </c>
      <c r="H2397" s="243">
        <v>-111.43</v>
      </c>
      <c r="I2397" s="198" t="s">
        <v>96</v>
      </c>
      <c r="J2397" s="189" t="s">
        <v>162</v>
      </c>
      <c r="K2397" s="195" t="s">
        <v>2196</v>
      </c>
      <c r="L2397" s="197"/>
      <c r="M2397" s="197"/>
      <c r="N2397" s="197"/>
      <c r="O2397" s="197"/>
    </row>
    <row r="2398" spans="1:15">
      <c r="A2398" s="326" t="s">
        <v>137</v>
      </c>
      <c r="B2398" s="326" t="s">
        <v>138</v>
      </c>
      <c r="C2398" s="244" t="s">
        <v>106</v>
      </c>
      <c r="D2398" s="244" t="s">
        <v>655</v>
      </c>
      <c r="E2398" s="244" t="s">
        <v>2739</v>
      </c>
      <c r="F2398" s="244" t="s">
        <v>268</v>
      </c>
      <c r="G2398" s="305">
        <v>-0.5</v>
      </c>
      <c r="H2398" s="305">
        <v>-0.5</v>
      </c>
      <c r="I2398" s="257" t="s">
        <v>106</v>
      </c>
      <c r="J2398" s="244" t="s">
        <v>164</v>
      </c>
      <c r="K2398" s="188"/>
      <c r="L2398" s="197"/>
      <c r="M2398" s="197"/>
      <c r="N2398" s="197"/>
      <c r="O2398" s="197"/>
    </row>
    <row r="2399" spans="1:15">
      <c r="A2399" s="326" t="s">
        <v>137</v>
      </c>
      <c r="B2399" s="326" t="s">
        <v>138</v>
      </c>
      <c r="C2399" s="244" t="s">
        <v>106</v>
      </c>
      <c r="D2399" s="244" t="s">
        <v>655</v>
      </c>
      <c r="E2399" s="244" t="s">
        <v>2740</v>
      </c>
      <c r="F2399" s="244" t="s">
        <v>268</v>
      </c>
      <c r="G2399" s="305">
        <v>-0.5</v>
      </c>
      <c r="H2399" s="305">
        <v>-0.5</v>
      </c>
      <c r="I2399" s="257" t="s">
        <v>106</v>
      </c>
      <c r="J2399" s="244" t="s">
        <v>164</v>
      </c>
      <c r="K2399" s="188"/>
      <c r="L2399" s="197"/>
      <c r="M2399" s="197"/>
      <c r="N2399" s="197"/>
      <c r="O2399" s="197"/>
    </row>
    <row r="2400" spans="1:15">
      <c r="A2400" s="326" t="s">
        <v>137</v>
      </c>
      <c r="B2400" s="326" t="s">
        <v>138</v>
      </c>
      <c r="C2400" s="244" t="s">
        <v>106</v>
      </c>
      <c r="D2400" s="244" t="s">
        <v>655</v>
      </c>
      <c r="E2400" s="244" t="s">
        <v>2741</v>
      </c>
      <c r="F2400" s="244" t="s">
        <v>268</v>
      </c>
      <c r="G2400" s="305">
        <v>-0.5</v>
      </c>
      <c r="H2400" s="305">
        <v>-0.5</v>
      </c>
      <c r="I2400" s="257" t="s">
        <v>106</v>
      </c>
      <c r="J2400" s="244" t="s">
        <v>164</v>
      </c>
      <c r="K2400" s="188"/>
      <c r="L2400" s="197"/>
      <c r="M2400" s="197"/>
      <c r="N2400" s="197"/>
      <c r="O2400" s="197"/>
    </row>
    <row r="2401" spans="1:15">
      <c r="A2401" s="326" t="s">
        <v>137</v>
      </c>
      <c r="B2401" s="326" t="s">
        <v>138</v>
      </c>
      <c r="C2401" s="244" t="s">
        <v>106</v>
      </c>
      <c r="D2401" s="244" t="s">
        <v>655</v>
      </c>
      <c r="E2401" s="244" t="s">
        <v>2742</v>
      </c>
      <c r="F2401" s="244" t="s">
        <v>268</v>
      </c>
      <c r="G2401" s="305">
        <v>-0.5</v>
      </c>
      <c r="H2401" s="305">
        <v>-0.5</v>
      </c>
      <c r="I2401" s="257" t="s">
        <v>106</v>
      </c>
      <c r="J2401" s="244" t="s">
        <v>164</v>
      </c>
      <c r="K2401" s="188"/>
      <c r="L2401" s="197"/>
      <c r="M2401" s="197"/>
      <c r="N2401" s="197"/>
      <c r="O2401" s="197"/>
    </row>
    <row r="2402" spans="1:15">
      <c r="A2402" s="326" t="s">
        <v>137</v>
      </c>
      <c r="B2402" s="326" t="s">
        <v>138</v>
      </c>
      <c r="C2402" s="244" t="s">
        <v>106</v>
      </c>
      <c r="D2402" s="244" t="s">
        <v>655</v>
      </c>
      <c r="E2402" s="244" t="s">
        <v>2743</v>
      </c>
      <c r="F2402" s="244" t="s">
        <v>268</v>
      </c>
      <c r="G2402" s="305">
        <v>-0.5</v>
      </c>
      <c r="H2402" s="305">
        <v>-0.5</v>
      </c>
      <c r="I2402" s="257" t="s">
        <v>106</v>
      </c>
      <c r="J2402" s="244" t="s">
        <v>164</v>
      </c>
      <c r="K2402" s="188"/>
      <c r="L2402" s="197"/>
      <c r="M2402" s="197"/>
      <c r="N2402" s="197"/>
      <c r="O2402" s="197"/>
    </row>
    <row r="2403" spans="1:15">
      <c r="A2403" s="326" t="s">
        <v>137</v>
      </c>
      <c r="B2403" s="326" t="s">
        <v>138</v>
      </c>
      <c r="C2403" s="244" t="s">
        <v>106</v>
      </c>
      <c r="D2403" s="244" t="s">
        <v>655</v>
      </c>
      <c r="E2403" s="244" t="s">
        <v>2744</v>
      </c>
      <c r="F2403" s="244" t="s">
        <v>268</v>
      </c>
      <c r="G2403" s="305">
        <v>-0.5</v>
      </c>
      <c r="H2403" s="305">
        <v>-0.5</v>
      </c>
      <c r="I2403" s="257" t="s">
        <v>106</v>
      </c>
      <c r="J2403" s="244" t="s">
        <v>164</v>
      </c>
      <c r="K2403" s="188"/>
      <c r="L2403" s="197"/>
      <c r="M2403" s="197"/>
      <c r="N2403" s="197"/>
      <c r="O2403" s="197"/>
    </row>
    <row r="2404" spans="1:15">
      <c r="A2404" s="326" t="s">
        <v>137</v>
      </c>
      <c r="B2404" s="326" t="s">
        <v>138</v>
      </c>
      <c r="C2404" s="244" t="s">
        <v>106</v>
      </c>
      <c r="D2404" s="244" t="s">
        <v>655</v>
      </c>
      <c r="E2404" s="244" t="s">
        <v>2745</v>
      </c>
      <c r="F2404" s="244" t="s">
        <v>268</v>
      </c>
      <c r="G2404" s="305">
        <v>-0.5</v>
      </c>
      <c r="H2404" s="305">
        <v>-0.5</v>
      </c>
      <c r="I2404" s="257" t="s">
        <v>106</v>
      </c>
      <c r="J2404" s="244" t="s">
        <v>164</v>
      </c>
      <c r="K2404" s="188"/>
      <c r="L2404" s="197"/>
      <c r="M2404" s="197"/>
      <c r="N2404" s="197"/>
      <c r="O2404" s="197"/>
    </row>
    <row r="2405" spans="1:15">
      <c r="A2405" s="326" t="s">
        <v>137</v>
      </c>
      <c r="B2405" s="326" t="s">
        <v>138</v>
      </c>
      <c r="C2405" s="244" t="s">
        <v>106</v>
      </c>
      <c r="D2405" s="244" t="s">
        <v>655</v>
      </c>
      <c r="E2405" s="244" t="s">
        <v>2746</v>
      </c>
      <c r="F2405" s="244" t="s">
        <v>268</v>
      </c>
      <c r="G2405" s="305">
        <v>-0.5</v>
      </c>
      <c r="H2405" s="305">
        <v>-0.5</v>
      </c>
      <c r="I2405" s="257" t="s">
        <v>106</v>
      </c>
      <c r="J2405" s="244" t="s">
        <v>164</v>
      </c>
      <c r="K2405" s="188"/>
      <c r="L2405" s="197"/>
      <c r="M2405" s="197"/>
      <c r="N2405" s="197"/>
      <c r="O2405" s="197"/>
    </row>
    <row r="2406" spans="1:15">
      <c r="A2406" s="326" t="s">
        <v>137</v>
      </c>
      <c r="B2406" s="326" t="s">
        <v>138</v>
      </c>
      <c r="C2406" s="244" t="s">
        <v>106</v>
      </c>
      <c r="D2406" s="244" t="s">
        <v>655</v>
      </c>
      <c r="E2406" s="244" t="s">
        <v>2747</v>
      </c>
      <c r="F2406" s="244" t="s">
        <v>268</v>
      </c>
      <c r="G2406" s="305">
        <v>-0.5</v>
      </c>
      <c r="H2406" s="305">
        <v>-0.5</v>
      </c>
      <c r="I2406" s="257" t="s">
        <v>106</v>
      </c>
      <c r="J2406" s="244" t="s">
        <v>164</v>
      </c>
      <c r="K2406" s="188"/>
      <c r="L2406" s="197"/>
      <c r="M2406" s="197"/>
      <c r="N2406" s="197"/>
      <c r="O2406" s="197"/>
    </row>
    <row r="2407" spans="1:15" ht="51" hidden="1">
      <c r="A2407" s="188" t="s">
        <v>243</v>
      </c>
      <c r="B2407" s="188" t="s">
        <v>138</v>
      </c>
      <c r="C2407" s="188" t="s">
        <v>106</v>
      </c>
      <c r="D2407" s="188" t="s">
        <v>492</v>
      </c>
      <c r="E2407" s="234" t="s">
        <v>2748</v>
      </c>
      <c r="F2407" s="234" t="s">
        <v>149</v>
      </c>
      <c r="G2407" s="252">
        <v>-0.5</v>
      </c>
      <c r="H2407" s="253">
        <v>-0.5</v>
      </c>
      <c r="I2407" s="198" t="s">
        <v>106</v>
      </c>
      <c r="J2407" s="198" t="s">
        <v>164</v>
      </c>
      <c r="K2407" s="188"/>
      <c r="L2407" s="197"/>
      <c r="M2407" s="197"/>
      <c r="N2407" s="197"/>
      <c r="O2407" s="197"/>
    </row>
    <row r="2408" spans="1:15" ht="51" hidden="1">
      <c r="A2408" s="188" t="s">
        <v>243</v>
      </c>
      <c r="B2408" s="188" t="s">
        <v>138</v>
      </c>
      <c r="C2408" s="188" t="s">
        <v>106</v>
      </c>
      <c r="D2408" s="188" t="s">
        <v>492</v>
      </c>
      <c r="E2408" s="234" t="s">
        <v>2749</v>
      </c>
      <c r="F2408" s="234" t="s">
        <v>149</v>
      </c>
      <c r="G2408" s="252">
        <v>-0.5</v>
      </c>
      <c r="H2408" s="253">
        <v>-0.5</v>
      </c>
      <c r="I2408" s="198" t="s">
        <v>106</v>
      </c>
      <c r="J2408" s="198" t="s">
        <v>164</v>
      </c>
      <c r="K2408" s="188"/>
      <c r="L2408" s="197"/>
      <c r="M2408" s="197"/>
      <c r="N2408" s="197"/>
      <c r="O2408" s="197"/>
    </row>
    <row r="2409" spans="1:15">
      <c r="A2409" s="326" t="s">
        <v>137</v>
      </c>
      <c r="B2409" s="326" t="s">
        <v>138</v>
      </c>
      <c r="C2409" s="244" t="s">
        <v>106</v>
      </c>
      <c r="D2409" s="244" t="s">
        <v>655</v>
      </c>
      <c r="E2409" s="244" t="s">
        <v>2750</v>
      </c>
      <c r="F2409" s="244" t="s">
        <v>268</v>
      </c>
      <c r="G2409" s="305">
        <v>-0.5</v>
      </c>
      <c r="H2409" s="305">
        <v>-0.5</v>
      </c>
      <c r="I2409" s="257" t="s">
        <v>106</v>
      </c>
      <c r="J2409" s="244" t="s">
        <v>164</v>
      </c>
      <c r="K2409" s="188"/>
      <c r="L2409" s="197"/>
      <c r="M2409" s="197"/>
      <c r="N2409" s="197"/>
      <c r="O2409" s="197"/>
    </row>
    <row r="2410" spans="1:15">
      <c r="A2410" s="326" t="s">
        <v>137</v>
      </c>
      <c r="B2410" s="326" t="s">
        <v>138</v>
      </c>
      <c r="C2410" s="244" t="s">
        <v>106</v>
      </c>
      <c r="D2410" s="244" t="s">
        <v>655</v>
      </c>
      <c r="E2410" s="244" t="s">
        <v>2751</v>
      </c>
      <c r="F2410" s="244" t="s">
        <v>268</v>
      </c>
      <c r="G2410" s="305">
        <v>-0.5</v>
      </c>
      <c r="H2410" s="305">
        <v>-0.5</v>
      </c>
      <c r="I2410" s="257" t="s">
        <v>106</v>
      </c>
      <c r="J2410" s="244" t="s">
        <v>164</v>
      </c>
      <c r="K2410" s="188"/>
      <c r="L2410" s="197"/>
      <c r="M2410" s="197"/>
      <c r="N2410" s="197"/>
      <c r="O2410" s="197"/>
    </row>
    <row r="2411" spans="1:15">
      <c r="A2411" s="326" t="s">
        <v>137</v>
      </c>
      <c r="B2411" s="326" t="s">
        <v>138</v>
      </c>
      <c r="C2411" s="244" t="s">
        <v>106</v>
      </c>
      <c r="D2411" s="244" t="s">
        <v>655</v>
      </c>
      <c r="E2411" s="244" t="s">
        <v>2752</v>
      </c>
      <c r="F2411" s="244" t="s">
        <v>268</v>
      </c>
      <c r="G2411" s="305">
        <v>-0.5</v>
      </c>
      <c r="H2411" s="305">
        <v>-0.5</v>
      </c>
      <c r="I2411" s="257" t="s">
        <v>106</v>
      </c>
      <c r="J2411" s="244" t="s">
        <v>164</v>
      </c>
      <c r="K2411" s="188"/>
      <c r="L2411" s="197"/>
      <c r="M2411" s="197"/>
      <c r="N2411" s="197"/>
      <c r="O2411" s="197"/>
    </row>
    <row r="2412" spans="1:15">
      <c r="A2412" s="326" t="s">
        <v>137</v>
      </c>
      <c r="B2412" s="326" t="s">
        <v>138</v>
      </c>
      <c r="C2412" s="244" t="s">
        <v>106</v>
      </c>
      <c r="D2412" s="244" t="s">
        <v>655</v>
      </c>
      <c r="E2412" s="244" t="s">
        <v>2753</v>
      </c>
      <c r="F2412" s="244" t="s">
        <v>268</v>
      </c>
      <c r="G2412" s="305">
        <v>-0.5</v>
      </c>
      <c r="H2412" s="305">
        <v>-0.5</v>
      </c>
      <c r="I2412" s="257" t="s">
        <v>106</v>
      </c>
      <c r="J2412" s="244" t="s">
        <v>164</v>
      </c>
      <c r="K2412" s="188"/>
      <c r="L2412" s="197"/>
      <c r="M2412" s="197"/>
      <c r="N2412" s="197"/>
      <c r="O2412" s="197"/>
    </row>
    <row r="2413" spans="1:15">
      <c r="A2413" s="326" t="s">
        <v>137</v>
      </c>
      <c r="B2413" s="326" t="s">
        <v>138</v>
      </c>
      <c r="C2413" s="244" t="s">
        <v>106</v>
      </c>
      <c r="D2413" s="244" t="s">
        <v>655</v>
      </c>
      <c r="E2413" s="244" t="s">
        <v>2754</v>
      </c>
      <c r="F2413" s="244" t="s">
        <v>268</v>
      </c>
      <c r="G2413" s="305">
        <v>-0.5</v>
      </c>
      <c r="H2413" s="305">
        <v>-0.5</v>
      </c>
      <c r="I2413" s="257" t="s">
        <v>106</v>
      </c>
      <c r="J2413" s="244" t="s">
        <v>164</v>
      </c>
      <c r="K2413" s="188"/>
      <c r="L2413" s="197"/>
      <c r="M2413" s="197"/>
      <c r="N2413" s="197"/>
      <c r="O2413" s="197"/>
    </row>
    <row r="2414" spans="1:15">
      <c r="A2414" s="326" t="s">
        <v>137</v>
      </c>
      <c r="B2414" s="326" t="s">
        <v>138</v>
      </c>
      <c r="C2414" s="244" t="s">
        <v>106</v>
      </c>
      <c r="D2414" s="244" t="s">
        <v>655</v>
      </c>
      <c r="E2414" s="244" t="s">
        <v>2755</v>
      </c>
      <c r="F2414" s="244" t="s">
        <v>268</v>
      </c>
      <c r="G2414" s="305">
        <v>-0.5</v>
      </c>
      <c r="H2414" s="305">
        <v>-0.5</v>
      </c>
      <c r="I2414" s="257" t="s">
        <v>106</v>
      </c>
      <c r="J2414" s="244" t="s">
        <v>164</v>
      </c>
      <c r="K2414" s="188"/>
      <c r="L2414" s="197"/>
      <c r="M2414" s="197"/>
      <c r="N2414" s="197"/>
      <c r="O2414" s="197"/>
    </row>
    <row r="2415" spans="1:15">
      <c r="A2415" s="326" t="s">
        <v>137</v>
      </c>
      <c r="B2415" s="326" t="s">
        <v>138</v>
      </c>
      <c r="C2415" s="244" t="s">
        <v>106</v>
      </c>
      <c r="D2415" s="244" t="s">
        <v>655</v>
      </c>
      <c r="E2415" s="244" t="s">
        <v>2756</v>
      </c>
      <c r="F2415" s="244" t="s">
        <v>268</v>
      </c>
      <c r="G2415" s="305">
        <v>-0.5</v>
      </c>
      <c r="H2415" s="305">
        <v>-0.5</v>
      </c>
      <c r="I2415" s="257" t="s">
        <v>106</v>
      </c>
      <c r="J2415" s="244" t="s">
        <v>164</v>
      </c>
      <c r="K2415" s="188"/>
      <c r="L2415" s="197"/>
      <c r="M2415" s="197"/>
      <c r="N2415" s="197"/>
      <c r="O2415" s="197"/>
    </row>
    <row r="2416" spans="1:15">
      <c r="A2416" s="326" t="s">
        <v>137</v>
      </c>
      <c r="B2416" s="326" t="s">
        <v>138</v>
      </c>
      <c r="C2416" s="244" t="s">
        <v>106</v>
      </c>
      <c r="D2416" s="244" t="s">
        <v>655</v>
      </c>
      <c r="E2416" s="244" t="s">
        <v>2757</v>
      </c>
      <c r="F2416" s="244" t="s">
        <v>268</v>
      </c>
      <c r="G2416" s="305">
        <v>-0.5</v>
      </c>
      <c r="H2416" s="305">
        <v>-0.5</v>
      </c>
      <c r="I2416" s="257" t="s">
        <v>106</v>
      </c>
      <c r="J2416" s="244" t="s">
        <v>164</v>
      </c>
      <c r="K2416" s="188"/>
      <c r="L2416" s="197"/>
      <c r="M2416" s="197"/>
      <c r="N2416" s="197"/>
      <c r="O2416" s="197"/>
    </row>
    <row r="2417" spans="1:15">
      <c r="A2417" s="326" t="s">
        <v>137</v>
      </c>
      <c r="B2417" s="326" t="s">
        <v>138</v>
      </c>
      <c r="C2417" s="244" t="s">
        <v>106</v>
      </c>
      <c r="D2417" s="244" t="s">
        <v>655</v>
      </c>
      <c r="E2417" s="244" t="s">
        <v>2758</v>
      </c>
      <c r="F2417" s="244" t="s">
        <v>268</v>
      </c>
      <c r="G2417" s="305">
        <v>-0.5</v>
      </c>
      <c r="H2417" s="305">
        <v>-0.5</v>
      </c>
      <c r="I2417" s="257" t="s">
        <v>106</v>
      </c>
      <c r="J2417" s="244" t="s">
        <v>164</v>
      </c>
      <c r="K2417" s="188"/>
      <c r="L2417" s="197"/>
      <c r="M2417" s="197"/>
      <c r="N2417" s="197"/>
      <c r="O2417" s="197"/>
    </row>
    <row r="2418" spans="1:15">
      <c r="A2418" s="326" t="s">
        <v>137</v>
      </c>
      <c r="B2418" s="326" t="s">
        <v>138</v>
      </c>
      <c r="C2418" s="244" t="s">
        <v>106</v>
      </c>
      <c r="D2418" s="244" t="s">
        <v>655</v>
      </c>
      <c r="E2418" s="244" t="s">
        <v>2759</v>
      </c>
      <c r="F2418" s="244" t="s">
        <v>268</v>
      </c>
      <c r="G2418" s="305">
        <v>-0.5</v>
      </c>
      <c r="H2418" s="305">
        <v>-0.5</v>
      </c>
      <c r="I2418" s="257" t="s">
        <v>106</v>
      </c>
      <c r="J2418" s="244" t="s">
        <v>164</v>
      </c>
      <c r="K2418" s="188"/>
      <c r="L2418" s="197"/>
      <c r="M2418" s="197"/>
      <c r="N2418" s="197"/>
      <c r="O2418" s="197"/>
    </row>
    <row r="2419" spans="1:15">
      <c r="A2419" s="326" t="s">
        <v>137</v>
      </c>
      <c r="B2419" s="326" t="s">
        <v>138</v>
      </c>
      <c r="C2419" s="244" t="s">
        <v>106</v>
      </c>
      <c r="D2419" s="244" t="s">
        <v>655</v>
      </c>
      <c r="E2419" s="244" t="s">
        <v>2760</v>
      </c>
      <c r="F2419" s="244" t="s">
        <v>268</v>
      </c>
      <c r="G2419" s="305">
        <v>-0.5</v>
      </c>
      <c r="H2419" s="305">
        <v>-0.5</v>
      </c>
      <c r="I2419" s="257" t="s">
        <v>106</v>
      </c>
      <c r="J2419" s="244" t="s">
        <v>164</v>
      </c>
      <c r="K2419" s="188"/>
      <c r="L2419" s="197"/>
      <c r="M2419" s="197"/>
      <c r="N2419" s="197"/>
      <c r="O2419" s="197"/>
    </row>
    <row r="2420" spans="1:15">
      <c r="A2420" s="326" t="s">
        <v>137</v>
      </c>
      <c r="B2420" s="326" t="s">
        <v>138</v>
      </c>
      <c r="C2420" s="244" t="s">
        <v>106</v>
      </c>
      <c r="D2420" s="244" t="s">
        <v>655</v>
      </c>
      <c r="E2420" s="244" t="s">
        <v>2761</v>
      </c>
      <c r="F2420" s="244" t="s">
        <v>268</v>
      </c>
      <c r="G2420" s="305">
        <v>-0.5</v>
      </c>
      <c r="H2420" s="305">
        <v>-0.5</v>
      </c>
      <c r="I2420" s="257" t="s">
        <v>106</v>
      </c>
      <c r="J2420" s="244" t="s">
        <v>164</v>
      </c>
      <c r="K2420" s="188"/>
      <c r="L2420" s="197"/>
      <c r="M2420" s="197"/>
      <c r="N2420" s="197"/>
      <c r="O2420" s="197"/>
    </row>
    <row r="2421" spans="1:15">
      <c r="A2421" s="326" t="s">
        <v>137</v>
      </c>
      <c r="B2421" s="326" t="s">
        <v>138</v>
      </c>
      <c r="C2421" s="244" t="s">
        <v>106</v>
      </c>
      <c r="D2421" s="244" t="s">
        <v>655</v>
      </c>
      <c r="E2421" s="244" t="s">
        <v>2762</v>
      </c>
      <c r="F2421" s="244" t="s">
        <v>268</v>
      </c>
      <c r="G2421" s="305">
        <v>-0.5</v>
      </c>
      <c r="H2421" s="305">
        <v>-0.5</v>
      </c>
      <c r="I2421" s="257" t="s">
        <v>106</v>
      </c>
      <c r="J2421" s="244" t="s">
        <v>164</v>
      </c>
      <c r="K2421" s="188"/>
      <c r="L2421" s="197"/>
      <c r="M2421" s="197"/>
      <c r="N2421" s="197"/>
      <c r="O2421" s="197"/>
    </row>
    <row r="2422" spans="1:15">
      <c r="A2422" s="326" t="s">
        <v>137</v>
      </c>
      <c r="B2422" s="326" t="s">
        <v>138</v>
      </c>
      <c r="C2422" s="244" t="s">
        <v>106</v>
      </c>
      <c r="D2422" s="244" t="s">
        <v>655</v>
      </c>
      <c r="E2422" s="244" t="s">
        <v>2763</v>
      </c>
      <c r="F2422" s="244" t="s">
        <v>268</v>
      </c>
      <c r="G2422" s="305">
        <v>-0.5</v>
      </c>
      <c r="H2422" s="305">
        <v>-0.5</v>
      </c>
      <c r="I2422" s="257" t="s">
        <v>106</v>
      </c>
      <c r="J2422" s="244" t="s">
        <v>164</v>
      </c>
      <c r="K2422" s="188"/>
      <c r="L2422" s="197"/>
      <c r="M2422" s="197"/>
      <c r="N2422" s="197"/>
      <c r="O2422" s="197"/>
    </row>
    <row r="2423" spans="1:15">
      <c r="A2423" s="326" t="s">
        <v>137</v>
      </c>
      <c r="B2423" s="326" t="s">
        <v>138</v>
      </c>
      <c r="C2423" s="244" t="s">
        <v>106</v>
      </c>
      <c r="D2423" s="244" t="s">
        <v>655</v>
      </c>
      <c r="E2423" s="244" t="s">
        <v>2764</v>
      </c>
      <c r="F2423" s="244" t="s">
        <v>268</v>
      </c>
      <c r="G2423" s="305">
        <v>-0.5</v>
      </c>
      <c r="H2423" s="305">
        <v>-0.5</v>
      </c>
      <c r="I2423" s="257" t="s">
        <v>106</v>
      </c>
      <c r="J2423" s="244" t="s">
        <v>164</v>
      </c>
      <c r="K2423" s="188"/>
      <c r="L2423" s="197"/>
      <c r="M2423" s="197"/>
      <c r="N2423" s="197"/>
      <c r="O2423" s="197"/>
    </row>
    <row r="2424" spans="1:15">
      <c r="A2424" s="326" t="s">
        <v>137</v>
      </c>
      <c r="B2424" s="326" t="s">
        <v>138</v>
      </c>
      <c r="C2424" s="244" t="s">
        <v>106</v>
      </c>
      <c r="D2424" s="244" t="s">
        <v>655</v>
      </c>
      <c r="E2424" s="244" t="s">
        <v>2765</v>
      </c>
      <c r="F2424" s="244" t="s">
        <v>268</v>
      </c>
      <c r="G2424" s="305">
        <v>-0.5</v>
      </c>
      <c r="H2424" s="305">
        <v>-0.5</v>
      </c>
      <c r="I2424" s="257" t="s">
        <v>106</v>
      </c>
      <c r="J2424" s="244" t="s">
        <v>164</v>
      </c>
      <c r="K2424" s="188"/>
      <c r="L2424" s="197"/>
      <c r="M2424" s="197"/>
      <c r="N2424" s="197"/>
      <c r="O2424" s="197"/>
    </row>
    <row r="2425" spans="1:15">
      <c r="A2425" s="326" t="s">
        <v>137</v>
      </c>
      <c r="B2425" s="326" t="s">
        <v>138</v>
      </c>
      <c r="C2425" s="244" t="s">
        <v>106</v>
      </c>
      <c r="D2425" s="244" t="s">
        <v>655</v>
      </c>
      <c r="E2425" s="244" t="s">
        <v>2766</v>
      </c>
      <c r="F2425" s="244" t="s">
        <v>268</v>
      </c>
      <c r="G2425" s="305">
        <v>-0.5</v>
      </c>
      <c r="H2425" s="305">
        <v>-0.5</v>
      </c>
      <c r="I2425" s="257" t="s">
        <v>106</v>
      </c>
      <c r="J2425" s="244" t="s">
        <v>164</v>
      </c>
      <c r="K2425" s="188"/>
      <c r="L2425" s="197"/>
      <c r="M2425" s="197"/>
      <c r="N2425" s="197"/>
      <c r="O2425" s="197"/>
    </row>
    <row r="2426" spans="1:15">
      <c r="A2426" s="326" t="s">
        <v>137</v>
      </c>
      <c r="B2426" s="326" t="s">
        <v>138</v>
      </c>
      <c r="C2426" s="244" t="s">
        <v>106</v>
      </c>
      <c r="D2426" s="244" t="s">
        <v>655</v>
      </c>
      <c r="E2426" s="244" t="s">
        <v>2767</v>
      </c>
      <c r="F2426" s="244" t="s">
        <v>268</v>
      </c>
      <c r="G2426" s="305">
        <v>-0.5</v>
      </c>
      <c r="H2426" s="305">
        <v>-0.5</v>
      </c>
      <c r="I2426" s="257" t="s">
        <v>106</v>
      </c>
      <c r="J2426" s="244" t="s">
        <v>164</v>
      </c>
      <c r="K2426" s="188"/>
      <c r="L2426" s="197"/>
      <c r="M2426" s="197"/>
      <c r="N2426" s="197"/>
      <c r="O2426" s="197"/>
    </row>
    <row r="2427" spans="1:15">
      <c r="A2427" s="326" t="s">
        <v>137</v>
      </c>
      <c r="B2427" s="326" t="s">
        <v>138</v>
      </c>
      <c r="C2427" s="244" t="s">
        <v>106</v>
      </c>
      <c r="D2427" s="244" t="s">
        <v>655</v>
      </c>
      <c r="E2427" s="244" t="s">
        <v>2768</v>
      </c>
      <c r="F2427" s="244" t="s">
        <v>268</v>
      </c>
      <c r="G2427" s="305">
        <v>-0.5</v>
      </c>
      <c r="H2427" s="305">
        <v>-0.5</v>
      </c>
      <c r="I2427" s="257" t="s">
        <v>106</v>
      </c>
      <c r="J2427" s="244" t="s">
        <v>164</v>
      </c>
      <c r="K2427" s="188"/>
      <c r="L2427" s="197"/>
      <c r="M2427" s="197"/>
      <c r="N2427" s="197"/>
      <c r="O2427" s="197"/>
    </row>
    <row r="2428" spans="1:15">
      <c r="A2428" s="326" t="s">
        <v>137</v>
      </c>
      <c r="B2428" s="326" t="s">
        <v>138</v>
      </c>
      <c r="C2428" s="244" t="s">
        <v>106</v>
      </c>
      <c r="D2428" s="244" t="s">
        <v>655</v>
      </c>
      <c r="E2428" s="244" t="s">
        <v>2769</v>
      </c>
      <c r="F2428" s="244" t="s">
        <v>268</v>
      </c>
      <c r="G2428" s="305">
        <v>-0.5</v>
      </c>
      <c r="H2428" s="305">
        <v>-0.5</v>
      </c>
      <c r="I2428" s="257" t="s">
        <v>106</v>
      </c>
      <c r="J2428" s="244" t="s">
        <v>164</v>
      </c>
      <c r="K2428" s="188"/>
      <c r="L2428" s="197"/>
      <c r="M2428" s="197"/>
      <c r="N2428" s="197"/>
      <c r="O2428" s="197"/>
    </row>
    <row r="2429" spans="1:15">
      <c r="A2429" s="326" t="s">
        <v>137</v>
      </c>
      <c r="B2429" s="326" t="s">
        <v>138</v>
      </c>
      <c r="C2429" s="244" t="s">
        <v>106</v>
      </c>
      <c r="D2429" s="244" t="s">
        <v>655</v>
      </c>
      <c r="E2429" s="244" t="s">
        <v>2770</v>
      </c>
      <c r="F2429" s="244" t="s">
        <v>268</v>
      </c>
      <c r="G2429" s="305">
        <v>-0.5</v>
      </c>
      <c r="H2429" s="305">
        <v>-0.5</v>
      </c>
      <c r="I2429" s="257" t="s">
        <v>106</v>
      </c>
      <c r="J2429" s="244" t="s">
        <v>164</v>
      </c>
      <c r="K2429" s="188"/>
      <c r="L2429" s="197"/>
      <c r="M2429" s="197"/>
      <c r="N2429" s="197"/>
      <c r="O2429" s="197"/>
    </row>
    <row r="2430" spans="1:15">
      <c r="A2430" s="326" t="s">
        <v>137</v>
      </c>
      <c r="B2430" s="326" t="s">
        <v>138</v>
      </c>
      <c r="C2430" s="244" t="s">
        <v>106</v>
      </c>
      <c r="D2430" s="244" t="s">
        <v>655</v>
      </c>
      <c r="E2430" s="244" t="s">
        <v>2771</v>
      </c>
      <c r="F2430" s="244" t="s">
        <v>268</v>
      </c>
      <c r="G2430" s="305">
        <v>-0.5</v>
      </c>
      <c r="H2430" s="305">
        <v>-0.5</v>
      </c>
      <c r="I2430" s="257" t="s">
        <v>106</v>
      </c>
      <c r="J2430" s="244" t="s">
        <v>164</v>
      </c>
      <c r="K2430" s="188"/>
      <c r="L2430" s="197"/>
      <c r="M2430" s="197"/>
      <c r="N2430" s="197"/>
      <c r="O2430" s="197"/>
    </row>
    <row r="2431" spans="1:15">
      <c r="A2431" s="326" t="s">
        <v>137</v>
      </c>
      <c r="B2431" s="326" t="s">
        <v>138</v>
      </c>
      <c r="C2431" s="244" t="s">
        <v>106</v>
      </c>
      <c r="D2431" s="244" t="s">
        <v>655</v>
      </c>
      <c r="E2431" s="244" t="s">
        <v>2772</v>
      </c>
      <c r="F2431" s="244" t="s">
        <v>268</v>
      </c>
      <c r="G2431" s="305">
        <v>-0.5</v>
      </c>
      <c r="H2431" s="305">
        <v>-0.5</v>
      </c>
      <c r="I2431" s="257" t="s">
        <v>106</v>
      </c>
      <c r="J2431" s="244" t="s">
        <v>164</v>
      </c>
      <c r="K2431" s="188"/>
      <c r="L2431" s="197"/>
      <c r="M2431" s="197"/>
      <c r="N2431" s="197"/>
      <c r="O2431" s="197"/>
    </row>
    <row r="2432" spans="1:15" ht="51" hidden="1">
      <c r="A2432" s="188" t="s">
        <v>243</v>
      </c>
      <c r="B2432" s="199" t="s">
        <v>138</v>
      </c>
      <c r="C2432" s="188" t="s">
        <v>106</v>
      </c>
      <c r="D2432" s="188" t="s">
        <v>492</v>
      </c>
      <c r="E2432" s="234" t="s">
        <v>2773</v>
      </c>
      <c r="F2432" s="205" t="s">
        <v>149</v>
      </c>
      <c r="G2432" s="225">
        <v>-0.5</v>
      </c>
      <c r="H2432" s="226">
        <v>-0.5</v>
      </c>
      <c r="I2432" s="198" t="s">
        <v>106</v>
      </c>
      <c r="J2432" s="198" t="s">
        <v>164</v>
      </c>
      <c r="K2432" s="188"/>
      <c r="L2432" s="197"/>
      <c r="M2432" s="197"/>
      <c r="N2432" s="197"/>
      <c r="O2432" s="197"/>
    </row>
    <row r="2433" spans="1:15" ht="51" hidden="1">
      <c r="A2433" s="188" t="s">
        <v>243</v>
      </c>
      <c r="B2433" s="199" t="s">
        <v>138</v>
      </c>
      <c r="C2433" s="188" t="s">
        <v>106</v>
      </c>
      <c r="D2433" s="188" t="s">
        <v>492</v>
      </c>
      <c r="E2433" s="234" t="s">
        <v>2774</v>
      </c>
      <c r="F2433" s="205" t="s">
        <v>142</v>
      </c>
      <c r="G2433" s="225">
        <v>-0.5</v>
      </c>
      <c r="H2433" s="226">
        <v>-0.5</v>
      </c>
      <c r="I2433" s="198" t="s">
        <v>106</v>
      </c>
      <c r="J2433" s="198" t="s">
        <v>164</v>
      </c>
      <c r="K2433" s="188"/>
      <c r="L2433" s="197"/>
      <c r="M2433" s="197"/>
      <c r="N2433" s="197"/>
      <c r="O2433" s="197"/>
    </row>
    <row r="2434" spans="1:15" ht="51" hidden="1">
      <c r="A2434" s="188" t="s">
        <v>243</v>
      </c>
      <c r="B2434" s="199" t="s">
        <v>138</v>
      </c>
      <c r="C2434" s="188" t="s">
        <v>106</v>
      </c>
      <c r="D2434" s="188" t="s">
        <v>492</v>
      </c>
      <c r="E2434" s="234" t="s">
        <v>2775</v>
      </c>
      <c r="F2434" s="205" t="s">
        <v>142</v>
      </c>
      <c r="G2434" s="225">
        <v>-0.5</v>
      </c>
      <c r="H2434" s="226">
        <v>-0.5</v>
      </c>
      <c r="I2434" s="198" t="s">
        <v>106</v>
      </c>
      <c r="J2434" s="198" t="s">
        <v>164</v>
      </c>
      <c r="K2434" s="188"/>
      <c r="L2434" s="197"/>
      <c r="M2434" s="197"/>
      <c r="N2434" s="197"/>
      <c r="O2434" s="197"/>
    </row>
    <row r="2435" spans="1:15" ht="51" hidden="1">
      <c r="A2435" s="188" t="s">
        <v>243</v>
      </c>
      <c r="B2435" s="199" t="s">
        <v>138</v>
      </c>
      <c r="C2435" s="188" t="s">
        <v>106</v>
      </c>
      <c r="D2435" s="188" t="s">
        <v>492</v>
      </c>
      <c r="E2435" s="234" t="s">
        <v>2776</v>
      </c>
      <c r="F2435" s="205" t="s">
        <v>142</v>
      </c>
      <c r="G2435" s="225">
        <v>-0.5</v>
      </c>
      <c r="H2435" s="226">
        <v>-0.5</v>
      </c>
      <c r="I2435" s="198" t="s">
        <v>106</v>
      </c>
      <c r="J2435" s="198" t="s">
        <v>164</v>
      </c>
      <c r="K2435" s="188"/>
      <c r="L2435" s="197"/>
      <c r="M2435" s="197"/>
      <c r="N2435" s="197"/>
      <c r="O2435" s="197"/>
    </row>
    <row r="2436" spans="1:15" ht="51" hidden="1">
      <c r="A2436" s="188" t="s">
        <v>243</v>
      </c>
      <c r="B2436" s="199" t="s">
        <v>138</v>
      </c>
      <c r="C2436" s="188" t="s">
        <v>106</v>
      </c>
      <c r="D2436" s="188" t="s">
        <v>492</v>
      </c>
      <c r="E2436" s="234" t="s">
        <v>2777</v>
      </c>
      <c r="F2436" s="205" t="s">
        <v>142</v>
      </c>
      <c r="G2436" s="225">
        <v>-0.5</v>
      </c>
      <c r="H2436" s="226">
        <v>-0.5</v>
      </c>
      <c r="I2436" s="198" t="s">
        <v>106</v>
      </c>
      <c r="J2436" s="198" t="s">
        <v>164</v>
      </c>
      <c r="K2436" s="188"/>
      <c r="L2436" s="197"/>
      <c r="M2436" s="197"/>
      <c r="N2436" s="197"/>
      <c r="O2436" s="197"/>
    </row>
    <row r="2437" spans="1:15" ht="51" hidden="1">
      <c r="A2437" s="188" t="s">
        <v>243</v>
      </c>
      <c r="B2437" s="199" t="s">
        <v>138</v>
      </c>
      <c r="C2437" s="188" t="s">
        <v>106</v>
      </c>
      <c r="D2437" s="188" t="s">
        <v>492</v>
      </c>
      <c r="E2437" s="234" t="s">
        <v>2778</v>
      </c>
      <c r="F2437" s="205" t="s">
        <v>142</v>
      </c>
      <c r="G2437" s="225">
        <v>-0.5</v>
      </c>
      <c r="H2437" s="226">
        <v>-0.5</v>
      </c>
      <c r="I2437" s="198" t="s">
        <v>106</v>
      </c>
      <c r="J2437" s="198" t="s">
        <v>164</v>
      </c>
      <c r="K2437" s="188"/>
      <c r="L2437" s="197"/>
      <c r="M2437" s="197"/>
      <c r="N2437" s="197"/>
      <c r="O2437" s="197"/>
    </row>
    <row r="2438" spans="1:15" ht="51" hidden="1">
      <c r="A2438" s="188" t="s">
        <v>243</v>
      </c>
      <c r="B2438" s="199" t="s">
        <v>138</v>
      </c>
      <c r="C2438" s="188" t="s">
        <v>106</v>
      </c>
      <c r="D2438" s="188" t="s">
        <v>492</v>
      </c>
      <c r="E2438" s="234" t="s">
        <v>2779</v>
      </c>
      <c r="F2438" s="205" t="s">
        <v>142</v>
      </c>
      <c r="G2438" s="225">
        <v>-0.5</v>
      </c>
      <c r="H2438" s="226">
        <v>-0.5</v>
      </c>
      <c r="I2438" s="198" t="s">
        <v>106</v>
      </c>
      <c r="J2438" s="198" t="s">
        <v>164</v>
      </c>
      <c r="K2438" s="188"/>
      <c r="L2438" s="197"/>
      <c r="M2438" s="197"/>
      <c r="N2438" s="197"/>
      <c r="O2438" s="197"/>
    </row>
    <row r="2439" spans="1:15">
      <c r="A2439" s="188" t="s">
        <v>209</v>
      </c>
      <c r="B2439" s="199" t="s">
        <v>138</v>
      </c>
      <c r="C2439" s="188" t="s">
        <v>1599</v>
      </c>
      <c r="D2439" s="188" t="s">
        <v>160</v>
      </c>
      <c r="E2439" s="188" t="s">
        <v>2780</v>
      </c>
      <c r="F2439" s="205" t="s">
        <v>268</v>
      </c>
      <c r="G2439" s="226">
        <v>-23</v>
      </c>
      <c r="H2439" s="226">
        <v>-23</v>
      </c>
      <c r="I2439" s="257" t="s">
        <v>90</v>
      </c>
      <c r="J2439" s="250" t="s">
        <v>246</v>
      </c>
      <c r="K2439" s="188"/>
      <c r="L2439" s="197"/>
      <c r="M2439" s="197"/>
      <c r="N2439" s="197"/>
      <c r="O2439" s="197"/>
    </row>
    <row r="2440" spans="1:15">
      <c r="A2440" s="188" t="s">
        <v>137</v>
      </c>
      <c r="B2440" s="199" t="s">
        <v>138</v>
      </c>
      <c r="C2440" s="188" t="s">
        <v>1599</v>
      </c>
      <c r="D2440" s="188" t="s">
        <v>2336</v>
      </c>
      <c r="E2440" s="188" t="s">
        <v>2781</v>
      </c>
      <c r="F2440" s="205" t="s">
        <v>268</v>
      </c>
      <c r="G2440" s="226">
        <v>-139.9</v>
      </c>
      <c r="H2440" s="226">
        <v>-139.9</v>
      </c>
      <c r="I2440" s="257" t="s">
        <v>90</v>
      </c>
      <c r="J2440" s="250" t="s">
        <v>246</v>
      </c>
      <c r="K2440" s="188"/>
      <c r="L2440" s="197"/>
      <c r="M2440" s="197"/>
      <c r="N2440" s="197"/>
      <c r="O2440" s="197"/>
    </row>
    <row r="2441" spans="1:15">
      <c r="A2441" s="188" t="s">
        <v>137</v>
      </c>
      <c r="B2441" s="199" t="s">
        <v>138</v>
      </c>
      <c r="C2441" s="188" t="s">
        <v>1599</v>
      </c>
      <c r="D2441" s="188" t="s">
        <v>1606</v>
      </c>
      <c r="E2441" s="188" t="s">
        <v>2782</v>
      </c>
      <c r="F2441" s="205" t="s">
        <v>268</v>
      </c>
      <c r="G2441" s="226">
        <v>-187.61</v>
      </c>
      <c r="H2441" s="226">
        <v>-187.61</v>
      </c>
      <c r="I2441" s="257" t="s">
        <v>90</v>
      </c>
      <c r="J2441" s="250" t="s">
        <v>246</v>
      </c>
      <c r="K2441" s="188"/>
      <c r="L2441" s="197"/>
      <c r="M2441" s="197"/>
      <c r="N2441" s="197"/>
      <c r="O2441" s="197"/>
    </row>
    <row r="2442" spans="1:15">
      <c r="A2442" s="188" t="s">
        <v>232</v>
      </c>
      <c r="B2442" s="199" t="s">
        <v>138</v>
      </c>
      <c r="C2442" s="188" t="s">
        <v>1599</v>
      </c>
      <c r="D2442" s="188" t="s">
        <v>1608</v>
      </c>
      <c r="E2442" s="188" t="s">
        <v>2783</v>
      </c>
      <c r="F2442" s="205" t="s">
        <v>268</v>
      </c>
      <c r="G2442" s="226">
        <v>-209.94</v>
      </c>
      <c r="H2442" s="226">
        <v>-209.94</v>
      </c>
      <c r="I2442" s="257" t="s">
        <v>90</v>
      </c>
      <c r="J2442" s="250" t="s">
        <v>246</v>
      </c>
      <c r="K2442" s="188"/>
      <c r="L2442" s="197"/>
      <c r="M2442" s="197"/>
      <c r="N2442" s="197"/>
      <c r="O2442" s="197"/>
    </row>
    <row r="2443" spans="1:15">
      <c r="A2443" s="188" t="s">
        <v>137</v>
      </c>
      <c r="B2443" s="199" t="s">
        <v>138</v>
      </c>
      <c r="C2443" s="188" t="s">
        <v>1613</v>
      </c>
      <c r="D2443" s="188" t="s">
        <v>669</v>
      </c>
      <c r="E2443" s="188" t="s">
        <v>1616</v>
      </c>
      <c r="F2443" s="205" t="s">
        <v>268</v>
      </c>
      <c r="G2443" s="226">
        <v>-30</v>
      </c>
      <c r="H2443" s="226">
        <v>-30</v>
      </c>
      <c r="I2443" s="257" t="s">
        <v>90</v>
      </c>
      <c r="J2443" s="250" t="s">
        <v>246</v>
      </c>
      <c r="K2443" s="188"/>
      <c r="L2443" s="197"/>
      <c r="M2443" s="197"/>
      <c r="N2443" s="197"/>
      <c r="O2443" s="197"/>
    </row>
    <row r="2444" spans="1:15">
      <c r="A2444" s="188" t="s">
        <v>137</v>
      </c>
      <c r="B2444" s="199" t="s">
        <v>138</v>
      </c>
      <c r="C2444" s="188" t="s">
        <v>1613</v>
      </c>
      <c r="D2444" s="188" t="s">
        <v>1622</v>
      </c>
      <c r="E2444" s="188" t="s">
        <v>2784</v>
      </c>
      <c r="F2444" s="205" t="s">
        <v>268</v>
      </c>
      <c r="G2444" s="226">
        <v>-581.05999999999995</v>
      </c>
      <c r="H2444" s="226">
        <v>-581.05999999999995</v>
      </c>
      <c r="I2444" s="257" t="s">
        <v>90</v>
      </c>
      <c r="J2444" s="250" t="s">
        <v>246</v>
      </c>
      <c r="K2444" s="188"/>
      <c r="L2444" s="197"/>
      <c r="M2444" s="197"/>
      <c r="N2444" s="197"/>
      <c r="O2444" s="197"/>
    </row>
    <row r="2445" spans="1:15">
      <c r="A2445" s="326" t="s">
        <v>137</v>
      </c>
      <c r="B2445" s="326" t="s">
        <v>138</v>
      </c>
      <c r="C2445" s="244" t="s">
        <v>139</v>
      </c>
      <c r="D2445" s="244" t="s">
        <v>151</v>
      </c>
      <c r="E2445" s="244" t="s">
        <v>2785</v>
      </c>
      <c r="F2445" s="227" t="s">
        <v>407</v>
      </c>
      <c r="G2445" s="305">
        <v>-896.19</v>
      </c>
      <c r="H2445" s="305">
        <v>-896.19</v>
      </c>
      <c r="I2445" s="244" t="s">
        <v>84</v>
      </c>
      <c r="J2445" s="244" t="s">
        <v>143</v>
      </c>
      <c r="K2445" s="233"/>
      <c r="L2445" s="197"/>
      <c r="M2445" s="197"/>
      <c r="N2445" s="197"/>
      <c r="O2445" s="197"/>
    </row>
    <row r="2446" spans="1:15">
      <c r="A2446" s="326" t="s">
        <v>137</v>
      </c>
      <c r="B2446" s="326" t="s">
        <v>138</v>
      </c>
      <c r="C2446" s="244" t="s">
        <v>139</v>
      </c>
      <c r="D2446" s="244" t="s">
        <v>160</v>
      </c>
      <c r="E2446" s="244" t="s">
        <v>2786</v>
      </c>
      <c r="F2446" s="227" t="s">
        <v>407</v>
      </c>
      <c r="G2446" s="305">
        <v>-80.95</v>
      </c>
      <c r="H2446" s="305">
        <v>-80.95</v>
      </c>
      <c r="I2446" s="244" t="s">
        <v>84</v>
      </c>
      <c r="J2446" s="244" t="s">
        <v>164</v>
      </c>
      <c r="K2446" s="233"/>
      <c r="L2446" s="197"/>
      <c r="M2446" s="197"/>
      <c r="N2446" s="197"/>
      <c r="O2446" s="197"/>
    </row>
    <row r="2447" spans="1:15">
      <c r="A2447" s="326" t="s">
        <v>137</v>
      </c>
      <c r="B2447" s="326" t="s">
        <v>138</v>
      </c>
      <c r="C2447" s="244" t="s">
        <v>139</v>
      </c>
      <c r="D2447" s="244" t="s">
        <v>2787</v>
      </c>
      <c r="E2447" s="244" t="s">
        <v>2788</v>
      </c>
      <c r="F2447" s="227" t="s">
        <v>407</v>
      </c>
      <c r="G2447" s="305">
        <v>-20</v>
      </c>
      <c r="H2447" s="305">
        <v>-20</v>
      </c>
      <c r="I2447" s="244" t="s">
        <v>84</v>
      </c>
      <c r="J2447" s="244" t="s">
        <v>143</v>
      </c>
      <c r="K2447" s="233"/>
      <c r="L2447" s="197"/>
      <c r="M2447" s="197"/>
      <c r="N2447" s="197"/>
      <c r="O2447" s="197"/>
    </row>
    <row r="2448" spans="1:15">
      <c r="A2448" s="326" t="s">
        <v>137</v>
      </c>
      <c r="B2448" s="326" t="s">
        <v>138</v>
      </c>
      <c r="C2448" s="244" t="s">
        <v>139</v>
      </c>
      <c r="D2448" s="244" t="s">
        <v>176</v>
      </c>
      <c r="E2448" s="244" t="s">
        <v>2789</v>
      </c>
      <c r="F2448" s="227" t="s">
        <v>407</v>
      </c>
      <c r="G2448" s="305">
        <v>-50</v>
      </c>
      <c r="H2448" s="305">
        <v>-50</v>
      </c>
      <c r="I2448" s="244" t="s">
        <v>84</v>
      </c>
      <c r="J2448" s="244" t="s">
        <v>143</v>
      </c>
      <c r="K2448" s="233"/>
      <c r="L2448" s="197"/>
      <c r="M2448" s="197"/>
      <c r="N2448" s="197"/>
      <c r="O2448" s="197"/>
    </row>
    <row r="2449" spans="1:15">
      <c r="A2449" s="326" t="s">
        <v>137</v>
      </c>
      <c r="B2449" s="326" t="s">
        <v>138</v>
      </c>
      <c r="C2449" s="244" t="s">
        <v>139</v>
      </c>
      <c r="D2449" s="244" t="s">
        <v>1860</v>
      </c>
      <c r="E2449" s="244" t="s">
        <v>2790</v>
      </c>
      <c r="F2449" s="227" t="s">
        <v>407</v>
      </c>
      <c r="G2449" s="305">
        <v>-9</v>
      </c>
      <c r="H2449" s="305">
        <v>-9</v>
      </c>
      <c r="I2449" s="244" t="s">
        <v>84</v>
      </c>
      <c r="J2449" s="244" t="s">
        <v>164</v>
      </c>
      <c r="K2449" s="233"/>
      <c r="L2449" s="197"/>
      <c r="M2449" s="197"/>
      <c r="N2449" s="197"/>
      <c r="O2449" s="197"/>
    </row>
    <row r="2450" spans="1:15">
      <c r="A2450" s="326" t="s">
        <v>137</v>
      </c>
      <c r="B2450" s="326" t="s">
        <v>138</v>
      </c>
      <c r="C2450" s="244" t="s">
        <v>139</v>
      </c>
      <c r="D2450" s="244" t="s">
        <v>2791</v>
      </c>
      <c r="E2450" s="244" t="s">
        <v>2792</v>
      </c>
      <c r="F2450" s="227" t="s">
        <v>407</v>
      </c>
      <c r="G2450" s="305">
        <v>-50</v>
      </c>
      <c r="H2450" s="305">
        <v>-50</v>
      </c>
      <c r="I2450" s="244" t="s">
        <v>84</v>
      </c>
      <c r="J2450" s="244" t="s">
        <v>143</v>
      </c>
      <c r="K2450" s="233"/>
      <c r="L2450" s="197"/>
      <c r="M2450" s="197"/>
      <c r="N2450" s="197"/>
      <c r="O2450" s="197"/>
    </row>
    <row r="2451" spans="1:15">
      <c r="A2451" s="326" t="s">
        <v>137</v>
      </c>
      <c r="B2451" s="326" t="s">
        <v>138</v>
      </c>
      <c r="C2451" s="244" t="s">
        <v>139</v>
      </c>
      <c r="D2451" s="244" t="s">
        <v>190</v>
      </c>
      <c r="E2451" s="244" t="s">
        <v>2793</v>
      </c>
      <c r="F2451" s="227" t="s">
        <v>407</v>
      </c>
      <c r="G2451" s="305">
        <v>-200</v>
      </c>
      <c r="H2451" s="305">
        <v>-200</v>
      </c>
      <c r="I2451" s="244" t="s">
        <v>84</v>
      </c>
      <c r="J2451" s="244" t="s">
        <v>192</v>
      </c>
      <c r="K2451" s="233"/>
      <c r="L2451" s="197"/>
      <c r="M2451" s="197"/>
      <c r="N2451" s="197"/>
      <c r="O2451" s="197"/>
    </row>
    <row r="2452" spans="1:15">
      <c r="A2452" s="326" t="s">
        <v>137</v>
      </c>
      <c r="B2452" s="326" t="s">
        <v>138</v>
      </c>
      <c r="C2452" s="244" t="s">
        <v>84</v>
      </c>
      <c r="D2452" s="244" t="s">
        <v>1648</v>
      </c>
      <c r="E2452" s="244" t="s">
        <v>2794</v>
      </c>
      <c r="F2452" s="227" t="s">
        <v>407</v>
      </c>
      <c r="G2452" s="305">
        <v>-103.5</v>
      </c>
      <c r="H2452" s="305">
        <v>-103.5</v>
      </c>
      <c r="I2452" s="244" t="s">
        <v>84</v>
      </c>
      <c r="J2452" s="244" t="s">
        <v>143</v>
      </c>
      <c r="K2452" s="233"/>
      <c r="L2452" s="197"/>
      <c r="M2452" s="197"/>
      <c r="N2452" s="197"/>
      <c r="O2452" s="197"/>
    </row>
    <row r="2453" spans="1:15">
      <c r="A2453" s="326" t="s">
        <v>137</v>
      </c>
      <c r="B2453" s="326" t="s">
        <v>138</v>
      </c>
      <c r="C2453" s="244" t="s">
        <v>84</v>
      </c>
      <c r="D2453" s="244" t="s">
        <v>2787</v>
      </c>
      <c r="E2453" s="244" t="s">
        <v>2795</v>
      </c>
      <c r="F2453" s="227" t="s">
        <v>407</v>
      </c>
      <c r="G2453" s="305">
        <v>-819.85</v>
      </c>
      <c r="H2453" s="305">
        <v>-819.85</v>
      </c>
      <c r="I2453" s="244" t="s">
        <v>84</v>
      </c>
      <c r="J2453" s="244" t="s">
        <v>143</v>
      </c>
      <c r="K2453" s="233"/>
      <c r="L2453" s="197"/>
      <c r="M2453" s="197"/>
      <c r="N2453" s="197"/>
      <c r="O2453" s="197"/>
    </row>
    <row r="2454" spans="1:15">
      <c r="A2454" s="326" t="s">
        <v>137</v>
      </c>
      <c r="B2454" s="326" t="s">
        <v>138</v>
      </c>
      <c r="C2454" s="244" t="s">
        <v>84</v>
      </c>
      <c r="D2454" s="244" t="s">
        <v>2380</v>
      </c>
      <c r="E2454" s="244" t="s">
        <v>2796</v>
      </c>
      <c r="F2454" s="227" t="s">
        <v>407</v>
      </c>
      <c r="G2454" s="305">
        <v>-87.01</v>
      </c>
      <c r="H2454" s="305">
        <v>-87.01</v>
      </c>
      <c r="I2454" s="244" t="s">
        <v>84</v>
      </c>
      <c r="J2454" s="244" t="s">
        <v>143</v>
      </c>
      <c r="K2454" s="327" t="s">
        <v>195</v>
      </c>
      <c r="L2454" s="197"/>
      <c r="M2454" s="197"/>
      <c r="N2454" s="197"/>
      <c r="O2454" s="197"/>
    </row>
    <row r="2455" spans="1:15">
      <c r="A2455" s="326" t="s">
        <v>232</v>
      </c>
      <c r="B2455" s="326" t="s">
        <v>138</v>
      </c>
      <c r="C2455" s="244" t="s">
        <v>94</v>
      </c>
      <c r="D2455" s="244" t="s">
        <v>233</v>
      </c>
      <c r="E2455" s="244" t="s">
        <v>2797</v>
      </c>
      <c r="F2455" s="227" t="s">
        <v>407</v>
      </c>
      <c r="G2455" s="305">
        <v>-1621</v>
      </c>
      <c r="H2455" s="305">
        <v>-1621</v>
      </c>
      <c r="I2455" s="244" t="s">
        <v>94</v>
      </c>
      <c r="J2455" s="244" t="s">
        <v>206</v>
      </c>
      <c r="K2455" s="233"/>
      <c r="L2455" s="197"/>
      <c r="M2455" s="197"/>
      <c r="N2455" s="197"/>
      <c r="O2455" s="197"/>
    </row>
    <row r="2456" spans="1:15">
      <c r="A2456" s="326" t="s">
        <v>137</v>
      </c>
      <c r="B2456" s="326" t="s">
        <v>138</v>
      </c>
      <c r="C2456" s="244" t="s">
        <v>94</v>
      </c>
      <c r="D2456" s="244" t="s">
        <v>238</v>
      </c>
      <c r="E2456" s="244" t="s">
        <v>2798</v>
      </c>
      <c r="F2456" s="227" t="s">
        <v>407</v>
      </c>
      <c r="G2456" s="305">
        <v>-5664.66</v>
      </c>
      <c r="H2456" s="305">
        <v>-5664.66</v>
      </c>
      <c r="I2456" s="244" t="s">
        <v>94</v>
      </c>
      <c r="J2456" s="244" t="s">
        <v>206</v>
      </c>
      <c r="K2456" s="233"/>
      <c r="L2456" s="197"/>
      <c r="M2456" s="197"/>
      <c r="N2456" s="197"/>
      <c r="O2456" s="197"/>
    </row>
    <row r="2457" spans="1:15">
      <c r="A2457" s="326" t="s">
        <v>232</v>
      </c>
      <c r="B2457" s="326" t="s">
        <v>138</v>
      </c>
      <c r="C2457" s="244" t="s">
        <v>88</v>
      </c>
      <c r="D2457" s="244" t="s">
        <v>247</v>
      </c>
      <c r="E2457" s="244" t="s">
        <v>2799</v>
      </c>
      <c r="F2457" s="227" t="s">
        <v>407</v>
      </c>
      <c r="G2457" s="305">
        <v>-276.68</v>
      </c>
      <c r="H2457" s="305">
        <v>-276.68</v>
      </c>
      <c r="I2457" s="244" t="s">
        <v>88</v>
      </c>
      <c r="J2457" s="244" t="s">
        <v>206</v>
      </c>
      <c r="K2457" s="233"/>
      <c r="L2457" s="197"/>
      <c r="M2457" s="197"/>
      <c r="N2457" s="197"/>
      <c r="O2457" s="197"/>
    </row>
    <row r="2458" spans="1:15">
      <c r="A2458" s="326" t="s">
        <v>137</v>
      </c>
      <c r="B2458" s="326" t="s">
        <v>138</v>
      </c>
      <c r="C2458" s="244" t="s">
        <v>88</v>
      </c>
      <c r="D2458" s="244" t="s">
        <v>252</v>
      </c>
      <c r="E2458" s="244" t="s">
        <v>2800</v>
      </c>
      <c r="F2458" s="227" t="s">
        <v>407</v>
      </c>
      <c r="G2458" s="305">
        <v>-16000</v>
      </c>
      <c r="H2458" s="305">
        <v>-16000</v>
      </c>
      <c r="I2458" s="244" t="s">
        <v>88</v>
      </c>
      <c r="J2458" s="244" t="s">
        <v>206</v>
      </c>
      <c r="K2458" s="233"/>
      <c r="L2458" s="197"/>
      <c r="M2458" s="197"/>
      <c r="N2458" s="197"/>
      <c r="O2458" s="197"/>
    </row>
    <row r="2459" spans="1:15">
      <c r="A2459" s="326" t="s">
        <v>232</v>
      </c>
      <c r="B2459" s="326" t="s">
        <v>138</v>
      </c>
      <c r="C2459" s="244" t="s">
        <v>74</v>
      </c>
      <c r="D2459" s="244" t="s">
        <v>257</v>
      </c>
      <c r="E2459" s="244" t="s">
        <v>2801</v>
      </c>
      <c r="F2459" s="227" t="s">
        <v>407</v>
      </c>
      <c r="G2459" s="305">
        <v>-40</v>
      </c>
      <c r="H2459" s="305">
        <v>-40</v>
      </c>
      <c r="I2459" s="244" t="s">
        <v>74</v>
      </c>
      <c r="J2459" s="244" t="s">
        <v>143</v>
      </c>
      <c r="K2459" s="233"/>
      <c r="L2459" s="197"/>
      <c r="M2459" s="197"/>
      <c r="N2459" s="197"/>
      <c r="O2459" s="197"/>
    </row>
    <row r="2460" spans="1:15">
      <c r="A2460" s="326" t="s">
        <v>137</v>
      </c>
      <c r="B2460" s="326" t="s">
        <v>138</v>
      </c>
      <c r="C2460" s="244" t="s">
        <v>271</v>
      </c>
      <c r="D2460" s="244" t="s">
        <v>2802</v>
      </c>
      <c r="E2460" s="244" t="s">
        <v>2803</v>
      </c>
      <c r="F2460" s="227" t="s">
        <v>407</v>
      </c>
      <c r="G2460" s="305">
        <v>-2000</v>
      </c>
      <c r="H2460" s="305">
        <v>-2000</v>
      </c>
      <c r="I2460" s="244" t="s">
        <v>101</v>
      </c>
      <c r="J2460" s="244" t="s">
        <v>206</v>
      </c>
      <c r="K2460" s="233"/>
      <c r="L2460" s="197"/>
      <c r="M2460" s="197"/>
      <c r="N2460" s="197"/>
      <c r="O2460" s="197"/>
    </row>
    <row r="2461" spans="1:15">
      <c r="A2461" s="326" t="s">
        <v>137</v>
      </c>
      <c r="B2461" s="326" t="s">
        <v>138</v>
      </c>
      <c r="C2461" s="244" t="s">
        <v>271</v>
      </c>
      <c r="D2461" s="244" t="s">
        <v>2802</v>
      </c>
      <c r="E2461" s="244" t="s">
        <v>2804</v>
      </c>
      <c r="F2461" s="227" t="s">
        <v>407</v>
      </c>
      <c r="G2461" s="305">
        <v>-400</v>
      </c>
      <c r="H2461" s="305">
        <v>-400</v>
      </c>
      <c r="I2461" s="244" t="s">
        <v>101</v>
      </c>
      <c r="J2461" s="244" t="s">
        <v>206</v>
      </c>
      <c r="K2461" s="233"/>
      <c r="L2461" s="197"/>
      <c r="M2461" s="197"/>
      <c r="N2461" s="197"/>
      <c r="O2461" s="197"/>
    </row>
    <row r="2462" spans="1:15">
      <c r="A2462" s="326" t="s">
        <v>137</v>
      </c>
      <c r="B2462" s="326" t="s">
        <v>138</v>
      </c>
      <c r="C2462" s="244" t="s">
        <v>271</v>
      </c>
      <c r="D2462" s="244" t="s">
        <v>278</v>
      </c>
      <c r="E2462" s="244" t="s">
        <v>2805</v>
      </c>
      <c r="F2462" s="227" t="s">
        <v>407</v>
      </c>
      <c r="G2462" s="305">
        <v>-694</v>
      </c>
      <c r="H2462" s="305">
        <v>-694</v>
      </c>
      <c r="I2462" s="244" t="s">
        <v>101</v>
      </c>
      <c r="J2462" s="244" t="s">
        <v>206</v>
      </c>
      <c r="K2462" s="233"/>
      <c r="L2462" s="197"/>
      <c r="M2462" s="197"/>
      <c r="N2462" s="197"/>
      <c r="O2462" s="197"/>
    </row>
    <row r="2463" spans="1:15">
      <c r="A2463" s="326" t="s">
        <v>137</v>
      </c>
      <c r="B2463" s="326" t="s">
        <v>138</v>
      </c>
      <c r="C2463" s="244" t="s">
        <v>287</v>
      </c>
      <c r="D2463" s="244" t="s">
        <v>2380</v>
      </c>
      <c r="E2463" s="244" t="s">
        <v>2806</v>
      </c>
      <c r="F2463" s="227" t="s">
        <v>407</v>
      </c>
      <c r="G2463" s="305">
        <v>-222.6</v>
      </c>
      <c r="H2463" s="305">
        <v>-222.6</v>
      </c>
      <c r="I2463" s="244" t="s">
        <v>290</v>
      </c>
      <c r="J2463" s="244" t="s">
        <v>246</v>
      </c>
      <c r="K2463" s="327" t="s">
        <v>195</v>
      </c>
      <c r="L2463" s="197"/>
      <c r="M2463" s="197"/>
      <c r="N2463" s="197"/>
      <c r="O2463" s="197"/>
    </row>
    <row r="2464" spans="1:15">
      <c r="A2464" s="326" t="s">
        <v>137</v>
      </c>
      <c r="B2464" s="326" t="s">
        <v>138</v>
      </c>
      <c r="C2464" s="244" t="s">
        <v>308</v>
      </c>
      <c r="D2464" s="244" t="s">
        <v>521</v>
      </c>
      <c r="E2464" s="244" t="s">
        <v>2807</v>
      </c>
      <c r="F2464" s="227" t="s">
        <v>407</v>
      </c>
      <c r="G2464" s="305">
        <v>-27.65</v>
      </c>
      <c r="H2464" s="305">
        <v>-27.65</v>
      </c>
      <c r="I2464" s="244" t="s">
        <v>290</v>
      </c>
      <c r="J2464" s="244" t="s">
        <v>246</v>
      </c>
      <c r="K2464" s="233"/>
      <c r="L2464" s="197"/>
      <c r="M2464" s="197"/>
      <c r="N2464" s="197"/>
      <c r="O2464" s="197"/>
    </row>
    <row r="2465" spans="1:15">
      <c r="A2465" s="326" t="s">
        <v>232</v>
      </c>
      <c r="B2465" s="326" t="s">
        <v>138</v>
      </c>
      <c r="C2465" s="244" t="s">
        <v>313</v>
      </c>
      <c r="D2465" s="244" t="s">
        <v>333</v>
      </c>
      <c r="E2465" s="244" t="s">
        <v>2808</v>
      </c>
      <c r="F2465" s="227" t="s">
        <v>407</v>
      </c>
      <c r="G2465" s="305">
        <v>-26.5</v>
      </c>
      <c r="H2465" s="305">
        <v>-26.5</v>
      </c>
      <c r="I2465" s="244" t="s">
        <v>61</v>
      </c>
      <c r="J2465" s="189" t="s">
        <v>316</v>
      </c>
      <c r="K2465" s="233"/>
      <c r="L2465" s="197"/>
      <c r="M2465" s="197"/>
      <c r="N2465" s="197"/>
      <c r="O2465" s="197"/>
    </row>
    <row r="2466" spans="1:15">
      <c r="A2466" s="326" t="s">
        <v>209</v>
      </c>
      <c r="B2466" s="326" t="s">
        <v>138</v>
      </c>
      <c r="C2466" s="244" t="s">
        <v>2057</v>
      </c>
      <c r="D2466" s="244" t="s">
        <v>2809</v>
      </c>
      <c r="E2466" s="244" t="s">
        <v>2810</v>
      </c>
      <c r="F2466" s="227" t="s">
        <v>407</v>
      </c>
      <c r="G2466" s="305">
        <v>-25.9</v>
      </c>
      <c r="H2466" s="305">
        <v>-25.9</v>
      </c>
      <c r="I2466" s="244" t="s">
        <v>2811</v>
      </c>
      <c r="J2466" s="244" t="s">
        <v>2060</v>
      </c>
      <c r="K2466" s="233"/>
      <c r="L2466" s="197"/>
      <c r="M2466" s="197"/>
      <c r="N2466" s="197"/>
      <c r="O2466" s="197"/>
    </row>
    <row r="2467" spans="1:15">
      <c r="A2467" s="326" t="s">
        <v>209</v>
      </c>
      <c r="B2467" s="326" t="s">
        <v>138</v>
      </c>
      <c r="C2467" s="244" t="s">
        <v>2057</v>
      </c>
      <c r="D2467" s="244" t="s">
        <v>2812</v>
      </c>
      <c r="E2467" s="244" t="s">
        <v>2813</v>
      </c>
      <c r="F2467" s="227" t="s">
        <v>407</v>
      </c>
      <c r="G2467" s="305">
        <v>-120</v>
      </c>
      <c r="H2467" s="305">
        <v>-120</v>
      </c>
      <c r="I2467" s="244" t="s">
        <v>2811</v>
      </c>
      <c r="J2467" s="244" t="s">
        <v>2060</v>
      </c>
      <c r="K2467" s="233"/>
      <c r="L2467" s="197"/>
      <c r="M2467" s="197"/>
      <c r="N2467" s="197"/>
      <c r="O2467" s="197"/>
    </row>
    <row r="2468" spans="1:15">
      <c r="A2468" s="326" t="s">
        <v>209</v>
      </c>
      <c r="B2468" s="326" t="s">
        <v>138</v>
      </c>
      <c r="C2468" s="244" t="s">
        <v>2057</v>
      </c>
      <c r="D2468" s="244" t="s">
        <v>2058</v>
      </c>
      <c r="E2468" s="244" t="s">
        <v>2814</v>
      </c>
      <c r="F2468" s="244" t="s">
        <v>268</v>
      </c>
      <c r="G2468" s="305">
        <v>-334.16</v>
      </c>
      <c r="H2468" s="305">
        <v>-334.16</v>
      </c>
      <c r="I2468" s="244"/>
      <c r="J2468" s="244" t="s">
        <v>2060</v>
      </c>
      <c r="K2468" s="233"/>
      <c r="L2468" s="197"/>
      <c r="M2468" s="197"/>
      <c r="N2468" s="197"/>
      <c r="O2468" s="197"/>
    </row>
    <row r="2469" spans="1:15">
      <c r="A2469" s="326" t="s">
        <v>209</v>
      </c>
      <c r="B2469" s="326" t="s">
        <v>138</v>
      </c>
      <c r="C2469" s="244" t="s">
        <v>2057</v>
      </c>
      <c r="D2469" s="244" t="s">
        <v>2058</v>
      </c>
      <c r="E2469" s="244" t="s">
        <v>2815</v>
      </c>
      <c r="F2469" s="244" t="s">
        <v>268</v>
      </c>
      <c r="G2469" s="305">
        <v>-119.12</v>
      </c>
      <c r="H2469" s="305">
        <v>-119.12</v>
      </c>
      <c r="I2469" s="244"/>
      <c r="J2469" s="244" t="s">
        <v>2060</v>
      </c>
      <c r="K2469" s="233"/>
      <c r="L2469" s="197"/>
      <c r="M2469" s="197"/>
      <c r="N2469" s="197"/>
      <c r="O2469" s="197"/>
    </row>
    <row r="2470" spans="1:15">
      <c r="A2470" s="326" t="s">
        <v>209</v>
      </c>
      <c r="B2470" s="326" t="s">
        <v>138</v>
      </c>
      <c r="C2470" s="244" t="s">
        <v>2057</v>
      </c>
      <c r="D2470" s="244" t="s">
        <v>2058</v>
      </c>
      <c r="E2470" s="244" t="s">
        <v>2816</v>
      </c>
      <c r="F2470" s="244" t="s">
        <v>268</v>
      </c>
      <c r="G2470" s="305">
        <v>-105.12</v>
      </c>
      <c r="H2470" s="305">
        <v>-105.12</v>
      </c>
      <c r="I2470" s="244"/>
      <c r="J2470" s="244" t="s">
        <v>2060</v>
      </c>
      <c r="K2470" s="233"/>
      <c r="L2470" s="197"/>
      <c r="M2470" s="197"/>
      <c r="N2470" s="197"/>
      <c r="O2470" s="197"/>
    </row>
    <row r="2471" spans="1:15">
      <c r="A2471" s="326" t="s">
        <v>209</v>
      </c>
      <c r="B2471" s="326" t="s">
        <v>138</v>
      </c>
      <c r="C2471" s="244" t="s">
        <v>2057</v>
      </c>
      <c r="D2471" s="244" t="s">
        <v>2058</v>
      </c>
      <c r="E2471" s="244" t="s">
        <v>2817</v>
      </c>
      <c r="F2471" s="244" t="s">
        <v>268</v>
      </c>
      <c r="G2471" s="305">
        <v>-70</v>
      </c>
      <c r="H2471" s="305">
        <v>-70</v>
      </c>
      <c r="I2471" s="244"/>
      <c r="J2471" s="244" t="s">
        <v>2060</v>
      </c>
      <c r="K2471" s="233"/>
      <c r="L2471" s="197"/>
      <c r="M2471" s="197"/>
      <c r="N2471" s="197"/>
      <c r="O2471" s="197"/>
    </row>
    <row r="2472" spans="1:15">
      <c r="A2472" s="326" t="s">
        <v>209</v>
      </c>
      <c r="B2472" s="326" t="s">
        <v>138</v>
      </c>
      <c r="C2472" s="244" t="s">
        <v>2057</v>
      </c>
      <c r="D2472" s="244" t="s">
        <v>2058</v>
      </c>
      <c r="E2472" s="244" t="s">
        <v>2818</v>
      </c>
      <c r="F2472" s="244" t="s">
        <v>268</v>
      </c>
      <c r="G2472" s="305">
        <v>-28</v>
      </c>
      <c r="H2472" s="305">
        <v>-28</v>
      </c>
      <c r="I2472" s="244"/>
      <c r="J2472" s="244" t="s">
        <v>2060</v>
      </c>
      <c r="K2472" s="233"/>
      <c r="L2472" s="197"/>
      <c r="M2472" s="197"/>
      <c r="N2472" s="197"/>
      <c r="O2472" s="197"/>
    </row>
    <row r="2473" spans="1:15">
      <c r="A2473" s="326" t="s">
        <v>209</v>
      </c>
      <c r="B2473" s="326" t="s">
        <v>138</v>
      </c>
      <c r="C2473" s="244" t="s">
        <v>2057</v>
      </c>
      <c r="D2473" s="244" t="s">
        <v>2058</v>
      </c>
      <c r="E2473" s="244" t="s">
        <v>2819</v>
      </c>
      <c r="F2473" s="244" t="s">
        <v>268</v>
      </c>
      <c r="G2473" s="305">
        <v>-13</v>
      </c>
      <c r="H2473" s="305">
        <v>-13</v>
      </c>
      <c r="I2473" s="244"/>
      <c r="J2473" s="244" t="s">
        <v>2060</v>
      </c>
      <c r="K2473" s="233"/>
      <c r="L2473" s="197"/>
      <c r="M2473" s="197"/>
      <c r="N2473" s="197"/>
      <c r="O2473" s="197"/>
    </row>
    <row r="2474" spans="1:15">
      <c r="A2474" s="326" t="s">
        <v>209</v>
      </c>
      <c r="B2474" s="326" t="s">
        <v>138</v>
      </c>
      <c r="C2474" s="244" t="s">
        <v>2057</v>
      </c>
      <c r="D2474" s="244" t="s">
        <v>2058</v>
      </c>
      <c r="E2474" s="244" t="s">
        <v>2820</v>
      </c>
      <c r="F2474" s="244" t="s">
        <v>268</v>
      </c>
      <c r="G2474" s="305">
        <v>-12</v>
      </c>
      <c r="H2474" s="305">
        <v>-12</v>
      </c>
      <c r="I2474" s="244"/>
      <c r="J2474" s="244" t="s">
        <v>2060</v>
      </c>
      <c r="K2474" s="233"/>
      <c r="L2474" s="197"/>
      <c r="M2474" s="197"/>
      <c r="N2474" s="197"/>
      <c r="O2474" s="197"/>
    </row>
    <row r="2475" spans="1:15">
      <c r="A2475" s="326" t="s">
        <v>209</v>
      </c>
      <c r="B2475" s="326" t="s">
        <v>138</v>
      </c>
      <c r="C2475" s="244" t="s">
        <v>2057</v>
      </c>
      <c r="D2475" s="244" t="s">
        <v>2058</v>
      </c>
      <c r="E2475" s="244" t="s">
        <v>2821</v>
      </c>
      <c r="F2475" s="244" t="s">
        <v>268</v>
      </c>
      <c r="G2475" s="305">
        <v>-10</v>
      </c>
      <c r="H2475" s="305">
        <v>-10</v>
      </c>
      <c r="I2475" s="244"/>
      <c r="J2475" s="244" t="s">
        <v>2060</v>
      </c>
      <c r="K2475" s="233"/>
      <c r="L2475" s="197"/>
      <c r="M2475" s="197"/>
      <c r="N2475" s="197"/>
      <c r="O2475" s="197"/>
    </row>
    <row r="2476" spans="1:15">
      <c r="A2476" s="326" t="s">
        <v>209</v>
      </c>
      <c r="B2476" s="326" t="s">
        <v>138</v>
      </c>
      <c r="C2476" s="244" t="s">
        <v>2057</v>
      </c>
      <c r="D2476" s="244" t="s">
        <v>2058</v>
      </c>
      <c r="E2476" s="244" t="s">
        <v>2822</v>
      </c>
      <c r="F2476" s="244" t="s">
        <v>268</v>
      </c>
      <c r="G2476" s="305">
        <v>-10</v>
      </c>
      <c r="H2476" s="305">
        <v>-10</v>
      </c>
      <c r="I2476" s="244"/>
      <c r="J2476" s="244" t="s">
        <v>2060</v>
      </c>
      <c r="K2476" s="233"/>
      <c r="L2476" s="197"/>
      <c r="M2476" s="197"/>
      <c r="N2476" s="197"/>
      <c r="O2476" s="197"/>
    </row>
    <row r="2477" spans="1:15">
      <c r="A2477" s="326" t="s">
        <v>209</v>
      </c>
      <c r="B2477" s="326" t="s">
        <v>138</v>
      </c>
      <c r="C2477" s="244" t="s">
        <v>2057</v>
      </c>
      <c r="D2477" s="244" t="s">
        <v>2058</v>
      </c>
      <c r="E2477" s="244" t="s">
        <v>2823</v>
      </c>
      <c r="F2477" s="244" t="s">
        <v>268</v>
      </c>
      <c r="G2477" s="305">
        <v>-5</v>
      </c>
      <c r="H2477" s="305">
        <v>-5</v>
      </c>
      <c r="I2477" s="244"/>
      <c r="J2477" s="244" t="s">
        <v>2060</v>
      </c>
      <c r="K2477" s="233"/>
      <c r="L2477" s="197"/>
      <c r="M2477" s="197"/>
      <c r="N2477" s="197"/>
      <c r="O2477" s="197"/>
    </row>
    <row r="2478" spans="1:15">
      <c r="A2478" s="326" t="s">
        <v>209</v>
      </c>
      <c r="B2478" s="326" t="s">
        <v>138</v>
      </c>
      <c r="C2478" s="244" t="s">
        <v>2057</v>
      </c>
      <c r="D2478" s="244" t="s">
        <v>2058</v>
      </c>
      <c r="E2478" s="244" t="s">
        <v>2824</v>
      </c>
      <c r="F2478" s="227" t="s">
        <v>407</v>
      </c>
      <c r="G2478" s="305">
        <v>-117.62</v>
      </c>
      <c r="H2478" s="305">
        <v>-117.62</v>
      </c>
      <c r="I2478" s="244" t="s">
        <v>2811</v>
      </c>
      <c r="J2478" s="244" t="s">
        <v>2060</v>
      </c>
      <c r="K2478" s="233"/>
      <c r="L2478" s="197"/>
      <c r="M2478" s="197"/>
      <c r="N2478" s="197"/>
      <c r="O2478" s="197"/>
    </row>
    <row r="2479" spans="1:15">
      <c r="A2479" s="326" t="s">
        <v>209</v>
      </c>
      <c r="B2479" s="326" t="s">
        <v>138</v>
      </c>
      <c r="C2479" s="244" t="s">
        <v>2057</v>
      </c>
      <c r="D2479" s="244" t="s">
        <v>2389</v>
      </c>
      <c r="E2479" s="244" t="s">
        <v>2825</v>
      </c>
      <c r="F2479" s="244" t="s">
        <v>268</v>
      </c>
      <c r="G2479" s="305">
        <v>-500</v>
      </c>
      <c r="H2479" s="305">
        <v>-500</v>
      </c>
      <c r="I2479" s="244"/>
      <c r="J2479" s="244" t="s">
        <v>2060</v>
      </c>
      <c r="K2479" s="233"/>
      <c r="L2479" s="197"/>
      <c r="M2479" s="197"/>
      <c r="N2479" s="197"/>
      <c r="O2479" s="197"/>
    </row>
    <row r="2480" spans="1:15">
      <c r="A2480" s="326" t="s">
        <v>209</v>
      </c>
      <c r="B2480" s="326" t="s">
        <v>138</v>
      </c>
      <c r="C2480" s="244" t="s">
        <v>2057</v>
      </c>
      <c r="D2480" s="244" t="s">
        <v>2389</v>
      </c>
      <c r="E2480" s="244" t="s">
        <v>2391</v>
      </c>
      <c r="F2480" s="244" t="s">
        <v>268</v>
      </c>
      <c r="G2480" s="305">
        <v>-405</v>
      </c>
      <c r="H2480" s="305">
        <v>-404.25</v>
      </c>
      <c r="I2480" s="244"/>
      <c r="J2480" s="244" t="s">
        <v>2060</v>
      </c>
      <c r="K2480" s="233"/>
      <c r="L2480" s="197"/>
      <c r="M2480" s="197"/>
      <c r="N2480" s="197"/>
      <c r="O2480" s="197"/>
    </row>
    <row r="2481" spans="1:15">
      <c r="A2481" s="326" t="s">
        <v>209</v>
      </c>
      <c r="B2481" s="326" t="s">
        <v>138</v>
      </c>
      <c r="C2481" s="244" t="s">
        <v>2057</v>
      </c>
      <c r="D2481" s="244" t="s">
        <v>2389</v>
      </c>
      <c r="E2481" s="244" t="s">
        <v>2392</v>
      </c>
      <c r="F2481" s="244" t="s">
        <v>268</v>
      </c>
      <c r="G2481" s="305">
        <v>-400</v>
      </c>
      <c r="H2481" s="305">
        <v>-400</v>
      </c>
      <c r="I2481" s="244"/>
      <c r="J2481" s="244" t="s">
        <v>2060</v>
      </c>
      <c r="K2481" s="233"/>
      <c r="L2481" s="197"/>
      <c r="M2481" s="197"/>
      <c r="N2481" s="197"/>
      <c r="O2481" s="197"/>
    </row>
    <row r="2482" spans="1:15">
      <c r="A2482" s="326" t="s">
        <v>209</v>
      </c>
      <c r="B2482" s="326" t="s">
        <v>138</v>
      </c>
      <c r="C2482" s="244" t="s">
        <v>2057</v>
      </c>
      <c r="D2482" s="244" t="s">
        <v>2389</v>
      </c>
      <c r="E2482" s="244" t="s">
        <v>2826</v>
      </c>
      <c r="F2482" s="227" t="s">
        <v>407</v>
      </c>
      <c r="G2482" s="305">
        <v>-300</v>
      </c>
      <c r="H2482" s="305">
        <v>-300</v>
      </c>
      <c r="I2482" s="244" t="s">
        <v>2811</v>
      </c>
      <c r="J2482" s="244" t="s">
        <v>2060</v>
      </c>
      <c r="K2482" s="233"/>
      <c r="L2482" s="197"/>
      <c r="M2482" s="197"/>
      <c r="N2482" s="197"/>
      <c r="O2482" s="197"/>
    </row>
    <row r="2483" spans="1:15">
      <c r="A2483" s="326" t="s">
        <v>209</v>
      </c>
      <c r="B2483" s="326" t="s">
        <v>138</v>
      </c>
      <c r="C2483" s="244" t="s">
        <v>2057</v>
      </c>
      <c r="D2483" s="244" t="s">
        <v>2389</v>
      </c>
      <c r="E2483" s="244" t="s">
        <v>2813</v>
      </c>
      <c r="F2483" s="227" t="s">
        <v>407</v>
      </c>
      <c r="G2483" s="305">
        <v>-300</v>
      </c>
      <c r="H2483" s="305">
        <v>-300</v>
      </c>
      <c r="I2483" s="244" t="s">
        <v>2811</v>
      </c>
      <c r="J2483" s="244" t="s">
        <v>2060</v>
      </c>
      <c r="K2483" s="233"/>
      <c r="L2483" s="197"/>
      <c r="M2483" s="197"/>
      <c r="N2483" s="197"/>
      <c r="O2483" s="197"/>
    </row>
    <row r="2484" spans="1:15">
      <c r="A2484" s="326" t="s">
        <v>137</v>
      </c>
      <c r="B2484" s="326" t="s">
        <v>138</v>
      </c>
      <c r="C2484" s="244" t="s">
        <v>339</v>
      </c>
      <c r="D2484" s="244" t="s">
        <v>340</v>
      </c>
      <c r="E2484" s="244" t="s">
        <v>2827</v>
      </c>
      <c r="F2484" s="227" t="s">
        <v>407</v>
      </c>
      <c r="G2484" s="305">
        <v>-587.77</v>
      </c>
      <c r="H2484" s="305">
        <v>-587.77</v>
      </c>
      <c r="I2484" s="244" t="s">
        <v>88</v>
      </c>
      <c r="J2484" s="244" t="s">
        <v>206</v>
      </c>
      <c r="K2484" s="233"/>
      <c r="L2484" s="197"/>
      <c r="M2484" s="197"/>
      <c r="N2484" s="197"/>
      <c r="O2484" s="197"/>
    </row>
    <row r="2485" spans="1:15">
      <c r="A2485" s="326" t="s">
        <v>137</v>
      </c>
      <c r="B2485" s="326" t="s">
        <v>138</v>
      </c>
      <c r="C2485" s="244" t="s">
        <v>100</v>
      </c>
      <c r="D2485" s="244" t="s">
        <v>2404</v>
      </c>
      <c r="E2485" s="244" t="s">
        <v>2828</v>
      </c>
      <c r="F2485" s="227" t="s">
        <v>407</v>
      </c>
      <c r="G2485" s="305">
        <v>-394</v>
      </c>
      <c r="H2485" s="305">
        <v>-394</v>
      </c>
      <c r="I2485" s="244" t="s">
        <v>100</v>
      </c>
      <c r="J2485" s="244" t="s">
        <v>162</v>
      </c>
      <c r="K2485" s="233"/>
      <c r="L2485" s="197"/>
      <c r="M2485" s="197"/>
      <c r="N2485" s="197"/>
      <c r="O2485" s="197"/>
    </row>
    <row r="2486" spans="1:15">
      <c r="A2486" s="326" t="s">
        <v>137</v>
      </c>
      <c r="B2486" s="326" t="s">
        <v>138</v>
      </c>
      <c r="C2486" s="244" t="s">
        <v>349</v>
      </c>
      <c r="D2486" s="244" t="s">
        <v>2829</v>
      </c>
      <c r="E2486" s="244" t="s">
        <v>2830</v>
      </c>
      <c r="F2486" s="227" t="s">
        <v>407</v>
      </c>
      <c r="G2486" s="305">
        <v>-91.5</v>
      </c>
      <c r="H2486" s="305">
        <v>-91.5</v>
      </c>
      <c r="I2486" s="244" t="s">
        <v>100</v>
      </c>
      <c r="J2486" s="244" t="s">
        <v>143</v>
      </c>
      <c r="K2486" s="233"/>
      <c r="L2486" s="197"/>
      <c r="M2486" s="197"/>
      <c r="N2486" s="197"/>
      <c r="O2486" s="197"/>
    </row>
    <row r="2487" spans="1:15">
      <c r="A2487" s="326" t="s">
        <v>232</v>
      </c>
      <c r="B2487" s="326" t="s">
        <v>138</v>
      </c>
      <c r="C2487" s="244" t="s">
        <v>349</v>
      </c>
      <c r="D2487" s="244" t="s">
        <v>2831</v>
      </c>
      <c r="E2487" s="244" t="s">
        <v>2832</v>
      </c>
      <c r="F2487" s="227" t="s">
        <v>407</v>
      </c>
      <c r="G2487" s="305">
        <v>-119</v>
      </c>
      <c r="H2487" s="305">
        <v>-119</v>
      </c>
      <c r="I2487" s="244" t="s">
        <v>100</v>
      </c>
      <c r="J2487" s="244" t="s">
        <v>143</v>
      </c>
      <c r="K2487" s="233"/>
      <c r="L2487" s="197"/>
      <c r="M2487" s="197"/>
      <c r="N2487" s="197"/>
      <c r="O2487" s="197"/>
    </row>
    <row r="2488" spans="1:15" hidden="1">
      <c r="A2488" s="326" t="s">
        <v>232</v>
      </c>
      <c r="B2488" s="326" t="s">
        <v>138</v>
      </c>
      <c r="C2488" s="244" t="s">
        <v>349</v>
      </c>
      <c r="D2488" s="244" t="s">
        <v>2831</v>
      </c>
      <c r="E2488" s="244" t="s">
        <v>2833</v>
      </c>
      <c r="F2488" s="244" t="s">
        <v>2618</v>
      </c>
      <c r="G2488" s="305">
        <v>-119</v>
      </c>
      <c r="H2488" s="305">
        <v>-119</v>
      </c>
      <c r="I2488" s="244" t="s">
        <v>100</v>
      </c>
      <c r="J2488" s="244" t="s">
        <v>143</v>
      </c>
      <c r="K2488" s="233"/>
      <c r="L2488" s="197"/>
      <c r="M2488" s="197"/>
      <c r="N2488" s="197"/>
      <c r="O2488" s="197"/>
    </row>
    <row r="2489" spans="1:15">
      <c r="A2489" s="326" t="s">
        <v>232</v>
      </c>
      <c r="B2489" s="326" t="s">
        <v>138</v>
      </c>
      <c r="C2489" s="244" t="s">
        <v>93</v>
      </c>
      <c r="D2489" s="244" t="s">
        <v>364</v>
      </c>
      <c r="E2489" s="244" t="s">
        <v>1687</v>
      </c>
      <c r="F2489" s="227" t="s">
        <v>407</v>
      </c>
      <c r="G2489" s="305">
        <v>-136.62</v>
      </c>
      <c r="H2489" s="305">
        <v>-136.62</v>
      </c>
      <c r="I2489" s="244" t="s">
        <v>93</v>
      </c>
      <c r="J2489" s="244" t="s">
        <v>164</v>
      </c>
      <c r="K2489" s="327" t="s">
        <v>195</v>
      </c>
      <c r="L2489" s="197"/>
      <c r="M2489" s="197"/>
      <c r="N2489" s="197"/>
      <c r="O2489" s="197"/>
    </row>
    <row r="2490" spans="1:15">
      <c r="A2490" s="326" t="s">
        <v>137</v>
      </c>
      <c r="B2490" s="326" t="s">
        <v>138</v>
      </c>
      <c r="C2490" s="244" t="s">
        <v>93</v>
      </c>
      <c r="D2490" s="244" t="s">
        <v>364</v>
      </c>
      <c r="E2490" s="244" t="s">
        <v>1686</v>
      </c>
      <c r="F2490" s="227" t="s">
        <v>407</v>
      </c>
      <c r="G2490" s="305">
        <v>-1175.04</v>
      </c>
      <c r="H2490" s="305">
        <v>-1175.04</v>
      </c>
      <c r="I2490" s="244" t="s">
        <v>93</v>
      </c>
      <c r="J2490" s="244" t="s">
        <v>164</v>
      </c>
      <c r="K2490" s="327" t="s">
        <v>195</v>
      </c>
      <c r="L2490" s="197"/>
      <c r="M2490" s="197"/>
      <c r="N2490" s="197"/>
      <c r="O2490" s="197"/>
    </row>
    <row r="2491" spans="1:15">
      <c r="A2491" s="326" t="s">
        <v>232</v>
      </c>
      <c r="B2491" s="326" t="s">
        <v>138</v>
      </c>
      <c r="C2491" s="244" t="s">
        <v>93</v>
      </c>
      <c r="D2491" s="244" t="s">
        <v>372</v>
      </c>
      <c r="E2491" s="244" t="s">
        <v>2834</v>
      </c>
      <c r="F2491" s="227" t="s">
        <v>407</v>
      </c>
      <c r="G2491" s="305">
        <v>-2647.76</v>
      </c>
      <c r="H2491" s="305">
        <v>-2647.76</v>
      </c>
      <c r="I2491" s="244" t="s">
        <v>93</v>
      </c>
      <c r="J2491" s="244" t="s">
        <v>164</v>
      </c>
      <c r="K2491" s="233"/>
      <c r="L2491" s="197"/>
      <c r="M2491" s="197"/>
      <c r="N2491" s="197"/>
      <c r="O2491" s="197"/>
    </row>
    <row r="2492" spans="1:15">
      <c r="A2492" s="326" t="s">
        <v>137</v>
      </c>
      <c r="B2492" s="326" t="s">
        <v>138</v>
      </c>
      <c r="C2492" s="244" t="s">
        <v>93</v>
      </c>
      <c r="D2492" s="244" t="s">
        <v>372</v>
      </c>
      <c r="E2492" s="244" t="s">
        <v>2835</v>
      </c>
      <c r="F2492" s="227" t="s">
        <v>407</v>
      </c>
      <c r="G2492" s="305">
        <v>-800</v>
      </c>
      <c r="H2492" s="305">
        <v>-800</v>
      </c>
      <c r="I2492" s="244" t="s">
        <v>93</v>
      </c>
      <c r="J2492" s="244" t="s">
        <v>164</v>
      </c>
      <c r="K2492" s="233"/>
      <c r="L2492" s="197"/>
      <c r="M2492" s="197"/>
      <c r="N2492" s="197"/>
      <c r="O2492" s="197"/>
    </row>
    <row r="2493" spans="1:15">
      <c r="A2493" s="326" t="s">
        <v>137</v>
      </c>
      <c r="B2493" s="326" t="s">
        <v>138</v>
      </c>
      <c r="C2493" s="244" t="s">
        <v>93</v>
      </c>
      <c r="D2493" s="244" t="s">
        <v>372</v>
      </c>
      <c r="E2493" s="244" t="s">
        <v>2836</v>
      </c>
      <c r="F2493" s="227" t="s">
        <v>407</v>
      </c>
      <c r="G2493" s="305">
        <v>-2144.65</v>
      </c>
      <c r="H2493" s="305">
        <v>-2144.65</v>
      </c>
      <c r="I2493" s="244" t="s">
        <v>93</v>
      </c>
      <c r="J2493" s="244" t="s">
        <v>164</v>
      </c>
      <c r="K2493" s="233"/>
      <c r="L2493" s="197"/>
      <c r="M2493" s="197"/>
      <c r="N2493" s="197"/>
      <c r="O2493" s="197"/>
    </row>
    <row r="2494" spans="1:15">
      <c r="A2494" s="326" t="s">
        <v>137</v>
      </c>
      <c r="B2494" s="326" t="s">
        <v>138</v>
      </c>
      <c r="C2494" s="244" t="s">
        <v>93</v>
      </c>
      <c r="D2494" s="244" t="s">
        <v>372</v>
      </c>
      <c r="E2494" s="244" t="s">
        <v>2837</v>
      </c>
      <c r="F2494" s="227" t="s">
        <v>407</v>
      </c>
      <c r="G2494" s="305">
        <v>-130</v>
      </c>
      <c r="H2494" s="305">
        <v>-130</v>
      </c>
      <c r="I2494" s="244" t="s">
        <v>93</v>
      </c>
      <c r="J2494" s="244" t="s">
        <v>164</v>
      </c>
      <c r="K2494" s="233"/>
      <c r="L2494" s="197"/>
      <c r="M2494" s="197"/>
      <c r="N2494" s="197"/>
      <c r="O2494" s="197"/>
    </row>
    <row r="2495" spans="1:15">
      <c r="A2495" s="326" t="s">
        <v>232</v>
      </c>
      <c r="B2495" s="326" t="s">
        <v>138</v>
      </c>
      <c r="C2495" s="244" t="s">
        <v>93</v>
      </c>
      <c r="D2495" s="244" t="s">
        <v>383</v>
      </c>
      <c r="E2495" s="244" t="s">
        <v>2838</v>
      </c>
      <c r="F2495" s="227" t="s">
        <v>407</v>
      </c>
      <c r="G2495" s="305">
        <v>-2200</v>
      </c>
      <c r="H2495" s="305">
        <v>-2200</v>
      </c>
      <c r="I2495" s="244" t="s">
        <v>93</v>
      </c>
      <c r="J2495" s="244" t="s">
        <v>164</v>
      </c>
      <c r="K2495" s="233"/>
      <c r="L2495" s="197"/>
      <c r="M2495" s="197"/>
      <c r="N2495" s="197"/>
      <c r="O2495" s="197"/>
    </row>
    <row r="2496" spans="1:15">
      <c r="A2496" s="326" t="s">
        <v>137</v>
      </c>
      <c r="B2496" s="326" t="s">
        <v>138</v>
      </c>
      <c r="C2496" s="280" t="s">
        <v>93</v>
      </c>
      <c r="D2496" s="244" t="s">
        <v>655</v>
      </c>
      <c r="E2496" s="244" t="s">
        <v>2839</v>
      </c>
      <c r="F2496" s="227" t="s">
        <v>407</v>
      </c>
      <c r="G2496" s="305">
        <v>-0.99</v>
      </c>
      <c r="H2496" s="305">
        <v>-0.99</v>
      </c>
      <c r="I2496" s="244" t="s">
        <v>106</v>
      </c>
      <c r="J2496" s="244" t="s">
        <v>164</v>
      </c>
      <c r="K2496" s="327" t="s">
        <v>2840</v>
      </c>
      <c r="L2496" s="197"/>
      <c r="M2496" s="197"/>
      <c r="N2496" s="197"/>
      <c r="O2496" s="197"/>
    </row>
    <row r="2497" spans="1:15">
      <c r="A2497" s="326" t="s">
        <v>137</v>
      </c>
      <c r="B2497" s="326" t="s">
        <v>138</v>
      </c>
      <c r="C2497" s="280" t="s">
        <v>93</v>
      </c>
      <c r="D2497" s="244" t="s">
        <v>655</v>
      </c>
      <c r="E2497" s="244" t="s">
        <v>2841</v>
      </c>
      <c r="F2497" s="227" t="s">
        <v>407</v>
      </c>
      <c r="G2497" s="305">
        <v>-0.99</v>
      </c>
      <c r="H2497" s="305">
        <v>-0.99</v>
      </c>
      <c r="I2497" s="244" t="s">
        <v>106</v>
      </c>
      <c r="J2497" s="244" t="s">
        <v>164</v>
      </c>
      <c r="K2497" s="327" t="s">
        <v>2840</v>
      </c>
      <c r="L2497" s="197"/>
      <c r="M2497" s="197"/>
      <c r="N2497" s="197"/>
      <c r="O2497" s="197"/>
    </row>
    <row r="2498" spans="1:15">
      <c r="A2498" s="326" t="s">
        <v>137</v>
      </c>
      <c r="B2498" s="326" t="s">
        <v>138</v>
      </c>
      <c r="C2498" s="244" t="s">
        <v>83</v>
      </c>
      <c r="D2498" s="244" t="s">
        <v>157</v>
      </c>
      <c r="E2498" s="244" t="s">
        <v>2842</v>
      </c>
      <c r="F2498" s="227" t="s">
        <v>407</v>
      </c>
      <c r="G2498" s="305">
        <v>-6750</v>
      </c>
      <c r="H2498" s="305">
        <v>-6750</v>
      </c>
      <c r="I2498" s="244" t="s">
        <v>83</v>
      </c>
      <c r="J2498" s="189" t="s">
        <v>159</v>
      </c>
      <c r="K2498" s="233"/>
      <c r="L2498" s="197"/>
      <c r="M2498" s="197"/>
      <c r="N2498" s="197"/>
      <c r="O2498" s="197"/>
    </row>
    <row r="2499" spans="1:15">
      <c r="A2499" s="326" t="s">
        <v>232</v>
      </c>
      <c r="B2499" s="326" t="s">
        <v>138</v>
      </c>
      <c r="C2499" s="244" t="s">
        <v>83</v>
      </c>
      <c r="D2499" s="244" t="s">
        <v>393</v>
      </c>
      <c r="E2499" s="244" t="s">
        <v>2843</v>
      </c>
      <c r="F2499" s="227" t="s">
        <v>407</v>
      </c>
      <c r="G2499" s="305">
        <v>-450</v>
      </c>
      <c r="H2499" s="305">
        <v>-450</v>
      </c>
      <c r="I2499" s="244" t="s">
        <v>83</v>
      </c>
      <c r="J2499" s="244" t="s">
        <v>164</v>
      </c>
      <c r="K2499" s="233"/>
      <c r="L2499" s="197"/>
      <c r="M2499" s="197"/>
      <c r="N2499" s="197"/>
      <c r="O2499" s="197"/>
    </row>
    <row r="2500" spans="1:15">
      <c r="A2500" s="326" t="s">
        <v>137</v>
      </c>
      <c r="B2500" s="326" t="s">
        <v>138</v>
      </c>
      <c r="C2500" s="244" t="s">
        <v>83</v>
      </c>
      <c r="D2500" s="244" t="s">
        <v>2073</v>
      </c>
      <c r="E2500" s="244" t="s">
        <v>2844</v>
      </c>
      <c r="F2500" s="227" t="s">
        <v>407</v>
      </c>
      <c r="G2500" s="305">
        <v>-1000</v>
      </c>
      <c r="H2500" s="305">
        <v>-1000</v>
      </c>
      <c r="I2500" s="244" t="s">
        <v>83</v>
      </c>
      <c r="J2500" s="244" t="s">
        <v>476</v>
      </c>
      <c r="K2500" s="233"/>
      <c r="L2500" s="197"/>
      <c r="M2500" s="197"/>
      <c r="N2500" s="197"/>
      <c r="O2500" s="197"/>
    </row>
    <row r="2501" spans="1:15">
      <c r="A2501" s="326" t="s">
        <v>137</v>
      </c>
      <c r="B2501" s="326" t="s">
        <v>138</v>
      </c>
      <c r="C2501" s="244" t="s">
        <v>517</v>
      </c>
      <c r="D2501" s="244" t="s">
        <v>157</v>
      </c>
      <c r="E2501" s="244" t="s">
        <v>2845</v>
      </c>
      <c r="F2501" s="227" t="s">
        <v>407</v>
      </c>
      <c r="G2501" s="305">
        <v>-3250</v>
      </c>
      <c r="H2501" s="305">
        <v>-3250</v>
      </c>
      <c r="I2501" s="244" t="s">
        <v>83</v>
      </c>
      <c r="J2501" s="189" t="s">
        <v>159</v>
      </c>
      <c r="K2501" s="233"/>
      <c r="L2501" s="197"/>
      <c r="M2501" s="197"/>
      <c r="N2501" s="197"/>
      <c r="O2501" s="197"/>
    </row>
    <row r="2502" spans="1:15">
      <c r="A2502" s="326" t="s">
        <v>232</v>
      </c>
      <c r="B2502" s="326" t="s">
        <v>138</v>
      </c>
      <c r="C2502" s="244" t="s">
        <v>2846</v>
      </c>
      <c r="D2502" s="244" t="s">
        <v>2847</v>
      </c>
      <c r="E2502" s="244" t="s">
        <v>2848</v>
      </c>
      <c r="F2502" s="227" t="s">
        <v>407</v>
      </c>
      <c r="G2502" s="305">
        <v>-800</v>
      </c>
      <c r="H2502" s="305">
        <v>-800</v>
      </c>
      <c r="I2502" s="244" t="s">
        <v>97</v>
      </c>
      <c r="J2502" s="244" t="s">
        <v>206</v>
      </c>
      <c r="K2502" s="233"/>
      <c r="L2502" s="197"/>
      <c r="M2502" s="197"/>
      <c r="N2502" s="197"/>
      <c r="O2502" s="197"/>
    </row>
    <row r="2503" spans="1:15" ht="25.5" hidden="1">
      <c r="A2503" s="199" t="s">
        <v>137</v>
      </c>
      <c r="B2503" s="189" t="s">
        <v>138</v>
      </c>
      <c r="C2503" s="189" t="s">
        <v>38</v>
      </c>
      <c r="D2503" s="189" t="s">
        <v>819</v>
      </c>
      <c r="E2503" s="223" t="s">
        <v>2849</v>
      </c>
      <c r="F2503" s="195" t="s">
        <v>142</v>
      </c>
      <c r="G2503" s="258">
        <v>-4283</v>
      </c>
      <c r="H2503" s="260">
        <v>-4283</v>
      </c>
      <c r="I2503" s="199" t="s">
        <v>38</v>
      </c>
      <c r="J2503" s="189" t="s">
        <v>169</v>
      </c>
      <c r="K2503" s="196"/>
      <c r="L2503" s="197"/>
      <c r="M2503" s="197"/>
      <c r="N2503" s="197"/>
      <c r="O2503" s="197"/>
    </row>
    <row r="2504" spans="1:15" ht="25.5" hidden="1">
      <c r="A2504" s="199" t="s">
        <v>137</v>
      </c>
      <c r="B2504" s="189" t="s">
        <v>138</v>
      </c>
      <c r="C2504" s="189" t="s">
        <v>38</v>
      </c>
      <c r="D2504" s="189" t="s">
        <v>869</v>
      </c>
      <c r="E2504" s="223" t="s">
        <v>2850</v>
      </c>
      <c r="F2504" s="195" t="s">
        <v>142</v>
      </c>
      <c r="G2504" s="258">
        <v>-14.16</v>
      </c>
      <c r="H2504" s="260">
        <v>-14.16</v>
      </c>
      <c r="I2504" s="199" t="s">
        <v>38</v>
      </c>
      <c r="J2504" s="189" t="s">
        <v>316</v>
      </c>
      <c r="K2504" s="195"/>
      <c r="L2504" s="197"/>
      <c r="M2504" s="197"/>
      <c r="N2504" s="197"/>
      <c r="O2504" s="197"/>
    </row>
    <row r="2505" spans="1:15" ht="25.5" hidden="1">
      <c r="A2505" s="199" t="s">
        <v>137</v>
      </c>
      <c r="B2505" s="189" t="s">
        <v>138</v>
      </c>
      <c r="C2505" s="189" t="s">
        <v>38</v>
      </c>
      <c r="D2505" s="189" t="s">
        <v>869</v>
      </c>
      <c r="E2505" s="223" t="s">
        <v>2851</v>
      </c>
      <c r="F2505" s="195" t="s">
        <v>142</v>
      </c>
      <c r="G2505" s="258">
        <v>-222.81</v>
      </c>
      <c r="H2505" s="260">
        <v>-222.81</v>
      </c>
      <c r="I2505" s="199" t="s">
        <v>38</v>
      </c>
      <c r="J2505" s="189" t="s">
        <v>169</v>
      </c>
      <c r="K2505" s="195"/>
      <c r="L2505" s="197"/>
      <c r="M2505" s="197"/>
      <c r="N2505" s="197"/>
      <c r="O2505" s="197"/>
    </row>
    <row r="2506" spans="1:15">
      <c r="A2506" s="326" t="s">
        <v>209</v>
      </c>
      <c r="B2506" s="326" t="s">
        <v>683</v>
      </c>
      <c r="C2506" s="244" t="s">
        <v>109</v>
      </c>
      <c r="D2506" s="244" t="s">
        <v>144</v>
      </c>
      <c r="E2506" s="244" t="s">
        <v>2852</v>
      </c>
      <c r="F2506" s="227" t="s">
        <v>407</v>
      </c>
      <c r="G2506" s="318">
        <v>489</v>
      </c>
      <c r="H2506" s="318">
        <v>489</v>
      </c>
      <c r="I2506" s="244" t="s">
        <v>112</v>
      </c>
      <c r="J2506" s="244" t="s">
        <v>470</v>
      </c>
      <c r="K2506" s="233"/>
      <c r="L2506" s="197"/>
      <c r="M2506" s="197"/>
      <c r="N2506" s="197"/>
      <c r="O2506" s="197"/>
    </row>
    <row r="2507" spans="1:15" hidden="1">
      <c r="A2507" s="326" t="s">
        <v>209</v>
      </c>
      <c r="B2507" s="326" t="s">
        <v>138</v>
      </c>
      <c r="C2507" s="244" t="s">
        <v>109</v>
      </c>
      <c r="D2507" s="244" t="s">
        <v>2853</v>
      </c>
      <c r="E2507" s="244" t="s">
        <v>2854</v>
      </c>
      <c r="F2507" s="244" t="s">
        <v>2618</v>
      </c>
      <c r="G2507" s="305">
        <v>-1800</v>
      </c>
      <c r="H2507" s="305">
        <v>-1800</v>
      </c>
      <c r="I2507" s="244"/>
      <c r="J2507" s="244" t="s">
        <v>470</v>
      </c>
      <c r="K2507" s="326" t="s">
        <v>2855</v>
      </c>
      <c r="L2507" s="197"/>
      <c r="M2507" s="197"/>
      <c r="N2507" s="197"/>
      <c r="O2507" s="197"/>
    </row>
    <row r="2508" spans="1:15" hidden="1">
      <c r="A2508" s="326" t="s">
        <v>209</v>
      </c>
      <c r="B2508" s="326" t="s">
        <v>683</v>
      </c>
      <c r="C2508" s="244" t="s">
        <v>109</v>
      </c>
      <c r="D2508" s="244" t="s">
        <v>160</v>
      </c>
      <c r="E2508" s="244" t="s">
        <v>2856</v>
      </c>
      <c r="F2508" s="244" t="s">
        <v>2618</v>
      </c>
      <c r="G2508" s="318">
        <v>99</v>
      </c>
      <c r="H2508" s="318">
        <v>99</v>
      </c>
      <c r="I2508" s="244"/>
      <c r="J2508" s="244" t="s">
        <v>470</v>
      </c>
      <c r="K2508" s="326" t="s">
        <v>2855</v>
      </c>
      <c r="L2508" s="197"/>
      <c r="M2508" s="197"/>
      <c r="N2508" s="197"/>
      <c r="O2508" s="197"/>
    </row>
    <row r="2509" spans="1:15" hidden="1">
      <c r="A2509" s="326" t="s">
        <v>209</v>
      </c>
      <c r="B2509" s="326" t="s">
        <v>138</v>
      </c>
      <c r="C2509" s="244" t="s">
        <v>109</v>
      </c>
      <c r="D2509" s="244" t="s">
        <v>2857</v>
      </c>
      <c r="E2509" s="244" t="s">
        <v>2858</v>
      </c>
      <c r="F2509" s="244" t="s">
        <v>2618</v>
      </c>
      <c r="G2509" s="305">
        <v>-73</v>
      </c>
      <c r="H2509" s="305">
        <v>-73</v>
      </c>
      <c r="I2509" s="244"/>
      <c r="J2509" s="244" t="s">
        <v>470</v>
      </c>
      <c r="K2509" s="326" t="s">
        <v>2855</v>
      </c>
      <c r="L2509" s="197"/>
      <c r="M2509" s="197"/>
      <c r="N2509" s="197"/>
      <c r="O2509" s="197"/>
    </row>
    <row r="2510" spans="1:15">
      <c r="A2510" s="326" t="s">
        <v>137</v>
      </c>
      <c r="B2510" s="326" t="s">
        <v>138</v>
      </c>
      <c r="C2510" s="244" t="s">
        <v>109</v>
      </c>
      <c r="D2510" s="244" t="s">
        <v>426</v>
      </c>
      <c r="E2510" s="244" t="s">
        <v>2859</v>
      </c>
      <c r="F2510" s="227" t="s">
        <v>407</v>
      </c>
      <c r="G2510" s="305">
        <v>-124.7</v>
      </c>
      <c r="H2510" s="305">
        <v>-124.7</v>
      </c>
      <c r="I2510" s="244" t="s">
        <v>109</v>
      </c>
      <c r="J2510" s="244" t="s">
        <v>206</v>
      </c>
      <c r="K2510" s="233"/>
      <c r="L2510" s="197"/>
      <c r="M2510" s="197"/>
      <c r="N2510" s="197"/>
      <c r="O2510" s="197"/>
    </row>
    <row r="2511" spans="1:15" hidden="1">
      <c r="A2511" s="326" t="s">
        <v>209</v>
      </c>
      <c r="B2511" s="326" t="s">
        <v>138</v>
      </c>
      <c r="C2511" s="244" t="s">
        <v>109</v>
      </c>
      <c r="D2511" s="244" t="s">
        <v>2860</v>
      </c>
      <c r="E2511" s="244" t="s">
        <v>2861</v>
      </c>
      <c r="F2511" s="244" t="s">
        <v>2618</v>
      </c>
      <c r="G2511" s="305">
        <v>-484.5</v>
      </c>
      <c r="H2511" s="305">
        <v>-484.5</v>
      </c>
      <c r="I2511" s="244"/>
      <c r="J2511" s="244" t="s">
        <v>470</v>
      </c>
      <c r="K2511" s="326" t="s">
        <v>2855</v>
      </c>
      <c r="L2511" s="197"/>
      <c r="M2511" s="197"/>
      <c r="N2511" s="197"/>
      <c r="O2511" s="197"/>
    </row>
    <row r="2512" spans="1:15" hidden="1">
      <c r="A2512" s="326" t="s">
        <v>209</v>
      </c>
      <c r="B2512" s="326" t="s">
        <v>138</v>
      </c>
      <c r="C2512" s="244" t="s">
        <v>109</v>
      </c>
      <c r="D2512" s="244" t="s">
        <v>2862</v>
      </c>
      <c r="E2512" s="244" t="s">
        <v>2863</v>
      </c>
      <c r="F2512" s="244" t="s">
        <v>2618</v>
      </c>
      <c r="G2512" s="305">
        <v>-2558.88</v>
      </c>
      <c r="H2512" s="305">
        <v>-2558.88</v>
      </c>
      <c r="I2512" s="244"/>
      <c r="J2512" s="244" t="s">
        <v>470</v>
      </c>
      <c r="K2512" s="326" t="s">
        <v>2855</v>
      </c>
      <c r="L2512" s="197"/>
      <c r="M2512" s="197"/>
      <c r="N2512" s="197"/>
      <c r="O2512" s="197"/>
    </row>
    <row r="2513" spans="1:15" hidden="1">
      <c r="A2513" s="326" t="s">
        <v>209</v>
      </c>
      <c r="B2513" s="326" t="s">
        <v>138</v>
      </c>
      <c r="C2513" s="244" t="s">
        <v>109</v>
      </c>
      <c r="D2513" s="244" t="s">
        <v>2862</v>
      </c>
      <c r="E2513" s="244" t="s">
        <v>2864</v>
      </c>
      <c r="F2513" s="244" t="s">
        <v>2618</v>
      </c>
      <c r="G2513" s="305">
        <v>-2558.88</v>
      </c>
      <c r="H2513" s="305">
        <v>-2558.88</v>
      </c>
      <c r="I2513" s="244"/>
      <c r="J2513" s="244" t="s">
        <v>470</v>
      </c>
      <c r="K2513" s="326" t="s">
        <v>2855</v>
      </c>
      <c r="L2513" s="197"/>
      <c r="M2513" s="197"/>
      <c r="N2513" s="197"/>
      <c r="O2513" s="197"/>
    </row>
    <row r="2514" spans="1:15" hidden="1">
      <c r="A2514" s="326" t="s">
        <v>209</v>
      </c>
      <c r="B2514" s="326" t="s">
        <v>138</v>
      </c>
      <c r="C2514" s="244" t="s">
        <v>109</v>
      </c>
      <c r="D2514" s="244" t="s">
        <v>199</v>
      </c>
      <c r="E2514" s="244" t="s">
        <v>2865</v>
      </c>
      <c r="F2514" s="244" t="s">
        <v>2618</v>
      </c>
      <c r="G2514" s="305">
        <v>-1594.6</v>
      </c>
      <c r="H2514" s="305">
        <v>-1594.6</v>
      </c>
      <c r="I2514" s="244"/>
      <c r="J2514" s="244" t="s">
        <v>470</v>
      </c>
      <c r="K2514" s="326" t="s">
        <v>2855</v>
      </c>
      <c r="L2514" s="197"/>
      <c r="M2514" s="197"/>
      <c r="N2514" s="197"/>
      <c r="O2514" s="197"/>
    </row>
    <row r="2515" spans="1:15" hidden="1">
      <c r="A2515" s="326" t="s">
        <v>209</v>
      </c>
      <c r="B2515" s="326" t="s">
        <v>138</v>
      </c>
      <c r="C2515" s="244" t="s">
        <v>109</v>
      </c>
      <c r="D2515" s="244" t="s">
        <v>413</v>
      </c>
      <c r="E2515" s="244" t="s">
        <v>2866</v>
      </c>
      <c r="F2515" s="244" t="s">
        <v>2618</v>
      </c>
      <c r="G2515" s="305">
        <v>-2218</v>
      </c>
      <c r="H2515" s="305">
        <v>-2218</v>
      </c>
      <c r="I2515" s="244"/>
      <c r="J2515" s="244" t="s">
        <v>470</v>
      </c>
      <c r="K2515" s="326" t="s">
        <v>2855</v>
      </c>
      <c r="L2515" s="197"/>
      <c r="M2515" s="197"/>
      <c r="N2515" s="197"/>
      <c r="O2515" s="197"/>
    </row>
    <row r="2516" spans="1:15">
      <c r="A2516" s="326" t="s">
        <v>137</v>
      </c>
      <c r="B2516" s="326" t="s">
        <v>138</v>
      </c>
      <c r="C2516" s="244" t="s">
        <v>89</v>
      </c>
      <c r="D2516" s="244" t="s">
        <v>433</v>
      </c>
      <c r="E2516" s="244" t="s">
        <v>2867</v>
      </c>
      <c r="F2516" s="227" t="s">
        <v>407</v>
      </c>
      <c r="G2516" s="305">
        <v>-2177.1</v>
      </c>
      <c r="H2516" s="305">
        <v>-2177.1</v>
      </c>
      <c r="I2516" s="244" t="s">
        <v>89</v>
      </c>
      <c r="J2516" s="244" t="s">
        <v>246</v>
      </c>
      <c r="K2516" s="233"/>
      <c r="L2516" s="197"/>
      <c r="M2516" s="197"/>
      <c r="N2516" s="197"/>
      <c r="O2516" s="197"/>
    </row>
    <row r="2517" spans="1:15">
      <c r="A2517" s="326" t="s">
        <v>137</v>
      </c>
      <c r="B2517" s="326" t="s">
        <v>138</v>
      </c>
      <c r="C2517" s="244" t="s">
        <v>438</v>
      </c>
      <c r="D2517" s="244" t="s">
        <v>2868</v>
      </c>
      <c r="E2517" s="244" t="s">
        <v>2869</v>
      </c>
      <c r="F2517" s="227" t="s">
        <v>268</v>
      </c>
      <c r="G2517" s="305">
        <v>-574.9</v>
      </c>
      <c r="H2517" s="305">
        <v>-574.9</v>
      </c>
      <c r="I2517" s="244" t="s">
        <v>290</v>
      </c>
      <c r="J2517" s="244" t="s">
        <v>293</v>
      </c>
      <c r="K2517" s="233"/>
      <c r="L2517" s="197"/>
      <c r="M2517" s="197"/>
      <c r="N2517" s="197"/>
      <c r="O2517" s="197"/>
    </row>
    <row r="2518" spans="1:15">
      <c r="A2518" s="326" t="s">
        <v>137</v>
      </c>
      <c r="B2518" s="326" t="s">
        <v>138</v>
      </c>
      <c r="C2518" s="244" t="s">
        <v>438</v>
      </c>
      <c r="D2518" s="244" t="s">
        <v>2868</v>
      </c>
      <c r="E2518" s="244" t="s">
        <v>2436</v>
      </c>
      <c r="F2518" s="227" t="s">
        <v>407</v>
      </c>
      <c r="G2518" s="305">
        <v>-574.9</v>
      </c>
      <c r="H2518" s="305">
        <v>-574.9</v>
      </c>
      <c r="I2518" s="244" t="s">
        <v>290</v>
      </c>
      <c r="J2518" s="244" t="s">
        <v>293</v>
      </c>
      <c r="K2518" s="233"/>
      <c r="L2518" s="197"/>
      <c r="M2518" s="197"/>
      <c r="N2518" s="197"/>
      <c r="O2518" s="197"/>
    </row>
    <row r="2519" spans="1:15">
      <c r="A2519" s="326" t="s">
        <v>137</v>
      </c>
      <c r="B2519" s="326" t="s">
        <v>138</v>
      </c>
      <c r="C2519" s="244" t="s">
        <v>438</v>
      </c>
      <c r="D2519" s="244" t="s">
        <v>2870</v>
      </c>
      <c r="E2519" s="244" t="s">
        <v>2871</v>
      </c>
      <c r="F2519" s="227" t="s">
        <v>407</v>
      </c>
      <c r="G2519" s="305">
        <v>-509.9</v>
      </c>
      <c r="H2519" s="305">
        <v>-509.9</v>
      </c>
      <c r="I2519" s="244" t="s">
        <v>290</v>
      </c>
      <c r="J2519" s="244" t="s">
        <v>206</v>
      </c>
      <c r="K2519" s="233"/>
      <c r="L2519" s="197"/>
      <c r="M2519" s="197"/>
      <c r="N2519" s="197"/>
      <c r="O2519" s="197"/>
    </row>
    <row r="2520" spans="1:15">
      <c r="A2520" s="326" t="s">
        <v>137</v>
      </c>
      <c r="B2520" s="326" t="s">
        <v>138</v>
      </c>
      <c r="C2520" s="244" t="s">
        <v>99</v>
      </c>
      <c r="D2520" s="244" t="s">
        <v>446</v>
      </c>
      <c r="E2520" s="244" t="s">
        <v>2872</v>
      </c>
      <c r="F2520" s="227" t="s">
        <v>407</v>
      </c>
      <c r="G2520" s="305">
        <v>-348.39</v>
      </c>
      <c r="H2520" s="305">
        <v>-355.5</v>
      </c>
      <c r="I2520" s="244" t="s">
        <v>99</v>
      </c>
      <c r="J2520" s="244" t="s">
        <v>246</v>
      </c>
      <c r="K2520" s="233"/>
      <c r="L2520" s="197"/>
      <c r="M2520" s="197"/>
      <c r="N2520" s="197"/>
      <c r="O2520" s="197"/>
    </row>
    <row r="2521" spans="1:15">
      <c r="A2521" s="326" t="s">
        <v>137</v>
      </c>
      <c r="B2521" s="326" t="s">
        <v>138</v>
      </c>
      <c r="C2521" s="244" t="s">
        <v>452</v>
      </c>
      <c r="D2521" s="244" t="s">
        <v>2873</v>
      </c>
      <c r="E2521" s="244" t="s">
        <v>2874</v>
      </c>
      <c r="F2521" s="227" t="s">
        <v>407</v>
      </c>
      <c r="G2521" s="305">
        <v>-3</v>
      </c>
      <c r="H2521" s="305">
        <v>-3</v>
      </c>
      <c r="I2521" s="244" t="s">
        <v>99</v>
      </c>
      <c r="J2521" s="244" t="s">
        <v>164</v>
      </c>
      <c r="K2521" s="233"/>
      <c r="L2521" s="197"/>
      <c r="M2521" s="197"/>
      <c r="N2521" s="197"/>
      <c r="O2521" s="197"/>
    </row>
    <row r="2522" spans="1:15">
      <c r="A2522" s="326" t="s">
        <v>137</v>
      </c>
      <c r="B2522" s="326" t="s">
        <v>138</v>
      </c>
      <c r="C2522" s="244" t="s">
        <v>452</v>
      </c>
      <c r="D2522" s="244" t="s">
        <v>2873</v>
      </c>
      <c r="E2522" s="244" t="s">
        <v>2875</v>
      </c>
      <c r="F2522" s="227" t="s">
        <v>407</v>
      </c>
      <c r="G2522" s="305">
        <v>-3</v>
      </c>
      <c r="H2522" s="305">
        <v>-3</v>
      </c>
      <c r="I2522" s="244" t="s">
        <v>99</v>
      </c>
      <c r="J2522" s="244" t="s">
        <v>164</v>
      </c>
      <c r="K2522" s="233"/>
      <c r="L2522" s="197"/>
      <c r="M2522" s="197"/>
      <c r="N2522" s="197"/>
      <c r="O2522" s="197"/>
    </row>
    <row r="2523" spans="1:15">
      <c r="A2523" s="326" t="s">
        <v>137</v>
      </c>
      <c r="B2523" s="326" t="s">
        <v>138</v>
      </c>
      <c r="C2523" s="244" t="s">
        <v>452</v>
      </c>
      <c r="D2523" s="244" t="s">
        <v>2873</v>
      </c>
      <c r="E2523" s="244" t="s">
        <v>2876</v>
      </c>
      <c r="F2523" s="227" t="s">
        <v>407</v>
      </c>
      <c r="G2523" s="305">
        <v>-31</v>
      </c>
      <c r="H2523" s="305">
        <v>-31</v>
      </c>
      <c r="I2523" s="244" t="s">
        <v>99</v>
      </c>
      <c r="J2523" s="244" t="s">
        <v>164</v>
      </c>
      <c r="K2523" s="233"/>
      <c r="L2523" s="197"/>
      <c r="M2523" s="197"/>
      <c r="N2523" s="197"/>
      <c r="O2523" s="197"/>
    </row>
    <row r="2524" spans="1:15">
      <c r="A2524" s="326" t="s">
        <v>137</v>
      </c>
      <c r="B2524" s="326" t="s">
        <v>138</v>
      </c>
      <c r="C2524" s="244" t="s">
        <v>452</v>
      </c>
      <c r="D2524" s="244" t="s">
        <v>455</v>
      </c>
      <c r="E2524" s="244" t="s">
        <v>2877</v>
      </c>
      <c r="F2524" s="227" t="s">
        <v>407</v>
      </c>
      <c r="G2524" s="305">
        <v>-41</v>
      </c>
      <c r="H2524" s="305">
        <v>-41</v>
      </c>
      <c r="I2524" s="244" t="s">
        <v>99</v>
      </c>
      <c r="J2524" s="244" t="s">
        <v>164</v>
      </c>
      <c r="K2524" s="233"/>
      <c r="L2524" s="197"/>
      <c r="M2524" s="197"/>
      <c r="N2524" s="197"/>
      <c r="O2524" s="197"/>
    </row>
    <row r="2525" spans="1:15">
      <c r="A2525" s="326" t="s">
        <v>137</v>
      </c>
      <c r="B2525" s="326" t="s">
        <v>138</v>
      </c>
      <c r="C2525" s="244" t="s">
        <v>452</v>
      </c>
      <c r="D2525" s="244" t="s">
        <v>201</v>
      </c>
      <c r="E2525" s="244" t="s">
        <v>2439</v>
      </c>
      <c r="F2525" s="227" t="s">
        <v>407</v>
      </c>
      <c r="G2525" s="305">
        <v>-529.35</v>
      </c>
      <c r="H2525" s="305">
        <v>-529.35</v>
      </c>
      <c r="I2525" s="244" t="s">
        <v>99</v>
      </c>
      <c r="J2525" s="244" t="s">
        <v>164</v>
      </c>
      <c r="K2525" s="233"/>
      <c r="L2525" s="197"/>
      <c r="M2525" s="197"/>
      <c r="N2525" s="197"/>
      <c r="O2525" s="197"/>
    </row>
    <row r="2526" spans="1:15">
      <c r="A2526" s="326" t="s">
        <v>137</v>
      </c>
      <c r="B2526" s="326" t="s">
        <v>138</v>
      </c>
      <c r="C2526" s="244" t="s">
        <v>452</v>
      </c>
      <c r="D2526" s="244" t="s">
        <v>201</v>
      </c>
      <c r="E2526" s="244" t="s">
        <v>2878</v>
      </c>
      <c r="F2526" s="227" t="s">
        <v>407</v>
      </c>
      <c r="G2526" s="305">
        <v>-121.06</v>
      </c>
      <c r="H2526" s="305">
        <v>-121.06</v>
      </c>
      <c r="I2526" s="244" t="s">
        <v>99</v>
      </c>
      <c r="J2526" s="244" t="s">
        <v>143</v>
      </c>
      <c r="K2526" s="233"/>
      <c r="L2526" s="197"/>
      <c r="M2526" s="197"/>
      <c r="N2526" s="197"/>
      <c r="O2526" s="197"/>
    </row>
    <row r="2527" spans="1:15">
      <c r="A2527" s="326" t="s">
        <v>137</v>
      </c>
      <c r="B2527" s="326" t="s">
        <v>138</v>
      </c>
      <c r="C2527" s="244" t="s">
        <v>91</v>
      </c>
      <c r="D2527" s="244" t="s">
        <v>2879</v>
      </c>
      <c r="E2527" s="244" t="s">
        <v>2880</v>
      </c>
      <c r="F2527" s="227" t="s">
        <v>407</v>
      </c>
      <c r="G2527" s="305">
        <v>-116.2</v>
      </c>
      <c r="H2527" s="305">
        <v>-116.2</v>
      </c>
      <c r="I2527" s="244" t="s">
        <v>91</v>
      </c>
      <c r="J2527" s="244" t="s">
        <v>246</v>
      </c>
      <c r="K2527" s="233"/>
      <c r="L2527" s="197"/>
      <c r="M2527" s="197"/>
      <c r="N2527" s="197"/>
      <c r="O2527" s="197"/>
    </row>
    <row r="2528" spans="1:15">
      <c r="A2528" s="326" t="s">
        <v>137</v>
      </c>
      <c r="B2528" s="326" t="s">
        <v>138</v>
      </c>
      <c r="C2528" s="244" t="s">
        <v>520</v>
      </c>
      <c r="D2528" s="244" t="s">
        <v>2881</v>
      </c>
      <c r="E2528" s="244" t="s">
        <v>2882</v>
      </c>
      <c r="F2528" s="227" t="s">
        <v>407</v>
      </c>
      <c r="G2528" s="305">
        <v>-500</v>
      </c>
      <c r="H2528" s="305">
        <v>-500</v>
      </c>
      <c r="I2528" s="244" t="s">
        <v>91</v>
      </c>
      <c r="J2528" s="244" t="s">
        <v>246</v>
      </c>
      <c r="K2528" s="233"/>
      <c r="L2528" s="197"/>
      <c r="M2528" s="197"/>
      <c r="N2528" s="197"/>
      <c r="O2528" s="197"/>
    </row>
    <row r="2529" spans="1:15">
      <c r="A2529" s="326" t="s">
        <v>137</v>
      </c>
      <c r="B2529" s="326" t="s">
        <v>138</v>
      </c>
      <c r="C2529" s="244" t="s">
        <v>520</v>
      </c>
      <c r="D2529" s="244" t="s">
        <v>2454</v>
      </c>
      <c r="E2529" s="244" t="s">
        <v>2883</v>
      </c>
      <c r="F2529" s="227" t="s">
        <v>407</v>
      </c>
      <c r="G2529" s="305">
        <v>-126</v>
      </c>
      <c r="H2529" s="305">
        <v>-126</v>
      </c>
      <c r="I2529" s="244" t="s">
        <v>91</v>
      </c>
      <c r="J2529" s="244" t="s">
        <v>246</v>
      </c>
      <c r="K2529" s="233"/>
      <c r="L2529" s="197"/>
      <c r="M2529" s="197"/>
      <c r="N2529" s="197"/>
      <c r="O2529" s="197"/>
    </row>
    <row r="2530" spans="1:15">
      <c r="A2530" s="326" t="s">
        <v>137</v>
      </c>
      <c r="B2530" s="326" t="s">
        <v>138</v>
      </c>
      <c r="C2530" s="244" t="s">
        <v>520</v>
      </c>
      <c r="D2530" s="244" t="s">
        <v>2884</v>
      </c>
      <c r="E2530" s="244" t="s">
        <v>2885</v>
      </c>
      <c r="F2530" s="227" t="s">
        <v>407</v>
      </c>
      <c r="G2530" s="305">
        <v>-397</v>
      </c>
      <c r="H2530" s="305">
        <v>-397</v>
      </c>
      <c r="I2530" s="244" t="s">
        <v>91</v>
      </c>
      <c r="J2530" s="244" t="s">
        <v>246</v>
      </c>
      <c r="K2530" s="233"/>
      <c r="L2530" s="197"/>
      <c r="M2530" s="197"/>
      <c r="N2530" s="197"/>
      <c r="O2530" s="197"/>
    </row>
    <row r="2531" spans="1:15">
      <c r="A2531" s="326" t="s">
        <v>137</v>
      </c>
      <c r="B2531" s="326" t="s">
        <v>138</v>
      </c>
      <c r="C2531" s="244" t="s">
        <v>520</v>
      </c>
      <c r="D2531" s="244" t="s">
        <v>525</v>
      </c>
      <c r="E2531" s="244" t="s">
        <v>2886</v>
      </c>
      <c r="F2531" s="227" t="s">
        <v>407</v>
      </c>
      <c r="G2531" s="305">
        <v>-80</v>
      </c>
      <c r="H2531" s="305">
        <v>-80</v>
      </c>
      <c r="I2531" s="244" t="s">
        <v>91</v>
      </c>
      <c r="J2531" s="244" t="s">
        <v>143</v>
      </c>
      <c r="K2531" s="233"/>
      <c r="L2531" s="197"/>
      <c r="M2531" s="197"/>
      <c r="N2531" s="197"/>
      <c r="O2531" s="197"/>
    </row>
    <row r="2532" spans="1:15">
      <c r="A2532" s="326" t="s">
        <v>137</v>
      </c>
      <c r="B2532" s="326" t="s">
        <v>138</v>
      </c>
      <c r="C2532" s="244" t="s">
        <v>61</v>
      </c>
      <c r="D2532" s="244" t="s">
        <v>2887</v>
      </c>
      <c r="E2532" s="244" t="s">
        <v>2888</v>
      </c>
      <c r="F2532" s="227" t="s">
        <v>407</v>
      </c>
      <c r="G2532" s="305">
        <v>-3919.6</v>
      </c>
      <c r="H2532" s="305">
        <v>-3919.6</v>
      </c>
      <c r="I2532" s="244" t="s">
        <v>61</v>
      </c>
      <c r="J2532" s="189" t="s">
        <v>159</v>
      </c>
      <c r="K2532" s="233"/>
      <c r="L2532" s="197"/>
      <c r="M2532" s="197"/>
      <c r="N2532" s="197"/>
      <c r="O2532" s="197"/>
    </row>
    <row r="2533" spans="1:15">
      <c r="A2533" s="326" t="s">
        <v>137</v>
      </c>
      <c r="B2533" s="326" t="s">
        <v>138</v>
      </c>
      <c r="C2533" s="244" t="s">
        <v>61</v>
      </c>
      <c r="D2533" s="244" t="s">
        <v>536</v>
      </c>
      <c r="E2533" s="244" t="s">
        <v>2889</v>
      </c>
      <c r="F2533" s="227" t="s">
        <v>407</v>
      </c>
      <c r="G2533" s="305">
        <v>-705.46</v>
      </c>
      <c r="H2533" s="305">
        <v>-705.46</v>
      </c>
      <c r="I2533" s="244" t="s">
        <v>61</v>
      </c>
      <c r="J2533" s="244" t="s">
        <v>422</v>
      </c>
      <c r="K2533" s="327" t="s">
        <v>195</v>
      </c>
      <c r="L2533" s="197"/>
      <c r="M2533" s="197"/>
      <c r="N2533" s="197"/>
      <c r="O2533" s="197"/>
    </row>
    <row r="2534" spans="1:15">
      <c r="A2534" s="326" t="s">
        <v>137</v>
      </c>
      <c r="B2534" s="326" t="s">
        <v>138</v>
      </c>
      <c r="C2534" s="244" t="s">
        <v>61</v>
      </c>
      <c r="D2534" s="244" t="s">
        <v>536</v>
      </c>
      <c r="E2534" s="244" t="s">
        <v>2461</v>
      </c>
      <c r="F2534" s="227" t="s">
        <v>407</v>
      </c>
      <c r="G2534" s="305">
        <v>-683.99</v>
      </c>
      <c r="H2534" s="305">
        <v>-683.99</v>
      </c>
      <c r="I2534" s="244" t="s">
        <v>61</v>
      </c>
      <c r="J2534" s="244" t="s">
        <v>422</v>
      </c>
      <c r="K2534" s="233"/>
      <c r="L2534" s="197"/>
      <c r="M2534" s="197"/>
      <c r="N2534" s="197"/>
      <c r="O2534" s="197"/>
    </row>
    <row r="2535" spans="1:15">
      <c r="A2535" s="326" t="s">
        <v>137</v>
      </c>
      <c r="B2535" s="326" t="s">
        <v>138</v>
      </c>
      <c r="C2535" s="244" t="s">
        <v>61</v>
      </c>
      <c r="D2535" s="244" t="s">
        <v>556</v>
      </c>
      <c r="E2535" s="274" t="s">
        <v>2890</v>
      </c>
      <c r="F2535" s="227" t="s">
        <v>407</v>
      </c>
      <c r="G2535" s="305">
        <v>-584.28</v>
      </c>
      <c r="H2535" s="305">
        <v>-584.28</v>
      </c>
      <c r="I2535" s="244" t="s">
        <v>61</v>
      </c>
      <c r="J2535" s="244" t="s">
        <v>143</v>
      </c>
      <c r="K2535" s="327" t="s">
        <v>195</v>
      </c>
      <c r="L2535" s="197"/>
      <c r="M2535" s="197"/>
      <c r="N2535" s="197"/>
      <c r="O2535" s="197"/>
    </row>
    <row r="2536" spans="1:15">
      <c r="A2536" s="326" t="s">
        <v>232</v>
      </c>
      <c r="B2536" s="326" t="s">
        <v>138</v>
      </c>
      <c r="C2536" s="244" t="s">
        <v>61</v>
      </c>
      <c r="D2536" s="244" t="s">
        <v>333</v>
      </c>
      <c r="E2536" s="244" t="s">
        <v>2891</v>
      </c>
      <c r="F2536" s="227" t="s">
        <v>407</v>
      </c>
      <c r="G2536" s="305">
        <v>-29.9</v>
      </c>
      <c r="H2536" s="305">
        <v>-29.9</v>
      </c>
      <c r="I2536" s="244" t="s">
        <v>61</v>
      </c>
      <c r="J2536" s="189" t="s">
        <v>316</v>
      </c>
      <c r="K2536" s="327" t="s">
        <v>195</v>
      </c>
      <c r="L2536" s="197"/>
      <c r="M2536" s="197"/>
      <c r="N2536" s="197"/>
      <c r="O2536" s="197"/>
    </row>
    <row r="2537" spans="1:15">
      <c r="A2537" s="326" t="s">
        <v>137</v>
      </c>
      <c r="B2537" s="326" t="s">
        <v>138</v>
      </c>
      <c r="C2537" s="244" t="s">
        <v>570</v>
      </c>
      <c r="D2537" s="279" t="s">
        <v>993</v>
      </c>
      <c r="E2537" s="244" t="s">
        <v>2464</v>
      </c>
      <c r="F2537" s="227" t="s">
        <v>407</v>
      </c>
      <c r="G2537" s="305">
        <v>-120.9</v>
      </c>
      <c r="H2537" s="305">
        <v>-120.9</v>
      </c>
      <c r="I2537" s="244" t="s">
        <v>61</v>
      </c>
      <c r="J2537" s="189" t="s">
        <v>159</v>
      </c>
      <c r="K2537" s="327" t="s">
        <v>195</v>
      </c>
      <c r="L2537" s="197"/>
      <c r="M2537" s="197"/>
      <c r="N2537" s="197"/>
      <c r="O2537" s="197"/>
    </row>
    <row r="2538" spans="1:15">
      <c r="A2538" s="326" t="s">
        <v>137</v>
      </c>
      <c r="B2538" s="326" t="s">
        <v>138</v>
      </c>
      <c r="C2538" s="244" t="s">
        <v>570</v>
      </c>
      <c r="D2538" s="244" t="s">
        <v>540</v>
      </c>
      <c r="E2538" s="244" t="s">
        <v>2892</v>
      </c>
      <c r="F2538" s="227" t="s">
        <v>407</v>
      </c>
      <c r="G2538" s="305">
        <v>-454.08</v>
      </c>
      <c r="H2538" s="305">
        <v>-454.08</v>
      </c>
      <c r="I2538" s="244" t="s">
        <v>61</v>
      </c>
      <c r="J2538" s="189" t="s">
        <v>316</v>
      </c>
      <c r="K2538" s="233"/>
      <c r="L2538" s="197"/>
      <c r="M2538" s="197"/>
      <c r="N2538" s="197"/>
      <c r="O2538" s="197"/>
    </row>
    <row r="2539" spans="1:15">
      <c r="A2539" s="326" t="s">
        <v>137</v>
      </c>
      <c r="B2539" s="326" t="s">
        <v>138</v>
      </c>
      <c r="C2539" s="244" t="s">
        <v>570</v>
      </c>
      <c r="D2539" s="244" t="s">
        <v>581</v>
      </c>
      <c r="E2539" s="244" t="s">
        <v>2468</v>
      </c>
      <c r="F2539" s="227" t="s">
        <v>407</v>
      </c>
      <c r="G2539" s="305">
        <v>-100</v>
      </c>
      <c r="H2539" s="305">
        <v>-100</v>
      </c>
      <c r="I2539" s="244" t="s">
        <v>61</v>
      </c>
      <c r="J2539" s="244" t="s">
        <v>422</v>
      </c>
      <c r="K2539" s="327" t="s">
        <v>195</v>
      </c>
      <c r="L2539" s="197"/>
      <c r="M2539" s="197"/>
      <c r="N2539" s="197"/>
      <c r="O2539" s="197"/>
    </row>
    <row r="2540" spans="1:15">
      <c r="A2540" s="326" t="s">
        <v>137</v>
      </c>
      <c r="B2540" s="326" t="s">
        <v>138</v>
      </c>
      <c r="C2540" s="244" t="s">
        <v>98</v>
      </c>
      <c r="D2540" s="244" t="s">
        <v>2893</v>
      </c>
      <c r="E2540" s="244" t="s">
        <v>2894</v>
      </c>
      <c r="F2540" s="227" t="s">
        <v>407</v>
      </c>
      <c r="G2540" s="305">
        <v>-1220</v>
      </c>
      <c r="H2540" s="305">
        <v>-1220</v>
      </c>
      <c r="I2540" s="244" t="s">
        <v>98</v>
      </c>
      <c r="J2540" s="244" t="s">
        <v>246</v>
      </c>
      <c r="K2540" s="328"/>
      <c r="L2540" s="197"/>
      <c r="M2540" s="197"/>
      <c r="N2540" s="197"/>
      <c r="O2540" s="197"/>
    </row>
    <row r="2541" spans="1:15">
      <c r="A2541" s="326" t="s">
        <v>137</v>
      </c>
      <c r="B2541" s="326" t="s">
        <v>138</v>
      </c>
      <c r="C2541" s="244" t="s">
        <v>98</v>
      </c>
      <c r="D2541" s="244" t="s">
        <v>2893</v>
      </c>
      <c r="E2541" s="244" t="s">
        <v>2895</v>
      </c>
      <c r="F2541" s="227" t="s">
        <v>407</v>
      </c>
      <c r="G2541" s="305">
        <v>-650</v>
      </c>
      <c r="H2541" s="305">
        <v>-650</v>
      </c>
      <c r="I2541" s="244" t="s">
        <v>98</v>
      </c>
      <c r="J2541" s="244" t="s">
        <v>246</v>
      </c>
      <c r="K2541" s="328"/>
      <c r="L2541" s="197"/>
      <c r="M2541" s="197"/>
      <c r="N2541" s="197"/>
      <c r="O2541" s="197"/>
    </row>
    <row r="2542" spans="1:15">
      <c r="A2542" s="326" t="s">
        <v>137</v>
      </c>
      <c r="B2542" s="326" t="s">
        <v>138</v>
      </c>
      <c r="C2542" s="244" t="s">
        <v>98</v>
      </c>
      <c r="D2542" s="244" t="s">
        <v>2896</v>
      </c>
      <c r="E2542" s="244" t="s">
        <v>2897</v>
      </c>
      <c r="F2542" s="227" t="s">
        <v>407</v>
      </c>
      <c r="G2542" s="305">
        <v>-613.4</v>
      </c>
      <c r="H2542" s="305">
        <v>-613.4</v>
      </c>
      <c r="I2542" s="244" t="s">
        <v>98</v>
      </c>
      <c r="J2542" s="244" t="s">
        <v>246</v>
      </c>
      <c r="K2542" s="233"/>
      <c r="L2542" s="197"/>
      <c r="M2542" s="197"/>
      <c r="N2542" s="197"/>
      <c r="O2542" s="197"/>
    </row>
    <row r="2543" spans="1:15">
      <c r="A2543" s="326" t="s">
        <v>137</v>
      </c>
      <c r="B2543" s="326" t="s">
        <v>138</v>
      </c>
      <c r="C2543" s="244" t="s">
        <v>98</v>
      </c>
      <c r="D2543" s="244" t="s">
        <v>2898</v>
      </c>
      <c r="E2543" s="244" t="s">
        <v>2899</v>
      </c>
      <c r="F2543" s="227" t="s">
        <v>407</v>
      </c>
      <c r="G2543" s="305">
        <v>-538</v>
      </c>
      <c r="H2543" s="305">
        <v>-538</v>
      </c>
      <c r="I2543" s="244" t="s">
        <v>98</v>
      </c>
      <c r="J2543" s="244" t="s">
        <v>246</v>
      </c>
      <c r="K2543" s="227" t="s">
        <v>195</v>
      </c>
      <c r="L2543" s="197"/>
      <c r="M2543" s="197"/>
      <c r="N2543" s="197"/>
      <c r="O2543" s="197"/>
    </row>
    <row r="2544" spans="1:15">
      <c r="A2544" s="326" t="s">
        <v>137</v>
      </c>
      <c r="B2544" s="326" t="s">
        <v>138</v>
      </c>
      <c r="C2544" s="244" t="s">
        <v>98</v>
      </c>
      <c r="D2544" s="244" t="s">
        <v>2900</v>
      </c>
      <c r="E2544" s="244" t="s">
        <v>2901</v>
      </c>
      <c r="F2544" s="227" t="s">
        <v>407</v>
      </c>
      <c r="G2544" s="305">
        <v>-292.76</v>
      </c>
      <c r="H2544" s="305">
        <v>-291.60000000000002</v>
      </c>
      <c r="I2544" s="244" t="s">
        <v>98</v>
      </c>
      <c r="J2544" s="244" t="s">
        <v>246</v>
      </c>
      <c r="K2544" s="233"/>
      <c r="L2544" s="197"/>
      <c r="M2544" s="197"/>
      <c r="N2544" s="197"/>
      <c r="O2544" s="197"/>
    </row>
    <row r="2545" spans="1:15">
      <c r="A2545" s="326" t="s">
        <v>232</v>
      </c>
      <c r="B2545" s="326" t="s">
        <v>138</v>
      </c>
      <c r="C2545" s="244" t="s">
        <v>98</v>
      </c>
      <c r="D2545" s="244" t="s">
        <v>2902</v>
      </c>
      <c r="E2545" s="244" t="s">
        <v>643</v>
      </c>
      <c r="F2545" s="227" t="s">
        <v>407</v>
      </c>
      <c r="G2545" s="305">
        <v>-200</v>
      </c>
      <c r="H2545" s="305">
        <v>-200</v>
      </c>
      <c r="I2545" s="244" t="s">
        <v>98</v>
      </c>
      <c r="J2545" s="244" t="s">
        <v>246</v>
      </c>
      <c r="K2545" s="327" t="s">
        <v>195</v>
      </c>
      <c r="L2545" s="197"/>
      <c r="M2545" s="197"/>
      <c r="N2545" s="197"/>
      <c r="O2545" s="197"/>
    </row>
    <row r="2546" spans="1:15">
      <c r="A2546" s="326" t="s">
        <v>137</v>
      </c>
      <c r="B2546" s="326" t="s">
        <v>138</v>
      </c>
      <c r="C2546" s="244" t="s">
        <v>98</v>
      </c>
      <c r="D2546" s="244" t="s">
        <v>2380</v>
      </c>
      <c r="E2546" s="244" t="s">
        <v>2903</v>
      </c>
      <c r="F2546" s="227" t="s">
        <v>407</v>
      </c>
      <c r="G2546" s="305">
        <v>-159.94999999999999</v>
      </c>
      <c r="H2546" s="305">
        <v>-159.94999999999999</v>
      </c>
      <c r="I2546" s="244" t="s">
        <v>98</v>
      </c>
      <c r="J2546" s="244" t="s">
        <v>246</v>
      </c>
      <c r="K2546" s="227" t="s">
        <v>195</v>
      </c>
      <c r="L2546" s="197"/>
      <c r="M2546" s="197"/>
      <c r="N2546" s="197"/>
      <c r="O2546" s="197"/>
    </row>
    <row r="2547" spans="1:15">
      <c r="A2547" s="326" t="s">
        <v>137</v>
      </c>
      <c r="B2547" s="326" t="s">
        <v>138</v>
      </c>
      <c r="C2547" s="244" t="s">
        <v>98</v>
      </c>
      <c r="D2547" s="244" t="s">
        <v>2380</v>
      </c>
      <c r="E2547" s="244" t="s">
        <v>2904</v>
      </c>
      <c r="F2547" s="227" t="s">
        <v>407</v>
      </c>
      <c r="G2547" s="305">
        <v>-138.96</v>
      </c>
      <c r="H2547" s="305">
        <v>-138.96</v>
      </c>
      <c r="I2547" s="244" t="s">
        <v>98</v>
      </c>
      <c r="J2547" s="244" t="s">
        <v>246</v>
      </c>
      <c r="K2547" s="327" t="s">
        <v>195</v>
      </c>
      <c r="L2547" s="197"/>
      <c r="M2547" s="197"/>
      <c r="N2547" s="197"/>
      <c r="O2547" s="197"/>
    </row>
    <row r="2548" spans="1:15">
      <c r="A2548" s="326" t="s">
        <v>137</v>
      </c>
      <c r="B2548" s="326" t="s">
        <v>138</v>
      </c>
      <c r="C2548" s="244" t="s">
        <v>98</v>
      </c>
      <c r="D2548" s="244" t="s">
        <v>2380</v>
      </c>
      <c r="E2548" s="244" t="s">
        <v>2905</v>
      </c>
      <c r="F2548" s="227" t="s">
        <v>407</v>
      </c>
      <c r="G2548" s="305">
        <v>-92.55</v>
      </c>
      <c r="H2548" s="305">
        <v>-92.55</v>
      </c>
      <c r="I2548" s="244" t="s">
        <v>98</v>
      </c>
      <c r="J2548" s="244" t="s">
        <v>246</v>
      </c>
      <c r="K2548" s="327" t="s">
        <v>195</v>
      </c>
      <c r="L2548" s="197"/>
      <c r="M2548" s="197"/>
      <c r="N2548" s="197"/>
      <c r="O2548" s="197"/>
    </row>
    <row r="2549" spans="1:15">
      <c r="A2549" s="326" t="s">
        <v>137</v>
      </c>
      <c r="B2549" s="326" t="s">
        <v>138</v>
      </c>
      <c r="C2549" s="244" t="s">
        <v>98</v>
      </c>
      <c r="D2549" s="244" t="s">
        <v>2380</v>
      </c>
      <c r="E2549" s="244" t="s">
        <v>2906</v>
      </c>
      <c r="F2549" s="227" t="s">
        <v>407</v>
      </c>
      <c r="G2549" s="305">
        <v>-68</v>
      </c>
      <c r="H2549" s="305">
        <v>-68</v>
      </c>
      <c r="I2549" s="244" t="s">
        <v>98</v>
      </c>
      <c r="J2549" s="244" t="s">
        <v>246</v>
      </c>
      <c r="K2549" s="327" t="s">
        <v>195</v>
      </c>
      <c r="L2549" s="197"/>
      <c r="M2549" s="197"/>
      <c r="N2549" s="197"/>
      <c r="O2549" s="197"/>
    </row>
    <row r="2550" spans="1:15">
      <c r="A2550" s="326" t="s">
        <v>137</v>
      </c>
      <c r="B2550" s="326" t="s">
        <v>138</v>
      </c>
      <c r="C2550" s="244" t="s">
        <v>98</v>
      </c>
      <c r="D2550" s="244" t="s">
        <v>2380</v>
      </c>
      <c r="E2550" s="244" t="s">
        <v>2907</v>
      </c>
      <c r="F2550" s="227" t="s">
        <v>407</v>
      </c>
      <c r="G2550" s="305">
        <v>-58.99</v>
      </c>
      <c r="H2550" s="305">
        <v>-58.99</v>
      </c>
      <c r="I2550" s="244" t="s">
        <v>98</v>
      </c>
      <c r="J2550" s="244" t="s">
        <v>246</v>
      </c>
      <c r="K2550" s="327" t="s">
        <v>195</v>
      </c>
      <c r="L2550" s="197"/>
      <c r="M2550" s="197"/>
      <c r="N2550" s="197"/>
      <c r="O2550" s="197"/>
    </row>
    <row r="2551" spans="1:15">
      <c r="A2551" s="326" t="s">
        <v>137</v>
      </c>
      <c r="B2551" s="326" t="s">
        <v>138</v>
      </c>
      <c r="C2551" s="244" t="s">
        <v>98</v>
      </c>
      <c r="D2551" s="244" t="s">
        <v>521</v>
      </c>
      <c r="E2551" s="244" t="s">
        <v>2908</v>
      </c>
      <c r="F2551" s="227" t="s">
        <v>407</v>
      </c>
      <c r="G2551" s="305">
        <v>-37.9</v>
      </c>
      <c r="H2551" s="305">
        <v>-37.9</v>
      </c>
      <c r="I2551" s="244" t="s">
        <v>98</v>
      </c>
      <c r="J2551" s="244" t="s">
        <v>246</v>
      </c>
      <c r="K2551" s="327" t="s">
        <v>195</v>
      </c>
      <c r="L2551" s="197"/>
      <c r="M2551" s="197"/>
      <c r="N2551" s="197"/>
      <c r="O2551" s="197"/>
    </row>
    <row r="2552" spans="1:15">
      <c r="A2552" s="326" t="s">
        <v>137</v>
      </c>
      <c r="B2552" s="326" t="s">
        <v>138</v>
      </c>
      <c r="C2552" s="244" t="s">
        <v>599</v>
      </c>
      <c r="D2552" s="244" t="s">
        <v>521</v>
      </c>
      <c r="E2552" s="244" t="s">
        <v>2909</v>
      </c>
      <c r="F2552" s="227" t="s">
        <v>407</v>
      </c>
      <c r="G2552" s="305">
        <v>-29.99</v>
      </c>
      <c r="H2552" s="305">
        <v>-29.99</v>
      </c>
      <c r="I2552" s="244" t="s">
        <v>98</v>
      </c>
      <c r="J2552" s="244" t="s">
        <v>246</v>
      </c>
      <c r="K2552" s="327" t="s">
        <v>195</v>
      </c>
      <c r="L2552" s="197"/>
      <c r="M2552" s="197"/>
      <c r="N2552" s="197"/>
      <c r="O2552" s="197"/>
    </row>
    <row r="2553" spans="1:15">
      <c r="A2553" s="326" t="s">
        <v>137</v>
      </c>
      <c r="B2553" s="326" t="s">
        <v>138</v>
      </c>
      <c r="C2553" s="244" t="s">
        <v>98</v>
      </c>
      <c r="D2553" s="244" t="s">
        <v>2380</v>
      </c>
      <c r="E2553" s="244" t="s">
        <v>2910</v>
      </c>
      <c r="F2553" s="227" t="s">
        <v>407</v>
      </c>
      <c r="G2553" s="305">
        <v>-29.99</v>
      </c>
      <c r="H2553" s="305">
        <v>-29.99</v>
      </c>
      <c r="I2553" s="244" t="s">
        <v>98</v>
      </c>
      <c r="J2553" s="244" t="s">
        <v>246</v>
      </c>
      <c r="K2553" s="327" t="s">
        <v>195</v>
      </c>
      <c r="L2553" s="197"/>
      <c r="M2553" s="197"/>
      <c r="N2553" s="197"/>
      <c r="O2553" s="197"/>
    </row>
    <row r="2554" spans="1:15">
      <c r="A2554" s="326" t="s">
        <v>137</v>
      </c>
      <c r="B2554" s="326" t="s">
        <v>138</v>
      </c>
      <c r="C2554" s="244" t="s">
        <v>98</v>
      </c>
      <c r="D2554" s="244" t="s">
        <v>2380</v>
      </c>
      <c r="E2554" s="244" t="s">
        <v>2911</v>
      </c>
      <c r="F2554" s="227" t="s">
        <v>407</v>
      </c>
      <c r="G2554" s="305">
        <v>-28</v>
      </c>
      <c r="H2554" s="305">
        <v>-28</v>
      </c>
      <c r="I2554" s="244" t="s">
        <v>98</v>
      </c>
      <c r="J2554" s="244" t="s">
        <v>246</v>
      </c>
      <c r="K2554" s="327" t="s">
        <v>195</v>
      </c>
      <c r="L2554" s="197"/>
      <c r="M2554" s="197"/>
      <c r="N2554" s="197"/>
      <c r="O2554" s="197"/>
    </row>
    <row r="2555" spans="1:15">
      <c r="A2555" s="326" t="s">
        <v>137</v>
      </c>
      <c r="B2555" s="326" t="s">
        <v>138</v>
      </c>
      <c r="C2555" s="244" t="s">
        <v>98</v>
      </c>
      <c r="D2555" s="244" t="s">
        <v>2380</v>
      </c>
      <c r="E2555" s="244" t="s">
        <v>2912</v>
      </c>
      <c r="F2555" s="227" t="s">
        <v>407</v>
      </c>
      <c r="G2555" s="305">
        <v>-23.9</v>
      </c>
      <c r="H2555" s="305">
        <v>-23.9</v>
      </c>
      <c r="I2555" s="244" t="s">
        <v>98</v>
      </c>
      <c r="J2555" s="244" t="s">
        <v>246</v>
      </c>
      <c r="K2555" s="327" t="s">
        <v>195</v>
      </c>
      <c r="L2555" s="197"/>
      <c r="M2555" s="197"/>
      <c r="N2555" s="197"/>
      <c r="O2555" s="197"/>
    </row>
    <row r="2556" spans="1:15">
      <c r="A2556" s="326" t="s">
        <v>137</v>
      </c>
      <c r="B2556" s="326" t="s">
        <v>138</v>
      </c>
      <c r="C2556" s="244" t="s">
        <v>98</v>
      </c>
      <c r="D2556" s="244" t="s">
        <v>2380</v>
      </c>
      <c r="E2556" s="244" t="s">
        <v>2913</v>
      </c>
      <c r="F2556" s="227" t="s">
        <v>407</v>
      </c>
      <c r="G2556" s="305">
        <v>-23.78</v>
      </c>
      <c r="H2556" s="305">
        <v>-23.78</v>
      </c>
      <c r="I2556" s="244" t="s">
        <v>98</v>
      </c>
      <c r="J2556" s="244" t="s">
        <v>246</v>
      </c>
      <c r="K2556" s="327" t="s">
        <v>195</v>
      </c>
      <c r="L2556" s="197"/>
      <c r="M2556" s="197"/>
      <c r="N2556" s="197"/>
      <c r="O2556" s="197"/>
    </row>
    <row r="2557" spans="1:15">
      <c r="A2557" s="326" t="s">
        <v>137</v>
      </c>
      <c r="B2557" s="326" t="s">
        <v>138</v>
      </c>
      <c r="C2557" s="244" t="s">
        <v>98</v>
      </c>
      <c r="D2557" s="244" t="s">
        <v>2380</v>
      </c>
      <c r="E2557" s="244" t="s">
        <v>2914</v>
      </c>
      <c r="F2557" s="227" t="s">
        <v>407</v>
      </c>
      <c r="G2557" s="305">
        <v>-20.93</v>
      </c>
      <c r="H2557" s="305">
        <v>-20.93</v>
      </c>
      <c r="I2557" s="244" t="s">
        <v>98</v>
      </c>
      <c r="J2557" s="244" t="s">
        <v>246</v>
      </c>
      <c r="K2557" s="327" t="s">
        <v>195</v>
      </c>
      <c r="L2557" s="197"/>
      <c r="M2557" s="197"/>
      <c r="N2557" s="197"/>
      <c r="O2557" s="197"/>
    </row>
    <row r="2558" spans="1:15">
      <c r="A2558" s="326" t="s">
        <v>137</v>
      </c>
      <c r="B2558" s="326" t="s">
        <v>138</v>
      </c>
      <c r="C2558" s="244" t="s">
        <v>98</v>
      </c>
      <c r="D2558" s="244" t="s">
        <v>2380</v>
      </c>
      <c r="E2558" s="244" t="s">
        <v>2915</v>
      </c>
      <c r="F2558" s="227" t="s">
        <v>407</v>
      </c>
      <c r="G2558" s="305">
        <v>-19.95</v>
      </c>
      <c r="H2558" s="305">
        <v>-19.95</v>
      </c>
      <c r="I2558" s="244" t="s">
        <v>98</v>
      </c>
      <c r="J2558" s="244" t="s">
        <v>246</v>
      </c>
      <c r="K2558" s="327" t="s">
        <v>195</v>
      </c>
      <c r="L2558" s="197"/>
      <c r="M2558" s="197"/>
      <c r="N2558" s="197"/>
      <c r="O2558" s="197"/>
    </row>
    <row r="2559" spans="1:15">
      <c r="A2559" s="326" t="s">
        <v>137</v>
      </c>
      <c r="B2559" s="326" t="s">
        <v>138</v>
      </c>
      <c r="C2559" s="244" t="s">
        <v>2916</v>
      </c>
      <c r="D2559" s="244" t="s">
        <v>1773</v>
      </c>
      <c r="E2559" s="244" t="s">
        <v>2917</v>
      </c>
      <c r="F2559" s="227" t="s">
        <v>407</v>
      </c>
      <c r="G2559" s="305">
        <v>-220</v>
      </c>
      <c r="H2559" s="305">
        <v>-220</v>
      </c>
      <c r="I2559" s="244" t="s">
        <v>290</v>
      </c>
      <c r="J2559" s="244" t="s">
        <v>206</v>
      </c>
      <c r="K2559" s="233"/>
      <c r="L2559" s="197"/>
      <c r="M2559" s="197"/>
      <c r="N2559" s="197"/>
      <c r="O2559" s="197"/>
    </row>
    <row r="2560" spans="1:15">
      <c r="A2560" s="326" t="s">
        <v>137</v>
      </c>
      <c r="B2560" s="326" t="s">
        <v>138</v>
      </c>
      <c r="C2560" s="244" t="s">
        <v>97</v>
      </c>
      <c r="D2560" s="244" t="s">
        <v>618</v>
      </c>
      <c r="E2560" s="280" t="s">
        <v>2918</v>
      </c>
      <c r="F2560" s="227" t="s">
        <v>407</v>
      </c>
      <c r="G2560" s="305">
        <v>-64.59</v>
      </c>
      <c r="H2560" s="305">
        <v>-64.59</v>
      </c>
      <c r="I2560" s="244" t="s">
        <v>97</v>
      </c>
      <c r="J2560" s="244" t="s">
        <v>246</v>
      </c>
      <c r="K2560" s="233"/>
      <c r="L2560" s="197"/>
      <c r="M2560" s="197"/>
      <c r="N2560" s="197"/>
      <c r="O2560" s="197"/>
    </row>
    <row r="2561" spans="1:15">
      <c r="A2561" s="326" t="s">
        <v>137</v>
      </c>
      <c r="B2561" s="326" t="s">
        <v>138</v>
      </c>
      <c r="C2561" s="244" t="s">
        <v>652</v>
      </c>
      <c r="D2561" s="244" t="s">
        <v>1178</v>
      </c>
      <c r="E2561" s="244" t="s">
        <v>2919</v>
      </c>
      <c r="F2561" s="227" t="s">
        <v>407</v>
      </c>
      <c r="G2561" s="305">
        <v>-120</v>
      </c>
      <c r="H2561" s="305">
        <v>-120</v>
      </c>
      <c r="I2561" s="244" t="s">
        <v>97</v>
      </c>
      <c r="J2561" s="244" t="s">
        <v>246</v>
      </c>
      <c r="K2561" s="233"/>
      <c r="L2561" s="197"/>
      <c r="M2561" s="197"/>
      <c r="N2561" s="197"/>
      <c r="O2561" s="197"/>
    </row>
    <row r="2562" spans="1:15">
      <c r="A2562" s="326" t="s">
        <v>137</v>
      </c>
      <c r="B2562" s="326" t="s">
        <v>138</v>
      </c>
      <c r="C2562" s="244" t="s">
        <v>652</v>
      </c>
      <c r="D2562" s="244" t="s">
        <v>1178</v>
      </c>
      <c r="E2562" s="244" t="s">
        <v>2920</v>
      </c>
      <c r="F2562" s="227" t="s">
        <v>407</v>
      </c>
      <c r="G2562" s="305">
        <v>-120</v>
      </c>
      <c r="H2562" s="305">
        <v>-120</v>
      </c>
      <c r="I2562" s="244" t="s">
        <v>97</v>
      </c>
      <c r="J2562" s="244" t="s">
        <v>246</v>
      </c>
      <c r="K2562" s="233"/>
      <c r="L2562" s="197"/>
      <c r="M2562" s="197"/>
      <c r="N2562" s="197"/>
      <c r="O2562" s="197"/>
    </row>
    <row r="2563" spans="1:15">
      <c r="A2563" s="326" t="s">
        <v>137</v>
      </c>
      <c r="B2563" s="326" t="s">
        <v>138</v>
      </c>
      <c r="C2563" s="244" t="s">
        <v>652</v>
      </c>
      <c r="D2563" s="244" t="s">
        <v>1178</v>
      </c>
      <c r="E2563" s="244" t="s">
        <v>2921</v>
      </c>
      <c r="F2563" s="227" t="s">
        <v>407</v>
      </c>
      <c r="G2563" s="305">
        <v>-120</v>
      </c>
      <c r="H2563" s="305">
        <v>-120</v>
      </c>
      <c r="I2563" s="244" t="s">
        <v>97</v>
      </c>
      <c r="J2563" s="244" t="s">
        <v>246</v>
      </c>
      <c r="K2563" s="233"/>
      <c r="L2563" s="197"/>
      <c r="M2563" s="197"/>
      <c r="N2563" s="197"/>
      <c r="O2563" s="197"/>
    </row>
    <row r="2564" spans="1:15">
      <c r="A2564" s="326" t="s">
        <v>137</v>
      </c>
      <c r="B2564" s="326" t="s">
        <v>138</v>
      </c>
      <c r="C2564" s="244" t="s">
        <v>652</v>
      </c>
      <c r="D2564" s="244" t="s">
        <v>1178</v>
      </c>
      <c r="E2564" s="244" t="s">
        <v>2922</v>
      </c>
      <c r="F2564" s="227" t="s">
        <v>407</v>
      </c>
      <c r="G2564" s="305">
        <v>-120</v>
      </c>
      <c r="H2564" s="305">
        <v>-120</v>
      </c>
      <c r="I2564" s="244" t="s">
        <v>97</v>
      </c>
      <c r="J2564" s="244" t="s">
        <v>246</v>
      </c>
      <c r="K2564" s="233"/>
      <c r="L2564" s="197"/>
      <c r="M2564" s="197"/>
      <c r="N2564" s="197"/>
      <c r="O2564" s="197"/>
    </row>
    <row r="2565" spans="1:15">
      <c r="A2565" s="326" t="s">
        <v>137</v>
      </c>
      <c r="B2565" s="326" t="s">
        <v>138</v>
      </c>
      <c r="C2565" s="244" t="s">
        <v>652</v>
      </c>
      <c r="D2565" s="244" t="s">
        <v>1178</v>
      </c>
      <c r="E2565" s="244" t="s">
        <v>2923</v>
      </c>
      <c r="F2565" s="227" t="s">
        <v>407</v>
      </c>
      <c r="G2565" s="305">
        <v>-120</v>
      </c>
      <c r="H2565" s="305">
        <v>-120</v>
      </c>
      <c r="I2565" s="244" t="s">
        <v>97</v>
      </c>
      <c r="J2565" s="244" t="s">
        <v>246</v>
      </c>
      <c r="K2565" s="233"/>
      <c r="L2565" s="197"/>
      <c r="M2565" s="197"/>
      <c r="N2565" s="197"/>
      <c r="O2565" s="197"/>
    </row>
    <row r="2566" spans="1:15">
      <c r="A2566" s="326" t="s">
        <v>137</v>
      </c>
      <c r="B2566" s="326" t="s">
        <v>138</v>
      </c>
      <c r="C2566" s="244" t="s">
        <v>652</v>
      </c>
      <c r="D2566" s="244" t="s">
        <v>1178</v>
      </c>
      <c r="E2566" s="244" t="s">
        <v>2924</v>
      </c>
      <c r="F2566" s="227" t="s">
        <v>407</v>
      </c>
      <c r="G2566" s="305">
        <v>-120</v>
      </c>
      <c r="H2566" s="305">
        <v>-120</v>
      </c>
      <c r="I2566" s="244" t="s">
        <v>97</v>
      </c>
      <c r="J2566" s="244" t="s">
        <v>246</v>
      </c>
      <c r="K2566" s="233"/>
      <c r="L2566" s="197"/>
      <c r="M2566" s="197"/>
      <c r="N2566" s="197"/>
      <c r="O2566" s="197"/>
    </row>
    <row r="2567" spans="1:15">
      <c r="A2567" s="326" t="s">
        <v>137</v>
      </c>
      <c r="B2567" s="326" t="s">
        <v>138</v>
      </c>
      <c r="C2567" s="244" t="s">
        <v>652</v>
      </c>
      <c r="D2567" s="244" t="s">
        <v>1178</v>
      </c>
      <c r="E2567" s="244" t="s">
        <v>2925</v>
      </c>
      <c r="F2567" s="227" t="s">
        <v>407</v>
      </c>
      <c r="G2567" s="305">
        <v>-120</v>
      </c>
      <c r="H2567" s="305">
        <v>-120</v>
      </c>
      <c r="I2567" s="244" t="s">
        <v>97</v>
      </c>
      <c r="J2567" s="244" t="s">
        <v>246</v>
      </c>
      <c r="K2567" s="233"/>
      <c r="L2567" s="197"/>
      <c r="M2567" s="197"/>
      <c r="N2567" s="197"/>
      <c r="O2567" s="197"/>
    </row>
    <row r="2568" spans="1:15">
      <c r="A2568" s="326" t="s">
        <v>137</v>
      </c>
      <c r="B2568" s="326" t="s">
        <v>138</v>
      </c>
      <c r="C2568" s="244" t="s">
        <v>652</v>
      </c>
      <c r="D2568" s="244" t="s">
        <v>1178</v>
      </c>
      <c r="E2568" s="244" t="s">
        <v>2926</v>
      </c>
      <c r="F2568" s="227" t="s">
        <v>407</v>
      </c>
      <c r="G2568" s="305">
        <v>-120</v>
      </c>
      <c r="H2568" s="305">
        <v>-120</v>
      </c>
      <c r="I2568" s="244" t="s">
        <v>97</v>
      </c>
      <c r="J2568" s="244" t="s">
        <v>246</v>
      </c>
      <c r="K2568" s="233"/>
      <c r="L2568" s="197"/>
      <c r="M2568" s="197"/>
      <c r="N2568" s="197"/>
      <c r="O2568" s="197"/>
    </row>
    <row r="2569" spans="1:15">
      <c r="A2569" s="326" t="s">
        <v>137</v>
      </c>
      <c r="B2569" s="326" t="s">
        <v>138</v>
      </c>
      <c r="C2569" s="244" t="s">
        <v>652</v>
      </c>
      <c r="D2569" s="244" t="s">
        <v>1178</v>
      </c>
      <c r="E2569" s="244" t="s">
        <v>2927</v>
      </c>
      <c r="F2569" s="227" t="s">
        <v>407</v>
      </c>
      <c r="G2569" s="305">
        <v>-120</v>
      </c>
      <c r="H2569" s="305">
        <v>-120</v>
      </c>
      <c r="I2569" s="244" t="s">
        <v>97</v>
      </c>
      <c r="J2569" s="244" t="s">
        <v>246</v>
      </c>
      <c r="K2569" s="233"/>
      <c r="L2569" s="197"/>
      <c r="M2569" s="197"/>
      <c r="N2569" s="197"/>
      <c r="O2569" s="197"/>
    </row>
    <row r="2570" spans="1:15">
      <c r="A2570" s="326" t="s">
        <v>137</v>
      </c>
      <c r="B2570" s="326" t="s">
        <v>138</v>
      </c>
      <c r="C2570" s="244" t="s">
        <v>652</v>
      </c>
      <c r="D2570" s="244" t="s">
        <v>1178</v>
      </c>
      <c r="E2570" s="244" t="s">
        <v>2928</v>
      </c>
      <c r="F2570" s="227" t="s">
        <v>407</v>
      </c>
      <c r="G2570" s="305">
        <v>-120</v>
      </c>
      <c r="H2570" s="305">
        <v>-120</v>
      </c>
      <c r="I2570" s="244" t="s">
        <v>97</v>
      </c>
      <c r="J2570" s="244" t="s">
        <v>246</v>
      </c>
      <c r="K2570" s="233"/>
      <c r="L2570" s="197"/>
      <c r="M2570" s="197"/>
      <c r="N2570" s="197"/>
      <c r="O2570" s="197"/>
    </row>
    <row r="2571" spans="1:15">
      <c r="A2571" s="326" t="s">
        <v>137</v>
      </c>
      <c r="B2571" s="326" t="s">
        <v>138</v>
      </c>
      <c r="C2571" s="244" t="s">
        <v>652</v>
      </c>
      <c r="D2571" s="244" t="s">
        <v>1178</v>
      </c>
      <c r="E2571" s="244" t="s">
        <v>2929</v>
      </c>
      <c r="F2571" s="227" t="s">
        <v>407</v>
      </c>
      <c r="G2571" s="305">
        <v>-120</v>
      </c>
      <c r="H2571" s="305">
        <v>-120</v>
      </c>
      <c r="I2571" s="244" t="s">
        <v>97</v>
      </c>
      <c r="J2571" s="244" t="s">
        <v>246</v>
      </c>
      <c r="K2571" s="233"/>
      <c r="L2571" s="197"/>
      <c r="M2571" s="197"/>
      <c r="N2571" s="197"/>
      <c r="O2571" s="197"/>
    </row>
    <row r="2572" spans="1:15">
      <c r="A2572" s="326" t="s">
        <v>137</v>
      </c>
      <c r="B2572" s="326" t="s">
        <v>138</v>
      </c>
      <c r="C2572" s="244" t="s">
        <v>652</v>
      </c>
      <c r="D2572" s="244" t="s">
        <v>1178</v>
      </c>
      <c r="E2572" s="244" t="s">
        <v>2930</v>
      </c>
      <c r="F2572" s="227" t="s">
        <v>407</v>
      </c>
      <c r="G2572" s="305">
        <v>-120</v>
      </c>
      <c r="H2572" s="305">
        <v>-120</v>
      </c>
      <c r="I2572" s="244" t="s">
        <v>97</v>
      </c>
      <c r="J2572" s="244" t="s">
        <v>246</v>
      </c>
      <c r="K2572" s="233"/>
      <c r="L2572" s="197"/>
      <c r="M2572" s="197"/>
      <c r="N2572" s="197"/>
      <c r="O2572" s="197"/>
    </row>
    <row r="2573" spans="1:15">
      <c r="A2573" s="326" t="s">
        <v>137</v>
      </c>
      <c r="B2573" s="326" t="s">
        <v>138</v>
      </c>
      <c r="C2573" s="244" t="s">
        <v>652</v>
      </c>
      <c r="D2573" s="244" t="s">
        <v>1178</v>
      </c>
      <c r="E2573" s="244" t="s">
        <v>2931</v>
      </c>
      <c r="F2573" s="227" t="s">
        <v>407</v>
      </c>
      <c r="G2573" s="305">
        <v>-120</v>
      </c>
      <c r="H2573" s="305">
        <v>-120</v>
      </c>
      <c r="I2573" s="244" t="s">
        <v>97</v>
      </c>
      <c r="J2573" s="244" t="s">
        <v>246</v>
      </c>
      <c r="K2573" s="233"/>
      <c r="L2573" s="197"/>
      <c r="M2573" s="197"/>
      <c r="N2573" s="197"/>
      <c r="O2573" s="197"/>
    </row>
    <row r="2574" spans="1:15">
      <c r="A2574" s="326" t="s">
        <v>137</v>
      </c>
      <c r="B2574" s="326" t="s">
        <v>138</v>
      </c>
      <c r="C2574" s="244" t="s">
        <v>652</v>
      </c>
      <c r="D2574" s="244" t="s">
        <v>1178</v>
      </c>
      <c r="E2574" s="244" t="s">
        <v>2932</v>
      </c>
      <c r="F2574" s="227" t="s">
        <v>407</v>
      </c>
      <c r="G2574" s="305">
        <v>-120</v>
      </c>
      <c r="H2574" s="305">
        <v>-120</v>
      </c>
      <c r="I2574" s="244" t="s">
        <v>97</v>
      </c>
      <c r="J2574" s="244" t="s">
        <v>246</v>
      </c>
      <c r="K2574" s="233"/>
      <c r="L2574" s="197"/>
      <c r="M2574" s="197"/>
      <c r="N2574" s="197"/>
      <c r="O2574" s="197"/>
    </row>
    <row r="2575" spans="1:15">
      <c r="A2575" s="326" t="s">
        <v>137</v>
      </c>
      <c r="B2575" s="326" t="s">
        <v>138</v>
      </c>
      <c r="C2575" s="244" t="s">
        <v>652</v>
      </c>
      <c r="D2575" s="244" t="s">
        <v>1178</v>
      </c>
      <c r="E2575" s="244" t="s">
        <v>2933</v>
      </c>
      <c r="F2575" s="227" t="s">
        <v>407</v>
      </c>
      <c r="G2575" s="305">
        <v>-120</v>
      </c>
      <c r="H2575" s="305">
        <v>-120</v>
      </c>
      <c r="I2575" s="244" t="s">
        <v>97</v>
      </c>
      <c r="J2575" s="244" t="s">
        <v>246</v>
      </c>
      <c r="K2575" s="233"/>
      <c r="L2575" s="197"/>
      <c r="M2575" s="197"/>
      <c r="N2575" s="197"/>
      <c r="O2575" s="197"/>
    </row>
    <row r="2576" spans="1:15">
      <c r="A2576" s="326" t="s">
        <v>137</v>
      </c>
      <c r="B2576" s="326" t="s">
        <v>138</v>
      </c>
      <c r="C2576" s="244" t="s">
        <v>652</v>
      </c>
      <c r="D2576" s="244" t="s">
        <v>1178</v>
      </c>
      <c r="E2576" s="244" t="s">
        <v>2934</v>
      </c>
      <c r="F2576" s="227" t="s">
        <v>407</v>
      </c>
      <c r="G2576" s="305">
        <v>-120</v>
      </c>
      <c r="H2576" s="305">
        <v>-120</v>
      </c>
      <c r="I2576" s="244" t="s">
        <v>97</v>
      </c>
      <c r="J2576" s="244" t="s">
        <v>246</v>
      </c>
      <c r="K2576" s="233"/>
      <c r="L2576" s="197"/>
      <c r="M2576" s="197"/>
      <c r="N2576" s="197"/>
      <c r="O2576" s="197"/>
    </row>
    <row r="2577" spans="1:15">
      <c r="A2577" s="326" t="s">
        <v>137</v>
      </c>
      <c r="B2577" s="326" t="s">
        <v>138</v>
      </c>
      <c r="C2577" s="244" t="s">
        <v>652</v>
      </c>
      <c r="D2577" s="244" t="s">
        <v>1178</v>
      </c>
      <c r="E2577" s="244" t="s">
        <v>2935</v>
      </c>
      <c r="F2577" s="227" t="s">
        <v>407</v>
      </c>
      <c r="G2577" s="305">
        <v>-120</v>
      </c>
      <c r="H2577" s="305">
        <v>-120</v>
      </c>
      <c r="I2577" s="244" t="s">
        <v>97</v>
      </c>
      <c r="J2577" s="244" t="s">
        <v>246</v>
      </c>
      <c r="K2577" s="233"/>
      <c r="L2577" s="197"/>
      <c r="M2577" s="197"/>
      <c r="N2577" s="197"/>
      <c r="O2577" s="197"/>
    </row>
    <row r="2578" spans="1:15">
      <c r="A2578" s="326" t="s">
        <v>137</v>
      </c>
      <c r="B2578" s="326" t="s">
        <v>683</v>
      </c>
      <c r="C2578" s="244" t="s">
        <v>684</v>
      </c>
      <c r="D2578" s="244" t="s">
        <v>2129</v>
      </c>
      <c r="E2578" s="244" t="s">
        <v>2936</v>
      </c>
      <c r="F2578" s="227" t="s">
        <v>407</v>
      </c>
      <c r="G2578" s="318">
        <v>44.22</v>
      </c>
      <c r="H2578" s="318">
        <v>44.22</v>
      </c>
      <c r="I2578" s="244" t="s">
        <v>112</v>
      </c>
      <c r="J2578" s="250" t="s">
        <v>143</v>
      </c>
      <c r="K2578" s="233"/>
      <c r="L2578" s="197"/>
      <c r="M2578" s="197"/>
      <c r="N2578" s="197"/>
      <c r="O2578" s="197"/>
    </row>
    <row r="2579" spans="1:15">
      <c r="A2579" s="326" t="s">
        <v>137</v>
      </c>
      <c r="B2579" s="326" t="s">
        <v>683</v>
      </c>
      <c r="C2579" s="244" t="s">
        <v>684</v>
      </c>
      <c r="D2579" s="244" t="s">
        <v>689</v>
      </c>
      <c r="E2579" s="244" t="s">
        <v>2937</v>
      </c>
      <c r="F2579" s="227" t="s">
        <v>407</v>
      </c>
      <c r="G2579" s="318">
        <v>103.18</v>
      </c>
      <c r="H2579" s="318">
        <v>103.18</v>
      </c>
      <c r="I2579" s="244" t="s">
        <v>112</v>
      </c>
      <c r="J2579" s="250" t="s">
        <v>143</v>
      </c>
      <c r="K2579" s="233"/>
      <c r="L2579" s="197"/>
      <c r="M2579" s="197"/>
      <c r="N2579" s="197"/>
      <c r="O2579" s="197"/>
    </row>
    <row r="2580" spans="1:15">
      <c r="A2580" s="326" t="s">
        <v>137</v>
      </c>
      <c r="B2580" s="326" t="s">
        <v>683</v>
      </c>
      <c r="C2580" s="244" t="s">
        <v>684</v>
      </c>
      <c r="D2580" s="244" t="s">
        <v>694</v>
      </c>
      <c r="E2580" s="244" t="s">
        <v>2938</v>
      </c>
      <c r="F2580" s="227" t="s">
        <v>407</v>
      </c>
      <c r="G2580" s="318">
        <v>7.54</v>
      </c>
      <c r="H2580" s="318">
        <v>7.37</v>
      </c>
      <c r="I2580" s="244" t="s">
        <v>112</v>
      </c>
      <c r="J2580" s="250" t="s">
        <v>143</v>
      </c>
      <c r="K2580" s="233"/>
      <c r="L2580" s="197"/>
      <c r="M2580" s="197"/>
      <c r="N2580" s="197"/>
      <c r="O2580" s="197"/>
    </row>
    <row r="2581" spans="1:15">
      <c r="A2581" s="326" t="s">
        <v>137</v>
      </c>
      <c r="B2581" s="326" t="s">
        <v>683</v>
      </c>
      <c r="C2581" s="244" t="s">
        <v>684</v>
      </c>
      <c r="D2581" s="244" t="s">
        <v>699</v>
      </c>
      <c r="E2581" s="244" t="s">
        <v>2939</v>
      </c>
      <c r="F2581" s="227" t="s">
        <v>407</v>
      </c>
      <c r="G2581" s="318">
        <v>73.7</v>
      </c>
      <c r="H2581" s="318">
        <v>73.7</v>
      </c>
      <c r="I2581" s="244" t="s">
        <v>112</v>
      </c>
      <c r="J2581" s="250" t="s">
        <v>143</v>
      </c>
      <c r="K2581" s="233"/>
      <c r="L2581" s="197"/>
      <c r="M2581" s="197"/>
      <c r="N2581" s="197"/>
      <c r="O2581" s="197"/>
    </row>
    <row r="2582" spans="1:15">
      <c r="A2582" s="326" t="s">
        <v>137</v>
      </c>
      <c r="B2582" s="326" t="s">
        <v>683</v>
      </c>
      <c r="C2582" s="244" t="s">
        <v>684</v>
      </c>
      <c r="D2582" s="244" t="s">
        <v>704</v>
      </c>
      <c r="E2582" s="244" t="s">
        <v>2940</v>
      </c>
      <c r="F2582" s="227" t="s">
        <v>407</v>
      </c>
      <c r="G2582" s="318">
        <v>72.11</v>
      </c>
      <c r="H2582" s="318">
        <v>72.11</v>
      </c>
      <c r="I2582" s="244" t="s">
        <v>112</v>
      </c>
      <c r="J2582" s="250" t="s">
        <v>143</v>
      </c>
      <c r="K2582" s="327" t="s">
        <v>195</v>
      </c>
      <c r="L2582" s="197"/>
      <c r="M2582" s="197"/>
      <c r="N2582" s="197"/>
      <c r="O2582" s="197"/>
    </row>
    <row r="2583" spans="1:15">
      <c r="A2583" s="326" t="s">
        <v>137</v>
      </c>
      <c r="B2583" s="326" t="s">
        <v>683</v>
      </c>
      <c r="C2583" s="244" t="s">
        <v>684</v>
      </c>
      <c r="D2583" s="244" t="s">
        <v>709</v>
      </c>
      <c r="E2583" s="244" t="s">
        <v>2941</v>
      </c>
      <c r="F2583" s="227" t="s">
        <v>407</v>
      </c>
      <c r="G2583" s="318">
        <v>22.11</v>
      </c>
      <c r="H2583" s="318">
        <v>22.11</v>
      </c>
      <c r="I2583" s="244" t="s">
        <v>112</v>
      </c>
      <c r="J2583" s="250" t="s">
        <v>143</v>
      </c>
      <c r="K2583" s="327" t="s">
        <v>195</v>
      </c>
      <c r="L2583" s="197"/>
      <c r="M2583" s="197"/>
      <c r="N2583" s="197"/>
      <c r="O2583" s="197"/>
    </row>
    <row r="2584" spans="1:15">
      <c r="A2584" s="326" t="s">
        <v>137</v>
      </c>
      <c r="B2584" s="326" t="s">
        <v>683</v>
      </c>
      <c r="C2584" s="244" t="s">
        <v>684</v>
      </c>
      <c r="D2584" s="244" t="s">
        <v>322</v>
      </c>
      <c r="E2584" s="244" t="s">
        <v>2942</v>
      </c>
      <c r="F2584" s="227" t="s">
        <v>407</v>
      </c>
      <c r="G2584" s="318">
        <v>51.59</v>
      </c>
      <c r="H2584" s="318">
        <v>51.59</v>
      </c>
      <c r="I2584" s="244" t="s">
        <v>112</v>
      </c>
      <c r="J2584" s="250" t="s">
        <v>143</v>
      </c>
      <c r="K2584" s="327" t="s">
        <v>195</v>
      </c>
      <c r="L2584" s="197"/>
      <c r="M2584" s="197"/>
      <c r="N2584" s="197"/>
      <c r="O2584" s="197"/>
    </row>
    <row r="2585" spans="1:15">
      <c r="A2585" s="326" t="s">
        <v>137</v>
      </c>
      <c r="B2585" s="326" t="s">
        <v>683</v>
      </c>
      <c r="C2585" s="244" t="s">
        <v>684</v>
      </c>
      <c r="D2585" s="244" t="s">
        <v>718</v>
      </c>
      <c r="E2585" s="244" t="s">
        <v>2943</v>
      </c>
      <c r="F2585" s="227" t="s">
        <v>407</v>
      </c>
      <c r="G2585" s="318">
        <v>14.74</v>
      </c>
      <c r="H2585" s="318">
        <v>14.74</v>
      </c>
      <c r="I2585" s="244" t="s">
        <v>112</v>
      </c>
      <c r="J2585" s="250" t="s">
        <v>143</v>
      </c>
      <c r="K2585" s="233"/>
      <c r="L2585" s="197"/>
      <c r="M2585" s="197"/>
      <c r="N2585" s="197"/>
      <c r="O2585" s="197"/>
    </row>
    <row r="2586" spans="1:15">
      <c r="A2586" s="326" t="s">
        <v>137</v>
      </c>
      <c r="B2586" s="326" t="s">
        <v>683</v>
      </c>
      <c r="C2586" s="244" t="s">
        <v>684</v>
      </c>
      <c r="D2586" s="244" t="s">
        <v>721</v>
      </c>
      <c r="E2586" s="244" t="s">
        <v>2944</v>
      </c>
      <c r="F2586" s="227" t="s">
        <v>407</v>
      </c>
      <c r="G2586" s="318">
        <v>7.37</v>
      </c>
      <c r="H2586" s="318">
        <v>7.37</v>
      </c>
      <c r="I2586" s="244" t="s">
        <v>112</v>
      </c>
      <c r="J2586" s="250" t="s">
        <v>143</v>
      </c>
      <c r="K2586" s="233"/>
      <c r="L2586" s="197"/>
      <c r="M2586" s="197"/>
      <c r="N2586" s="197"/>
      <c r="O2586" s="197"/>
    </row>
    <row r="2587" spans="1:15">
      <c r="A2587" s="326" t="s">
        <v>137</v>
      </c>
      <c r="B2587" s="326" t="s">
        <v>683</v>
      </c>
      <c r="C2587" s="244" t="s">
        <v>684</v>
      </c>
      <c r="D2587" s="244" t="s">
        <v>726</v>
      </c>
      <c r="E2587" s="244" t="s">
        <v>2945</v>
      </c>
      <c r="F2587" s="227" t="s">
        <v>407</v>
      </c>
      <c r="G2587" s="318">
        <v>45.24</v>
      </c>
      <c r="H2587" s="318">
        <v>44.22</v>
      </c>
      <c r="I2587" s="244" t="s">
        <v>112</v>
      </c>
      <c r="J2587" s="250" t="s">
        <v>143</v>
      </c>
      <c r="K2587" s="233"/>
      <c r="L2587" s="197"/>
      <c r="M2587" s="197"/>
      <c r="N2587" s="197"/>
      <c r="O2587" s="197"/>
    </row>
    <row r="2588" spans="1:15">
      <c r="A2588" s="326" t="s">
        <v>137</v>
      </c>
      <c r="B2588" s="326" t="s">
        <v>683</v>
      </c>
      <c r="C2588" s="244" t="s">
        <v>684</v>
      </c>
      <c r="D2588" s="244" t="s">
        <v>731</v>
      </c>
      <c r="E2588" s="244" t="s">
        <v>2946</v>
      </c>
      <c r="F2588" s="227" t="s">
        <v>407</v>
      </c>
      <c r="G2588" s="318">
        <v>22.56</v>
      </c>
      <c r="H2588" s="318">
        <v>22.11</v>
      </c>
      <c r="I2588" s="244" t="s">
        <v>112</v>
      </c>
      <c r="J2588" s="250" t="s">
        <v>143</v>
      </c>
      <c r="K2588" s="233"/>
      <c r="L2588" s="197"/>
      <c r="M2588" s="197"/>
      <c r="N2588" s="197"/>
      <c r="O2588" s="197"/>
    </row>
    <row r="2589" spans="1:15">
      <c r="A2589" s="326" t="s">
        <v>137</v>
      </c>
      <c r="B2589" s="326" t="s">
        <v>683</v>
      </c>
      <c r="C2589" s="244" t="s">
        <v>684</v>
      </c>
      <c r="D2589" s="244" t="s">
        <v>736</v>
      </c>
      <c r="E2589" s="244" t="s">
        <v>2947</v>
      </c>
      <c r="F2589" s="227" t="s">
        <v>407</v>
      </c>
      <c r="G2589" s="318">
        <v>44.22</v>
      </c>
      <c r="H2589" s="318">
        <v>44.22</v>
      </c>
      <c r="I2589" s="244" t="s">
        <v>112</v>
      </c>
      <c r="J2589" s="250" t="s">
        <v>143</v>
      </c>
      <c r="K2589" s="233"/>
      <c r="L2589" s="197"/>
      <c r="M2589" s="197"/>
      <c r="N2589" s="197"/>
      <c r="O2589" s="197"/>
    </row>
    <row r="2590" spans="1:15">
      <c r="A2590" s="326" t="s">
        <v>137</v>
      </c>
      <c r="B2590" s="326" t="s">
        <v>683</v>
      </c>
      <c r="C2590" s="244" t="s">
        <v>684</v>
      </c>
      <c r="D2590" s="244" t="s">
        <v>1801</v>
      </c>
      <c r="E2590" s="244" t="s">
        <v>2948</v>
      </c>
      <c r="F2590" s="227" t="s">
        <v>407</v>
      </c>
      <c r="G2590" s="318">
        <v>22.11</v>
      </c>
      <c r="H2590" s="318">
        <v>22.11</v>
      </c>
      <c r="I2590" s="244" t="s">
        <v>112</v>
      </c>
      <c r="J2590" s="250" t="s">
        <v>143</v>
      </c>
      <c r="K2590" s="327" t="s">
        <v>195</v>
      </c>
      <c r="L2590" s="197"/>
      <c r="M2590" s="197"/>
      <c r="N2590" s="197"/>
      <c r="O2590" s="197"/>
    </row>
    <row r="2591" spans="1:15">
      <c r="A2591" s="326" t="s">
        <v>137</v>
      </c>
      <c r="B2591" s="326" t="s">
        <v>683</v>
      </c>
      <c r="C2591" s="244" t="s">
        <v>684</v>
      </c>
      <c r="D2591" s="244" t="s">
        <v>655</v>
      </c>
      <c r="E2591" s="244" t="s">
        <v>2949</v>
      </c>
      <c r="F2591" s="227" t="s">
        <v>407</v>
      </c>
      <c r="G2591" s="318">
        <v>0.55000000000000004</v>
      </c>
      <c r="H2591" s="318">
        <v>0.55000000000000004</v>
      </c>
      <c r="I2591" s="244" t="s">
        <v>112</v>
      </c>
      <c r="J2591" s="250" t="s">
        <v>143</v>
      </c>
      <c r="K2591" s="233"/>
      <c r="L2591" s="197"/>
      <c r="M2591" s="197"/>
      <c r="N2591" s="197"/>
      <c r="O2591" s="197"/>
    </row>
    <row r="2592" spans="1:15">
      <c r="A2592" s="326" t="s">
        <v>137</v>
      </c>
      <c r="B2592" s="326" t="s">
        <v>683</v>
      </c>
      <c r="C2592" s="244" t="s">
        <v>684</v>
      </c>
      <c r="D2592" s="244" t="s">
        <v>655</v>
      </c>
      <c r="E2592" s="244" t="s">
        <v>2950</v>
      </c>
      <c r="F2592" s="227" t="s">
        <v>407</v>
      </c>
      <c r="G2592" s="318">
        <v>0.1</v>
      </c>
      <c r="H2592" s="318">
        <v>0.1</v>
      </c>
      <c r="I2592" s="244" t="s">
        <v>112</v>
      </c>
      <c r="J2592" s="250" t="s">
        <v>143</v>
      </c>
      <c r="K2592" s="233"/>
      <c r="L2592" s="197"/>
      <c r="M2592" s="197"/>
      <c r="N2592" s="197"/>
      <c r="O2592" s="197"/>
    </row>
    <row r="2593" spans="1:15">
      <c r="A2593" s="326" t="s">
        <v>137</v>
      </c>
      <c r="B2593" s="326" t="s">
        <v>683</v>
      </c>
      <c r="C2593" s="244" t="s">
        <v>684</v>
      </c>
      <c r="D2593" s="244" t="s">
        <v>655</v>
      </c>
      <c r="E2593" s="244" t="s">
        <v>2951</v>
      </c>
      <c r="F2593" s="227" t="s">
        <v>407</v>
      </c>
      <c r="G2593" s="318">
        <v>2.59</v>
      </c>
      <c r="H2593" s="318">
        <v>2.59</v>
      </c>
      <c r="I2593" s="244" t="s">
        <v>112</v>
      </c>
      <c r="J2593" s="250" t="s">
        <v>143</v>
      </c>
      <c r="K2593" s="233"/>
      <c r="L2593" s="197"/>
      <c r="M2593" s="197"/>
      <c r="N2593" s="197"/>
      <c r="O2593" s="197"/>
    </row>
    <row r="2594" spans="1:15">
      <c r="A2594" s="326" t="s">
        <v>137</v>
      </c>
      <c r="B2594" s="326" t="s">
        <v>683</v>
      </c>
      <c r="C2594" s="244" t="s">
        <v>684</v>
      </c>
      <c r="D2594" s="244" t="s">
        <v>2143</v>
      </c>
      <c r="E2594" s="244" t="s">
        <v>2952</v>
      </c>
      <c r="F2594" s="227" t="s">
        <v>407</v>
      </c>
      <c r="G2594" s="318">
        <v>66.33</v>
      </c>
      <c r="H2594" s="318">
        <v>66.33</v>
      </c>
      <c r="I2594" s="244" t="s">
        <v>112</v>
      </c>
      <c r="J2594" s="250" t="s">
        <v>143</v>
      </c>
      <c r="K2594" s="233"/>
      <c r="L2594" s="197"/>
      <c r="M2594" s="197"/>
      <c r="N2594" s="197"/>
      <c r="O2594" s="197"/>
    </row>
    <row r="2595" spans="1:15">
      <c r="A2595" s="326" t="s">
        <v>137</v>
      </c>
      <c r="B2595" s="326" t="s">
        <v>683</v>
      </c>
      <c r="C2595" s="244" t="s">
        <v>684</v>
      </c>
      <c r="D2595" s="244" t="s">
        <v>747</v>
      </c>
      <c r="E2595" s="244" t="s">
        <v>2953</v>
      </c>
      <c r="F2595" s="227" t="s">
        <v>407</v>
      </c>
      <c r="G2595" s="318">
        <v>22.11</v>
      </c>
      <c r="H2595" s="318">
        <v>22.11</v>
      </c>
      <c r="I2595" s="244" t="s">
        <v>112</v>
      </c>
      <c r="J2595" s="250" t="s">
        <v>143</v>
      </c>
      <c r="K2595" s="327" t="s">
        <v>195</v>
      </c>
      <c r="L2595" s="197"/>
      <c r="M2595" s="197"/>
      <c r="N2595" s="197"/>
      <c r="O2595" s="197"/>
    </row>
    <row r="2596" spans="1:15">
      <c r="A2596" s="326" t="s">
        <v>137</v>
      </c>
      <c r="B2596" s="326" t="s">
        <v>683</v>
      </c>
      <c r="C2596" s="244" t="s">
        <v>684</v>
      </c>
      <c r="D2596" s="244" t="s">
        <v>2511</v>
      </c>
      <c r="E2596" s="244" t="s">
        <v>2954</v>
      </c>
      <c r="F2596" s="227" t="s">
        <v>407</v>
      </c>
      <c r="G2596" s="318">
        <v>22.11</v>
      </c>
      <c r="H2596" s="318">
        <v>22.11</v>
      </c>
      <c r="I2596" s="244" t="s">
        <v>112</v>
      </c>
      <c r="J2596" s="250" t="s">
        <v>143</v>
      </c>
      <c r="K2596" s="233"/>
      <c r="L2596" s="197"/>
      <c r="M2596" s="197"/>
      <c r="N2596" s="197"/>
      <c r="O2596" s="197"/>
    </row>
    <row r="2597" spans="1:15">
      <c r="A2597" s="326" t="s">
        <v>137</v>
      </c>
      <c r="B2597" s="326" t="s">
        <v>683</v>
      </c>
      <c r="C2597" s="244" t="s">
        <v>684</v>
      </c>
      <c r="D2597" s="244" t="s">
        <v>754</v>
      </c>
      <c r="E2597" s="244" t="s">
        <v>2955</v>
      </c>
      <c r="F2597" s="227" t="s">
        <v>407</v>
      </c>
      <c r="G2597" s="318">
        <v>117.92</v>
      </c>
      <c r="H2597" s="318">
        <v>117.92</v>
      </c>
      <c r="I2597" s="244" t="s">
        <v>112</v>
      </c>
      <c r="J2597" s="250" t="s">
        <v>143</v>
      </c>
      <c r="K2597" s="327" t="s">
        <v>195</v>
      </c>
      <c r="L2597" s="197"/>
      <c r="M2597" s="197"/>
      <c r="N2597" s="197"/>
      <c r="O2597" s="197"/>
    </row>
    <row r="2598" spans="1:15">
      <c r="A2598" s="326" t="s">
        <v>137</v>
      </c>
      <c r="B2598" s="326" t="s">
        <v>683</v>
      </c>
      <c r="C2598" s="244" t="s">
        <v>684</v>
      </c>
      <c r="D2598" s="244" t="s">
        <v>764</v>
      </c>
      <c r="E2598" s="244" t="s">
        <v>2956</v>
      </c>
      <c r="F2598" s="227" t="s">
        <v>407</v>
      </c>
      <c r="G2598" s="318">
        <v>44.22</v>
      </c>
      <c r="H2598" s="318">
        <v>44.22</v>
      </c>
      <c r="I2598" s="244" t="s">
        <v>112</v>
      </c>
      <c r="J2598" s="250" t="s">
        <v>143</v>
      </c>
      <c r="K2598" s="233"/>
      <c r="L2598" s="197"/>
      <c r="M2598" s="197"/>
      <c r="N2598" s="197"/>
      <c r="O2598" s="197"/>
    </row>
    <row r="2599" spans="1:15">
      <c r="A2599" s="326" t="s">
        <v>137</v>
      </c>
      <c r="B2599" s="326" t="s">
        <v>683</v>
      </c>
      <c r="C2599" s="244" t="s">
        <v>684</v>
      </c>
      <c r="D2599" s="244" t="s">
        <v>774</v>
      </c>
      <c r="E2599" s="244" t="s">
        <v>2957</v>
      </c>
      <c r="F2599" s="227" t="s">
        <v>407</v>
      </c>
      <c r="G2599" s="318">
        <v>36.85</v>
      </c>
      <c r="H2599" s="318">
        <v>36.85</v>
      </c>
      <c r="I2599" s="244" t="s">
        <v>112</v>
      </c>
      <c r="J2599" s="250" t="s">
        <v>143</v>
      </c>
      <c r="K2599" s="327" t="s">
        <v>195</v>
      </c>
      <c r="L2599" s="197"/>
      <c r="M2599" s="197"/>
      <c r="N2599" s="197"/>
      <c r="O2599" s="197"/>
    </row>
    <row r="2600" spans="1:15">
      <c r="A2600" s="326" t="s">
        <v>137</v>
      </c>
      <c r="B2600" s="326" t="s">
        <v>683</v>
      </c>
      <c r="C2600" s="244" t="s">
        <v>684</v>
      </c>
      <c r="D2600" s="244" t="s">
        <v>774</v>
      </c>
      <c r="E2600" s="244" t="s">
        <v>655</v>
      </c>
      <c r="F2600" s="227" t="s">
        <v>407</v>
      </c>
      <c r="G2600" s="318">
        <v>540</v>
      </c>
      <c r="H2600" s="318">
        <v>540</v>
      </c>
      <c r="I2600" s="244" t="s">
        <v>112</v>
      </c>
      <c r="J2600" s="250" t="s">
        <v>143</v>
      </c>
      <c r="K2600" s="327" t="s">
        <v>195</v>
      </c>
      <c r="L2600" s="197"/>
      <c r="M2600" s="197"/>
      <c r="N2600" s="197"/>
      <c r="O2600" s="197"/>
    </row>
    <row r="2601" spans="1:15">
      <c r="A2601" s="326" t="s">
        <v>137</v>
      </c>
      <c r="B2601" s="326" t="s">
        <v>683</v>
      </c>
      <c r="C2601" s="244" t="s">
        <v>684</v>
      </c>
      <c r="D2601" s="244" t="s">
        <v>779</v>
      </c>
      <c r="E2601" s="244" t="s">
        <v>2958</v>
      </c>
      <c r="F2601" s="227" t="s">
        <v>407</v>
      </c>
      <c r="G2601" s="318">
        <v>7.37</v>
      </c>
      <c r="H2601" s="318">
        <v>7.37</v>
      </c>
      <c r="I2601" s="244" t="s">
        <v>112</v>
      </c>
      <c r="J2601" s="250" t="s">
        <v>143</v>
      </c>
      <c r="K2601" s="233"/>
      <c r="L2601" s="197"/>
      <c r="M2601" s="197"/>
      <c r="N2601" s="197"/>
      <c r="O2601" s="197"/>
    </row>
    <row r="2602" spans="1:15">
      <c r="A2602" s="326" t="s">
        <v>137</v>
      </c>
      <c r="B2602" s="326" t="s">
        <v>683</v>
      </c>
      <c r="C2602" s="244" t="s">
        <v>684</v>
      </c>
      <c r="D2602" s="244" t="s">
        <v>784</v>
      </c>
      <c r="E2602" s="244" t="s">
        <v>2959</v>
      </c>
      <c r="F2602" s="227" t="s">
        <v>407</v>
      </c>
      <c r="G2602" s="318">
        <v>22.56</v>
      </c>
      <c r="H2602" s="318">
        <v>22.11</v>
      </c>
      <c r="I2602" s="244" t="s">
        <v>112</v>
      </c>
      <c r="J2602" s="250" t="s">
        <v>143</v>
      </c>
      <c r="K2602" s="233"/>
      <c r="L2602" s="197"/>
      <c r="M2602" s="197"/>
      <c r="N2602" s="197"/>
      <c r="O2602" s="197"/>
    </row>
    <row r="2603" spans="1:15">
      <c r="A2603" s="326" t="s">
        <v>137</v>
      </c>
      <c r="B2603" s="326" t="s">
        <v>683</v>
      </c>
      <c r="C2603" s="244" t="s">
        <v>684</v>
      </c>
      <c r="D2603" s="244" t="s">
        <v>789</v>
      </c>
      <c r="E2603" s="244" t="s">
        <v>2960</v>
      </c>
      <c r="F2603" s="227" t="s">
        <v>407</v>
      </c>
      <c r="G2603" s="318">
        <v>66.33</v>
      </c>
      <c r="H2603" s="318">
        <v>66.33</v>
      </c>
      <c r="I2603" s="244" t="s">
        <v>112</v>
      </c>
      <c r="J2603" s="250" t="s">
        <v>143</v>
      </c>
      <c r="K2603" s="233"/>
      <c r="L2603" s="197"/>
      <c r="M2603" s="197"/>
      <c r="N2603" s="197"/>
      <c r="O2603" s="197"/>
    </row>
    <row r="2604" spans="1:15">
      <c r="A2604" s="326" t="s">
        <v>137</v>
      </c>
      <c r="B2604" s="326" t="s">
        <v>683</v>
      </c>
      <c r="C2604" s="244" t="s">
        <v>684</v>
      </c>
      <c r="D2604" s="244" t="s">
        <v>403</v>
      </c>
      <c r="E2604" s="244" t="s">
        <v>2961</v>
      </c>
      <c r="F2604" s="227" t="s">
        <v>407</v>
      </c>
      <c r="G2604" s="318">
        <v>110.55</v>
      </c>
      <c r="H2604" s="318">
        <v>110.55</v>
      </c>
      <c r="I2604" s="244" t="s">
        <v>112</v>
      </c>
      <c r="J2604" s="250" t="s">
        <v>143</v>
      </c>
      <c r="K2604" s="233"/>
      <c r="L2604" s="197"/>
      <c r="M2604" s="197"/>
      <c r="N2604" s="197"/>
      <c r="O2604" s="197"/>
    </row>
    <row r="2605" spans="1:15">
      <c r="A2605" s="326" t="s">
        <v>137</v>
      </c>
      <c r="B2605" s="326" t="s">
        <v>683</v>
      </c>
      <c r="C2605" s="244" t="s">
        <v>684</v>
      </c>
      <c r="D2605" s="244" t="s">
        <v>425</v>
      </c>
      <c r="E2605" s="244" t="s">
        <v>2962</v>
      </c>
      <c r="F2605" s="227" t="s">
        <v>407</v>
      </c>
      <c r="G2605" s="318">
        <v>140.03</v>
      </c>
      <c r="H2605" s="318">
        <v>140.03</v>
      </c>
      <c r="I2605" s="244" t="s">
        <v>112</v>
      </c>
      <c r="J2605" s="250" t="s">
        <v>143</v>
      </c>
      <c r="K2605" s="233"/>
      <c r="L2605" s="197"/>
      <c r="M2605" s="197"/>
      <c r="N2605" s="197"/>
      <c r="O2605" s="197"/>
    </row>
    <row r="2606" spans="1:15">
      <c r="A2606" s="326" t="s">
        <v>137</v>
      </c>
      <c r="B2606" s="326" t="s">
        <v>683</v>
      </c>
      <c r="C2606" s="244" t="s">
        <v>684</v>
      </c>
      <c r="D2606" s="244" t="s">
        <v>598</v>
      </c>
      <c r="E2606" s="244" t="s">
        <v>2963</v>
      </c>
      <c r="F2606" s="227" t="s">
        <v>407</v>
      </c>
      <c r="G2606" s="318">
        <v>58.96</v>
      </c>
      <c r="H2606" s="318">
        <v>58.96</v>
      </c>
      <c r="I2606" s="244" t="s">
        <v>112</v>
      </c>
      <c r="J2606" s="250" t="s">
        <v>143</v>
      </c>
      <c r="K2606" s="233"/>
      <c r="L2606" s="197"/>
      <c r="M2606" s="197"/>
      <c r="N2606" s="197"/>
      <c r="O2606" s="197"/>
    </row>
    <row r="2607" spans="1:15">
      <c r="A2607" s="326" t="s">
        <v>137</v>
      </c>
      <c r="B2607" s="326" t="s">
        <v>683</v>
      </c>
      <c r="C2607" s="244" t="s">
        <v>684</v>
      </c>
      <c r="D2607" s="244" t="s">
        <v>808</v>
      </c>
      <c r="E2607" s="244" t="s">
        <v>2964</v>
      </c>
      <c r="F2607" s="227" t="s">
        <v>407</v>
      </c>
      <c r="G2607" s="318">
        <v>36.85</v>
      </c>
      <c r="H2607" s="318">
        <v>36.85</v>
      </c>
      <c r="I2607" s="244" t="s">
        <v>112</v>
      </c>
      <c r="J2607" s="250" t="s">
        <v>143</v>
      </c>
      <c r="K2607" s="233"/>
      <c r="L2607" s="197"/>
      <c r="M2607" s="197"/>
      <c r="N2607" s="197"/>
      <c r="O2607" s="197"/>
    </row>
    <row r="2608" spans="1:15">
      <c r="A2608" s="326" t="s">
        <v>137</v>
      </c>
      <c r="B2608" s="326" t="s">
        <v>683</v>
      </c>
      <c r="C2608" s="244" t="s">
        <v>684</v>
      </c>
      <c r="D2608" s="244" t="s">
        <v>815</v>
      </c>
      <c r="E2608" s="244" t="s">
        <v>2965</v>
      </c>
      <c r="F2608" s="227" t="s">
        <v>407</v>
      </c>
      <c r="G2608" s="318">
        <v>22.11</v>
      </c>
      <c r="H2608" s="318">
        <v>22.11</v>
      </c>
      <c r="I2608" s="244" t="s">
        <v>112</v>
      </c>
      <c r="J2608" s="250" t="s">
        <v>143</v>
      </c>
      <c r="K2608" s="233"/>
      <c r="L2608" s="197"/>
      <c r="M2608" s="197"/>
      <c r="N2608" s="197"/>
      <c r="O2608" s="197"/>
    </row>
    <row r="2609" spans="1:15">
      <c r="A2609" s="326" t="s">
        <v>137</v>
      </c>
      <c r="B2609" s="326" t="s">
        <v>683</v>
      </c>
      <c r="C2609" s="244" t="s">
        <v>684</v>
      </c>
      <c r="D2609" s="244" t="s">
        <v>817</v>
      </c>
      <c r="E2609" s="244" t="s">
        <v>2966</v>
      </c>
      <c r="F2609" s="227" t="s">
        <v>407</v>
      </c>
      <c r="G2609" s="318">
        <v>29.48</v>
      </c>
      <c r="H2609" s="318">
        <v>29.48</v>
      </c>
      <c r="I2609" s="244" t="s">
        <v>112</v>
      </c>
      <c r="J2609" s="250" t="s">
        <v>143</v>
      </c>
      <c r="K2609" s="327" t="s">
        <v>195</v>
      </c>
      <c r="L2609" s="197"/>
      <c r="M2609" s="197"/>
      <c r="N2609" s="197"/>
      <c r="O2609" s="197"/>
    </row>
    <row r="2610" spans="1:15">
      <c r="A2610" s="326" t="s">
        <v>137</v>
      </c>
      <c r="B2610" s="326" t="s">
        <v>683</v>
      </c>
      <c r="C2610" s="244" t="s">
        <v>684</v>
      </c>
      <c r="D2610" s="244" t="s">
        <v>819</v>
      </c>
      <c r="E2610" s="244" t="s">
        <v>2967</v>
      </c>
      <c r="F2610" s="227" t="s">
        <v>407</v>
      </c>
      <c r="G2610" s="318">
        <v>44.22</v>
      </c>
      <c r="H2610" s="318">
        <v>44.22</v>
      </c>
      <c r="I2610" s="244" t="s">
        <v>112</v>
      </c>
      <c r="J2610" s="250" t="s">
        <v>143</v>
      </c>
      <c r="K2610" s="327" t="s">
        <v>195</v>
      </c>
      <c r="L2610" s="197"/>
      <c r="M2610" s="197"/>
      <c r="N2610" s="197"/>
      <c r="O2610" s="197"/>
    </row>
    <row r="2611" spans="1:15">
      <c r="A2611" s="326" t="s">
        <v>137</v>
      </c>
      <c r="B2611" s="326" t="s">
        <v>683</v>
      </c>
      <c r="C2611" s="244" t="s">
        <v>684</v>
      </c>
      <c r="D2611" s="244" t="s">
        <v>824</v>
      </c>
      <c r="E2611" s="244" t="s">
        <v>2968</v>
      </c>
      <c r="F2611" s="227" t="s">
        <v>407</v>
      </c>
      <c r="G2611" s="318">
        <v>29.48</v>
      </c>
      <c r="H2611" s="318">
        <v>29.48</v>
      </c>
      <c r="I2611" s="244" t="s">
        <v>112</v>
      </c>
      <c r="J2611" s="250" t="s">
        <v>143</v>
      </c>
      <c r="K2611" s="327" t="s">
        <v>195</v>
      </c>
      <c r="L2611" s="197"/>
      <c r="M2611" s="197"/>
      <c r="N2611" s="197"/>
      <c r="O2611" s="197"/>
    </row>
    <row r="2612" spans="1:15">
      <c r="A2612" s="326" t="s">
        <v>137</v>
      </c>
      <c r="B2612" s="326" t="s">
        <v>683</v>
      </c>
      <c r="C2612" s="244" t="s">
        <v>684</v>
      </c>
      <c r="D2612" s="244" t="s">
        <v>828</v>
      </c>
      <c r="E2612" s="244" t="s">
        <v>2969</v>
      </c>
      <c r="F2612" s="227" t="s">
        <v>407</v>
      </c>
      <c r="G2612" s="318">
        <v>29.48</v>
      </c>
      <c r="H2612" s="318">
        <v>29.48</v>
      </c>
      <c r="I2612" s="244" t="s">
        <v>112</v>
      </c>
      <c r="J2612" s="250" t="s">
        <v>143</v>
      </c>
      <c r="K2612" s="233"/>
      <c r="L2612" s="197"/>
      <c r="M2612" s="197"/>
      <c r="N2612" s="197"/>
      <c r="O2612" s="197"/>
    </row>
    <row r="2613" spans="1:15">
      <c r="A2613" s="326" t="s">
        <v>137</v>
      </c>
      <c r="B2613" s="326" t="s">
        <v>683</v>
      </c>
      <c r="C2613" s="244" t="s">
        <v>684</v>
      </c>
      <c r="D2613" s="244" t="s">
        <v>410</v>
      </c>
      <c r="E2613" s="244" t="s">
        <v>2970</v>
      </c>
      <c r="F2613" s="227" t="s">
        <v>407</v>
      </c>
      <c r="G2613" s="318">
        <v>58.96</v>
      </c>
      <c r="H2613" s="318">
        <v>58.96</v>
      </c>
      <c r="I2613" s="244" t="s">
        <v>112</v>
      </c>
      <c r="J2613" s="250" t="s">
        <v>143</v>
      </c>
      <c r="K2613" s="233"/>
      <c r="L2613" s="197"/>
      <c r="M2613" s="197"/>
      <c r="N2613" s="197"/>
      <c r="O2613" s="197"/>
    </row>
    <row r="2614" spans="1:15">
      <c r="A2614" s="326" t="s">
        <v>137</v>
      </c>
      <c r="B2614" s="326" t="s">
        <v>683</v>
      </c>
      <c r="C2614" s="244" t="s">
        <v>684</v>
      </c>
      <c r="D2614" s="244" t="s">
        <v>837</v>
      </c>
      <c r="E2614" s="244" t="s">
        <v>2971</v>
      </c>
      <c r="F2614" s="227" t="s">
        <v>407</v>
      </c>
      <c r="G2614" s="318">
        <v>37.71</v>
      </c>
      <c r="H2614" s="318">
        <v>36.85</v>
      </c>
      <c r="I2614" s="244" t="s">
        <v>112</v>
      </c>
      <c r="J2614" s="250" t="s">
        <v>143</v>
      </c>
      <c r="K2614" s="233"/>
      <c r="L2614" s="197"/>
      <c r="M2614" s="197"/>
      <c r="N2614" s="197"/>
      <c r="O2614" s="197"/>
    </row>
    <row r="2615" spans="1:15">
      <c r="A2615" s="326" t="s">
        <v>137</v>
      </c>
      <c r="B2615" s="326" t="s">
        <v>683</v>
      </c>
      <c r="C2615" s="244" t="s">
        <v>684</v>
      </c>
      <c r="D2615" s="244" t="s">
        <v>842</v>
      </c>
      <c r="E2615" s="244" t="s">
        <v>2972</v>
      </c>
      <c r="F2615" s="227" t="s">
        <v>407</v>
      </c>
      <c r="G2615" s="318">
        <v>51.59</v>
      </c>
      <c r="H2615" s="318">
        <v>51.59</v>
      </c>
      <c r="I2615" s="244" t="s">
        <v>112</v>
      </c>
      <c r="J2615" s="250" t="s">
        <v>143</v>
      </c>
      <c r="K2615" s="233"/>
      <c r="L2615" s="197"/>
      <c r="M2615" s="197"/>
      <c r="N2615" s="197"/>
      <c r="O2615" s="197"/>
    </row>
    <row r="2616" spans="1:15">
      <c r="A2616" s="326" t="s">
        <v>137</v>
      </c>
      <c r="B2616" s="326" t="s">
        <v>683</v>
      </c>
      <c r="C2616" s="244" t="s">
        <v>684</v>
      </c>
      <c r="D2616" s="244" t="s">
        <v>338</v>
      </c>
      <c r="E2616" s="244" t="s">
        <v>2973</v>
      </c>
      <c r="F2616" s="227" t="s">
        <v>407</v>
      </c>
      <c r="G2616" s="318">
        <v>44.22</v>
      </c>
      <c r="H2616" s="318">
        <v>44.22</v>
      </c>
      <c r="I2616" s="244" t="s">
        <v>112</v>
      </c>
      <c r="J2616" s="250" t="s">
        <v>143</v>
      </c>
      <c r="K2616" s="233"/>
      <c r="L2616" s="197"/>
      <c r="M2616" s="197"/>
      <c r="N2616" s="197"/>
      <c r="O2616" s="197"/>
    </row>
    <row r="2617" spans="1:15">
      <c r="A2617" s="326" t="s">
        <v>137</v>
      </c>
      <c r="B2617" s="326" t="s">
        <v>683</v>
      </c>
      <c r="C2617" s="244" t="s">
        <v>684</v>
      </c>
      <c r="D2617" s="244" t="s">
        <v>851</v>
      </c>
      <c r="E2617" s="244" t="s">
        <v>2974</v>
      </c>
      <c r="F2617" s="227" t="s">
        <v>407</v>
      </c>
      <c r="G2617" s="318">
        <v>7.37</v>
      </c>
      <c r="H2617" s="318">
        <v>7.37</v>
      </c>
      <c r="I2617" s="244" t="s">
        <v>112</v>
      </c>
      <c r="J2617" s="250" t="s">
        <v>143</v>
      </c>
      <c r="K2617" s="327" t="s">
        <v>195</v>
      </c>
      <c r="L2617" s="197"/>
      <c r="M2617" s="197"/>
      <c r="N2617" s="197"/>
      <c r="O2617" s="197"/>
    </row>
    <row r="2618" spans="1:15">
      <c r="A2618" s="326" t="s">
        <v>137</v>
      </c>
      <c r="B2618" s="326" t="s">
        <v>683</v>
      </c>
      <c r="C2618" s="244" t="s">
        <v>684</v>
      </c>
      <c r="D2618" s="244" t="s">
        <v>856</v>
      </c>
      <c r="E2618" s="244" t="s">
        <v>2975</v>
      </c>
      <c r="F2618" s="227" t="s">
        <v>407</v>
      </c>
      <c r="G2618" s="318">
        <v>44.22</v>
      </c>
      <c r="H2618" s="318">
        <v>44.22</v>
      </c>
      <c r="I2618" s="244" t="s">
        <v>112</v>
      </c>
      <c r="J2618" s="250" t="s">
        <v>143</v>
      </c>
      <c r="K2618" s="233"/>
      <c r="L2618" s="197"/>
      <c r="M2618" s="197"/>
      <c r="N2618" s="197"/>
      <c r="O2618" s="197"/>
    </row>
    <row r="2619" spans="1:15">
      <c r="A2619" s="326" t="s">
        <v>137</v>
      </c>
      <c r="B2619" s="326" t="s">
        <v>683</v>
      </c>
      <c r="C2619" s="244" t="s">
        <v>684</v>
      </c>
      <c r="D2619" s="244" t="s">
        <v>859</v>
      </c>
      <c r="E2619" s="244" t="s">
        <v>2976</v>
      </c>
      <c r="F2619" s="227" t="s">
        <v>407</v>
      </c>
      <c r="G2619" s="318">
        <v>44.22</v>
      </c>
      <c r="H2619" s="318">
        <v>44.22</v>
      </c>
      <c r="I2619" s="244" t="s">
        <v>112</v>
      </c>
      <c r="J2619" s="250" t="s">
        <v>143</v>
      </c>
      <c r="K2619" s="233"/>
      <c r="L2619" s="197"/>
      <c r="M2619" s="197"/>
      <c r="N2619" s="197"/>
      <c r="O2619" s="197"/>
    </row>
    <row r="2620" spans="1:15">
      <c r="A2620" s="326" t="s">
        <v>137</v>
      </c>
      <c r="B2620" s="326" t="s">
        <v>683</v>
      </c>
      <c r="C2620" s="244" t="s">
        <v>684</v>
      </c>
      <c r="D2620" s="244" t="s">
        <v>869</v>
      </c>
      <c r="E2620" s="244" t="s">
        <v>2977</v>
      </c>
      <c r="F2620" s="227" t="s">
        <v>407</v>
      </c>
      <c r="G2620" s="318">
        <v>36.85</v>
      </c>
      <c r="H2620" s="318">
        <v>36.85</v>
      </c>
      <c r="I2620" s="244" t="s">
        <v>112</v>
      </c>
      <c r="J2620" s="250" t="s">
        <v>143</v>
      </c>
      <c r="K2620" s="233"/>
      <c r="L2620" s="197"/>
      <c r="M2620" s="197"/>
      <c r="N2620" s="197"/>
      <c r="O2620" s="197"/>
    </row>
    <row r="2621" spans="1:15">
      <c r="A2621" s="326" t="s">
        <v>137</v>
      </c>
      <c r="B2621" s="326" t="s">
        <v>683</v>
      </c>
      <c r="C2621" s="244" t="s">
        <v>684</v>
      </c>
      <c r="D2621" s="244" t="s">
        <v>874</v>
      </c>
      <c r="E2621" s="244" t="s">
        <v>2978</v>
      </c>
      <c r="F2621" s="227" t="s">
        <v>407</v>
      </c>
      <c r="G2621" s="318">
        <v>103.18</v>
      </c>
      <c r="H2621" s="318">
        <v>103.18</v>
      </c>
      <c r="I2621" s="244" t="s">
        <v>112</v>
      </c>
      <c r="J2621" s="250" t="s">
        <v>143</v>
      </c>
      <c r="K2621" s="327" t="s">
        <v>195</v>
      </c>
      <c r="L2621" s="197"/>
      <c r="M2621" s="197"/>
      <c r="N2621" s="197"/>
      <c r="O2621" s="197"/>
    </row>
    <row r="2622" spans="1:15">
      <c r="A2622" s="326" t="s">
        <v>137</v>
      </c>
      <c r="B2622" s="326" t="s">
        <v>683</v>
      </c>
      <c r="C2622" s="244" t="s">
        <v>684</v>
      </c>
      <c r="D2622" s="244" t="s">
        <v>413</v>
      </c>
      <c r="E2622" s="244" t="s">
        <v>2979</v>
      </c>
      <c r="F2622" s="227" t="s">
        <v>407</v>
      </c>
      <c r="G2622" s="318">
        <v>176.88</v>
      </c>
      <c r="H2622" s="318">
        <v>176.88</v>
      </c>
      <c r="I2622" s="244" t="s">
        <v>112</v>
      </c>
      <c r="J2622" s="250" t="s">
        <v>143</v>
      </c>
      <c r="K2622" s="233"/>
      <c r="L2622" s="197"/>
      <c r="M2622" s="197"/>
      <c r="N2622" s="197"/>
      <c r="O2622" s="197"/>
    </row>
    <row r="2623" spans="1:15">
      <c r="A2623" s="326" t="s">
        <v>232</v>
      </c>
      <c r="B2623" s="326" t="s">
        <v>138</v>
      </c>
      <c r="C2623" s="244" t="s">
        <v>82</v>
      </c>
      <c r="D2623" s="244" t="s">
        <v>883</v>
      </c>
      <c r="E2623" s="244" t="s">
        <v>1833</v>
      </c>
      <c r="F2623" s="227" t="s">
        <v>407</v>
      </c>
      <c r="G2623" s="305">
        <v>-70</v>
      </c>
      <c r="H2623" s="305">
        <v>-70</v>
      </c>
      <c r="I2623" s="244" t="s">
        <v>82</v>
      </c>
      <c r="J2623" s="244" t="s">
        <v>143</v>
      </c>
      <c r="K2623" s="327" t="s">
        <v>195</v>
      </c>
      <c r="L2623" s="197"/>
      <c r="M2623" s="197"/>
      <c r="N2623" s="197"/>
      <c r="O2623" s="197"/>
    </row>
    <row r="2624" spans="1:15">
      <c r="A2624" s="326" t="s">
        <v>137</v>
      </c>
      <c r="B2624" s="326" t="s">
        <v>138</v>
      </c>
      <c r="C2624" s="244" t="s">
        <v>82</v>
      </c>
      <c r="D2624" s="244" t="s">
        <v>883</v>
      </c>
      <c r="E2624" s="244" t="s">
        <v>1832</v>
      </c>
      <c r="F2624" s="227" t="s">
        <v>407</v>
      </c>
      <c r="G2624" s="305">
        <v>-310</v>
      </c>
      <c r="H2624" s="305">
        <v>-310</v>
      </c>
      <c r="I2624" s="244" t="s">
        <v>82</v>
      </c>
      <c r="J2624" s="244" t="s">
        <v>143</v>
      </c>
      <c r="K2624" s="327" t="s">
        <v>195</v>
      </c>
      <c r="L2624" s="197"/>
      <c r="M2624" s="197"/>
      <c r="N2624" s="197"/>
      <c r="O2624" s="197"/>
    </row>
    <row r="2625" spans="1:15">
      <c r="A2625" s="326" t="s">
        <v>232</v>
      </c>
      <c r="B2625" s="326" t="s">
        <v>138</v>
      </c>
      <c r="C2625" s="244" t="s">
        <v>2177</v>
      </c>
      <c r="D2625" s="244" t="s">
        <v>671</v>
      </c>
      <c r="E2625" s="244" t="s">
        <v>2179</v>
      </c>
      <c r="F2625" s="227" t="s">
        <v>407</v>
      </c>
      <c r="G2625" s="305">
        <v>0</v>
      </c>
      <c r="H2625" s="305">
        <v>-4000</v>
      </c>
      <c r="I2625" s="244"/>
      <c r="J2625" s="244" t="s">
        <v>206</v>
      </c>
      <c r="K2625" s="327" t="s">
        <v>195</v>
      </c>
      <c r="L2625" s="197"/>
      <c r="M2625" s="197"/>
      <c r="N2625" s="197"/>
      <c r="O2625" s="197"/>
    </row>
    <row r="2626" spans="1:15">
      <c r="A2626" s="326" t="s">
        <v>232</v>
      </c>
      <c r="B2626" s="326" t="s">
        <v>138</v>
      </c>
      <c r="C2626" s="244" t="s">
        <v>2177</v>
      </c>
      <c r="D2626" s="244" t="s">
        <v>671</v>
      </c>
      <c r="E2626" s="244" t="s">
        <v>2178</v>
      </c>
      <c r="F2626" s="227" t="s">
        <v>407</v>
      </c>
      <c r="G2626" s="305">
        <v>0</v>
      </c>
      <c r="H2626" s="305">
        <v>-4000</v>
      </c>
      <c r="I2626" s="244"/>
      <c r="J2626" s="244" t="s">
        <v>206</v>
      </c>
      <c r="K2626" s="327" t="s">
        <v>195</v>
      </c>
      <c r="L2626" s="197"/>
      <c r="M2626" s="197"/>
      <c r="N2626" s="197"/>
      <c r="O2626" s="197"/>
    </row>
    <row r="2627" spans="1:15">
      <c r="A2627" s="326" t="s">
        <v>232</v>
      </c>
      <c r="B2627" s="326" t="s">
        <v>138</v>
      </c>
      <c r="C2627" s="244" t="s">
        <v>2177</v>
      </c>
      <c r="D2627" s="244" t="s">
        <v>671</v>
      </c>
      <c r="E2627" s="244" t="s">
        <v>2180</v>
      </c>
      <c r="F2627" s="227" t="s">
        <v>407</v>
      </c>
      <c r="G2627" s="305">
        <v>0</v>
      </c>
      <c r="H2627" s="305">
        <v>-4000</v>
      </c>
      <c r="I2627" s="244"/>
      <c r="J2627" s="244" t="s">
        <v>206</v>
      </c>
      <c r="K2627" s="327" t="s">
        <v>195</v>
      </c>
      <c r="L2627" s="197"/>
      <c r="M2627" s="197"/>
      <c r="N2627" s="197"/>
      <c r="O2627" s="197"/>
    </row>
    <row r="2628" spans="1:15">
      <c r="A2628" s="326" t="s">
        <v>209</v>
      </c>
      <c r="B2628" s="326" t="s">
        <v>683</v>
      </c>
      <c r="C2628" s="244" t="s">
        <v>894</v>
      </c>
      <c r="D2628" s="244" t="s">
        <v>769</v>
      </c>
      <c r="E2628" s="244" t="s">
        <v>1202</v>
      </c>
      <c r="F2628" s="227" t="s">
        <v>407</v>
      </c>
      <c r="G2628" s="318">
        <v>6703.22</v>
      </c>
      <c r="H2628" s="318">
        <v>6703.22</v>
      </c>
      <c r="I2628" s="244" t="s">
        <v>112</v>
      </c>
      <c r="J2628" s="244" t="s">
        <v>206</v>
      </c>
      <c r="K2628" s="233"/>
      <c r="L2628" s="197"/>
      <c r="M2628" s="197"/>
      <c r="N2628" s="197"/>
      <c r="O2628" s="197"/>
    </row>
    <row r="2629" spans="1:15">
      <c r="A2629" s="326" t="s">
        <v>209</v>
      </c>
      <c r="B2629" s="326" t="s">
        <v>683</v>
      </c>
      <c r="C2629" s="244" t="s">
        <v>894</v>
      </c>
      <c r="D2629" s="244" t="s">
        <v>2548</v>
      </c>
      <c r="E2629" s="244" t="s">
        <v>2549</v>
      </c>
      <c r="F2629" s="227" t="s">
        <v>407</v>
      </c>
      <c r="G2629" s="318">
        <v>705.73</v>
      </c>
      <c r="H2629" s="318">
        <v>705.73</v>
      </c>
      <c r="I2629" s="244" t="s">
        <v>112</v>
      </c>
      <c r="J2629" s="244" t="s">
        <v>206</v>
      </c>
      <c r="K2629" s="327" t="s">
        <v>195</v>
      </c>
      <c r="L2629" s="197"/>
      <c r="M2629" s="197"/>
      <c r="N2629" s="197"/>
      <c r="O2629" s="197"/>
    </row>
    <row r="2630" spans="1:15">
      <c r="A2630" s="326" t="s">
        <v>209</v>
      </c>
      <c r="B2630" s="326" t="s">
        <v>683</v>
      </c>
      <c r="C2630" s="244" t="s">
        <v>894</v>
      </c>
      <c r="D2630" s="244" t="s">
        <v>2548</v>
      </c>
      <c r="E2630" s="244" t="s">
        <v>2550</v>
      </c>
      <c r="F2630" s="227" t="s">
        <v>407</v>
      </c>
      <c r="G2630" s="318">
        <v>1068.53</v>
      </c>
      <c r="H2630" s="318">
        <v>1068.53</v>
      </c>
      <c r="I2630" s="244" t="s">
        <v>112</v>
      </c>
      <c r="J2630" s="244" t="s">
        <v>206</v>
      </c>
      <c r="K2630" s="327" t="s">
        <v>195</v>
      </c>
      <c r="L2630" s="197"/>
      <c r="M2630" s="197"/>
      <c r="N2630" s="197"/>
      <c r="O2630" s="197"/>
    </row>
    <row r="2631" spans="1:15">
      <c r="A2631" s="326" t="s">
        <v>209</v>
      </c>
      <c r="B2631" s="326" t="s">
        <v>683</v>
      </c>
      <c r="C2631" s="244" t="s">
        <v>894</v>
      </c>
      <c r="D2631" s="244" t="s">
        <v>2548</v>
      </c>
      <c r="E2631" s="244" t="s">
        <v>2551</v>
      </c>
      <c r="F2631" s="227" t="s">
        <v>407</v>
      </c>
      <c r="G2631" s="318">
        <v>120</v>
      </c>
      <c r="H2631" s="318">
        <v>120</v>
      </c>
      <c r="I2631" s="244" t="s">
        <v>112</v>
      </c>
      <c r="J2631" s="244" t="s">
        <v>206</v>
      </c>
      <c r="K2631" s="327" t="s">
        <v>195</v>
      </c>
      <c r="L2631" s="197"/>
      <c r="M2631" s="197"/>
      <c r="N2631" s="197"/>
      <c r="O2631" s="197"/>
    </row>
    <row r="2632" spans="1:15">
      <c r="A2632" s="326" t="s">
        <v>209</v>
      </c>
      <c r="B2632" s="326" t="s">
        <v>683</v>
      </c>
      <c r="C2632" s="244" t="s">
        <v>898</v>
      </c>
      <c r="D2632" s="244" t="s">
        <v>869</v>
      </c>
      <c r="E2632" s="244" t="s">
        <v>901</v>
      </c>
      <c r="F2632" s="227" t="s">
        <v>407</v>
      </c>
      <c r="G2632" s="318">
        <v>0.01</v>
      </c>
      <c r="H2632" s="318">
        <v>0.01</v>
      </c>
      <c r="I2632" s="244" t="s">
        <v>112</v>
      </c>
      <c r="J2632" s="244" t="s">
        <v>206</v>
      </c>
      <c r="K2632" s="327" t="s">
        <v>195</v>
      </c>
      <c r="L2632" s="197"/>
      <c r="M2632" s="197"/>
      <c r="N2632" s="197"/>
      <c r="O2632" s="197"/>
    </row>
    <row r="2633" spans="1:15">
      <c r="A2633" s="326" t="s">
        <v>137</v>
      </c>
      <c r="B2633" s="326" t="s">
        <v>138</v>
      </c>
      <c r="C2633" s="244" t="s">
        <v>78</v>
      </c>
      <c r="D2633" s="244" t="s">
        <v>922</v>
      </c>
      <c r="E2633" s="244" t="s">
        <v>2980</v>
      </c>
      <c r="F2633" s="227" t="s">
        <v>407</v>
      </c>
      <c r="G2633" s="305">
        <v>-2771.6</v>
      </c>
      <c r="H2633" s="305">
        <v>-2771.6</v>
      </c>
      <c r="I2633" s="244" t="s">
        <v>78</v>
      </c>
      <c r="J2633" s="244" t="s">
        <v>143</v>
      </c>
      <c r="K2633" s="233"/>
      <c r="L2633" s="197"/>
      <c r="M2633" s="197"/>
      <c r="N2633" s="197"/>
      <c r="O2633" s="197"/>
    </row>
    <row r="2634" spans="1:15">
      <c r="A2634" s="199" t="s">
        <v>137</v>
      </c>
      <c r="B2634" s="199" t="s">
        <v>138</v>
      </c>
      <c r="C2634" s="199" t="s">
        <v>78</v>
      </c>
      <c r="D2634" s="199" t="s">
        <v>903</v>
      </c>
      <c r="E2634" s="199" t="s">
        <v>2981</v>
      </c>
      <c r="F2634" s="205" t="s">
        <v>268</v>
      </c>
      <c r="G2634" s="226">
        <v>-2826</v>
      </c>
      <c r="H2634" s="226">
        <v>-2826</v>
      </c>
      <c r="I2634" s="279" t="s">
        <v>78</v>
      </c>
      <c r="J2634" s="250" t="s">
        <v>143</v>
      </c>
      <c r="K2634" s="188"/>
      <c r="L2634" s="197"/>
      <c r="M2634" s="197"/>
      <c r="N2634" s="197"/>
      <c r="O2634" s="197"/>
    </row>
    <row r="2635" spans="1:15">
      <c r="A2635" s="199" t="s">
        <v>137</v>
      </c>
      <c r="B2635" s="199" t="s">
        <v>138</v>
      </c>
      <c r="C2635" s="199" t="s">
        <v>78</v>
      </c>
      <c r="D2635" s="199" t="s">
        <v>903</v>
      </c>
      <c r="E2635" s="199" t="s">
        <v>2982</v>
      </c>
      <c r="F2635" s="205" t="s">
        <v>268</v>
      </c>
      <c r="G2635" s="226">
        <v>-2808</v>
      </c>
      <c r="H2635" s="226">
        <v>-2808</v>
      </c>
      <c r="I2635" s="279" t="s">
        <v>78</v>
      </c>
      <c r="J2635" s="250" t="s">
        <v>143</v>
      </c>
      <c r="K2635" s="188"/>
      <c r="L2635" s="197"/>
      <c r="M2635" s="197"/>
      <c r="N2635" s="197"/>
      <c r="O2635" s="197"/>
    </row>
    <row r="2636" spans="1:15">
      <c r="A2636" s="199" t="s">
        <v>232</v>
      </c>
      <c r="B2636" s="199" t="s">
        <v>138</v>
      </c>
      <c r="C2636" s="199" t="s">
        <v>78</v>
      </c>
      <c r="D2636" s="199" t="s">
        <v>903</v>
      </c>
      <c r="E2636" s="199" t="s">
        <v>2983</v>
      </c>
      <c r="F2636" s="205" t="s">
        <v>268</v>
      </c>
      <c r="G2636" s="226">
        <v>-2052</v>
      </c>
      <c r="H2636" s="226">
        <v>-2052</v>
      </c>
      <c r="I2636" s="279" t="s">
        <v>78</v>
      </c>
      <c r="J2636" s="250" t="s">
        <v>143</v>
      </c>
      <c r="K2636" s="188"/>
      <c r="L2636" s="197"/>
      <c r="M2636" s="197"/>
      <c r="N2636" s="197"/>
      <c r="O2636" s="197"/>
    </row>
    <row r="2637" spans="1:15">
      <c r="A2637" s="199" t="s">
        <v>232</v>
      </c>
      <c r="B2637" s="199" t="s">
        <v>138</v>
      </c>
      <c r="C2637" s="199" t="s">
        <v>78</v>
      </c>
      <c r="D2637" s="199" t="s">
        <v>903</v>
      </c>
      <c r="E2637" s="199" t="s">
        <v>2984</v>
      </c>
      <c r="F2637" s="205" t="s">
        <v>268</v>
      </c>
      <c r="G2637" s="226">
        <v>-1908</v>
      </c>
      <c r="H2637" s="226">
        <v>-1908</v>
      </c>
      <c r="I2637" s="279" t="s">
        <v>78</v>
      </c>
      <c r="J2637" s="250" t="s">
        <v>143</v>
      </c>
      <c r="K2637" s="188"/>
      <c r="L2637" s="197"/>
      <c r="M2637" s="197"/>
      <c r="N2637" s="197"/>
      <c r="O2637" s="197"/>
    </row>
    <row r="2638" spans="1:15">
      <c r="A2638" s="199" t="s">
        <v>232</v>
      </c>
      <c r="B2638" s="199" t="s">
        <v>138</v>
      </c>
      <c r="C2638" s="199" t="s">
        <v>78</v>
      </c>
      <c r="D2638" s="199" t="s">
        <v>671</v>
      </c>
      <c r="E2638" s="199" t="s">
        <v>2985</v>
      </c>
      <c r="F2638" s="205" t="s">
        <v>268</v>
      </c>
      <c r="G2638" s="226">
        <v>-18</v>
      </c>
      <c r="H2638" s="226">
        <v>-18</v>
      </c>
      <c r="I2638" s="279" t="s">
        <v>78</v>
      </c>
      <c r="J2638" s="269" t="s">
        <v>143</v>
      </c>
      <c r="K2638" s="188"/>
      <c r="L2638" s="197"/>
      <c r="M2638" s="197"/>
      <c r="N2638" s="197"/>
      <c r="O2638" s="197"/>
    </row>
    <row r="2639" spans="1:15">
      <c r="A2639" s="199" t="s">
        <v>137</v>
      </c>
      <c r="B2639" s="199" t="s">
        <v>138</v>
      </c>
      <c r="C2639" s="199" t="s">
        <v>78</v>
      </c>
      <c r="D2639" s="199" t="s">
        <v>922</v>
      </c>
      <c r="E2639" s="199" t="s">
        <v>2986</v>
      </c>
      <c r="F2639" s="205" t="s">
        <v>268</v>
      </c>
      <c r="G2639" s="226">
        <v>-2112.5</v>
      </c>
      <c r="H2639" s="226">
        <v>-2112.5</v>
      </c>
      <c r="I2639" s="279" t="s">
        <v>78</v>
      </c>
      <c r="J2639" s="250" t="s">
        <v>143</v>
      </c>
      <c r="K2639" s="188"/>
      <c r="L2639" s="197"/>
      <c r="M2639" s="197"/>
      <c r="N2639" s="197"/>
      <c r="O2639" s="197"/>
    </row>
    <row r="2640" spans="1:15">
      <c r="A2640" s="199" t="s">
        <v>137</v>
      </c>
      <c r="B2640" s="199" t="s">
        <v>138</v>
      </c>
      <c r="C2640" s="199" t="s">
        <v>78</v>
      </c>
      <c r="D2640" s="199" t="s">
        <v>922</v>
      </c>
      <c r="E2640" s="199" t="s">
        <v>2987</v>
      </c>
      <c r="F2640" s="205" t="s">
        <v>268</v>
      </c>
      <c r="G2640" s="226">
        <v>-1977.3</v>
      </c>
      <c r="H2640" s="226">
        <v>-1977.3</v>
      </c>
      <c r="I2640" s="279" t="s">
        <v>78</v>
      </c>
      <c r="J2640" s="250" t="s">
        <v>143</v>
      </c>
      <c r="K2640" s="188"/>
      <c r="L2640" s="197"/>
      <c r="M2640" s="197"/>
      <c r="N2640" s="197"/>
      <c r="O2640" s="197"/>
    </row>
    <row r="2641" spans="1:15">
      <c r="A2641" s="199" t="s">
        <v>232</v>
      </c>
      <c r="B2641" s="199" t="s">
        <v>138</v>
      </c>
      <c r="C2641" s="199" t="s">
        <v>78</v>
      </c>
      <c r="D2641" s="199" t="s">
        <v>922</v>
      </c>
      <c r="E2641" s="199" t="s">
        <v>2988</v>
      </c>
      <c r="F2641" s="205" t="s">
        <v>268</v>
      </c>
      <c r="G2641" s="226">
        <v>-1419.6</v>
      </c>
      <c r="H2641" s="226">
        <v>-1419.6</v>
      </c>
      <c r="I2641" s="279" t="s">
        <v>78</v>
      </c>
      <c r="J2641" s="250" t="s">
        <v>143</v>
      </c>
      <c r="K2641" s="188"/>
      <c r="L2641" s="197"/>
      <c r="M2641" s="197"/>
      <c r="N2641" s="197"/>
      <c r="O2641" s="197"/>
    </row>
    <row r="2642" spans="1:15">
      <c r="A2642" s="199" t="s">
        <v>232</v>
      </c>
      <c r="B2642" s="199" t="s">
        <v>138</v>
      </c>
      <c r="C2642" s="199" t="s">
        <v>78</v>
      </c>
      <c r="D2642" s="199" t="s">
        <v>922</v>
      </c>
      <c r="E2642" s="199" t="s">
        <v>2989</v>
      </c>
      <c r="F2642" s="205" t="s">
        <v>268</v>
      </c>
      <c r="G2642" s="226">
        <v>-1233.7</v>
      </c>
      <c r="H2642" s="226">
        <v>-1233.7</v>
      </c>
      <c r="I2642" s="279" t="s">
        <v>78</v>
      </c>
      <c r="J2642" s="250" t="s">
        <v>143</v>
      </c>
      <c r="K2642" s="188"/>
      <c r="L2642" s="197"/>
      <c r="M2642" s="197"/>
      <c r="N2642" s="197"/>
      <c r="O2642" s="197"/>
    </row>
    <row r="2643" spans="1:15">
      <c r="A2643" s="326" t="s">
        <v>137</v>
      </c>
      <c r="B2643" s="326" t="s">
        <v>138</v>
      </c>
      <c r="C2643" s="244" t="s">
        <v>78</v>
      </c>
      <c r="D2643" s="244" t="s">
        <v>903</v>
      </c>
      <c r="E2643" s="244" t="s">
        <v>2990</v>
      </c>
      <c r="F2643" s="244" t="s">
        <v>268</v>
      </c>
      <c r="G2643" s="305">
        <v>-2844</v>
      </c>
      <c r="H2643" s="305">
        <v>-2844</v>
      </c>
      <c r="I2643" s="244" t="s">
        <v>78</v>
      </c>
      <c r="J2643" s="244" t="s">
        <v>143</v>
      </c>
      <c r="K2643" s="233"/>
      <c r="L2643" s="197"/>
      <c r="M2643" s="197"/>
      <c r="N2643" s="197"/>
      <c r="O2643" s="197"/>
    </row>
    <row r="2644" spans="1:15">
      <c r="A2644" s="326" t="s">
        <v>137</v>
      </c>
      <c r="B2644" s="326" t="s">
        <v>138</v>
      </c>
      <c r="C2644" s="244" t="s">
        <v>78</v>
      </c>
      <c r="D2644" s="244" t="s">
        <v>922</v>
      </c>
      <c r="E2644" s="244" t="s">
        <v>2991</v>
      </c>
      <c r="F2644" s="244" t="s">
        <v>268</v>
      </c>
      <c r="G2644" s="305">
        <v>-2450.5</v>
      </c>
      <c r="H2644" s="305">
        <v>-2450.5</v>
      </c>
      <c r="I2644" s="244" t="s">
        <v>78</v>
      </c>
      <c r="J2644" s="244" t="s">
        <v>143</v>
      </c>
      <c r="K2644" s="233"/>
      <c r="L2644" s="197"/>
      <c r="M2644" s="197"/>
      <c r="N2644" s="197"/>
      <c r="O2644" s="197"/>
    </row>
    <row r="2645" spans="1:15">
      <c r="A2645" s="326" t="s">
        <v>137</v>
      </c>
      <c r="B2645" s="326" t="s">
        <v>138</v>
      </c>
      <c r="C2645" s="244" t="s">
        <v>96</v>
      </c>
      <c r="D2645" s="244" t="s">
        <v>2992</v>
      </c>
      <c r="E2645" s="244" t="s">
        <v>2993</v>
      </c>
      <c r="F2645" s="227" t="s">
        <v>407</v>
      </c>
      <c r="G2645" s="305">
        <v>-243.76</v>
      </c>
      <c r="H2645" s="305">
        <v>-243.76</v>
      </c>
      <c r="I2645" s="244" t="s">
        <v>96</v>
      </c>
      <c r="J2645" s="244" t="s">
        <v>192</v>
      </c>
      <c r="K2645" s="233"/>
      <c r="L2645" s="197"/>
      <c r="M2645" s="197"/>
      <c r="N2645" s="197"/>
      <c r="O2645" s="197"/>
    </row>
    <row r="2646" spans="1:15">
      <c r="A2646" s="326" t="s">
        <v>232</v>
      </c>
      <c r="B2646" s="326" t="s">
        <v>138</v>
      </c>
      <c r="C2646" s="244" t="s">
        <v>973</v>
      </c>
      <c r="D2646" s="244" t="s">
        <v>1097</v>
      </c>
      <c r="E2646" s="244" t="s">
        <v>2994</v>
      </c>
      <c r="F2646" s="227" t="s">
        <v>407</v>
      </c>
      <c r="G2646" s="305">
        <v>-27.6</v>
      </c>
      <c r="H2646" s="305">
        <v>-27.6</v>
      </c>
      <c r="I2646" s="244" t="s">
        <v>96</v>
      </c>
      <c r="J2646" s="244" t="s">
        <v>206</v>
      </c>
      <c r="K2646" s="327" t="s">
        <v>195</v>
      </c>
      <c r="L2646" s="197"/>
      <c r="M2646" s="197"/>
      <c r="N2646" s="197"/>
      <c r="O2646" s="197"/>
    </row>
    <row r="2647" spans="1:15">
      <c r="A2647" s="326" t="s">
        <v>137</v>
      </c>
      <c r="B2647" s="326" t="s">
        <v>138</v>
      </c>
      <c r="C2647" s="244" t="s">
        <v>96</v>
      </c>
      <c r="D2647" s="279" t="s">
        <v>962</v>
      </c>
      <c r="E2647" s="244" t="s">
        <v>2995</v>
      </c>
      <c r="F2647" s="227" t="s">
        <v>407</v>
      </c>
      <c r="G2647" s="305">
        <v>-1194.19</v>
      </c>
      <c r="H2647" s="305">
        <v>-1194.19</v>
      </c>
      <c r="I2647" s="244" t="s">
        <v>96</v>
      </c>
      <c r="J2647" s="244" t="s">
        <v>964</v>
      </c>
      <c r="K2647" s="327" t="s">
        <v>2996</v>
      </c>
      <c r="L2647" s="197"/>
      <c r="M2647" s="197"/>
      <c r="N2647" s="197"/>
      <c r="O2647" s="197"/>
    </row>
    <row r="2648" spans="1:15">
      <c r="A2648" s="326" t="s">
        <v>137</v>
      </c>
      <c r="B2648" s="326" t="s">
        <v>138</v>
      </c>
      <c r="C2648" s="244" t="s">
        <v>96</v>
      </c>
      <c r="D2648" s="279" t="s">
        <v>962</v>
      </c>
      <c r="E2648" s="244" t="s">
        <v>2997</v>
      </c>
      <c r="F2648" s="227" t="s">
        <v>407</v>
      </c>
      <c r="G2648" s="305">
        <v>-819.98</v>
      </c>
      <c r="H2648" s="305">
        <v>-819.98</v>
      </c>
      <c r="I2648" s="244" t="s">
        <v>96</v>
      </c>
      <c r="J2648" s="244" t="s">
        <v>964</v>
      </c>
      <c r="K2648" s="327" t="s">
        <v>2996</v>
      </c>
      <c r="L2648" s="197"/>
      <c r="M2648" s="197"/>
      <c r="N2648" s="197"/>
      <c r="O2648" s="197"/>
    </row>
    <row r="2649" spans="1:15">
      <c r="A2649" s="326" t="s">
        <v>137</v>
      </c>
      <c r="B2649" s="326" t="s">
        <v>138</v>
      </c>
      <c r="C2649" s="244" t="s">
        <v>96</v>
      </c>
      <c r="D2649" s="279" t="s">
        <v>962</v>
      </c>
      <c r="E2649" s="244" t="s">
        <v>2998</v>
      </c>
      <c r="F2649" s="227" t="s">
        <v>407</v>
      </c>
      <c r="G2649" s="305">
        <v>-3.47</v>
      </c>
      <c r="H2649" s="305">
        <v>-3.47</v>
      </c>
      <c r="I2649" s="244" t="s">
        <v>96</v>
      </c>
      <c r="J2649" s="244" t="s">
        <v>964</v>
      </c>
      <c r="K2649" s="327" t="s">
        <v>2996</v>
      </c>
      <c r="L2649" s="197"/>
      <c r="M2649" s="197"/>
      <c r="N2649" s="197"/>
      <c r="O2649" s="197"/>
    </row>
    <row r="2650" spans="1:15">
      <c r="A2650" s="326" t="s">
        <v>137</v>
      </c>
      <c r="B2650" s="326" t="s">
        <v>138</v>
      </c>
      <c r="C2650" s="244" t="s">
        <v>96</v>
      </c>
      <c r="D2650" s="279" t="s">
        <v>962</v>
      </c>
      <c r="E2650" s="244" t="s">
        <v>2999</v>
      </c>
      <c r="F2650" s="227" t="s">
        <v>407</v>
      </c>
      <c r="G2650" s="305">
        <v>-1106.92</v>
      </c>
      <c r="H2650" s="305">
        <v>-1106.92</v>
      </c>
      <c r="I2650" s="244" t="s">
        <v>96</v>
      </c>
      <c r="J2650" s="244" t="s">
        <v>964</v>
      </c>
      <c r="K2650" s="327" t="s">
        <v>2996</v>
      </c>
      <c r="L2650" s="197"/>
      <c r="M2650" s="197"/>
      <c r="N2650" s="197"/>
      <c r="O2650" s="197"/>
    </row>
    <row r="2651" spans="1:15">
      <c r="A2651" s="288" t="s">
        <v>232</v>
      </c>
      <c r="B2651" s="244" t="s">
        <v>138</v>
      </c>
      <c r="C2651" s="244" t="s">
        <v>973</v>
      </c>
      <c r="D2651" s="244" t="s">
        <v>1104</v>
      </c>
      <c r="E2651" s="267" t="s">
        <v>3000</v>
      </c>
      <c r="F2651" s="244" t="s">
        <v>268</v>
      </c>
      <c r="G2651" s="305">
        <v>-158.38999999999999</v>
      </c>
      <c r="H2651" s="305">
        <v>-158.38999999999999</v>
      </c>
      <c r="I2651" s="250" t="s">
        <v>96</v>
      </c>
      <c r="J2651" s="269" t="s">
        <v>164</v>
      </c>
      <c r="K2651" s="328"/>
      <c r="L2651" s="197"/>
      <c r="M2651" s="197"/>
      <c r="N2651" s="197"/>
      <c r="O2651" s="197"/>
    </row>
    <row r="2652" spans="1:15">
      <c r="A2652" s="326" t="s">
        <v>232</v>
      </c>
      <c r="B2652" s="326" t="s">
        <v>138</v>
      </c>
      <c r="C2652" s="244" t="s">
        <v>973</v>
      </c>
      <c r="D2652" s="244" t="s">
        <v>1104</v>
      </c>
      <c r="E2652" s="244" t="s">
        <v>3001</v>
      </c>
      <c r="F2652" s="227" t="s">
        <v>407</v>
      </c>
      <c r="G2652" s="305">
        <v>-163.05000000000001</v>
      </c>
      <c r="H2652" s="305">
        <v>-163.05000000000001</v>
      </c>
      <c r="I2652" s="244" t="s">
        <v>96</v>
      </c>
      <c r="J2652" s="244" t="s">
        <v>164</v>
      </c>
      <c r="K2652" s="327" t="s">
        <v>195</v>
      </c>
      <c r="L2652" s="197"/>
      <c r="M2652" s="197"/>
      <c r="N2652" s="197"/>
      <c r="O2652" s="197"/>
    </row>
    <row r="2653" spans="1:15" ht="25.5">
      <c r="A2653" s="288" t="s">
        <v>232</v>
      </c>
      <c r="B2653" s="244" t="s">
        <v>138</v>
      </c>
      <c r="C2653" s="244" t="s">
        <v>973</v>
      </c>
      <c r="D2653" s="244" t="s">
        <v>2612</v>
      </c>
      <c r="E2653" s="267" t="s">
        <v>3002</v>
      </c>
      <c r="F2653" s="244" t="s">
        <v>268</v>
      </c>
      <c r="G2653" s="305">
        <v>-40</v>
      </c>
      <c r="H2653" s="305">
        <v>-40</v>
      </c>
      <c r="I2653" s="250" t="s">
        <v>96</v>
      </c>
      <c r="J2653" s="269" t="s">
        <v>964</v>
      </c>
      <c r="K2653" s="328"/>
      <c r="L2653" s="197"/>
      <c r="M2653" s="197"/>
      <c r="N2653" s="197"/>
      <c r="O2653" s="197"/>
    </row>
    <row r="2654" spans="1:15">
      <c r="A2654" s="326" t="s">
        <v>232</v>
      </c>
      <c r="B2654" s="326" t="s">
        <v>138</v>
      </c>
      <c r="C2654" s="244" t="s">
        <v>973</v>
      </c>
      <c r="D2654" s="244" t="s">
        <v>3003</v>
      </c>
      <c r="E2654" s="244" t="s">
        <v>3004</v>
      </c>
      <c r="F2654" s="227" t="s">
        <v>407</v>
      </c>
      <c r="G2654" s="305">
        <v>-266.95999999999998</v>
      </c>
      <c r="H2654" s="305">
        <v>-266.95999999999998</v>
      </c>
      <c r="I2654" s="244" t="s">
        <v>96</v>
      </c>
      <c r="J2654" s="244" t="s">
        <v>162</v>
      </c>
      <c r="K2654" s="327" t="s">
        <v>195</v>
      </c>
      <c r="L2654" s="197"/>
      <c r="M2654" s="197"/>
      <c r="N2654" s="197"/>
      <c r="O2654" s="197"/>
    </row>
    <row r="2655" spans="1:15">
      <c r="A2655" s="326" t="s">
        <v>137</v>
      </c>
      <c r="B2655" s="326" t="s">
        <v>138</v>
      </c>
      <c r="C2655" s="244" t="s">
        <v>973</v>
      </c>
      <c r="D2655" s="244" t="s">
        <v>1004</v>
      </c>
      <c r="E2655" s="244" t="s">
        <v>3005</v>
      </c>
      <c r="F2655" s="227" t="s">
        <v>407</v>
      </c>
      <c r="G2655" s="305">
        <v>-24.15</v>
      </c>
      <c r="H2655" s="305">
        <v>-24.15</v>
      </c>
      <c r="I2655" s="244" t="s">
        <v>96</v>
      </c>
      <c r="J2655" s="244" t="s">
        <v>162</v>
      </c>
      <c r="K2655" s="327" t="s">
        <v>195</v>
      </c>
      <c r="L2655" s="197"/>
      <c r="M2655" s="197"/>
      <c r="N2655" s="197"/>
      <c r="O2655" s="197"/>
    </row>
    <row r="2656" spans="1:15">
      <c r="A2656" s="288" t="s">
        <v>232</v>
      </c>
      <c r="B2656" s="244" t="s">
        <v>138</v>
      </c>
      <c r="C2656" s="244" t="s">
        <v>973</v>
      </c>
      <c r="D2656" s="244" t="s">
        <v>1112</v>
      </c>
      <c r="E2656" s="267" t="s">
        <v>3006</v>
      </c>
      <c r="F2656" s="244" t="s">
        <v>268</v>
      </c>
      <c r="G2656" s="305">
        <v>-279.58999999999997</v>
      </c>
      <c r="H2656" s="305">
        <v>-279.58999999999997</v>
      </c>
      <c r="I2656" s="250" t="s">
        <v>96</v>
      </c>
      <c r="J2656" s="269" t="s">
        <v>162</v>
      </c>
      <c r="K2656" s="328"/>
      <c r="L2656" s="197"/>
      <c r="M2656" s="197"/>
      <c r="N2656" s="197"/>
      <c r="O2656" s="197"/>
    </row>
    <row r="2657" spans="1:15">
      <c r="A2657" s="326" t="s">
        <v>137</v>
      </c>
      <c r="B2657" s="326" t="s">
        <v>138</v>
      </c>
      <c r="C2657" s="244" t="s">
        <v>96</v>
      </c>
      <c r="D2657" s="244" t="s">
        <v>3007</v>
      </c>
      <c r="E2657" s="244" t="s">
        <v>3008</v>
      </c>
      <c r="F2657" s="227" t="s">
        <v>407</v>
      </c>
      <c r="G2657" s="305">
        <v>-60.25</v>
      </c>
      <c r="H2657" s="305">
        <v>-60.25</v>
      </c>
      <c r="I2657" s="244" t="s">
        <v>96</v>
      </c>
      <c r="J2657" s="244" t="s">
        <v>206</v>
      </c>
      <c r="K2657" s="327" t="s">
        <v>195</v>
      </c>
      <c r="L2657" s="197"/>
      <c r="M2657" s="197"/>
      <c r="N2657" s="197"/>
      <c r="O2657" s="197"/>
    </row>
    <row r="2658" spans="1:15">
      <c r="A2658" s="326" t="s">
        <v>232</v>
      </c>
      <c r="B2658" s="326" t="s">
        <v>138</v>
      </c>
      <c r="C2658" s="244" t="s">
        <v>973</v>
      </c>
      <c r="D2658" s="244" t="s">
        <v>3009</v>
      </c>
      <c r="E2658" s="244" t="s">
        <v>3010</v>
      </c>
      <c r="F2658" s="227" t="s">
        <v>407</v>
      </c>
      <c r="G2658" s="305">
        <v>-160.47999999999999</v>
      </c>
      <c r="H2658" s="305">
        <v>-160.47999999999999</v>
      </c>
      <c r="I2658" s="244" t="s">
        <v>96</v>
      </c>
      <c r="J2658" s="244" t="s">
        <v>1848</v>
      </c>
      <c r="K2658" s="327" t="s">
        <v>195</v>
      </c>
      <c r="L2658" s="197"/>
      <c r="M2658" s="197"/>
      <c r="N2658" s="197"/>
      <c r="O2658" s="197"/>
    </row>
    <row r="2659" spans="1:15">
      <c r="A2659" s="326" t="s">
        <v>137</v>
      </c>
      <c r="B2659" s="326" t="s">
        <v>138</v>
      </c>
      <c r="C2659" s="244" t="s">
        <v>973</v>
      </c>
      <c r="D2659" s="244" t="s">
        <v>2614</v>
      </c>
      <c r="E2659" s="244" t="s">
        <v>3011</v>
      </c>
      <c r="F2659" s="227" t="s">
        <v>407</v>
      </c>
      <c r="G2659" s="305">
        <v>-120.12</v>
      </c>
      <c r="H2659" s="305">
        <v>-120.12</v>
      </c>
      <c r="I2659" s="244" t="s">
        <v>96</v>
      </c>
      <c r="J2659" s="244" t="s">
        <v>206</v>
      </c>
      <c r="K2659" s="233"/>
      <c r="L2659" s="197"/>
      <c r="M2659" s="197"/>
      <c r="N2659" s="197"/>
      <c r="O2659" s="197"/>
    </row>
    <row r="2660" spans="1:15">
      <c r="A2660" s="326" t="s">
        <v>137</v>
      </c>
      <c r="B2660" s="326" t="s">
        <v>138</v>
      </c>
      <c r="C2660" s="244" t="s">
        <v>973</v>
      </c>
      <c r="D2660" s="244" t="s">
        <v>1042</v>
      </c>
      <c r="E2660" s="244" t="s">
        <v>3012</v>
      </c>
      <c r="F2660" s="227" t="s">
        <v>407</v>
      </c>
      <c r="G2660" s="305">
        <v>-22.4</v>
      </c>
      <c r="H2660" s="305">
        <v>-22.4</v>
      </c>
      <c r="I2660" s="244" t="s">
        <v>96</v>
      </c>
      <c r="J2660" s="244" t="s">
        <v>206</v>
      </c>
      <c r="K2660" s="233"/>
      <c r="L2660" s="197"/>
      <c r="M2660" s="197"/>
      <c r="N2660" s="197"/>
      <c r="O2660" s="197"/>
    </row>
    <row r="2661" spans="1:15">
      <c r="A2661" s="326" t="s">
        <v>232</v>
      </c>
      <c r="B2661" s="326" t="s">
        <v>138</v>
      </c>
      <c r="C2661" s="244" t="s">
        <v>973</v>
      </c>
      <c r="D2661" s="244" t="s">
        <v>3009</v>
      </c>
      <c r="E2661" s="244" t="s">
        <v>3010</v>
      </c>
      <c r="F2661" s="227" t="s">
        <v>407</v>
      </c>
      <c r="G2661" s="305">
        <v>-160.47999999999999</v>
      </c>
      <c r="H2661" s="305">
        <v>-160.47999999999999</v>
      </c>
      <c r="I2661" s="244" t="s">
        <v>96</v>
      </c>
      <c r="J2661" s="244" t="s">
        <v>143</v>
      </c>
      <c r="K2661" s="227" t="s">
        <v>195</v>
      </c>
      <c r="L2661" s="197"/>
      <c r="M2661" s="197"/>
      <c r="N2661" s="197"/>
      <c r="O2661" s="197"/>
    </row>
    <row r="2662" spans="1:15">
      <c r="A2662" s="326" t="s">
        <v>137</v>
      </c>
      <c r="B2662" s="326" t="s">
        <v>138</v>
      </c>
      <c r="C2662" s="244" t="s">
        <v>96</v>
      </c>
      <c r="D2662" s="244" t="s">
        <v>987</v>
      </c>
      <c r="E2662" s="244" t="s">
        <v>3013</v>
      </c>
      <c r="F2662" s="227" t="s">
        <v>407</v>
      </c>
      <c r="G2662" s="305">
        <v>-99</v>
      </c>
      <c r="H2662" s="305">
        <v>-99</v>
      </c>
      <c r="I2662" s="244" t="s">
        <v>96</v>
      </c>
      <c r="J2662" s="244" t="s">
        <v>422</v>
      </c>
      <c r="K2662" s="233"/>
      <c r="L2662" s="197"/>
      <c r="M2662" s="197"/>
      <c r="N2662" s="197"/>
      <c r="O2662" s="197"/>
    </row>
    <row r="2663" spans="1:15">
      <c r="A2663" s="326" t="s">
        <v>137</v>
      </c>
      <c r="B2663" s="326" t="s">
        <v>138</v>
      </c>
      <c r="C2663" s="244" t="s">
        <v>96</v>
      </c>
      <c r="D2663" s="279" t="s">
        <v>996</v>
      </c>
      <c r="E2663" s="244" t="s">
        <v>3014</v>
      </c>
      <c r="F2663" s="227" t="s">
        <v>407</v>
      </c>
      <c r="G2663" s="305">
        <v>-1505</v>
      </c>
      <c r="H2663" s="305">
        <v>-1505</v>
      </c>
      <c r="I2663" s="244" t="s">
        <v>96</v>
      </c>
      <c r="J2663" s="244" t="s">
        <v>162</v>
      </c>
      <c r="K2663" s="327" t="s">
        <v>195</v>
      </c>
      <c r="L2663" s="197"/>
      <c r="M2663" s="197"/>
      <c r="N2663" s="197"/>
      <c r="O2663" s="197"/>
    </row>
    <row r="2664" spans="1:15">
      <c r="A2664" s="326" t="s">
        <v>137</v>
      </c>
      <c r="B2664" s="326" t="s">
        <v>138</v>
      </c>
      <c r="C2664" s="244" t="s">
        <v>96</v>
      </c>
      <c r="D2664" s="279" t="s">
        <v>996</v>
      </c>
      <c r="E2664" s="244" t="s">
        <v>3015</v>
      </c>
      <c r="F2664" s="227" t="s">
        <v>407</v>
      </c>
      <c r="G2664" s="305">
        <v>-183.75</v>
      </c>
      <c r="H2664" s="305">
        <v>-183.75</v>
      </c>
      <c r="I2664" s="244" t="s">
        <v>96</v>
      </c>
      <c r="J2664" s="244" t="s">
        <v>162</v>
      </c>
      <c r="K2664" s="327" t="s">
        <v>195</v>
      </c>
      <c r="L2664" s="197"/>
      <c r="M2664" s="197"/>
      <c r="N2664" s="197"/>
      <c r="O2664" s="197"/>
    </row>
    <row r="2665" spans="1:15" ht="25.5">
      <c r="A2665" s="288" t="s">
        <v>232</v>
      </c>
      <c r="B2665" s="244" t="s">
        <v>138</v>
      </c>
      <c r="C2665" s="244" t="s">
        <v>973</v>
      </c>
      <c r="D2665" s="329" t="s">
        <v>1117</v>
      </c>
      <c r="E2665" s="267" t="s">
        <v>3016</v>
      </c>
      <c r="F2665" s="280" t="s">
        <v>268</v>
      </c>
      <c r="G2665" s="317">
        <v>-158.4</v>
      </c>
      <c r="H2665" s="305">
        <v>-158.4</v>
      </c>
      <c r="I2665" s="250" t="s">
        <v>96</v>
      </c>
      <c r="J2665" s="269" t="s">
        <v>164</v>
      </c>
      <c r="K2665" s="330" t="s">
        <v>2576</v>
      </c>
      <c r="L2665" s="197"/>
      <c r="M2665" s="197"/>
      <c r="N2665" s="197"/>
      <c r="O2665" s="197"/>
    </row>
    <row r="2666" spans="1:15">
      <c r="A2666" s="326" t="s">
        <v>137</v>
      </c>
      <c r="B2666" s="326" t="s">
        <v>138</v>
      </c>
      <c r="C2666" s="244" t="s">
        <v>973</v>
      </c>
      <c r="D2666" s="279" t="s">
        <v>996</v>
      </c>
      <c r="E2666" s="244" t="s">
        <v>3017</v>
      </c>
      <c r="F2666" s="227" t="s">
        <v>407</v>
      </c>
      <c r="G2666" s="305">
        <v>-20</v>
      </c>
      <c r="H2666" s="305">
        <v>-20</v>
      </c>
      <c r="I2666" s="244" t="s">
        <v>96</v>
      </c>
      <c r="J2666" s="244" t="s">
        <v>422</v>
      </c>
      <c r="K2666" s="327" t="s">
        <v>195</v>
      </c>
      <c r="L2666" s="197"/>
      <c r="M2666" s="197"/>
      <c r="N2666" s="197"/>
      <c r="O2666" s="197"/>
    </row>
    <row r="2667" spans="1:15">
      <c r="A2667" s="326" t="s">
        <v>137</v>
      </c>
      <c r="B2667" s="326" t="s">
        <v>138</v>
      </c>
      <c r="C2667" s="244" t="s">
        <v>96</v>
      </c>
      <c r="D2667" s="244" t="s">
        <v>3018</v>
      </c>
      <c r="E2667" s="244" t="s">
        <v>3019</v>
      </c>
      <c r="F2667" s="227" t="s">
        <v>407</v>
      </c>
      <c r="G2667" s="305">
        <v>-60</v>
      </c>
      <c r="H2667" s="305">
        <v>-60</v>
      </c>
      <c r="I2667" s="244" t="s">
        <v>96</v>
      </c>
      <c r="J2667" s="244" t="s">
        <v>206</v>
      </c>
      <c r="K2667" s="327" t="s">
        <v>195</v>
      </c>
      <c r="L2667" s="197"/>
      <c r="M2667" s="197"/>
      <c r="N2667" s="197"/>
      <c r="O2667" s="197"/>
    </row>
    <row r="2668" spans="1:15">
      <c r="A2668" s="326" t="s">
        <v>137</v>
      </c>
      <c r="B2668" s="326" t="s">
        <v>138</v>
      </c>
      <c r="C2668" s="244" t="s">
        <v>96</v>
      </c>
      <c r="D2668" s="244" t="s">
        <v>2603</v>
      </c>
      <c r="E2668" s="244" t="s">
        <v>3020</v>
      </c>
      <c r="F2668" s="227" t="s">
        <v>407</v>
      </c>
      <c r="G2668" s="305">
        <v>-119.9</v>
      </c>
      <c r="H2668" s="305">
        <v>-119.9</v>
      </c>
      <c r="I2668" s="244" t="s">
        <v>96</v>
      </c>
      <c r="J2668" s="244" t="s">
        <v>206</v>
      </c>
      <c r="K2668" s="327" t="s">
        <v>195</v>
      </c>
      <c r="L2668" s="197"/>
      <c r="M2668" s="197"/>
      <c r="N2668" s="197"/>
      <c r="O2668" s="197"/>
    </row>
    <row r="2669" spans="1:15">
      <c r="A2669" s="326" t="s">
        <v>137</v>
      </c>
      <c r="B2669" s="326" t="s">
        <v>138</v>
      </c>
      <c r="C2669" s="244" t="s">
        <v>96</v>
      </c>
      <c r="D2669" s="244" t="s">
        <v>1867</v>
      </c>
      <c r="E2669" s="244" t="s">
        <v>3021</v>
      </c>
      <c r="F2669" s="227" t="s">
        <v>407</v>
      </c>
      <c r="G2669" s="305">
        <v>-1400</v>
      </c>
      <c r="H2669" s="305">
        <v>-1400</v>
      </c>
      <c r="I2669" s="244" t="s">
        <v>96</v>
      </c>
      <c r="J2669" s="244" t="s">
        <v>143</v>
      </c>
      <c r="K2669" s="233"/>
      <c r="L2669" s="197"/>
      <c r="M2669" s="197"/>
      <c r="N2669" s="197"/>
      <c r="O2669" s="197"/>
    </row>
    <row r="2670" spans="1:15">
      <c r="A2670" s="326" t="s">
        <v>137</v>
      </c>
      <c r="B2670" s="326" t="s">
        <v>138</v>
      </c>
      <c r="C2670" s="244" t="s">
        <v>96</v>
      </c>
      <c r="D2670" s="244" t="s">
        <v>2218</v>
      </c>
      <c r="E2670" s="244" t="s">
        <v>3022</v>
      </c>
      <c r="F2670" s="227" t="s">
        <v>407</v>
      </c>
      <c r="G2670" s="305">
        <v>-3357.92</v>
      </c>
      <c r="H2670" s="305">
        <v>-3357.92</v>
      </c>
      <c r="I2670" s="244" t="s">
        <v>96</v>
      </c>
      <c r="J2670" s="244" t="s">
        <v>192</v>
      </c>
      <c r="K2670" s="233"/>
      <c r="L2670" s="197"/>
      <c r="M2670" s="197"/>
      <c r="N2670" s="197"/>
      <c r="O2670" s="197"/>
    </row>
    <row r="2671" spans="1:15" ht="25.5">
      <c r="A2671" s="288" t="s">
        <v>232</v>
      </c>
      <c r="B2671" s="244" t="s">
        <v>138</v>
      </c>
      <c r="C2671" s="244" t="s">
        <v>973</v>
      </c>
      <c r="D2671" s="329" t="s">
        <v>1117</v>
      </c>
      <c r="E2671" s="267" t="s">
        <v>3016</v>
      </c>
      <c r="F2671" s="280" t="s">
        <v>268</v>
      </c>
      <c r="G2671" s="317">
        <v>-158.38999999999999</v>
      </c>
      <c r="H2671" s="305">
        <v>-158.38999999999999</v>
      </c>
      <c r="I2671" s="250" t="s">
        <v>96</v>
      </c>
      <c r="J2671" s="269" t="s">
        <v>143</v>
      </c>
      <c r="K2671" s="330" t="s">
        <v>2576</v>
      </c>
      <c r="L2671" s="197"/>
      <c r="M2671" s="197"/>
      <c r="N2671" s="197"/>
      <c r="O2671" s="197"/>
    </row>
    <row r="2672" spans="1:15">
      <c r="A2672" s="288" t="s">
        <v>232</v>
      </c>
      <c r="B2672" s="244" t="s">
        <v>138</v>
      </c>
      <c r="C2672" s="244" t="s">
        <v>973</v>
      </c>
      <c r="D2672" s="244" t="s">
        <v>1124</v>
      </c>
      <c r="E2672" s="267" t="s">
        <v>3023</v>
      </c>
      <c r="F2672" s="280" t="s">
        <v>268</v>
      </c>
      <c r="G2672" s="317">
        <v>-58.65</v>
      </c>
      <c r="H2672" s="305">
        <v>-58.65</v>
      </c>
      <c r="I2672" s="250" t="s">
        <v>96</v>
      </c>
      <c r="J2672" s="269" t="s">
        <v>422</v>
      </c>
      <c r="K2672" s="330" t="s">
        <v>2576</v>
      </c>
      <c r="L2672" s="197"/>
      <c r="M2672" s="197"/>
      <c r="N2672" s="197"/>
      <c r="O2672" s="197"/>
    </row>
    <row r="2673" spans="1:15">
      <c r="A2673" s="326" t="s">
        <v>232</v>
      </c>
      <c r="B2673" s="326" t="s">
        <v>138</v>
      </c>
      <c r="C2673" s="244" t="s">
        <v>973</v>
      </c>
      <c r="D2673" s="244" t="s">
        <v>3024</v>
      </c>
      <c r="E2673" s="244" t="s">
        <v>3025</v>
      </c>
      <c r="F2673" s="227" t="s">
        <v>407</v>
      </c>
      <c r="G2673" s="305">
        <v>-58.03</v>
      </c>
      <c r="H2673" s="305">
        <v>-58.03</v>
      </c>
      <c r="I2673" s="244" t="s">
        <v>96</v>
      </c>
      <c r="J2673" s="244" t="s">
        <v>422</v>
      </c>
      <c r="K2673" s="327" t="s">
        <v>195</v>
      </c>
      <c r="L2673" s="197"/>
      <c r="M2673" s="197"/>
      <c r="N2673" s="197"/>
      <c r="O2673" s="197"/>
    </row>
    <row r="2674" spans="1:15" ht="25.5">
      <c r="A2674" s="288" t="s">
        <v>232</v>
      </c>
      <c r="B2674" s="244" t="s">
        <v>138</v>
      </c>
      <c r="C2674" s="244" t="s">
        <v>973</v>
      </c>
      <c r="D2674" s="244" t="s">
        <v>3026</v>
      </c>
      <c r="E2674" s="267" t="s">
        <v>3027</v>
      </c>
      <c r="F2674" s="280" t="s">
        <v>268</v>
      </c>
      <c r="G2674" s="317">
        <v>-27.39</v>
      </c>
      <c r="H2674" s="305">
        <v>-27.39</v>
      </c>
      <c r="I2674" s="250" t="s">
        <v>96</v>
      </c>
      <c r="J2674" s="250" t="s">
        <v>2109</v>
      </c>
      <c r="K2674" s="330" t="s">
        <v>2576</v>
      </c>
      <c r="L2674" s="197"/>
      <c r="M2674" s="197"/>
      <c r="N2674" s="197"/>
      <c r="O2674" s="197"/>
    </row>
    <row r="2675" spans="1:15">
      <c r="A2675" s="326" t="s">
        <v>137</v>
      </c>
      <c r="B2675" s="326" t="s">
        <v>138</v>
      </c>
      <c r="C2675" s="244" t="s">
        <v>973</v>
      </c>
      <c r="D2675" s="244" t="s">
        <v>1121</v>
      </c>
      <c r="E2675" s="279" t="s">
        <v>3028</v>
      </c>
      <c r="F2675" s="227" t="s">
        <v>407</v>
      </c>
      <c r="G2675" s="305">
        <v>-152.93</v>
      </c>
      <c r="H2675" s="305">
        <v>-152.93</v>
      </c>
      <c r="I2675" s="244" t="s">
        <v>96</v>
      </c>
      <c r="J2675" s="244" t="s">
        <v>206</v>
      </c>
      <c r="K2675" s="233"/>
      <c r="L2675" s="197"/>
      <c r="M2675" s="197"/>
      <c r="N2675" s="197"/>
      <c r="O2675" s="197"/>
    </row>
    <row r="2676" spans="1:15">
      <c r="A2676" s="326" t="s">
        <v>137</v>
      </c>
      <c r="B2676" s="326" t="s">
        <v>138</v>
      </c>
      <c r="C2676" s="244" t="s">
        <v>973</v>
      </c>
      <c r="D2676" s="244" t="s">
        <v>1121</v>
      </c>
      <c r="E2676" s="279" t="s">
        <v>3028</v>
      </c>
      <c r="F2676" s="227" t="s">
        <v>407</v>
      </c>
      <c r="G2676" s="305">
        <v>-564.9</v>
      </c>
      <c r="H2676" s="305">
        <v>-564.9</v>
      </c>
      <c r="I2676" s="244" t="s">
        <v>96</v>
      </c>
      <c r="J2676" s="244" t="s">
        <v>164</v>
      </c>
      <c r="K2676" s="233"/>
      <c r="L2676" s="197"/>
      <c r="M2676" s="197"/>
      <c r="N2676" s="197"/>
      <c r="O2676" s="197"/>
    </row>
    <row r="2677" spans="1:15">
      <c r="A2677" s="326" t="s">
        <v>137</v>
      </c>
      <c r="B2677" s="326" t="s">
        <v>138</v>
      </c>
      <c r="C2677" s="244" t="s">
        <v>973</v>
      </c>
      <c r="D2677" s="244" t="s">
        <v>1121</v>
      </c>
      <c r="E2677" s="244" t="s">
        <v>3029</v>
      </c>
      <c r="F2677" s="227" t="s">
        <v>407</v>
      </c>
      <c r="G2677" s="305">
        <v>-10.64</v>
      </c>
      <c r="H2677" s="305">
        <v>-10.64</v>
      </c>
      <c r="I2677" s="244" t="s">
        <v>96</v>
      </c>
      <c r="J2677" s="244" t="s">
        <v>206</v>
      </c>
      <c r="K2677" s="233"/>
      <c r="L2677" s="197"/>
      <c r="M2677" s="197"/>
      <c r="N2677" s="197"/>
      <c r="O2677" s="197"/>
    </row>
    <row r="2678" spans="1:15">
      <c r="A2678" s="326" t="s">
        <v>137</v>
      </c>
      <c r="B2678" s="326" t="s">
        <v>138</v>
      </c>
      <c r="C2678" s="244" t="s">
        <v>973</v>
      </c>
      <c r="D2678" s="244" t="s">
        <v>1121</v>
      </c>
      <c r="E2678" s="244" t="s">
        <v>3029</v>
      </c>
      <c r="F2678" s="227" t="s">
        <v>407</v>
      </c>
      <c r="G2678" s="305">
        <v>-39.31</v>
      </c>
      <c r="H2678" s="305">
        <v>-39.31</v>
      </c>
      <c r="I2678" s="244" t="s">
        <v>96</v>
      </c>
      <c r="J2678" s="244" t="s">
        <v>164</v>
      </c>
      <c r="K2678" s="233"/>
      <c r="L2678" s="197"/>
      <c r="M2678" s="197"/>
      <c r="N2678" s="197"/>
      <c r="O2678" s="197"/>
    </row>
    <row r="2679" spans="1:15">
      <c r="A2679" s="326" t="s">
        <v>232</v>
      </c>
      <c r="B2679" s="326" t="s">
        <v>138</v>
      </c>
      <c r="C2679" s="244" t="s">
        <v>973</v>
      </c>
      <c r="D2679" s="244" t="s">
        <v>3026</v>
      </c>
      <c r="E2679" s="244" t="s">
        <v>3030</v>
      </c>
      <c r="F2679" s="227" t="s">
        <v>407</v>
      </c>
      <c r="G2679" s="305">
        <v>-27.91</v>
      </c>
      <c r="H2679" s="305">
        <v>-27.91</v>
      </c>
      <c r="I2679" s="244" t="s">
        <v>96</v>
      </c>
      <c r="J2679" s="244" t="s">
        <v>2610</v>
      </c>
      <c r="K2679" s="327" t="s">
        <v>195</v>
      </c>
      <c r="L2679" s="197"/>
      <c r="M2679" s="197"/>
      <c r="N2679" s="197"/>
      <c r="O2679" s="197"/>
    </row>
    <row r="2680" spans="1:15">
      <c r="A2680" s="326" t="s">
        <v>209</v>
      </c>
      <c r="B2680" s="326" t="s">
        <v>138</v>
      </c>
      <c r="C2680" s="244" t="s">
        <v>96</v>
      </c>
      <c r="D2680" s="244" t="s">
        <v>1129</v>
      </c>
      <c r="E2680" s="244" t="s">
        <v>3031</v>
      </c>
      <c r="F2680" s="227" t="s">
        <v>407</v>
      </c>
      <c r="G2680" s="305">
        <v>-40</v>
      </c>
      <c r="H2680" s="305">
        <v>-40</v>
      </c>
      <c r="I2680" s="244" t="s">
        <v>96</v>
      </c>
      <c r="J2680" s="244" t="s">
        <v>2060</v>
      </c>
      <c r="K2680" s="233"/>
      <c r="L2680" s="197"/>
      <c r="M2680" s="197"/>
      <c r="N2680" s="197"/>
      <c r="O2680" s="197"/>
    </row>
    <row r="2681" spans="1:15">
      <c r="A2681" s="326" t="s">
        <v>137</v>
      </c>
      <c r="B2681" s="326" t="s">
        <v>138</v>
      </c>
      <c r="C2681" s="244" t="s">
        <v>96</v>
      </c>
      <c r="D2681" s="244" t="s">
        <v>3032</v>
      </c>
      <c r="E2681" s="244" t="s">
        <v>3033</v>
      </c>
      <c r="F2681" s="227" t="s">
        <v>407</v>
      </c>
      <c r="G2681" s="305">
        <v>-35.9</v>
      </c>
      <c r="H2681" s="305">
        <v>-35.9</v>
      </c>
      <c r="I2681" s="244" t="s">
        <v>96</v>
      </c>
      <c r="J2681" s="244" t="s">
        <v>422</v>
      </c>
      <c r="K2681" s="327" t="s">
        <v>195</v>
      </c>
      <c r="L2681" s="197"/>
      <c r="M2681" s="197"/>
      <c r="N2681" s="197"/>
      <c r="O2681" s="197"/>
    </row>
    <row r="2682" spans="1:15">
      <c r="A2682" s="326" t="s">
        <v>137</v>
      </c>
      <c r="B2682" s="326" t="s">
        <v>138</v>
      </c>
      <c r="C2682" s="244" t="s">
        <v>973</v>
      </c>
      <c r="D2682" s="244" t="s">
        <v>2612</v>
      </c>
      <c r="E2682" s="244" t="s">
        <v>3034</v>
      </c>
      <c r="F2682" s="227" t="s">
        <v>407</v>
      </c>
      <c r="G2682" s="305">
        <v>-40</v>
      </c>
      <c r="H2682" s="305">
        <v>-40</v>
      </c>
      <c r="I2682" s="244" t="s">
        <v>96</v>
      </c>
      <c r="J2682" s="244" t="s">
        <v>964</v>
      </c>
      <c r="K2682" s="233"/>
      <c r="L2682" s="197"/>
      <c r="M2682" s="197"/>
      <c r="N2682" s="197"/>
      <c r="O2682" s="197"/>
    </row>
    <row r="2683" spans="1:15">
      <c r="A2683" s="326" t="s">
        <v>137</v>
      </c>
      <c r="B2683" s="326" t="s">
        <v>138</v>
      </c>
      <c r="C2683" s="244" t="s">
        <v>973</v>
      </c>
      <c r="D2683" s="244" t="s">
        <v>2612</v>
      </c>
      <c r="E2683" s="244" t="s">
        <v>3035</v>
      </c>
      <c r="F2683" s="227" t="s">
        <v>407</v>
      </c>
      <c r="G2683" s="305">
        <v>-40</v>
      </c>
      <c r="H2683" s="305">
        <v>-40</v>
      </c>
      <c r="I2683" s="244" t="s">
        <v>96</v>
      </c>
      <c r="J2683" s="244" t="s">
        <v>964</v>
      </c>
      <c r="K2683" s="233"/>
      <c r="L2683" s="197"/>
      <c r="M2683" s="197"/>
      <c r="N2683" s="197"/>
      <c r="O2683" s="197"/>
    </row>
    <row r="2684" spans="1:15">
      <c r="A2684" s="326" t="s">
        <v>137</v>
      </c>
      <c r="B2684" s="326" t="s">
        <v>138</v>
      </c>
      <c r="C2684" s="244" t="s">
        <v>96</v>
      </c>
      <c r="D2684" s="244" t="s">
        <v>2108</v>
      </c>
      <c r="E2684" s="244" t="s">
        <v>3036</v>
      </c>
      <c r="F2684" s="227" t="s">
        <v>407</v>
      </c>
      <c r="G2684" s="305">
        <v>-1593.15</v>
      </c>
      <c r="H2684" s="305">
        <v>-1593.15</v>
      </c>
      <c r="I2684" s="244" t="s">
        <v>96</v>
      </c>
      <c r="J2684" s="244" t="s">
        <v>2610</v>
      </c>
      <c r="K2684" s="233"/>
      <c r="L2684" s="197"/>
      <c r="M2684" s="197"/>
      <c r="N2684" s="197"/>
      <c r="O2684" s="197"/>
    </row>
    <row r="2685" spans="1:15">
      <c r="A2685" s="199" t="s">
        <v>243</v>
      </c>
      <c r="B2685" s="288" t="s">
        <v>138</v>
      </c>
      <c r="C2685" s="288" t="s">
        <v>96</v>
      </c>
      <c r="D2685" s="288" t="s">
        <v>1657</v>
      </c>
      <c r="E2685" s="288" t="s">
        <v>3037</v>
      </c>
      <c r="F2685" s="227" t="s">
        <v>407</v>
      </c>
      <c r="G2685" s="258">
        <f>-(1*249.85+3*188.19)</f>
        <v>-814.42</v>
      </c>
      <c r="H2685" s="289">
        <v>-876.1</v>
      </c>
      <c r="I2685" s="250" t="s">
        <v>96</v>
      </c>
      <c r="J2685" s="250" t="s">
        <v>164</v>
      </c>
      <c r="K2685" s="274" t="s">
        <v>195</v>
      </c>
      <c r="L2685" s="197"/>
      <c r="M2685" s="197"/>
      <c r="N2685" s="197"/>
      <c r="O2685" s="197"/>
    </row>
    <row r="2686" spans="1:15">
      <c r="A2686" s="326" t="s">
        <v>137</v>
      </c>
      <c r="B2686" s="326" t="s">
        <v>138</v>
      </c>
      <c r="C2686" s="244" t="s">
        <v>96</v>
      </c>
      <c r="D2686" s="244" t="s">
        <v>362</v>
      </c>
      <c r="E2686" s="244" t="s">
        <v>3038</v>
      </c>
      <c r="F2686" s="227" t="s">
        <v>407</v>
      </c>
      <c r="G2686" s="305">
        <v>-399.99</v>
      </c>
      <c r="H2686" s="305">
        <v>-399.99</v>
      </c>
      <c r="I2686" s="244" t="s">
        <v>96</v>
      </c>
      <c r="J2686" s="244" t="s">
        <v>143</v>
      </c>
      <c r="K2686" s="328"/>
      <c r="L2686" s="197"/>
      <c r="M2686" s="197"/>
      <c r="N2686" s="197"/>
      <c r="O2686" s="197"/>
    </row>
    <row r="2687" spans="1:15" ht="25.5">
      <c r="A2687" s="288" t="s">
        <v>232</v>
      </c>
      <c r="B2687" s="244" t="s">
        <v>138</v>
      </c>
      <c r="C2687" s="244" t="s">
        <v>973</v>
      </c>
      <c r="D2687" s="244" t="s">
        <v>1134</v>
      </c>
      <c r="E2687" s="267" t="s">
        <v>3039</v>
      </c>
      <c r="F2687" s="244" t="s">
        <v>268</v>
      </c>
      <c r="G2687" s="305">
        <v>-750.84</v>
      </c>
      <c r="H2687" s="305">
        <v>-750.84</v>
      </c>
      <c r="I2687" s="250" t="s">
        <v>96</v>
      </c>
      <c r="J2687" s="269" t="s">
        <v>964</v>
      </c>
      <c r="K2687" s="328"/>
      <c r="L2687" s="197"/>
      <c r="M2687" s="197"/>
      <c r="N2687" s="197"/>
      <c r="O2687" s="197"/>
    </row>
    <row r="2688" spans="1:15">
      <c r="A2688" s="326" t="s">
        <v>232</v>
      </c>
      <c r="B2688" s="326" t="s">
        <v>138</v>
      </c>
      <c r="C2688" s="244" t="s">
        <v>973</v>
      </c>
      <c r="D2688" s="244" t="s">
        <v>1134</v>
      </c>
      <c r="E2688" s="244" t="s">
        <v>3040</v>
      </c>
      <c r="F2688" s="227" t="s">
        <v>407</v>
      </c>
      <c r="G2688" s="305">
        <v>-742.22</v>
      </c>
      <c r="H2688" s="305">
        <v>-742.22</v>
      </c>
      <c r="I2688" s="244" t="s">
        <v>96</v>
      </c>
      <c r="J2688" s="244" t="s">
        <v>964</v>
      </c>
      <c r="K2688" s="327" t="s">
        <v>195</v>
      </c>
      <c r="L2688" s="197"/>
      <c r="M2688" s="197"/>
      <c r="N2688" s="197"/>
      <c r="O2688" s="197"/>
    </row>
    <row r="2689" spans="1:15">
      <c r="A2689" s="288" t="s">
        <v>232</v>
      </c>
      <c r="B2689" s="244" t="s">
        <v>138</v>
      </c>
      <c r="C2689" s="244" t="s">
        <v>973</v>
      </c>
      <c r="D2689" s="244" t="s">
        <v>1139</v>
      </c>
      <c r="E2689" s="267" t="s">
        <v>3041</v>
      </c>
      <c r="F2689" s="280" t="s">
        <v>268</v>
      </c>
      <c r="G2689" s="317">
        <v>-55.72</v>
      </c>
      <c r="H2689" s="305">
        <v>-55.72</v>
      </c>
      <c r="I2689" s="250" t="s">
        <v>96</v>
      </c>
      <c r="J2689" s="269" t="s">
        <v>422</v>
      </c>
      <c r="K2689" s="330" t="s">
        <v>2576</v>
      </c>
      <c r="L2689" s="197"/>
      <c r="M2689" s="197"/>
      <c r="N2689" s="197"/>
      <c r="O2689" s="197"/>
    </row>
    <row r="2690" spans="1:15">
      <c r="A2690" s="326" t="s">
        <v>232</v>
      </c>
      <c r="B2690" s="326" t="s">
        <v>138</v>
      </c>
      <c r="C2690" s="244" t="s">
        <v>973</v>
      </c>
      <c r="D2690" s="244" t="s">
        <v>1139</v>
      </c>
      <c r="E2690" s="244" t="s">
        <v>3042</v>
      </c>
      <c r="F2690" s="227" t="s">
        <v>407</v>
      </c>
      <c r="G2690" s="305">
        <v>-54.64</v>
      </c>
      <c r="H2690" s="305">
        <v>-54.64</v>
      </c>
      <c r="I2690" s="244" t="s">
        <v>96</v>
      </c>
      <c r="J2690" s="244" t="s">
        <v>422</v>
      </c>
      <c r="K2690" s="327" t="s">
        <v>195</v>
      </c>
      <c r="L2690" s="197"/>
      <c r="M2690" s="197"/>
      <c r="N2690" s="197"/>
      <c r="O2690" s="197"/>
    </row>
    <row r="2691" spans="1:15" ht="25.5">
      <c r="A2691" s="288" t="s">
        <v>232</v>
      </c>
      <c r="B2691" s="244" t="s">
        <v>138</v>
      </c>
      <c r="C2691" s="244" t="s">
        <v>973</v>
      </c>
      <c r="D2691" s="244" t="s">
        <v>1908</v>
      </c>
      <c r="E2691" s="267" t="s">
        <v>3043</v>
      </c>
      <c r="F2691" s="244" t="s">
        <v>268</v>
      </c>
      <c r="G2691" s="305">
        <v>-440.86</v>
      </c>
      <c r="H2691" s="305">
        <v>-440.86</v>
      </c>
      <c r="I2691" s="250" t="s">
        <v>96</v>
      </c>
      <c r="J2691" s="269" t="s">
        <v>164</v>
      </c>
      <c r="K2691" s="328"/>
      <c r="L2691" s="197"/>
      <c r="M2691" s="197"/>
      <c r="N2691" s="197"/>
      <c r="O2691" s="197"/>
    </row>
    <row r="2692" spans="1:15">
      <c r="A2692" s="326" t="s">
        <v>232</v>
      </c>
      <c r="B2692" s="326" t="s">
        <v>138</v>
      </c>
      <c r="C2692" s="244" t="s">
        <v>973</v>
      </c>
      <c r="D2692" s="244" t="s">
        <v>1908</v>
      </c>
      <c r="E2692" s="244" t="s">
        <v>3044</v>
      </c>
      <c r="F2692" s="227" t="s">
        <v>407</v>
      </c>
      <c r="G2692" s="305">
        <v>-531.32000000000005</v>
      </c>
      <c r="H2692" s="305">
        <v>-531.32000000000005</v>
      </c>
      <c r="I2692" s="244" t="s">
        <v>96</v>
      </c>
      <c r="J2692" s="244" t="s">
        <v>164</v>
      </c>
      <c r="K2692" s="227" t="s">
        <v>195</v>
      </c>
      <c r="L2692" s="197"/>
      <c r="M2692" s="197"/>
      <c r="N2692" s="197"/>
      <c r="O2692" s="197"/>
    </row>
    <row r="2693" spans="1:15">
      <c r="A2693" s="326" t="s">
        <v>137</v>
      </c>
      <c r="B2693" s="326" t="s">
        <v>138</v>
      </c>
      <c r="C2693" s="244" t="s">
        <v>96</v>
      </c>
      <c r="D2693" s="244" t="s">
        <v>1034</v>
      </c>
      <c r="E2693" s="244" t="s">
        <v>3045</v>
      </c>
      <c r="F2693" s="227" t="s">
        <v>407</v>
      </c>
      <c r="G2693" s="305">
        <v>-225</v>
      </c>
      <c r="H2693" s="305">
        <v>-225</v>
      </c>
      <c r="I2693" s="244" t="s">
        <v>96</v>
      </c>
      <c r="J2693" s="244" t="s">
        <v>192</v>
      </c>
      <c r="K2693" s="233"/>
      <c r="L2693" s="197"/>
      <c r="M2693" s="197"/>
      <c r="N2693" s="197"/>
      <c r="O2693" s="197"/>
    </row>
    <row r="2694" spans="1:15">
      <c r="A2694" s="326" t="s">
        <v>137</v>
      </c>
      <c r="B2694" s="326" t="s">
        <v>138</v>
      </c>
      <c r="C2694" s="244" t="s">
        <v>96</v>
      </c>
      <c r="D2694" s="244" t="s">
        <v>1034</v>
      </c>
      <c r="E2694" s="244" t="s">
        <v>3045</v>
      </c>
      <c r="F2694" s="227" t="s">
        <v>407</v>
      </c>
      <c r="G2694" s="305">
        <v>-225</v>
      </c>
      <c r="H2694" s="305">
        <v>-225</v>
      </c>
      <c r="I2694" s="244" t="s">
        <v>96</v>
      </c>
      <c r="J2694" s="189" t="s">
        <v>159</v>
      </c>
      <c r="K2694" s="233"/>
      <c r="L2694" s="197"/>
      <c r="M2694" s="197"/>
      <c r="N2694" s="197"/>
      <c r="O2694" s="197"/>
    </row>
    <row r="2695" spans="1:15">
      <c r="A2695" s="326" t="s">
        <v>137</v>
      </c>
      <c r="B2695" s="326" t="s">
        <v>138</v>
      </c>
      <c r="C2695" s="244" t="s">
        <v>96</v>
      </c>
      <c r="D2695" s="244" t="s">
        <v>1038</v>
      </c>
      <c r="E2695" s="244" t="s">
        <v>3046</v>
      </c>
      <c r="F2695" s="227" t="s">
        <v>407</v>
      </c>
      <c r="G2695" s="305">
        <v>-95.13</v>
      </c>
      <c r="H2695" s="305">
        <v>-95.13</v>
      </c>
      <c r="I2695" s="244" t="s">
        <v>96</v>
      </c>
      <c r="J2695" s="189" t="s">
        <v>316</v>
      </c>
      <c r="K2695" s="233"/>
      <c r="L2695" s="197"/>
      <c r="M2695" s="197"/>
      <c r="N2695" s="197"/>
      <c r="O2695" s="197"/>
    </row>
    <row r="2696" spans="1:15">
      <c r="A2696" s="326" t="s">
        <v>137</v>
      </c>
      <c r="B2696" s="326" t="s">
        <v>138</v>
      </c>
      <c r="C2696" s="244" t="s">
        <v>96</v>
      </c>
      <c r="D2696" s="244" t="s">
        <v>1038</v>
      </c>
      <c r="E2696" s="244" t="s">
        <v>3046</v>
      </c>
      <c r="F2696" s="227" t="s">
        <v>407</v>
      </c>
      <c r="G2696" s="305">
        <v>-3219.53</v>
      </c>
      <c r="H2696" s="305">
        <v>-3219.53</v>
      </c>
      <c r="I2696" s="244" t="s">
        <v>96</v>
      </c>
      <c r="J2696" s="244" t="s">
        <v>143</v>
      </c>
      <c r="K2696" s="328"/>
      <c r="L2696" s="197"/>
      <c r="M2696" s="197"/>
      <c r="N2696" s="197"/>
      <c r="O2696" s="197"/>
    </row>
    <row r="2697" spans="1:15">
      <c r="A2697" s="326" t="s">
        <v>232</v>
      </c>
      <c r="B2697" s="326" t="s">
        <v>138</v>
      </c>
      <c r="C2697" s="244" t="s">
        <v>973</v>
      </c>
      <c r="D2697" s="244" t="s">
        <v>1148</v>
      </c>
      <c r="E2697" s="244" t="s">
        <v>3047</v>
      </c>
      <c r="F2697" s="227" t="s">
        <v>407</v>
      </c>
      <c r="G2697" s="305">
        <v>-376.94</v>
      </c>
      <c r="H2697" s="305">
        <v>-376.94</v>
      </c>
      <c r="I2697" s="244" t="s">
        <v>96</v>
      </c>
      <c r="J2697" s="244" t="s">
        <v>162</v>
      </c>
      <c r="K2697" s="227" t="s">
        <v>195</v>
      </c>
      <c r="L2697" s="197"/>
      <c r="M2697" s="197"/>
      <c r="N2697" s="197"/>
      <c r="O2697" s="197"/>
    </row>
    <row r="2698" spans="1:15">
      <c r="A2698" s="326" t="s">
        <v>137</v>
      </c>
      <c r="B2698" s="326" t="s">
        <v>138</v>
      </c>
      <c r="C2698" s="244" t="s">
        <v>96</v>
      </c>
      <c r="D2698" s="244" t="s">
        <v>2241</v>
      </c>
      <c r="E2698" s="244" t="s">
        <v>3048</v>
      </c>
      <c r="F2698" s="227" t="s">
        <v>407</v>
      </c>
      <c r="G2698" s="305">
        <v>-2744.93</v>
      </c>
      <c r="H2698" s="305">
        <v>-2744.93</v>
      </c>
      <c r="I2698" s="244" t="s">
        <v>96</v>
      </c>
      <c r="J2698" s="244" t="s">
        <v>476</v>
      </c>
      <c r="K2698" s="328"/>
      <c r="L2698" s="197"/>
      <c r="M2698" s="197"/>
      <c r="N2698" s="197"/>
      <c r="O2698" s="197"/>
    </row>
    <row r="2699" spans="1:15" ht="25.5">
      <c r="A2699" s="288" t="s">
        <v>232</v>
      </c>
      <c r="B2699" s="244" t="s">
        <v>138</v>
      </c>
      <c r="C2699" s="244" t="s">
        <v>973</v>
      </c>
      <c r="D2699" s="244" t="s">
        <v>1153</v>
      </c>
      <c r="E2699" s="267" t="s">
        <v>3049</v>
      </c>
      <c r="F2699" s="280" t="s">
        <v>268</v>
      </c>
      <c r="G2699" s="317">
        <v>-257.14</v>
      </c>
      <c r="H2699" s="305">
        <v>-257.14</v>
      </c>
      <c r="I2699" s="250" t="s">
        <v>96</v>
      </c>
      <c r="J2699" s="269" t="s">
        <v>162</v>
      </c>
      <c r="K2699" s="330" t="s">
        <v>2576</v>
      </c>
      <c r="L2699" s="197"/>
      <c r="M2699" s="197"/>
      <c r="N2699" s="197"/>
      <c r="O2699" s="197"/>
    </row>
    <row r="2700" spans="1:15" ht="25.5">
      <c r="A2700" s="288" t="s">
        <v>232</v>
      </c>
      <c r="B2700" s="244" t="s">
        <v>138</v>
      </c>
      <c r="C2700" s="244" t="s">
        <v>973</v>
      </c>
      <c r="D2700" s="244" t="s">
        <v>1153</v>
      </c>
      <c r="E2700" s="267" t="s">
        <v>3050</v>
      </c>
      <c r="F2700" s="244" t="s">
        <v>268</v>
      </c>
      <c r="G2700" s="305">
        <v>-109.83</v>
      </c>
      <c r="H2700" s="305">
        <v>-109.83</v>
      </c>
      <c r="I2700" s="250" t="s">
        <v>96</v>
      </c>
      <c r="J2700" s="269" t="s">
        <v>162</v>
      </c>
      <c r="K2700" s="233"/>
      <c r="L2700" s="197"/>
      <c r="M2700" s="197"/>
      <c r="N2700" s="197"/>
      <c r="O2700" s="197"/>
    </row>
    <row r="2701" spans="1:15">
      <c r="A2701" s="326" t="s">
        <v>137</v>
      </c>
      <c r="B2701" s="326" t="s">
        <v>138</v>
      </c>
      <c r="C2701" s="244" t="s">
        <v>973</v>
      </c>
      <c r="D2701" s="244" t="s">
        <v>3051</v>
      </c>
      <c r="E2701" s="244" t="s">
        <v>3052</v>
      </c>
      <c r="F2701" s="227" t="s">
        <v>407</v>
      </c>
      <c r="G2701" s="305">
        <v>-564.1</v>
      </c>
      <c r="H2701" s="305">
        <v>-564.1</v>
      </c>
      <c r="I2701" s="244" t="s">
        <v>96</v>
      </c>
      <c r="J2701" s="244" t="s">
        <v>206</v>
      </c>
      <c r="K2701" s="328"/>
      <c r="L2701" s="197"/>
      <c r="M2701" s="197"/>
      <c r="N2701" s="197"/>
      <c r="O2701" s="197"/>
    </row>
    <row r="2702" spans="1:15">
      <c r="A2702" s="326" t="s">
        <v>232</v>
      </c>
      <c r="B2702" s="326" t="s">
        <v>138</v>
      </c>
      <c r="C2702" s="244" t="s">
        <v>973</v>
      </c>
      <c r="D2702" s="279" t="s">
        <v>1153</v>
      </c>
      <c r="E2702" s="244" t="s">
        <v>3053</v>
      </c>
      <c r="F2702" s="227" t="s">
        <v>407</v>
      </c>
      <c r="G2702" s="305">
        <v>-109.71</v>
      </c>
      <c r="H2702" s="305">
        <v>-109.71</v>
      </c>
      <c r="I2702" s="244" t="s">
        <v>96</v>
      </c>
      <c r="J2702" s="244" t="s">
        <v>162</v>
      </c>
      <c r="K2702" s="327" t="s">
        <v>195</v>
      </c>
      <c r="L2702" s="197"/>
      <c r="M2702" s="197"/>
      <c r="N2702" s="197"/>
      <c r="O2702" s="197"/>
    </row>
    <row r="2703" spans="1:15">
      <c r="A2703" s="326" t="s">
        <v>232</v>
      </c>
      <c r="B2703" s="326" t="s">
        <v>138</v>
      </c>
      <c r="C2703" s="244" t="s">
        <v>106</v>
      </c>
      <c r="D2703" s="244" t="s">
        <v>655</v>
      </c>
      <c r="E2703" s="244" t="s">
        <v>3054</v>
      </c>
      <c r="F2703" s="227" t="s">
        <v>407</v>
      </c>
      <c r="G2703" s="305">
        <v>-23.27</v>
      </c>
      <c r="H2703" s="305">
        <v>-23.27</v>
      </c>
      <c r="I2703" s="244" t="s">
        <v>106</v>
      </c>
      <c r="J2703" s="244" t="s">
        <v>164</v>
      </c>
      <c r="K2703" s="233"/>
      <c r="L2703" s="197"/>
      <c r="M2703" s="197"/>
      <c r="N2703" s="197"/>
      <c r="O2703" s="197"/>
    </row>
    <row r="2704" spans="1:15">
      <c r="A2704" s="326" t="s">
        <v>232</v>
      </c>
      <c r="B2704" s="326" t="s">
        <v>138</v>
      </c>
      <c r="C2704" s="244" t="s">
        <v>106</v>
      </c>
      <c r="D2704" s="244" t="s">
        <v>655</v>
      </c>
      <c r="E2704" s="244" t="s">
        <v>3055</v>
      </c>
      <c r="F2704" s="227" t="s">
        <v>407</v>
      </c>
      <c r="G2704" s="305">
        <v>-0.5</v>
      </c>
      <c r="H2704" s="305">
        <v>-0.5</v>
      </c>
      <c r="I2704" s="244" t="s">
        <v>106</v>
      </c>
      <c r="J2704" s="244" t="s">
        <v>164</v>
      </c>
      <c r="K2704" s="233"/>
      <c r="L2704" s="197"/>
      <c r="M2704" s="197"/>
      <c r="N2704" s="197"/>
      <c r="O2704" s="197"/>
    </row>
    <row r="2705" spans="1:15">
      <c r="A2705" s="326" t="s">
        <v>232</v>
      </c>
      <c r="B2705" s="326" t="s">
        <v>138</v>
      </c>
      <c r="C2705" s="244" t="s">
        <v>106</v>
      </c>
      <c r="D2705" s="244" t="s">
        <v>655</v>
      </c>
      <c r="E2705" s="244" t="s">
        <v>3056</v>
      </c>
      <c r="F2705" s="227" t="s">
        <v>407</v>
      </c>
      <c r="G2705" s="305">
        <v>-0.5</v>
      </c>
      <c r="H2705" s="305">
        <v>-0.5</v>
      </c>
      <c r="I2705" s="244" t="s">
        <v>106</v>
      </c>
      <c r="J2705" s="244" t="s">
        <v>164</v>
      </c>
      <c r="K2705" s="233"/>
      <c r="L2705" s="197"/>
      <c r="M2705" s="197"/>
      <c r="N2705" s="197"/>
      <c r="O2705" s="197"/>
    </row>
    <row r="2706" spans="1:15">
      <c r="A2706" s="326" t="s">
        <v>232</v>
      </c>
      <c r="B2706" s="326" t="s">
        <v>138</v>
      </c>
      <c r="C2706" s="244" t="s">
        <v>106</v>
      </c>
      <c r="D2706" s="244" t="s">
        <v>655</v>
      </c>
      <c r="E2706" s="244" t="s">
        <v>3057</v>
      </c>
      <c r="F2706" s="227" t="s">
        <v>407</v>
      </c>
      <c r="G2706" s="305">
        <v>-0.5</v>
      </c>
      <c r="H2706" s="305">
        <v>-0.5</v>
      </c>
      <c r="I2706" s="244" t="s">
        <v>106</v>
      </c>
      <c r="J2706" s="244" t="s">
        <v>164</v>
      </c>
      <c r="K2706" s="233"/>
      <c r="L2706" s="197"/>
      <c r="M2706" s="197"/>
      <c r="N2706" s="197"/>
      <c r="O2706" s="197"/>
    </row>
    <row r="2707" spans="1:15">
      <c r="A2707" s="326" t="s">
        <v>232</v>
      </c>
      <c r="B2707" s="326" t="s">
        <v>138</v>
      </c>
      <c r="C2707" s="244" t="s">
        <v>106</v>
      </c>
      <c r="D2707" s="244" t="s">
        <v>655</v>
      </c>
      <c r="E2707" s="244" t="s">
        <v>3058</v>
      </c>
      <c r="F2707" s="227" t="s">
        <v>407</v>
      </c>
      <c r="G2707" s="305">
        <v>-0.5</v>
      </c>
      <c r="H2707" s="305">
        <v>-0.5</v>
      </c>
      <c r="I2707" s="244" t="s">
        <v>106</v>
      </c>
      <c r="J2707" s="244" t="s">
        <v>164</v>
      </c>
      <c r="K2707" s="233"/>
      <c r="L2707" s="197"/>
      <c r="M2707" s="197"/>
      <c r="N2707" s="197"/>
      <c r="O2707" s="197"/>
    </row>
    <row r="2708" spans="1:15">
      <c r="A2708" s="326" t="s">
        <v>232</v>
      </c>
      <c r="B2708" s="326" t="s">
        <v>138</v>
      </c>
      <c r="C2708" s="244" t="s">
        <v>106</v>
      </c>
      <c r="D2708" s="244" t="s">
        <v>655</v>
      </c>
      <c r="E2708" s="244" t="s">
        <v>3059</v>
      </c>
      <c r="F2708" s="227" t="s">
        <v>407</v>
      </c>
      <c r="G2708" s="305">
        <v>-0.5</v>
      </c>
      <c r="H2708" s="305">
        <v>-0.5</v>
      </c>
      <c r="I2708" s="244" t="s">
        <v>106</v>
      </c>
      <c r="J2708" s="244" t="s">
        <v>164</v>
      </c>
      <c r="K2708" s="233"/>
      <c r="L2708" s="197"/>
      <c r="M2708" s="197"/>
      <c r="N2708" s="197"/>
      <c r="O2708" s="197"/>
    </row>
    <row r="2709" spans="1:15">
      <c r="A2709" s="326" t="s">
        <v>232</v>
      </c>
      <c r="B2709" s="326" t="s">
        <v>138</v>
      </c>
      <c r="C2709" s="244" t="s">
        <v>106</v>
      </c>
      <c r="D2709" s="244" t="s">
        <v>655</v>
      </c>
      <c r="E2709" s="244" t="s">
        <v>3060</v>
      </c>
      <c r="F2709" s="227" t="s">
        <v>407</v>
      </c>
      <c r="G2709" s="305">
        <v>-0.5</v>
      </c>
      <c r="H2709" s="305">
        <v>-0.5</v>
      </c>
      <c r="I2709" s="244" t="s">
        <v>106</v>
      </c>
      <c r="J2709" s="244" t="s">
        <v>164</v>
      </c>
      <c r="K2709" s="233"/>
      <c r="L2709" s="197"/>
      <c r="M2709" s="197"/>
      <c r="N2709" s="197"/>
      <c r="O2709" s="197"/>
    </row>
    <row r="2710" spans="1:15">
      <c r="A2710" s="326" t="s">
        <v>232</v>
      </c>
      <c r="B2710" s="326" t="s">
        <v>138</v>
      </c>
      <c r="C2710" s="244" t="s">
        <v>106</v>
      </c>
      <c r="D2710" s="244" t="s">
        <v>655</v>
      </c>
      <c r="E2710" s="244" t="s">
        <v>3061</v>
      </c>
      <c r="F2710" s="227" t="s">
        <v>407</v>
      </c>
      <c r="G2710" s="305">
        <v>-0.5</v>
      </c>
      <c r="H2710" s="305">
        <v>-0.5</v>
      </c>
      <c r="I2710" s="244" t="s">
        <v>106</v>
      </c>
      <c r="J2710" s="244" t="s">
        <v>164</v>
      </c>
      <c r="K2710" s="233"/>
      <c r="L2710" s="197"/>
      <c r="M2710" s="197"/>
      <c r="N2710" s="197"/>
      <c r="O2710" s="197"/>
    </row>
    <row r="2711" spans="1:15">
      <c r="A2711" s="326" t="s">
        <v>232</v>
      </c>
      <c r="B2711" s="326" t="s">
        <v>138</v>
      </c>
      <c r="C2711" s="244" t="s">
        <v>106</v>
      </c>
      <c r="D2711" s="244" t="s">
        <v>655</v>
      </c>
      <c r="E2711" s="244" t="s">
        <v>3062</v>
      </c>
      <c r="F2711" s="227" t="s">
        <v>407</v>
      </c>
      <c r="G2711" s="305">
        <v>-0.5</v>
      </c>
      <c r="H2711" s="305">
        <v>-0.5</v>
      </c>
      <c r="I2711" s="244" t="s">
        <v>106</v>
      </c>
      <c r="J2711" s="244" t="s">
        <v>164</v>
      </c>
      <c r="K2711" s="233"/>
      <c r="L2711" s="197"/>
      <c r="M2711" s="197"/>
      <c r="N2711" s="197"/>
      <c r="O2711" s="197"/>
    </row>
    <row r="2712" spans="1:15">
      <c r="A2712" s="326" t="s">
        <v>232</v>
      </c>
      <c r="B2712" s="326" t="s">
        <v>138</v>
      </c>
      <c r="C2712" s="244" t="s">
        <v>106</v>
      </c>
      <c r="D2712" s="244" t="s">
        <v>655</v>
      </c>
      <c r="E2712" s="244" t="s">
        <v>3063</v>
      </c>
      <c r="F2712" s="227" t="s">
        <v>407</v>
      </c>
      <c r="G2712" s="305">
        <v>-0.5</v>
      </c>
      <c r="H2712" s="305">
        <v>-0.5</v>
      </c>
      <c r="I2712" s="244" t="s">
        <v>106</v>
      </c>
      <c r="J2712" s="244" t="s">
        <v>164</v>
      </c>
      <c r="K2712" s="233"/>
      <c r="L2712" s="197"/>
      <c r="M2712" s="197"/>
      <c r="N2712" s="197"/>
      <c r="O2712" s="197"/>
    </row>
    <row r="2713" spans="1:15">
      <c r="A2713" s="326" t="s">
        <v>232</v>
      </c>
      <c r="B2713" s="326" t="s">
        <v>138</v>
      </c>
      <c r="C2713" s="244" t="s">
        <v>106</v>
      </c>
      <c r="D2713" s="244" t="s">
        <v>655</v>
      </c>
      <c r="E2713" s="244" t="s">
        <v>3064</v>
      </c>
      <c r="F2713" s="227" t="s">
        <v>407</v>
      </c>
      <c r="G2713" s="305">
        <v>-0.5</v>
      </c>
      <c r="H2713" s="305">
        <v>-0.5</v>
      </c>
      <c r="I2713" s="244" t="s">
        <v>106</v>
      </c>
      <c r="J2713" s="244" t="s">
        <v>164</v>
      </c>
      <c r="K2713" s="233"/>
      <c r="L2713" s="197"/>
      <c r="M2713" s="197"/>
      <c r="N2713" s="197"/>
      <c r="O2713" s="197"/>
    </row>
    <row r="2714" spans="1:15">
      <c r="A2714" s="326" t="s">
        <v>232</v>
      </c>
      <c r="B2714" s="326" t="s">
        <v>138</v>
      </c>
      <c r="C2714" s="244" t="s">
        <v>106</v>
      </c>
      <c r="D2714" s="244" t="s">
        <v>655</v>
      </c>
      <c r="E2714" s="244" t="s">
        <v>3065</v>
      </c>
      <c r="F2714" s="227" t="s">
        <v>407</v>
      </c>
      <c r="G2714" s="305">
        <v>-1.05</v>
      </c>
      <c r="H2714" s="305">
        <v>-1.05</v>
      </c>
      <c r="I2714" s="244" t="s">
        <v>106</v>
      </c>
      <c r="J2714" s="244" t="s">
        <v>164</v>
      </c>
      <c r="K2714" s="233"/>
      <c r="L2714" s="197"/>
      <c r="M2714" s="197"/>
      <c r="N2714" s="197"/>
      <c r="O2714" s="197"/>
    </row>
    <row r="2715" spans="1:15">
      <c r="A2715" s="326" t="s">
        <v>232</v>
      </c>
      <c r="B2715" s="326" t="s">
        <v>138</v>
      </c>
      <c r="C2715" s="244" t="s">
        <v>106</v>
      </c>
      <c r="D2715" s="244" t="s">
        <v>655</v>
      </c>
      <c r="E2715" s="244" t="s">
        <v>3066</v>
      </c>
      <c r="F2715" s="227" t="s">
        <v>407</v>
      </c>
      <c r="G2715" s="305">
        <v>-0.5</v>
      </c>
      <c r="H2715" s="305">
        <v>-0.5</v>
      </c>
      <c r="I2715" s="244" t="s">
        <v>106</v>
      </c>
      <c r="J2715" s="244" t="s">
        <v>164</v>
      </c>
      <c r="K2715" s="233"/>
      <c r="L2715" s="197"/>
      <c r="M2715" s="197"/>
      <c r="N2715" s="197"/>
      <c r="O2715" s="197"/>
    </row>
    <row r="2716" spans="1:15">
      <c r="A2716" s="326" t="s">
        <v>232</v>
      </c>
      <c r="B2716" s="326" t="s">
        <v>138</v>
      </c>
      <c r="C2716" s="244" t="s">
        <v>106</v>
      </c>
      <c r="D2716" s="244" t="s">
        <v>655</v>
      </c>
      <c r="E2716" s="244" t="s">
        <v>3067</v>
      </c>
      <c r="F2716" s="227" t="s">
        <v>407</v>
      </c>
      <c r="G2716" s="305">
        <v>-0.5</v>
      </c>
      <c r="H2716" s="305">
        <v>-0.5</v>
      </c>
      <c r="I2716" s="244" t="s">
        <v>106</v>
      </c>
      <c r="J2716" s="244" t="s">
        <v>164</v>
      </c>
      <c r="K2716" s="233"/>
      <c r="L2716" s="197"/>
      <c r="M2716" s="197"/>
      <c r="N2716" s="197"/>
      <c r="O2716" s="197"/>
    </row>
    <row r="2717" spans="1:15">
      <c r="A2717" s="326" t="s">
        <v>232</v>
      </c>
      <c r="B2717" s="326" t="s">
        <v>138</v>
      </c>
      <c r="C2717" s="244" t="s">
        <v>106</v>
      </c>
      <c r="D2717" s="244" t="s">
        <v>655</v>
      </c>
      <c r="E2717" s="244" t="s">
        <v>3068</v>
      </c>
      <c r="F2717" s="227" t="s">
        <v>407</v>
      </c>
      <c r="G2717" s="305">
        <v>-0.5</v>
      </c>
      <c r="H2717" s="305">
        <v>-0.5</v>
      </c>
      <c r="I2717" s="244" t="s">
        <v>106</v>
      </c>
      <c r="J2717" s="244" t="s">
        <v>164</v>
      </c>
      <c r="K2717" s="233"/>
      <c r="L2717" s="197"/>
      <c r="M2717" s="197"/>
      <c r="N2717" s="197"/>
      <c r="O2717" s="197"/>
    </row>
    <row r="2718" spans="1:15">
      <c r="A2718" s="326" t="s">
        <v>232</v>
      </c>
      <c r="B2718" s="326" t="s">
        <v>138</v>
      </c>
      <c r="C2718" s="244" t="s">
        <v>106</v>
      </c>
      <c r="D2718" s="244" t="s">
        <v>655</v>
      </c>
      <c r="E2718" s="244" t="s">
        <v>3069</v>
      </c>
      <c r="F2718" s="227" t="s">
        <v>407</v>
      </c>
      <c r="G2718" s="305">
        <v>-0.5</v>
      </c>
      <c r="H2718" s="305">
        <v>-0.5</v>
      </c>
      <c r="I2718" s="244" t="s">
        <v>106</v>
      </c>
      <c r="J2718" s="244" t="s">
        <v>164</v>
      </c>
      <c r="K2718" s="233"/>
      <c r="L2718" s="197"/>
      <c r="M2718" s="197"/>
      <c r="N2718" s="197"/>
      <c r="O2718" s="197"/>
    </row>
    <row r="2719" spans="1:15">
      <c r="A2719" s="326" t="s">
        <v>232</v>
      </c>
      <c r="B2719" s="326" t="s">
        <v>138</v>
      </c>
      <c r="C2719" s="244" t="s">
        <v>106</v>
      </c>
      <c r="D2719" s="244" t="s">
        <v>655</v>
      </c>
      <c r="E2719" s="244" t="s">
        <v>3070</v>
      </c>
      <c r="F2719" s="227" t="s">
        <v>407</v>
      </c>
      <c r="G2719" s="305">
        <v>-0.5</v>
      </c>
      <c r="H2719" s="305">
        <v>-0.5</v>
      </c>
      <c r="I2719" s="244" t="s">
        <v>106</v>
      </c>
      <c r="J2719" s="244" t="s">
        <v>164</v>
      </c>
      <c r="K2719" s="233"/>
      <c r="L2719" s="197"/>
      <c r="M2719" s="197"/>
      <c r="N2719" s="197"/>
      <c r="O2719" s="197"/>
    </row>
    <row r="2720" spans="1:15">
      <c r="A2720" s="326" t="s">
        <v>232</v>
      </c>
      <c r="B2720" s="326" t="s">
        <v>138</v>
      </c>
      <c r="C2720" s="244" t="s">
        <v>106</v>
      </c>
      <c r="D2720" s="244" t="s">
        <v>655</v>
      </c>
      <c r="E2720" s="244" t="s">
        <v>3071</v>
      </c>
      <c r="F2720" s="227" t="s">
        <v>407</v>
      </c>
      <c r="G2720" s="305">
        <v>-0.5</v>
      </c>
      <c r="H2720" s="305">
        <v>-0.5</v>
      </c>
      <c r="I2720" s="244" t="s">
        <v>106</v>
      </c>
      <c r="J2720" s="244" t="s">
        <v>164</v>
      </c>
      <c r="K2720" s="233"/>
      <c r="L2720" s="197"/>
      <c r="M2720" s="197"/>
      <c r="N2720" s="197"/>
      <c r="O2720" s="197"/>
    </row>
    <row r="2721" spans="1:15">
      <c r="A2721" s="326" t="s">
        <v>232</v>
      </c>
      <c r="B2721" s="326" t="s">
        <v>138</v>
      </c>
      <c r="C2721" s="244" t="s">
        <v>106</v>
      </c>
      <c r="D2721" s="244" t="s">
        <v>655</v>
      </c>
      <c r="E2721" s="244" t="s">
        <v>3072</v>
      </c>
      <c r="F2721" s="227" t="s">
        <v>407</v>
      </c>
      <c r="G2721" s="305">
        <v>-0.5</v>
      </c>
      <c r="H2721" s="305">
        <v>-0.5</v>
      </c>
      <c r="I2721" s="244" t="s">
        <v>106</v>
      </c>
      <c r="J2721" s="244" t="s">
        <v>164</v>
      </c>
      <c r="K2721" s="233"/>
      <c r="L2721" s="197"/>
      <c r="M2721" s="197"/>
      <c r="N2721" s="197"/>
      <c r="O2721" s="197"/>
    </row>
    <row r="2722" spans="1:15">
      <c r="A2722" s="326" t="s">
        <v>232</v>
      </c>
      <c r="B2722" s="326" t="s">
        <v>138</v>
      </c>
      <c r="C2722" s="244" t="s">
        <v>106</v>
      </c>
      <c r="D2722" s="244" t="s">
        <v>655</v>
      </c>
      <c r="E2722" s="244" t="s">
        <v>3073</v>
      </c>
      <c r="F2722" s="227" t="s">
        <v>407</v>
      </c>
      <c r="G2722" s="305">
        <v>-13.6</v>
      </c>
      <c r="H2722" s="305">
        <v>-13.6</v>
      </c>
      <c r="I2722" s="244" t="s">
        <v>106</v>
      </c>
      <c r="J2722" s="244" t="s">
        <v>164</v>
      </c>
      <c r="K2722" s="233"/>
      <c r="L2722" s="197"/>
      <c r="M2722" s="197"/>
      <c r="N2722" s="197"/>
      <c r="O2722" s="197"/>
    </row>
    <row r="2723" spans="1:15">
      <c r="A2723" s="326" t="s">
        <v>232</v>
      </c>
      <c r="B2723" s="326" t="s">
        <v>138</v>
      </c>
      <c r="C2723" s="244" t="s">
        <v>106</v>
      </c>
      <c r="D2723" s="244" t="s">
        <v>655</v>
      </c>
      <c r="E2723" s="244" t="s">
        <v>3074</v>
      </c>
      <c r="F2723" s="227" t="s">
        <v>407</v>
      </c>
      <c r="G2723" s="305">
        <v>-0.5</v>
      </c>
      <c r="H2723" s="305">
        <v>-0.5</v>
      </c>
      <c r="I2723" s="244" t="s">
        <v>106</v>
      </c>
      <c r="J2723" s="244" t="s">
        <v>164</v>
      </c>
      <c r="K2723" s="233"/>
      <c r="L2723" s="197"/>
      <c r="M2723" s="197"/>
      <c r="N2723" s="197"/>
      <c r="O2723" s="197"/>
    </row>
    <row r="2724" spans="1:15">
      <c r="A2724" s="326" t="s">
        <v>232</v>
      </c>
      <c r="B2724" s="326" t="s">
        <v>138</v>
      </c>
      <c r="C2724" s="244" t="s">
        <v>106</v>
      </c>
      <c r="D2724" s="244" t="s">
        <v>655</v>
      </c>
      <c r="E2724" s="244" t="s">
        <v>3073</v>
      </c>
      <c r="F2724" s="227" t="s">
        <v>407</v>
      </c>
      <c r="G2724" s="305">
        <v>-13.6</v>
      </c>
      <c r="H2724" s="305">
        <v>-13.6</v>
      </c>
      <c r="I2724" s="244" t="s">
        <v>106</v>
      </c>
      <c r="J2724" s="244" t="s">
        <v>164</v>
      </c>
      <c r="K2724" s="233"/>
      <c r="L2724" s="197"/>
      <c r="M2724" s="197"/>
      <c r="N2724" s="197"/>
      <c r="O2724" s="197"/>
    </row>
    <row r="2725" spans="1:15">
      <c r="A2725" s="326" t="s">
        <v>232</v>
      </c>
      <c r="B2725" s="326" t="s">
        <v>138</v>
      </c>
      <c r="C2725" s="244" t="s">
        <v>106</v>
      </c>
      <c r="D2725" s="244" t="s">
        <v>655</v>
      </c>
      <c r="E2725" s="244" t="s">
        <v>3075</v>
      </c>
      <c r="F2725" s="227" t="s">
        <v>407</v>
      </c>
      <c r="G2725" s="305">
        <v>-13.6</v>
      </c>
      <c r="H2725" s="305">
        <v>-13.6</v>
      </c>
      <c r="I2725" s="244" t="s">
        <v>106</v>
      </c>
      <c r="J2725" s="244" t="s">
        <v>164</v>
      </c>
      <c r="K2725" s="233"/>
      <c r="L2725" s="197"/>
      <c r="M2725" s="197"/>
      <c r="N2725" s="197"/>
      <c r="O2725" s="197"/>
    </row>
    <row r="2726" spans="1:15">
      <c r="A2726" s="326" t="s">
        <v>232</v>
      </c>
      <c r="B2726" s="326" t="s">
        <v>138</v>
      </c>
      <c r="C2726" s="244" t="s">
        <v>106</v>
      </c>
      <c r="D2726" s="244" t="s">
        <v>655</v>
      </c>
      <c r="E2726" s="244" t="s">
        <v>3073</v>
      </c>
      <c r="F2726" s="227" t="s">
        <v>407</v>
      </c>
      <c r="G2726" s="305">
        <v>-13.6</v>
      </c>
      <c r="H2726" s="305">
        <v>-13.6</v>
      </c>
      <c r="I2726" s="244" t="s">
        <v>106</v>
      </c>
      <c r="J2726" s="244" t="s">
        <v>164</v>
      </c>
      <c r="K2726" s="233"/>
      <c r="L2726" s="197"/>
      <c r="M2726" s="197"/>
      <c r="N2726" s="197"/>
      <c r="O2726" s="197"/>
    </row>
    <row r="2727" spans="1:15">
      <c r="A2727" s="326" t="s">
        <v>137</v>
      </c>
      <c r="B2727" s="326" t="s">
        <v>138</v>
      </c>
      <c r="C2727" s="244" t="s">
        <v>106</v>
      </c>
      <c r="D2727" s="244" t="s">
        <v>655</v>
      </c>
      <c r="E2727" s="244" t="s">
        <v>1337</v>
      </c>
      <c r="F2727" s="227" t="s">
        <v>407</v>
      </c>
      <c r="G2727" s="305">
        <v>-60</v>
      </c>
      <c r="H2727" s="305">
        <v>-60</v>
      </c>
      <c r="I2727" s="244" t="s">
        <v>106</v>
      </c>
      <c r="J2727" s="244" t="s">
        <v>164</v>
      </c>
      <c r="K2727" s="233"/>
      <c r="L2727" s="197"/>
      <c r="M2727" s="197"/>
      <c r="N2727" s="197"/>
      <c r="O2727" s="197"/>
    </row>
    <row r="2728" spans="1:15">
      <c r="A2728" s="326" t="s">
        <v>137</v>
      </c>
      <c r="B2728" s="326" t="s">
        <v>138</v>
      </c>
      <c r="C2728" s="244" t="s">
        <v>106</v>
      </c>
      <c r="D2728" s="244" t="s">
        <v>655</v>
      </c>
      <c r="E2728" s="244" t="s">
        <v>3076</v>
      </c>
      <c r="F2728" s="227" t="s">
        <v>407</v>
      </c>
      <c r="G2728" s="305">
        <v>-237</v>
      </c>
      <c r="H2728" s="305">
        <v>-237</v>
      </c>
      <c r="I2728" s="244" t="s">
        <v>106</v>
      </c>
      <c r="J2728" s="244" t="s">
        <v>164</v>
      </c>
      <c r="K2728" s="233"/>
      <c r="L2728" s="197"/>
      <c r="M2728" s="197"/>
      <c r="N2728" s="197"/>
      <c r="O2728" s="197"/>
    </row>
    <row r="2729" spans="1:15">
      <c r="A2729" s="326" t="s">
        <v>137</v>
      </c>
      <c r="B2729" s="326" t="s">
        <v>138</v>
      </c>
      <c r="C2729" s="244" t="s">
        <v>106</v>
      </c>
      <c r="D2729" s="244" t="s">
        <v>655</v>
      </c>
      <c r="E2729" s="244" t="s">
        <v>3077</v>
      </c>
      <c r="F2729" s="227" t="s">
        <v>407</v>
      </c>
      <c r="G2729" s="305">
        <v>-43.81</v>
      </c>
      <c r="H2729" s="305">
        <v>-43.81</v>
      </c>
      <c r="I2729" s="244" t="s">
        <v>106</v>
      </c>
      <c r="J2729" s="244" t="s">
        <v>164</v>
      </c>
      <c r="K2729" s="233"/>
      <c r="L2729" s="197"/>
      <c r="M2729" s="197"/>
      <c r="N2729" s="197"/>
      <c r="O2729" s="197"/>
    </row>
    <row r="2730" spans="1:15">
      <c r="A2730" s="326" t="s">
        <v>137</v>
      </c>
      <c r="B2730" s="326" t="s">
        <v>138</v>
      </c>
      <c r="C2730" s="244" t="s">
        <v>106</v>
      </c>
      <c r="D2730" s="244" t="s">
        <v>655</v>
      </c>
      <c r="E2730" s="244" t="s">
        <v>1333</v>
      </c>
      <c r="F2730" s="227" t="s">
        <v>407</v>
      </c>
      <c r="G2730" s="305">
        <v>-18</v>
      </c>
      <c r="H2730" s="305">
        <v>-18</v>
      </c>
      <c r="I2730" s="244" t="s">
        <v>106</v>
      </c>
      <c r="J2730" s="244" t="s">
        <v>164</v>
      </c>
      <c r="K2730" s="233"/>
      <c r="L2730" s="197"/>
      <c r="M2730" s="197"/>
      <c r="N2730" s="197"/>
      <c r="O2730" s="197"/>
    </row>
    <row r="2731" spans="1:15">
      <c r="A2731" s="326" t="s">
        <v>137</v>
      </c>
      <c r="B2731" s="326" t="s">
        <v>138</v>
      </c>
      <c r="C2731" s="244" t="s">
        <v>106</v>
      </c>
      <c r="D2731" s="244" t="s">
        <v>655</v>
      </c>
      <c r="E2731" s="244" t="s">
        <v>3078</v>
      </c>
      <c r="F2731" s="227" t="s">
        <v>407</v>
      </c>
      <c r="G2731" s="305">
        <v>-159.19999999999999</v>
      </c>
      <c r="H2731" s="305">
        <v>-159.19999999999999</v>
      </c>
      <c r="I2731" s="244" t="s">
        <v>106</v>
      </c>
      <c r="J2731" s="244" t="s">
        <v>164</v>
      </c>
      <c r="K2731" s="233"/>
      <c r="L2731" s="197"/>
      <c r="M2731" s="197"/>
      <c r="N2731" s="197"/>
      <c r="O2731" s="197"/>
    </row>
    <row r="2732" spans="1:15">
      <c r="A2732" s="326" t="s">
        <v>137</v>
      </c>
      <c r="B2732" s="326" t="s">
        <v>138</v>
      </c>
      <c r="C2732" s="244" t="s">
        <v>106</v>
      </c>
      <c r="D2732" s="244" t="s">
        <v>655</v>
      </c>
      <c r="E2732" s="244" t="s">
        <v>3079</v>
      </c>
      <c r="F2732" s="227" t="s">
        <v>407</v>
      </c>
      <c r="G2732" s="305">
        <v>-10</v>
      </c>
      <c r="H2732" s="305">
        <v>-10</v>
      </c>
      <c r="I2732" s="244" t="s">
        <v>106</v>
      </c>
      <c r="J2732" s="244" t="s">
        <v>164</v>
      </c>
      <c r="K2732" s="233"/>
      <c r="L2732" s="197"/>
      <c r="M2732" s="197"/>
      <c r="N2732" s="197"/>
      <c r="O2732" s="197"/>
    </row>
    <row r="2733" spans="1:15">
      <c r="A2733" s="326" t="s">
        <v>137</v>
      </c>
      <c r="B2733" s="326" t="s">
        <v>138</v>
      </c>
      <c r="C2733" s="244" t="s">
        <v>106</v>
      </c>
      <c r="D2733" s="244" t="s">
        <v>655</v>
      </c>
      <c r="E2733" s="244" t="s">
        <v>3065</v>
      </c>
      <c r="F2733" s="227" t="s">
        <v>407</v>
      </c>
      <c r="G2733" s="305">
        <v>-1</v>
      </c>
      <c r="H2733" s="305">
        <v>-1</v>
      </c>
      <c r="I2733" s="244" t="s">
        <v>106</v>
      </c>
      <c r="J2733" s="244" t="s">
        <v>164</v>
      </c>
      <c r="K2733" s="233"/>
      <c r="L2733" s="197"/>
      <c r="M2733" s="197"/>
      <c r="N2733" s="197"/>
      <c r="O2733" s="197"/>
    </row>
    <row r="2734" spans="1:15">
      <c r="A2734" s="326" t="s">
        <v>137</v>
      </c>
      <c r="B2734" s="326" t="s">
        <v>138</v>
      </c>
      <c r="C2734" s="244" t="s">
        <v>106</v>
      </c>
      <c r="D2734" s="244" t="s">
        <v>655</v>
      </c>
      <c r="E2734" s="244" t="s">
        <v>3080</v>
      </c>
      <c r="F2734" s="227" t="s">
        <v>407</v>
      </c>
      <c r="G2734" s="305">
        <v>-10</v>
      </c>
      <c r="H2734" s="305">
        <v>-10</v>
      </c>
      <c r="I2734" s="244" t="s">
        <v>106</v>
      </c>
      <c r="J2734" s="244" t="s">
        <v>164</v>
      </c>
      <c r="K2734" s="233"/>
      <c r="L2734" s="197"/>
      <c r="M2734" s="197"/>
      <c r="N2734" s="197"/>
      <c r="O2734" s="197"/>
    </row>
    <row r="2735" spans="1:15">
      <c r="A2735" s="326" t="s">
        <v>137</v>
      </c>
      <c r="B2735" s="326" t="s">
        <v>138</v>
      </c>
      <c r="C2735" s="244" t="s">
        <v>106</v>
      </c>
      <c r="D2735" s="244" t="s">
        <v>655</v>
      </c>
      <c r="E2735" s="244" t="s">
        <v>3081</v>
      </c>
      <c r="F2735" s="227" t="s">
        <v>407</v>
      </c>
      <c r="G2735" s="305">
        <v>-10</v>
      </c>
      <c r="H2735" s="305">
        <v>-10</v>
      </c>
      <c r="I2735" s="244" t="s">
        <v>106</v>
      </c>
      <c r="J2735" s="244" t="s">
        <v>164</v>
      </c>
      <c r="K2735" s="233"/>
      <c r="L2735" s="197"/>
      <c r="M2735" s="197"/>
      <c r="N2735" s="197"/>
      <c r="O2735" s="197"/>
    </row>
    <row r="2736" spans="1:15">
      <c r="A2736" s="326" t="s">
        <v>137</v>
      </c>
      <c r="B2736" s="326" t="s">
        <v>138</v>
      </c>
      <c r="C2736" s="244" t="s">
        <v>106</v>
      </c>
      <c r="D2736" s="244" t="s">
        <v>655</v>
      </c>
      <c r="E2736" s="244" t="s">
        <v>3082</v>
      </c>
      <c r="F2736" s="227" t="s">
        <v>407</v>
      </c>
      <c r="G2736" s="305">
        <v>-10</v>
      </c>
      <c r="H2736" s="305">
        <v>-10</v>
      </c>
      <c r="I2736" s="244" t="s">
        <v>106</v>
      </c>
      <c r="J2736" s="244" t="s">
        <v>164</v>
      </c>
      <c r="K2736" s="233"/>
      <c r="L2736" s="197"/>
      <c r="M2736" s="197"/>
      <c r="N2736" s="197"/>
      <c r="O2736" s="197"/>
    </row>
    <row r="2737" spans="1:15">
      <c r="A2737" s="326" t="s">
        <v>137</v>
      </c>
      <c r="B2737" s="326" t="s">
        <v>138</v>
      </c>
      <c r="C2737" s="244" t="s">
        <v>106</v>
      </c>
      <c r="D2737" s="244" t="s">
        <v>655</v>
      </c>
      <c r="E2737" s="244" t="s">
        <v>3083</v>
      </c>
      <c r="F2737" s="227" t="s">
        <v>407</v>
      </c>
      <c r="G2737" s="305">
        <v>-0.5</v>
      </c>
      <c r="H2737" s="305">
        <v>-0.5</v>
      </c>
      <c r="I2737" s="244" t="s">
        <v>106</v>
      </c>
      <c r="J2737" s="244" t="s">
        <v>164</v>
      </c>
      <c r="K2737" s="233"/>
      <c r="L2737" s="197"/>
      <c r="M2737" s="197"/>
      <c r="N2737" s="197"/>
      <c r="O2737" s="197"/>
    </row>
    <row r="2738" spans="1:15">
      <c r="A2738" s="326" t="s">
        <v>137</v>
      </c>
      <c r="B2738" s="326" t="s">
        <v>138</v>
      </c>
      <c r="C2738" s="244" t="s">
        <v>106</v>
      </c>
      <c r="D2738" s="244" t="s">
        <v>655</v>
      </c>
      <c r="E2738" s="244" t="s">
        <v>3084</v>
      </c>
      <c r="F2738" s="227" t="s">
        <v>407</v>
      </c>
      <c r="G2738" s="305">
        <v>-1.99</v>
      </c>
      <c r="H2738" s="305">
        <v>-1.99</v>
      </c>
      <c r="I2738" s="244" t="s">
        <v>106</v>
      </c>
      <c r="J2738" s="244" t="s">
        <v>164</v>
      </c>
      <c r="K2738" s="233"/>
      <c r="L2738" s="197"/>
      <c r="M2738" s="197"/>
      <c r="N2738" s="197"/>
      <c r="O2738" s="197"/>
    </row>
    <row r="2739" spans="1:15">
      <c r="A2739" s="326" t="s">
        <v>137</v>
      </c>
      <c r="B2739" s="326" t="s">
        <v>138</v>
      </c>
      <c r="C2739" s="244" t="s">
        <v>106</v>
      </c>
      <c r="D2739" s="244" t="s">
        <v>655</v>
      </c>
      <c r="E2739" s="244" t="s">
        <v>3085</v>
      </c>
      <c r="F2739" s="227" t="s">
        <v>407</v>
      </c>
      <c r="G2739" s="305">
        <v>-0.5</v>
      </c>
      <c r="H2739" s="305">
        <v>-0.5</v>
      </c>
      <c r="I2739" s="244" t="s">
        <v>106</v>
      </c>
      <c r="J2739" s="244" t="s">
        <v>164</v>
      </c>
      <c r="K2739" s="233"/>
      <c r="L2739" s="197"/>
      <c r="M2739" s="197"/>
      <c r="N2739" s="197"/>
      <c r="O2739" s="197"/>
    </row>
    <row r="2740" spans="1:15">
      <c r="A2740" s="326" t="s">
        <v>137</v>
      </c>
      <c r="B2740" s="326" t="s">
        <v>138</v>
      </c>
      <c r="C2740" s="244" t="s">
        <v>106</v>
      </c>
      <c r="D2740" s="244" t="s">
        <v>655</v>
      </c>
      <c r="E2740" s="244" t="s">
        <v>3086</v>
      </c>
      <c r="F2740" s="227" t="s">
        <v>407</v>
      </c>
      <c r="G2740" s="305">
        <v>-1.99</v>
      </c>
      <c r="H2740" s="305">
        <v>-1.99</v>
      </c>
      <c r="I2740" s="244" t="s">
        <v>106</v>
      </c>
      <c r="J2740" s="244" t="s">
        <v>164</v>
      </c>
      <c r="K2740" s="233"/>
      <c r="L2740" s="197"/>
      <c r="M2740" s="197"/>
      <c r="N2740" s="197"/>
      <c r="O2740" s="197"/>
    </row>
    <row r="2741" spans="1:15">
      <c r="A2741" s="326" t="s">
        <v>137</v>
      </c>
      <c r="B2741" s="326" t="s">
        <v>138</v>
      </c>
      <c r="C2741" s="244" t="s">
        <v>106</v>
      </c>
      <c r="D2741" s="244" t="s">
        <v>655</v>
      </c>
      <c r="E2741" s="244" t="s">
        <v>3087</v>
      </c>
      <c r="F2741" s="227" t="s">
        <v>407</v>
      </c>
      <c r="G2741" s="305">
        <v>-0.5</v>
      </c>
      <c r="H2741" s="305">
        <v>-0.5</v>
      </c>
      <c r="I2741" s="244" t="s">
        <v>106</v>
      </c>
      <c r="J2741" s="244" t="s">
        <v>164</v>
      </c>
      <c r="K2741" s="233"/>
      <c r="L2741" s="197"/>
      <c r="M2741" s="197"/>
      <c r="N2741" s="197"/>
      <c r="O2741" s="197"/>
    </row>
    <row r="2742" spans="1:15">
      <c r="A2742" s="326" t="s">
        <v>137</v>
      </c>
      <c r="B2742" s="326" t="s">
        <v>138</v>
      </c>
      <c r="C2742" s="244" t="s">
        <v>106</v>
      </c>
      <c r="D2742" s="244" t="s">
        <v>655</v>
      </c>
      <c r="E2742" s="244" t="s">
        <v>3088</v>
      </c>
      <c r="F2742" s="227" t="s">
        <v>407</v>
      </c>
      <c r="G2742" s="305">
        <v>-20</v>
      </c>
      <c r="H2742" s="305">
        <v>-20</v>
      </c>
      <c r="I2742" s="244" t="s">
        <v>106</v>
      </c>
      <c r="J2742" s="244" t="s">
        <v>164</v>
      </c>
      <c r="K2742" s="233"/>
      <c r="L2742" s="197"/>
      <c r="M2742" s="197"/>
      <c r="N2742" s="197"/>
      <c r="O2742" s="197"/>
    </row>
    <row r="2743" spans="1:15">
      <c r="A2743" s="326" t="s">
        <v>137</v>
      </c>
      <c r="B2743" s="326" t="s">
        <v>138</v>
      </c>
      <c r="C2743" s="244" t="s">
        <v>106</v>
      </c>
      <c r="D2743" s="244" t="s">
        <v>655</v>
      </c>
      <c r="E2743" s="244" t="s">
        <v>3089</v>
      </c>
      <c r="F2743" s="227" t="s">
        <v>407</v>
      </c>
      <c r="G2743" s="305">
        <v>-0.5</v>
      </c>
      <c r="H2743" s="305">
        <v>-0.5</v>
      </c>
      <c r="I2743" s="244" t="s">
        <v>106</v>
      </c>
      <c r="J2743" s="244" t="s">
        <v>164</v>
      </c>
      <c r="K2743" s="233"/>
      <c r="L2743" s="197"/>
      <c r="M2743" s="197"/>
      <c r="N2743" s="197"/>
      <c r="O2743" s="197"/>
    </row>
    <row r="2744" spans="1:15">
      <c r="A2744" s="326" t="s">
        <v>137</v>
      </c>
      <c r="B2744" s="326" t="s">
        <v>138</v>
      </c>
      <c r="C2744" s="244" t="s">
        <v>106</v>
      </c>
      <c r="D2744" s="244" t="s">
        <v>655</v>
      </c>
      <c r="E2744" s="244" t="s">
        <v>3090</v>
      </c>
      <c r="F2744" s="227" t="s">
        <v>407</v>
      </c>
      <c r="G2744" s="305">
        <v>-0.5</v>
      </c>
      <c r="H2744" s="305">
        <v>-0.5</v>
      </c>
      <c r="I2744" s="244" t="s">
        <v>106</v>
      </c>
      <c r="J2744" s="244" t="s">
        <v>164</v>
      </c>
      <c r="K2744" s="233"/>
      <c r="L2744" s="197"/>
      <c r="M2744" s="197"/>
      <c r="N2744" s="197"/>
      <c r="O2744" s="197"/>
    </row>
    <row r="2745" spans="1:15">
      <c r="A2745" s="326" t="s">
        <v>137</v>
      </c>
      <c r="B2745" s="326" t="s">
        <v>138</v>
      </c>
      <c r="C2745" s="244" t="s">
        <v>106</v>
      </c>
      <c r="D2745" s="244" t="s">
        <v>655</v>
      </c>
      <c r="E2745" s="244" t="s">
        <v>3091</v>
      </c>
      <c r="F2745" s="227" t="s">
        <v>407</v>
      </c>
      <c r="G2745" s="305">
        <v>-1.99</v>
      </c>
      <c r="H2745" s="305">
        <v>-1.99</v>
      </c>
      <c r="I2745" s="244" t="s">
        <v>106</v>
      </c>
      <c r="J2745" s="244" t="s">
        <v>164</v>
      </c>
      <c r="K2745" s="233"/>
      <c r="L2745" s="197"/>
      <c r="M2745" s="197"/>
      <c r="N2745" s="197"/>
      <c r="O2745" s="197"/>
    </row>
    <row r="2746" spans="1:15">
      <c r="A2746" s="326" t="s">
        <v>137</v>
      </c>
      <c r="B2746" s="326" t="s">
        <v>138</v>
      </c>
      <c r="C2746" s="244" t="s">
        <v>106</v>
      </c>
      <c r="D2746" s="244" t="s">
        <v>655</v>
      </c>
      <c r="E2746" s="244" t="s">
        <v>3092</v>
      </c>
      <c r="F2746" s="227" t="s">
        <v>407</v>
      </c>
      <c r="G2746" s="305">
        <v>-0.5</v>
      </c>
      <c r="H2746" s="305">
        <v>-0.5</v>
      </c>
      <c r="I2746" s="244" t="s">
        <v>106</v>
      </c>
      <c r="J2746" s="244" t="s">
        <v>164</v>
      </c>
      <c r="K2746" s="233"/>
      <c r="L2746" s="197"/>
      <c r="M2746" s="197"/>
      <c r="N2746" s="197"/>
      <c r="O2746" s="197"/>
    </row>
    <row r="2747" spans="1:15">
      <c r="A2747" s="326" t="s">
        <v>137</v>
      </c>
      <c r="B2747" s="326" t="s">
        <v>138</v>
      </c>
      <c r="C2747" s="244" t="s">
        <v>106</v>
      </c>
      <c r="D2747" s="244" t="s">
        <v>655</v>
      </c>
      <c r="E2747" s="244" t="s">
        <v>3093</v>
      </c>
      <c r="F2747" s="227" t="s">
        <v>407</v>
      </c>
      <c r="G2747" s="305">
        <v>-1.99</v>
      </c>
      <c r="H2747" s="305">
        <v>-1.99</v>
      </c>
      <c r="I2747" s="244" t="s">
        <v>106</v>
      </c>
      <c r="J2747" s="244" t="s">
        <v>164</v>
      </c>
      <c r="K2747" s="233"/>
      <c r="L2747" s="197"/>
      <c r="M2747" s="197"/>
      <c r="N2747" s="197"/>
      <c r="O2747" s="197"/>
    </row>
    <row r="2748" spans="1:15">
      <c r="A2748" s="326" t="s">
        <v>137</v>
      </c>
      <c r="B2748" s="326" t="s">
        <v>138</v>
      </c>
      <c r="C2748" s="244" t="s">
        <v>106</v>
      </c>
      <c r="D2748" s="244" t="s">
        <v>655</v>
      </c>
      <c r="E2748" s="244" t="s">
        <v>3094</v>
      </c>
      <c r="F2748" s="227" t="s">
        <v>407</v>
      </c>
      <c r="G2748" s="305">
        <v>-20</v>
      </c>
      <c r="H2748" s="305">
        <v>-20</v>
      </c>
      <c r="I2748" s="244" t="s">
        <v>106</v>
      </c>
      <c r="J2748" s="244" t="s">
        <v>164</v>
      </c>
      <c r="K2748" s="233"/>
      <c r="L2748" s="197"/>
      <c r="M2748" s="197"/>
      <c r="N2748" s="197"/>
      <c r="O2748" s="197"/>
    </row>
    <row r="2749" spans="1:15">
      <c r="A2749" s="326" t="s">
        <v>137</v>
      </c>
      <c r="B2749" s="326" t="s">
        <v>138</v>
      </c>
      <c r="C2749" s="244" t="s">
        <v>106</v>
      </c>
      <c r="D2749" s="244" t="s">
        <v>655</v>
      </c>
      <c r="E2749" s="244" t="s">
        <v>3095</v>
      </c>
      <c r="F2749" s="227" t="s">
        <v>407</v>
      </c>
      <c r="G2749" s="305">
        <v>-10</v>
      </c>
      <c r="H2749" s="305">
        <v>-10</v>
      </c>
      <c r="I2749" s="244" t="s">
        <v>106</v>
      </c>
      <c r="J2749" s="244" t="s">
        <v>164</v>
      </c>
      <c r="K2749" s="233"/>
      <c r="L2749" s="197"/>
      <c r="M2749" s="197"/>
      <c r="N2749" s="197"/>
      <c r="O2749" s="197"/>
    </row>
    <row r="2750" spans="1:15">
      <c r="A2750" s="326" t="s">
        <v>137</v>
      </c>
      <c r="B2750" s="326" t="s">
        <v>138</v>
      </c>
      <c r="C2750" s="244" t="s">
        <v>106</v>
      </c>
      <c r="D2750" s="244" t="s">
        <v>655</v>
      </c>
      <c r="E2750" s="244" t="s">
        <v>3096</v>
      </c>
      <c r="F2750" s="227" t="s">
        <v>407</v>
      </c>
      <c r="G2750" s="305">
        <v>-0.5</v>
      </c>
      <c r="H2750" s="305">
        <v>-0.5</v>
      </c>
      <c r="I2750" s="244" t="s">
        <v>106</v>
      </c>
      <c r="J2750" s="244" t="s">
        <v>164</v>
      </c>
      <c r="K2750" s="233"/>
      <c r="L2750" s="197"/>
      <c r="M2750" s="197"/>
      <c r="N2750" s="197"/>
      <c r="O2750" s="197"/>
    </row>
    <row r="2751" spans="1:15">
      <c r="A2751" s="326" t="s">
        <v>137</v>
      </c>
      <c r="B2751" s="326" t="s">
        <v>138</v>
      </c>
      <c r="C2751" s="244" t="s">
        <v>106</v>
      </c>
      <c r="D2751" s="244" t="s">
        <v>655</v>
      </c>
      <c r="E2751" s="244" t="s">
        <v>3097</v>
      </c>
      <c r="F2751" s="227" t="s">
        <v>407</v>
      </c>
      <c r="G2751" s="305">
        <v>-0.5</v>
      </c>
      <c r="H2751" s="305">
        <v>-0.5</v>
      </c>
      <c r="I2751" s="244" t="s">
        <v>106</v>
      </c>
      <c r="J2751" s="244" t="s">
        <v>164</v>
      </c>
      <c r="K2751" s="233"/>
      <c r="L2751" s="197"/>
      <c r="M2751" s="197"/>
      <c r="N2751" s="197"/>
      <c r="O2751" s="197"/>
    </row>
    <row r="2752" spans="1:15">
      <c r="A2752" s="326" t="s">
        <v>137</v>
      </c>
      <c r="B2752" s="326" t="s">
        <v>138</v>
      </c>
      <c r="C2752" s="244" t="s">
        <v>1599</v>
      </c>
      <c r="D2752" s="244" t="s">
        <v>2336</v>
      </c>
      <c r="E2752" s="244" t="s">
        <v>3098</v>
      </c>
      <c r="F2752" s="227" t="s">
        <v>407</v>
      </c>
      <c r="G2752" s="305">
        <v>-139.9</v>
      </c>
      <c r="H2752" s="305">
        <v>-139.9</v>
      </c>
      <c r="I2752" s="244" t="s">
        <v>90</v>
      </c>
      <c r="J2752" s="244" t="s">
        <v>246</v>
      </c>
      <c r="K2752" s="233"/>
      <c r="L2752" s="197"/>
      <c r="M2752" s="197"/>
      <c r="N2752" s="197"/>
      <c r="O2752" s="197"/>
    </row>
    <row r="2753" spans="1:15">
      <c r="A2753" s="326" t="s">
        <v>137</v>
      </c>
      <c r="B2753" s="326" t="s">
        <v>138</v>
      </c>
      <c r="C2753" s="244" t="s">
        <v>1599</v>
      </c>
      <c r="D2753" s="244" t="s">
        <v>1606</v>
      </c>
      <c r="E2753" s="244" t="s">
        <v>3099</v>
      </c>
      <c r="F2753" s="227" t="s">
        <v>407</v>
      </c>
      <c r="G2753" s="305">
        <v>-193.54</v>
      </c>
      <c r="H2753" s="305">
        <v>-193.54</v>
      </c>
      <c r="I2753" s="244" t="s">
        <v>90</v>
      </c>
      <c r="J2753" s="244" t="s">
        <v>246</v>
      </c>
      <c r="K2753" s="327" t="s">
        <v>195</v>
      </c>
      <c r="L2753" s="197"/>
      <c r="M2753" s="197"/>
      <c r="N2753" s="197"/>
      <c r="O2753" s="197"/>
    </row>
    <row r="2754" spans="1:15">
      <c r="A2754" s="326" t="s">
        <v>232</v>
      </c>
      <c r="B2754" s="326" t="s">
        <v>138</v>
      </c>
      <c r="C2754" s="244" t="s">
        <v>1599</v>
      </c>
      <c r="D2754" s="244" t="s">
        <v>1608</v>
      </c>
      <c r="E2754" s="244" t="s">
        <v>3100</v>
      </c>
      <c r="F2754" s="227" t="s">
        <v>407</v>
      </c>
      <c r="G2754" s="305">
        <v>-301.16000000000003</v>
      </c>
      <c r="H2754" s="305">
        <v>-301.16000000000003</v>
      </c>
      <c r="I2754" s="244" t="s">
        <v>90</v>
      </c>
      <c r="J2754" s="244" t="s">
        <v>246</v>
      </c>
      <c r="K2754" s="233"/>
      <c r="L2754" s="197"/>
      <c r="M2754" s="197"/>
      <c r="N2754" s="197"/>
      <c r="O2754" s="197"/>
    </row>
    <row r="2755" spans="1:15">
      <c r="A2755" s="326" t="s">
        <v>137</v>
      </c>
      <c r="B2755" s="326" t="s">
        <v>138</v>
      </c>
      <c r="C2755" s="244" t="s">
        <v>1613</v>
      </c>
      <c r="D2755" s="244" t="s">
        <v>669</v>
      </c>
      <c r="E2755" s="244" t="s">
        <v>1616</v>
      </c>
      <c r="F2755" s="227" t="s">
        <v>407</v>
      </c>
      <c r="G2755" s="305">
        <v>-30</v>
      </c>
      <c r="H2755" s="305">
        <v>-30</v>
      </c>
      <c r="I2755" s="244" t="s">
        <v>90</v>
      </c>
      <c r="J2755" s="244" t="s">
        <v>164</v>
      </c>
      <c r="K2755" s="233"/>
      <c r="L2755" s="197"/>
      <c r="M2755" s="197"/>
      <c r="N2755" s="197"/>
      <c r="O2755" s="197"/>
    </row>
    <row r="2756" spans="1:15">
      <c r="A2756" s="326" t="s">
        <v>137</v>
      </c>
      <c r="B2756" s="326" t="s">
        <v>138</v>
      </c>
      <c r="C2756" s="244" t="s">
        <v>1613</v>
      </c>
      <c r="D2756" s="244" t="s">
        <v>1617</v>
      </c>
      <c r="E2756" s="244" t="s">
        <v>3101</v>
      </c>
      <c r="F2756" s="227" t="s">
        <v>407</v>
      </c>
      <c r="G2756" s="305">
        <v>0</v>
      </c>
      <c r="H2756" s="305">
        <v>-700</v>
      </c>
      <c r="I2756" s="244"/>
      <c r="J2756" s="244" t="s">
        <v>246</v>
      </c>
      <c r="K2756" s="327" t="s">
        <v>195</v>
      </c>
      <c r="L2756" s="197"/>
      <c r="M2756" s="197"/>
      <c r="N2756" s="197"/>
      <c r="O2756" s="197"/>
    </row>
    <row r="2757" spans="1:15">
      <c r="A2757" s="326" t="s">
        <v>137</v>
      </c>
      <c r="B2757" s="326" t="s">
        <v>138</v>
      </c>
      <c r="C2757" s="244" t="s">
        <v>1613</v>
      </c>
      <c r="D2757" s="244" t="s">
        <v>1622</v>
      </c>
      <c r="E2757" s="244" t="s">
        <v>3102</v>
      </c>
      <c r="F2757" s="227" t="s">
        <v>407</v>
      </c>
      <c r="G2757" s="305">
        <v>-613.08000000000004</v>
      </c>
      <c r="H2757" s="305">
        <v>-613.08000000000004</v>
      </c>
      <c r="I2757" s="244" t="s">
        <v>90</v>
      </c>
      <c r="J2757" s="244" t="s">
        <v>246</v>
      </c>
      <c r="K2757" s="233"/>
      <c r="L2757" s="197"/>
      <c r="M2757" s="197"/>
      <c r="N2757" s="197"/>
      <c r="O2757" s="197"/>
    </row>
    <row r="2758" spans="1:15">
      <c r="A2758" s="188" t="s">
        <v>243</v>
      </c>
      <c r="B2758" s="274" t="s">
        <v>138</v>
      </c>
      <c r="C2758" s="274" t="s">
        <v>88</v>
      </c>
      <c r="D2758" s="274" t="s">
        <v>244</v>
      </c>
      <c r="E2758" s="274" t="s">
        <v>245</v>
      </c>
      <c r="F2758" s="227" t="s">
        <v>407</v>
      </c>
      <c r="G2758" s="320">
        <v>-150</v>
      </c>
      <c r="H2758" s="320">
        <v>-150</v>
      </c>
      <c r="I2758" s="198" t="s">
        <v>88</v>
      </c>
      <c r="J2758" s="269" t="s">
        <v>206</v>
      </c>
      <c r="K2758" s="274" t="s">
        <v>195</v>
      </c>
      <c r="L2758" s="197"/>
      <c r="M2758" s="197"/>
      <c r="N2758" s="197"/>
      <c r="O2758" s="197"/>
    </row>
    <row r="2759" spans="1:15">
      <c r="A2759" s="188" t="s">
        <v>243</v>
      </c>
      <c r="B2759" s="274" t="s">
        <v>138</v>
      </c>
      <c r="C2759" s="274" t="s">
        <v>74</v>
      </c>
      <c r="D2759" s="274" t="s">
        <v>257</v>
      </c>
      <c r="E2759" s="274" t="s">
        <v>385</v>
      </c>
      <c r="F2759" s="227" t="s">
        <v>407</v>
      </c>
      <c r="G2759" s="320">
        <v>-3385.05</v>
      </c>
      <c r="H2759" s="320">
        <v>-3385.05</v>
      </c>
      <c r="I2759" s="198" t="s">
        <v>74</v>
      </c>
      <c r="J2759" s="269" t="s">
        <v>143</v>
      </c>
      <c r="K2759" s="233"/>
      <c r="L2759" s="197"/>
      <c r="M2759" s="197"/>
      <c r="N2759" s="197"/>
      <c r="O2759" s="197"/>
    </row>
    <row r="2760" spans="1:15">
      <c r="A2760" s="188" t="s">
        <v>243</v>
      </c>
      <c r="B2760" s="274" t="s">
        <v>138</v>
      </c>
      <c r="C2760" s="274" t="s">
        <v>93</v>
      </c>
      <c r="D2760" s="274" t="s">
        <v>383</v>
      </c>
      <c r="E2760" s="274" t="s">
        <v>3103</v>
      </c>
      <c r="F2760" s="227" t="s">
        <v>407</v>
      </c>
      <c r="G2760" s="320">
        <v>-1466.4</v>
      </c>
      <c r="H2760" s="320">
        <v>-1466.4</v>
      </c>
      <c r="I2760" s="198" t="s">
        <v>93</v>
      </c>
      <c r="J2760" s="250" t="s">
        <v>164</v>
      </c>
      <c r="K2760" s="274"/>
      <c r="L2760" s="197"/>
      <c r="M2760" s="197"/>
      <c r="N2760" s="197"/>
      <c r="O2760" s="197"/>
    </row>
    <row r="2761" spans="1:15">
      <c r="A2761" s="188" t="s">
        <v>243</v>
      </c>
      <c r="B2761" s="274" t="s">
        <v>138</v>
      </c>
      <c r="C2761" s="274" t="s">
        <v>82</v>
      </c>
      <c r="D2761" s="274" t="s">
        <v>883</v>
      </c>
      <c r="E2761" s="274" t="s">
        <v>1469</v>
      </c>
      <c r="F2761" s="227" t="s">
        <v>407</v>
      </c>
      <c r="G2761" s="320">
        <v>-125</v>
      </c>
      <c r="H2761" s="320">
        <v>-125</v>
      </c>
      <c r="I2761" s="250" t="s">
        <v>82</v>
      </c>
      <c r="J2761" s="269" t="s">
        <v>143</v>
      </c>
      <c r="K2761" s="274" t="s">
        <v>195</v>
      </c>
      <c r="L2761" s="197"/>
      <c r="M2761" s="197"/>
      <c r="N2761" s="197"/>
      <c r="O2761" s="197"/>
    </row>
    <row r="2762" spans="1:15">
      <c r="A2762" s="245" t="s">
        <v>232</v>
      </c>
      <c r="B2762" s="245" t="s">
        <v>138</v>
      </c>
      <c r="C2762" s="227" t="s">
        <v>973</v>
      </c>
      <c r="D2762" s="257" t="s">
        <v>1153</v>
      </c>
      <c r="E2762" s="227" t="s">
        <v>3104</v>
      </c>
      <c r="F2762" s="227" t="s">
        <v>407</v>
      </c>
      <c r="G2762" s="305">
        <v>-244.17</v>
      </c>
      <c r="H2762" s="322">
        <v>-244.17</v>
      </c>
      <c r="I2762" s="227" t="s">
        <v>96</v>
      </c>
      <c r="J2762" s="244" t="s">
        <v>162</v>
      </c>
      <c r="K2762" s="227" t="s">
        <v>195</v>
      </c>
      <c r="L2762" s="197"/>
      <c r="M2762" s="197"/>
      <c r="N2762" s="197"/>
      <c r="O2762" s="197"/>
    </row>
    <row r="2763" spans="1:15">
      <c r="A2763" s="188" t="s">
        <v>243</v>
      </c>
      <c r="B2763" s="274" t="s">
        <v>138</v>
      </c>
      <c r="C2763" s="274" t="s">
        <v>106</v>
      </c>
      <c r="D2763" s="274" t="s">
        <v>655</v>
      </c>
      <c r="E2763" s="274" t="s">
        <v>3078</v>
      </c>
      <c r="F2763" s="227" t="s">
        <v>407</v>
      </c>
      <c r="G2763" s="320">
        <v>-93.1</v>
      </c>
      <c r="H2763" s="320">
        <v>-93.1</v>
      </c>
      <c r="I2763" s="198" t="s">
        <v>106</v>
      </c>
      <c r="J2763" s="250" t="s">
        <v>164</v>
      </c>
      <c r="K2763" s="233"/>
      <c r="L2763" s="197"/>
      <c r="M2763" s="197"/>
      <c r="N2763" s="197"/>
      <c r="O2763" s="197"/>
    </row>
    <row r="2764" spans="1:15">
      <c r="A2764" s="188" t="s">
        <v>243</v>
      </c>
      <c r="B2764" s="274" t="s">
        <v>138</v>
      </c>
      <c r="C2764" s="274" t="s">
        <v>106</v>
      </c>
      <c r="D2764" s="274" t="s">
        <v>655</v>
      </c>
      <c r="E2764" s="274" t="s">
        <v>3105</v>
      </c>
      <c r="F2764" s="227" t="s">
        <v>407</v>
      </c>
      <c r="G2764" s="320">
        <v>-1.99</v>
      </c>
      <c r="H2764" s="320">
        <v>-1.99</v>
      </c>
      <c r="I2764" s="198" t="s">
        <v>106</v>
      </c>
      <c r="J2764" s="250" t="s">
        <v>164</v>
      </c>
      <c r="K2764" s="233"/>
      <c r="L2764" s="197"/>
      <c r="M2764" s="197"/>
      <c r="N2764" s="197"/>
      <c r="O2764" s="197"/>
    </row>
    <row r="2765" spans="1:15">
      <c r="A2765" s="188" t="s">
        <v>243</v>
      </c>
      <c r="B2765" s="274" t="s">
        <v>138</v>
      </c>
      <c r="C2765" s="274" t="s">
        <v>106</v>
      </c>
      <c r="D2765" s="274" t="s">
        <v>655</v>
      </c>
      <c r="E2765" s="274" t="s">
        <v>3106</v>
      </c>
      <c r="F2765" s="227" t="s">
        <v>407</v>
      </c>
      <c r="G2765" s="320">
        <v>-0.5</v>
      </c>
      <c r="H2765" s="320">
        <v>-0.5</v>
      </c>
      <c r="I2765" s="198" t="s">
        <v>106</v>
      </c>
      <c r="J2765" s="250" t="s">
        <v>164</v>
      </c>
      <c r="K2765" s="233"/>
      <c r="L2765" s="197"/>
      <c r="M2765" s="197"/>
      <c r="N2765" s="197"/>
      <c r="O2765" s="197"/>
    </row>
    <row r="2766" spans="1:15">
      <c r="A2766" s="188" t="s">
        <v>243</v>
      </c>
      <c r="B2766" s="274" t="s">
        <v>138</v>
      </c>
      <c r="C2766" s="274" t="s">
        <v>106</v>
      </c>
      <c r="D2766" s="274" t="s">
        <v>655</v>
      </c>
      <c r="E2766" s="274" t="s">
        <v>3107</v>
      </c>
      <c r="F2766" s="227" t="s">
        <v>407</v>
      </c>
      <c r="G2766" s="320">
        <v>-0.5</v>
      </c>
      <c r="H2766" s="320">
        <v>-0.5</v>
      </c>
      <c r="I2766" s="198" t="s">
        <v>106</v>
      </c>
      <c r="J2766" s="250" t="s">
        <v>164</v>
      </c>
      <c r="K2766" s="233"/>
      <c r="L2766" s="197"/>
      <c r="M2766" s="197"/>
      <c r="N2766" s="197"/>
      <c r="O2766" s="197"/>
    </row>
    <row r="2767" spans="1:15">
      <c r="A2767" s="188" t="s">
        <v>243</v>
      </c>
      <c r="B2767" s="274" t="s">
        <v>138</v>
      </c>
      <c r="C2767" s="274" t="s">
        <v>106</v>
      </c>
      <c r="D2767" s="274" t="s">
        <v>655</v>
      </c>
      <c r="E2767" s="274" t="s">
        <v>3108</v>
      </c>
      <c r="F2767" s="227" t="s">
        <v>407</v>
      </c>
      <c r="G2767" s="320">
        <v>-0.5</v>
      </c>
      <c r="H2767" s="320">
        <v>-0.5</v>
      </c>
      <c r="I2767" s="198" t="s">
        <v>106</v>
      </c>
      <c r="J2767" s="250" t="s">
        <v>164</v>
      </c>
      <c r="K2767" s="233"/>
      <c r="L2767" s="197"/>
      <c r="M2767" s="197"/>
      <c r="N2767" s="197"/>
      <c r="O2767" s="197"/>
    </row>
    <row r="2768" spans="1:15">
      <c r="A2768" s="188" t="s">
        <v>243</v>
      </c>
      <c r="B2768" s="274" t="s">
        <v>138</v>
      </c>
      <c r="C2768" s="274" t="s">
        <v>106</v>
      </c>
      <c r="D2768" s="274" t="s">
        <v>655</v>
      </c>
      <c r="E2768" s="274" t="s">
        <v>3109</v>
      </c>
      <c r="F2768" s="227" t="s">
        <v>407</v>
      </c>
      <c r="G2768" s="320">
        <v>-0.5</v>
      </c>
      <c r="H2768" s="320">
        <v>-0.5</v>
      </c>
      <c r="I2768" s="198" t="s">
        <v>106</v>
      </c>
      <c r="J2768" s="250" t="s">
        <v>164</v>
      </c>
      <c r="K2768" s="233"/>
      <c r="L2768" s="197"/>
      <c r="M2768" s="197"/>
      <c r="N2768" s="197"/>
      <c r="O2768" s="197"/>
    </row>
    <row r="2769" spans="1:15" hidden="1">
      <c r="A2769" s="199" t="s">
        <v>243</v>
      </c>
      <c r="B2769" s="288" t="s">
        <v>683</v>
      </c>
      <c r="C2769" s="288" t="s">
        <v>943</v>
      </c>
      <c r="D2769" s="288" t="s">
        <v>655</v>
      </c>
      <c r="E2769" s="288" t="s">
        <v>947</v>
      </c>
      <c r="F2769" s="267" t="s">
        <v>149</v>
      </c>
      <c r="G2769" s="306">
        <v>153.9</v>
      </c>
      <c r="H2769" s="306">
        <v>153.9</v>
      </c>
      <c r="I2769" s="269" t="s">
        <v>945</v>
      </c>
      <c r="J2769" s="269" t="s">
        <v>206</v>
      </c>
      <c r="K2769" s="233"/>
      <c r="L2769" s="197"/>
      <c r="M2769" s="197"/>
      <c r="N2769" s="197"/>
      <c r="O2769" s="197"/>
    </row>
    <row r="2770" spans="1:15" hidden="1">
      <c r="A2770" s="199" t="s">
        <v>243</v>
      </c>
      <c r="B2770" s="288" t="s">
        <v>683</v>
      </c>
      <c r="C2770" s="288" t="s">
        <v>943</v>
      </c>
      <c r="D2770" s="288" t="s">
        <v>655</v>
      </c>
      <c r="E2770" s="288" t="s">
        <v>944</v>
      </c>
      <c r="F2770" s="267" t="s">
        <v>146</v>
      </c>
      <c r="G2770" s="306">
        <v>225.92</v>
      </c>
      <c r="H2770" s="306">
        <v>225.92</v>
      </c>
      <c r="I2770" s="269" t="s">
        <v>945</v>
      </c>
      <c r="J2770" s="269" t="s">
        <v>206</v>
      </c>
      <c r="K2770" s="233"/>
      <c r="L2770" s="197"/>
      <c r="M2770" s="197"/>
      <c r="N2770" s="197"/>
      <c r="O2770" s="197"/>
    </row>
    <row r="2771" spans="1:15" hidden="1">
      <c r="A2771" s="199" t="s">
        <v>243</v>
      </c>
      <c r="B2771" s="288" t="s">
        <v>683</v>
      </c>
      <c r="C2771" s="288" t="s">
        <v>943</v>
      </c>
      <c r="D2771" s="288" t="s">
        <v>655</v>
      </c>
      <c r="E2771" s="288" t="s">
        <v>949</v>
      </c>
      <c r="F2771" s="267" t="s">
        <v>142</v>
      </c>
      <c r="G2771" s="306">
        <v>118.98</v>
      </c>
      <c r="H2771" s="306">
        <v>118.98</v>
      </c>
      <c r="I2771" s="269" t="s">
        <v>945</v>
      </c>
      <c r="J2771" s="269" t="s">
        <v>206</v>
      </c>
      <c r="K2771" s="233"/>
      <c r="L2771" s="197"/>
      <c r="M2771" s="197"/>
      <c r="N2771" s="197"/>
      <c r="O2771" s="197"/>
    </row>
    <row r="2772" spans="1:15" hidden="1">
      <c r="A2772" s="199" t="s">
        <v>243</v>
      </c>
      <c r="B2772" s="288" t="s">
        <v>683</v>
      </c>
      <c r="C2772" s="288" t="s">
        <v>943</v>
      </c>
      <c r="D2772" s="288" t="s">
        <v>655</v>
      </c>
      <c r="E2772" s="288" t="s">
        <v>1592</v>
      </c>
      <c r="F2772" s="267" t="s">
        <v>153</v>
      </c>
      <c r="G2772" s="306">
        <v>127.24</v>
      </c>
      <c r="H2772" s="306">
        <v>127.24</v>
      </c>
      <c r="I2772" s="269" t="s">
        <v>945</v>
      </c>
      <c r="J2772" s="269" t="s">
        <v>206</v>
      </c>
      <c r="K2772" s="233"/>
      <c r="L2772" s="197"/>
      <c r="M2772" s="197"/>
      <c r="N2772" s="197"/>
      <c r="O2772" s="197"/>
    </row>
    <row r="2773" spans="1:15" hidden="1">
      <c r="A2773" s="199" t="s">
        <v>243</v>
      </c>
      <c r="B2773" s="288" t="s">
        <v>683</v>
      </c>
      <c r="C2773" s="288" t="s">
        <v>943</v>
      </c>
      <c r="D2773" s="288" t="s">
        <v>655</v>
      </c>
      <c r="E2773" s="288" t="s">
        <v>1593</v>
      </c>
      <c r="F2773" s="267" t="s">
        <v>261</v>
      </c>
      <c r="G2773" s="306">
        <v>143.07</v>
      </c>
      <c r="H2773" s="306">
        <v>143.07</v>
      </c>
      <c r="I2773" s="269" t="s">
        <v>945</v>
      </c>
      <c r="J2773" s="269" t="s">
        <v>206</v>
      </c>
      <c r="K2773" s="233"/>
      <c r="L2773" s="197"/>
      <c r="M2773" s="197"/>
      <c r="N2773" s="197"/>
      <c r="O2773" s="197"/>
    </row>
    <row r="2774" spans="1:15" hidden="1">
      <c r="A2774" s="199" t="s">
        <v>243</v>
      </c>
      <c r="B2774" s="288" t="s">
        <v>683</v>
      </c>
      <c r="C2774" s="288" t="s">
        <v>943</v>
      </c>
      <c r="D2774" s="288" t="s">
        <v>655</v>
      </c>
      <c r="E2774" s="288" t="s">
        <v>1591</v>
      </c>
      <c r="F2774" s="267" t="s">
        <v>265</v>
      </c>
      <c r="G2774" s="306">
        <v>65.510000000000005</v>
      </c>
      <c r="H2774" s="306">
        <v>65.510000000000005</v>
      </c>
      <c r="I2774" s="269" t="s">
        <v>945</v>
      </c>
      <c r="J2774" s="269" t="s">
        <v>206</v>
      </c>
      <c r="K2774" s="233"/>
      <c r="L2774" s="197"/>
      <c r="M2774" s="197"/>
      <c r="N2774" s="197"/>
      <c r="O2774" s="197"/>
    </row>
    <row r="2775" spans="1:15">
      <c r="A2775" s="199" t="s">
        <v>243</v>
      </c>
      <c r="B2775" s="288" t="s">
        <v>683</v>
      </c>
      <c r="C2775" s="288" t="s">
        <v>943</v>
      </c>
      <c r="D2775" s="288" t="s">
        <v>655</v>
      </c>
      <c r="E2775" s="288" t="s">
        <v>2566</v>
      </c>
      <c r="F2775" s="267" t="s">
        <v>268</v>
      </c>
      <c r="G2775" s="306">
        <v>48.66</v>
      </c>
      <c r="H2775" s="306">
        <v>48.66</v>
      </c>
      <c r="I2775" s="269" t="s">
        <v>945</v>
      </c>
      <c r="J2775" s="269" t="s">
        <v>206</v>
      </c>
      <c r="K2775" s="233"/>
      <c r="L2775" s="197"/>
      <c r="M2775" s="197"/>
      <c r="N2775" s="197"/>
      <c r="O2775" s="197"/>
    </row>
    <row r="2776" spans="1:15" hidden="1">
      <c r="A2776" s="199" t="s">
        <v>243</v>
      </c>
      <c r="B2776" s="288" t="s">
        <v>138</v>
      </c>
      <c r="C2776" s="288" t="s">
        <v>501</v>
      </c>
      <c r="D2776" s="288" t="s">
        <v>655</v>
      </c>
      <c r="E2776" s="288" t="s">
        <v>505</v>
      </c>
      <c r="F2776" s="267" t="s">
        <v>149</v>
      </c>
      <c r="G2776" s="289">
        <v>-27.74</v>
      </c>
      <c r="H2776" s="289">
        <v>-27.74</v>
      </c>
      <c r="I2776" s="269" t="s">
        <v>503</v>
      </c>
      <c r="J2776" s="269" t="s">
        <v>206</v>
      </c>
      <c r="K2776" s="233"/>
      <c r="L2776" s="197"/>
      <c r="M2776" s="197"/>
      <c r="N2776" s="197"/>
      <c r="O2776" s="197"/>
    </row>
    <row r="2777" spans="1:15" hidden="1">
      <c r="A2777" s="199" t="s">
        <v>243</v>
      </c>
      <c r="B2777" s="288" t="s">
        <v>138</v>
      </c>
      <c r="C2777" s="288" t="s">
        <v>491</v>
      </c>
      <c r="D2777" s="288" t="s">
        <v>655</v>
      </c>
      <c r="E2777" s="288" t="s">
        <v>493</v>
      </c>
      <c r="F2777" s="267" t="s">
        <v>146</v>
      </c>
      <c r="G2777" s="289">
        <v>-28.79</v>
      </c>
      <c r="H2777" s="289">
        <v>-28.79</v>
      </c>
      <c r="I2777" s="269" t="s">
        <v>107</v>
      </c>
      <c r="J2777" s="269" t="s">
        <v>206</v>
      </c>
      <c r="K2777" s="233"/>
      <c r="L2777" s="197"/>
      <c r="M2777" s="197"/>
      <c r="N2777" s="197"/>
      <c r="O2777" s="197"/>
    </row>
    <row r="2778" spans="1:15" hidden="1">
      <c r="A2778" s="199" t="s">
        <v>243</v>
      </c>
      <c r="B2778" s="288" t="s">
        <v>138</v>
      </c>
      <c r="C2778" s="288" t="s">
        <v>501</v>
      </c>
      <c r="D2778" s="288" t="s">
        <v>655</v>
      </c>
      <c r="E2778" s="288" t="s">
        <v>502</v>
      </c>
      <c r="F2778" s="267" t="s">
        <v>146</v>
      </c>
      <c r="G2778" s="289">
        <v>-65.59</v>
      </c>
      <c r="H2778" s="289">
        <v>-65.59</v>
      </c>
      <c r="I2778" s="269" t="s">
        <v>503</v>
      </c>
      <c r="J2778" s="269" t="s">
        <v>206</v>
      </c>
      <c r="K2778" s="233"/>
      <c r="L2778" s="197"/>
      <c r="M2778" s="197"/>
      <c r="N2778" s="197"/>
      <c r="O2778" s="197"/>
    </row>
    <row r="2779" spans="1:15" hidden="1">
      <c r="A2779" s="199" t="s">
        <v>243</v>
      </c>
      <c r="B2779" s="288" t="s">
        <v>138</v>
      </c>
      <c r="C2779" s="288" t="s">
        <v>491</v>
      </c>
      <c r="D2779" s="288" t="s">
        <v>655</v>
      </c>
      <c r="E2779" s="288" t="s">
        <v>498</v>
      </c>
      <c r="F2779" s="267" t="s">
        <v>142</v>
      </c>
      <c r="G2779" s="289">
        <v>-6.02</v>
      </c>
      <c r="H2779" s="289">
        <v>-6.02</v>
      </c>
      <c r="I2779" s="269" t="s">
        <v>107</v>
      </c>
      <c r="J2779" s="269" t="s">
        <v>206</v>
      </c>
      <c r="K2779" s="233"/>
      <c r="L2779" s="197"/>
      <c r="M2779" s="197"/>
      <c r="N2779" s="197"/>
      <c r="O2779" s="197"/>
    </row>
    <row r="2780" spans="1:15" hidden="1">
      <c r="A2780" s="199" t="s">
        <v>243</v>
      </c>
      <c r="B2780" s="288" t="s">
        <v>138</v>
      </c>
      <c r="C2780" s="288" t="s">
        <v>501</v>
      </c>
      <c r="D2780" s="288" t="s">
        <v>655</v>
      </c>
      <c r="E2780" s="288" t="s">
        <v>509</v>
      </c>
      <c r="F2780" s="267" t="s">
        <v>142</v>
      </c>
      <c r="G2780" s="289">
        <v>-22.92</v>
      </c>
      <c r="H2780" s="289">
        <v>-22.92</v>
      </c>
      <c r="I2780" s="269" t="s">
        <v>503</v>
      </c>
      <c r="J2780" s="269" t="s">
        <v>206</v>
      </c>
      <c r="K2780" s="233"/>
      <c r="L2780" s="197"/>
      <c r="M2780" s="197"/>
      <c r="N2780" s="197"/>
      <c r="O2780" s="197"/>
    </row>
    <row r="2781" spans="1:15" hidden="1">
      <c r="A2781" s="199" t="s">
        <v>243</v>
      </c>
      <c r="B2781" s="288" t="s">
        <v>138</v>
      </c>
      <c r="C2781" s="288" t="s">
        <v>491</v>
      </c>
      <c r="D2781" s="288" t="s">
        <v>655</v>
      </c>
      <c r="E2781" s="288" t="s">
        <v>1259</v>
      </c>
      <c r="F2781" s="267" t="s">
        <v>153</v>
      </c>
      <c r="G2781" s="289">
        <v>-0.93</v>
      </c>
      <c r="H2781" s="289">
        <v>-0.93</v>
      </c>
      <c r="I2781" s="269" t="s">
        <v>107</v>
      </c>
      <c r="J2781" s="269" t="s">
        <v>206</v>
      </c>
      <c r="K2781" s="233"/>
      <c r="L2781" s="197"/>
      <c r="M2781" s="197"/>
      <c r="N2781" s="197"/>
      <c r="O2781" s="197"/>
    </row>
    <row r="2782" spans="1:15" hidden="1">
      <c r="A2782" s="199" t="s">
        <v>243</v>
      </c>
      <c r="B2782" s="288" t="s">
        <v>138</v>
      </c>
      <c r="C2782" s="288" t="s">
        <v>501</v>
      </c>
      <c r="D2782" s="288" t="s">
        <v>655</v>
      </c>
      <c r="E2782" s="288" t="s">
        <v>1351</v>
      </c>
      <c r="F2782" s="267" t="s">
        <v>153</v>
      </c>
      <c r="G2782" s="289">
        <v>-22.41</v>
      </c>
      <c r="H2782" s="289">
        <v>-22.41</v>
      </c>
      <c r="I2782" s="269" t="s">
        <v>503</v>
      </c>
      <c r="J2782" s="269" t="s">
        <v>206</v>
      </c>
      <c r="K2782" s="233"/>
      <c r="L2782" s="197"/>
      <c r="M2782" s="197"/>
      <c r="N2782" s="197"/>
      <c r="O2782" s="197"/>
    </row>
    <row r="2783" spans="1:15" hidden="1">
      <c r="A2783" s="199" t="s">
        <v>243</v>
      </c>
      <c r="B2783" s="288" t="s">
        <v>138</v>
      </c>
      <c r="C2783" s="288" t="s">
        <v>491</v>
      </c>
      <c r="D2783" s="288" t="s">
        <v>655</v>
      </c>
      <c r="E2783" s="288" t="s">
        <v>1258</v>
      </c>
      <c r="F2783" s="267" t="s">
        <v>261</v>
      </c>
      <c r="G2783" s="289">
        <v>-2.17</v>
      </c>
      <c r="H2783" s="289">
        <v>-2.17</v>
      </c>
      <c r="I2783" s="269" t="s">
        <v>107</v>
      </c>
      <c r="J2783" s="269" t="s">
        <v>206</v>
      </c>
      <c r="K2783" s="233"/>
      <c r="L2783" s="197"/>
      <c r="M2783" s="197"/>
      <c r="N2783" s="197"/>
      <c r="O2783" s="197"/>
    </row>
    <row r="2784" spans="1:15" hidden="1">
      <c r="A2784" s="199" t="s">
        <v>243</v>
      </c>
      <c r="B2784" s="288" t="s">
        <v>138</v>
      </c>
      <c r="C2784" s="288" t="s">
        <v>501</v>
      </c>
      <c r="D2784" s="288" t="s">
        <v>655</v>
      </c>
      <c r="E2784" s="288" t="s">
        <v>1349</v>
      </c>
      <c r="F2784" s="267" t="s">
        <v>261</v>
      </c>
      <c r="G2784" s="289">
        <v>-33.01</v>
      </c>
      <c r="H2784" s="289">
        <v>-33.01</v>
      </c>
      <c r="I2784" s="269" t="s">
        <v>503</v>
      </c>
      <c r="J2784" s="269" t="s">
        <v>206</v>
      </c>
      <c r="K2784" s="233"/>
      <c r="L2784" s="197"/>
      <c r="M2784" s="197"/>
      <c r="N2784" s="197"/>
      <c r="O2784" s="197"/>
    </row>
    <row r="2785" spans="1:15" hidden="1">
      <c r="A2785" s="199" t="s">
        <v>243</v>
      </c>
      <c r="B2785" s="288" t="s">
        <v>138</v>
      </c>
      <c r="C2785" s="288" t="s">
        <v>501</v>
      </c>
      <c r="D2785" s="288" t="s">
        <v>655</v>
      </c>
      <c r="E2785" s="288" t="s">
        <v>1350</v>
      </c>
      <c r="F2785" s="267" t="s">
        <v>265</v>
      </c>
      <c r="G2785" s="289">
        <v>-32.270000000000003</v>
      </c>
      <c r="H2785" s="289">
        <v>-32.270000000000003</v>
      </c>
      <c r="I2785" s="269" t="s">
        <v>503</v>
      </c>
      <c r="J2785" s="269" t="s">
        <v>206</v>
      </c>
      <c r="K2785" s="233"/>
      <c r="L2785" s="197"/>
      <c r="M2785" s="197"/>
      <c r="N2785" s="197"/>
      <c r="O2785" s="197"/>
    </row>
    <row r="2786" spans="1:15">
      <c r="A2786" s="199" t="s">
        <v>243</v>
      </c>
      <c r="B2786" s="288" t="s">
        <v>138</v>
      </c>
      <c r="C2786" s="288" t="s">
        <v>501</v>
      </c>
      <c r="D2786" s="288" t="s">
        <v>655</v>
      </c>
      <c r="E2786" s="288" t="s">
        <v>2568</v>
      </c>
      <c r="F2786" s="267" t="s">
        <v>268</v>
      </c>
      <c r="G2786" s="289">
        <v>-9.68</v>
      </c>
      <c r="H2786" s="289">
        <v>-9.68</v>
      </c>
      <c r="I2786" s="269" t="s">
        <v>503</v>
      </c>
      <c r="J2786" s="269" t="s">
        <v>206</v>
      </c>
      <c r="K2786" s="233"/>
      <c r="L2786" s="197"/>
      <c r="M2786" s="197"/>
      <c r="N2786" s="197"/>
      <c r="O2786" s="197"/>
    </row>
    <row r="2787" spans="1:15">
      <c r="A2787" s="274"/>
      <c r="B2787" s="274"/>
      <c r="C2787" s="274"/>
      <c r="D2787" s="274"/>
      <c r="E2787" s="283"/>
      <c r="F2787" s="283"/>
      <c r="G2787" s="320"/>
      <c r="H2787" s="320"/>
      <c r="I2787" s="228"/>
      <c r="J2787" s="228"/>
      <c r="K2787" s="233"/>
      <c r="L2787" s="197"/>
      <c r="M2787" s="197"/>
      <c r="N2787" s="197"/>
      <c r="O2787" s="197"/>
    </row>
    <row r="2788" spans="1:15">
      <c r="A2788" s="274"/>
      <c r="B2788" s="274"/>
      <c r="C2788" s="274"/>
      <c r="D2788" s="274"/>
      <c r="E2788" s="283"/>
      <c r="F2788" s="283"/>
      <c r="G2788" s="320"/>
      <c r="H2788" s="320"/>
      <c r="I2788" s="228"/>
      <c r="J2788" s="228"/>
      <c r="K2788" s="233"/>
      <c r="L2788" s="197"/>
      <c r="M2788" s="197"/>
      <c r="N2788" s="197"/>
      <c r="O2788" s="197"/>
    </row>
    <row r="2789" spans="1:15">
      <c r="A2789" s="274"/>
      <c r="B2789" s="274"/>
      <c r="C2789" s="274"/>
      <c r="D2789" s="274"/>
      <c r="E2789" s="283"/>
      <c r="F2789" s="283"/>
      <c r="G2789" s="320"/>
      <c r="H2789" s="320"/>
      <c r="I2789" s="228"/>
      <c r="J2789" s="228"/>
      <c r="K2789" s="233"/>
      <c r="L2789" s="197"/>
      <c r="M2789" s="197"/>
      <c r="N2789" s="197"/>
      <c r="O2789" s="197"/>
    </row>
    <row r="2790" spans="1:15">
      <c r="A2790" s="274"/>
      <c r="B2790" s="274"/>
      <c r="C2790" s="274"/>
      <c r="D2790" s="274"/>
      <c r="E2790" s="283"/>
      <c r="F2790" s="283"/>
      <c r="G2790" s="320"/>
      <c r="H2790" s="320"/>
      <c r="I2790" s="228"/>
      <c r="J2790" s="228"/>
      <c r="K2790" s="233"/>
      <c r="L2790" s="197"/>
      <c r="M2790" s="197"/>
      <c r="N2790" s="197"/>
      <c r="O2790" s="197"/>
    </row>
    <row r="2791" spans="1:15">
      <c r="A2791" s="274"/>
      <c r="B2791" s="274"/>
      <c r="C2791" s="274"/>
      <c r="D2791" s="274"/>
      <c r="E2791" s="283"/>
      <c r="F2791" s="283"/>
      <c r="G2791" s="320"/>
      <c r="H2791" s="320"/>
      <c r="I2791" s="228"/>
      <c r="J2791" s="228"/>
      <c r="K2791" s="233"/>
      <c r="L2791" s="197"/>
      <c r="M2791" s="197"/>
      <c r="N2791" s="197"/>
      <c r="O2791" s="197"/>
    </row>
    <row r="2792" spans="1:15">
      <c r="A2792" s="274"/>
      <c r="B2792" s="274"/>
      <c r="C2792" s="274"/>
      <c r="D2792" s="274"/>
      <c r="E2792" s="283"/>
      <c r="F2792" s="283"/>
      <c r="G2792" s="320"/>
      <c r="H2792" s="320"/>
      <c r="I2792" s="228"/>
      <c r="J2792" s="228"/>
      <c r="K2792" s="233"/>
      <c r="L2792" s="197"/>
      <c r="M2792" s="197"/>
      <c r="N2792" s="197"/>
      <c r="O2792" s="197"/>
    </row>
    <row r="2793" spans="1:15">
      <c r="A2793" s="274"/>
      <c r="B2793" s="274"/>
      <c r="C2793" s="274"/>
      <c r="D2793" s="274"/>
      <c r="E2793" s="283"/>
      <c r="F2793" s="283"/>
      <c r="G2793" s="320"/>
      <c r="H2793" s="320"/>
      <c r="I2793" s="228"/>
      <c r="J2793" s="228"/>
      <c r="K2793" s="233"/>
      <c r="L2793" s="197"/>
      <c r="M2793" s="197"/>
      <c r="N2793" s="197"/>
      <c r="O2793" s="197"/>
    </row>
    <row r="2794" spans="1:15">
      <c r="A2794" s="274"/>
      <c r="B2794" s="274"/>
      <c r="C2794" s="274"/>
      <c r="D2794" s="274"/>
      <c r="E2794" s="283"/>
      <c r="F2794" s="283"/>
      <c r="G2794" s="320"/>
      <c r="H2794" s="320"/>
      <c r="I2794" s="228"/>
      <c r="J2794" s="228"/>
      <c r="K2794" s="233"/>
      <c r="L2794" s="197"/>
      <c r="M2794" s="197"/>
      <c r="N2794" s="197"/>
      <c r="O2794" s="197"/>
    </row>
    <row r="2795" spans="1:15">
      <c r="A2795" s="274"/>
      <c r="B2795" s="274"/>
      <c r="C2795" s="274"/>
      <c r="D2795" s="274"/>
      <c r="E2795" s="283"/>
      <c r="F2795" s="283"/>
      <c r="G2795" s="320"/>
      <c r="H2795" s="320"/>
      <c r="I2795" s="228"/>
      <c r="J2795" s="228"/>
      <c r="K2795" s="233"/>
      <c r="L2795" s="197"/>
      <c r="M2795" s="197"/>
      <c r="N2795" s="197"/>
      <c r="O2795" s="197"/>
    </row>
    <row r="2796" spans="1:15">
      <c r="A2796" s="274"/>
      <c r="B2796" s="274"/>
      <c r="C2796" s="274"/>
      <c r="D2796" s="274"/>
      <c r="E2796" s="283"/>
      <c r="F2796" s="283"/>
      <c r="G2796" s="320"/>
      <c r="H2796" s="320"/>
      <c r="I2796" s="228"/>
      <c r="J2796" s="228"/>
      <c r="K2796" s="233"/>
      <c r="L2796" s="197"/>
      <c r="M2796" s="197"/>
      <c r="N2796" s="197"/>
      <c r="O2796" s="197"/>
    </row>
    <row r="2797" spans="1:15">
      <c r="A2797" s="274"/>
      <c r="B2797" s="274"/>
      <c r="C2797" s="274"/>
      <c r="D2797" s="274"/>
      <c r="E2797" s="283"/>
      <c r="F2797" s="283"/>
      <c r="G2797" s="320"/>
      <c r="H2797" s="320"/>
      <c r="I2797" s="228"/>
      <c r="J2797" s="228"/>
      <c r="K2797" s="233"/>
      <c r="L2797" s="197"/>
      <c r="M2797" s="197"/>
      <c r="N2797" s="197"/>
      <c r="O2797" s="197"/>
    </row>
    <row r="2798" spans="1:15">
      <c r="A2798" s="274"/>
      <c r="B2798" s="274"/>
      <c r="C2798" s="274"/>
      <c r="D2798" s="274"/>
      <c r="E2798" s="283"/>
      <c r="F2798" s="283"/>
      <c r="G2798" s="320"/>
      <c r="H2798" s="320"/>
      <c r="I2798" s="228"/>
      <c r="J2798" s="228"/>
      <c r="K2798" s="233"/>
      <c r="L2798" s="197"/>
      <c r="M2798" s="197"/>
      <c r="N2798" s="197"/>
      <c r="O2798" s="197"/>
    </row>
    <row r="2799" spans="1:15">
      <c r="A2799" s="274"/>
      <c r="B2799" s="274"/>
      <c r="C2799" s="274"/>
      <c r="D2799" s="274"/>
      <c r="E2799" s="283"/>
      <c r="F2799" s="283"/>
      <c r="G2799" s="320"/>
      <c r="H2799" s="320"/>
      <c r="I2799" s="228"/>
      <c r="J2799" s="228"/>
      <c r="K2799" s="233"/>
      <c r="L2799" s="197"/>
      <c r="M2799" s="197"/>
      <c r="N2799" s="197"/>
      <c r="O2799" s="197"/>
    </row>
    <row r="2800" spans="1:15">
      <c r="A2800" s="274"/>
      <c r="B2800" s="274"/>
      <c r="C2800" s="274"/>
      <c r="D2800" s="274"/>
      <c r="E2800" s="283"/>
      <c r="F2800" s="283"/>
      <c r="G2800" s="320"/>
      <c r="H2800" s="320"/>
      <c r="I2800" s="228"/>
      <c r="J2800" s="228"/>
      <c r="K2800" s="233"/>
      <c r="L2800" s="197"/>
      <c r="M2800" s="197"/>
      <c r="N2800" s="197"/>
      <c r="O2800" s="197"/>
    </row>
    <row r="2801" spans="1:15">
      <c r="A2801" s="274"/>
      <c r="B2801" s="274"/>
      <c r="C2801" s="274"/>
      <c r="D2801" s="274"/>
      <c r="E2801" s="283"/>
      <c r="F2801" s="283"/>
      <c r="G2801" s="320"/>
      <c r="H2801" s="320"/>
      <c r="I2801" s="228"/>
      <c r="J2801" s="228"/>
      <c r="K2801" s="233"/>
      <c r="L2801" s="197"/>
      <c r="M2801" s="197"/>
      <c r="N2801" s="197"/>
      <c r="O2801" s="197"/>
    </row>
    <row r="2802" spans="1:15">
      <c r="A2802" s="274"/>
      <c r="B2802" s="274"/>
      <c r="C2802" s="274"/>
      <c r="D2802" s="274"/>
      <c r="E2802" s="283"/>
      <c r="F2802" s="283"/>
      <c r="G2802" s="320"/>
      <c r="H2802" s="320"/>
      <c r="I2802" s="228"/>
      <c r="J2802" s="228"/>
      <c r="K2802" s="233"/>
      <c r="L2802" s="197"/>
      <c r="M2802" s="197"/>
      <c r="N2802" s="197"/>
      <c r="O2802" s="197"/>
    </row>
    <row r="2803" spans="1:15">
      <c r="A2803" s="274"/>
      <c r="B2803" s="274"/>
      <c r="C2803" s="274"/>
      <c r="D2803" s="274"/>
      <c r="E2803" s="283"/>
      <c r="F2803" s="283"/>
      <c r="G2803" s="320"/>
      <c r="H2803" s="320"/>
      <c r="I2803" s="228"/>
      <c r="J2803" s="228"/>
      <c r="K2803" s="233"/>
      <c r="L2803" s="197"/>
      <c r="M2803" s="197"/>
      <c r="N2803" s="197"/>
      <c r="O2803" s="197"/>
    </row>
    <row r="2804" spans="1:15">
      <c r="A2804" s="274"/>
      <c r="B2804" s="274"/>
      <c r="C2804" s="274"/>
      <c r="D2804" s="274"/>
      <c r="E2804" s="283"/>
      <c r="F2804" s="283"/>
      <c r="G2804" s="320"/>
      <c r="H2804" s="320"/>
      <c r="I2804" s="228"/>
      <c r="J2804" s="228"/>
      <c r="K2804" s="233"/>
      <c r="L2804" s="197"/>
      <c r="M2804" s="197"/>
      <c r="N2804" s="197"/>
      <c r="O2804" s="197"/>
    </row>
    <row r="2805" spans="1:15">
      <c r="A2805" s="274"/>
      <c r="B2805" s="274"/>
      <c r="C2805" s="274"/>
      <c r="D2805" s="274"/>
      <c r="E2805" s="283"/>
      <c r="F2805" s="283"/>
      <c r="G2805" s="320"/>
      <c r="H2805" s="320"/>
      <c r="I2805" s="228"/>
      <c r="J2805" s="228"/>
      <c r="K2805" s="233"/>
      <c r="L2805" s="197"/>
      <c r="M2805" s="197"/>
      <c r="N2805" s="197"/>
      <c r="O2805" s="197"/>
    </row>
    <row r="2806" spans="1:15">
      <c r="A2806" s="274"/>
      <c r="B2806" s="274"/>
      <c r="C2806" s="274"/>
      <c r="D2806" s="274"/>
      <c r="E2806" s="283"/>
      <c r="F2806" s="283"/>
      <c r="G2806" s="320"/>
      <c r="H2806" s="320"/>
      <c r="I2806" s="228"/>
      <c r="J2806" s="228"/>
      <c r="K2806" s="233"/>
      <c r="L2806" s="197"/>
      <c r="M2806" s="197"/>
      <c r="N2806" s="197"/>
      <c r="O2806" s="197"/>
    </row>
    <row r="2807" spans="1:15">
      <c r="A2807" s="274"/>
      <c r="B2807" s="274"/>
      <c r="C2807" s="274"/>
      <c r="D2807" s="274"/>
      <c r="E2807" s="283"/>
      <c r="F2807" s="283"/>
      <c r="G2807" s="320"/>
      <c r="H2807" s="320"/>
      <c r="I2807" s="228"/>
      <c r="J2807" s="228"/>
      <c r="K2807" s="233"/>
      <c r="L2807" s="197"/>
      <c r="M2807" s="197"/>
      <c r="N2807" s="197"/>
      <c r="O2807" s="197"/>
    </row>
    <row r="2808" spans="1:15">
      <c r="A2808" s="274"/>
      <c r="B2808" s="274"/>
      <c r="C2808" s="274"/>
      <c r="D2808" s="274"/>
      <c r="E2808" s="283"/>
      <c r="F2808" s="283"/>
      <c r="G2808" s="320"/>
      <c r="H2808" s="320"/>
      <c r="I2808" s="228"/>
      <c r="J2808" s="228"/>
      <c r="K2808" s="233"/>
      <c r="L2808" s="197"/>
      <c r="M2808" s="197"/>
      <c r="N2808" s="197"/>
      <c r="O2808" s="197"/>
    </row>
    <row r="2809" spans="1:15">
      <c r="A2809" s="274"/>
      <c r="B2809" s="274"/>
      <c r="C2809" s="274"/>
      <c r="D2809" s="274"/>
      <c r="E2809" s="283"/>
      <c r="F2809" s="283"/>
      <c r="G2809" s="320"/>
      <c r="H2809" s="320"/>
      <c r="I2809" s="228"/>
      <c r="J2809" s="228"/>
      <c r="K2809" s="233"/>
      <c r="L2809" s="197"/>
      <c r="M2809" s="197"/>
      <c r="N2809" s="197"/>
      <c r="O2809" s="197"/>
    </row>
    <row r="2810" spans="1:15">
      <c r="A2810" s="274"/>
      <c r="B2810" s="274"/>
      <c r="C2810" s="274"/>
      <c r="D2810" s="274"/>
      <c r="E2810" s="283"/>
      <c r="F2810" s="283"/>
      <c r="G2810" s="320"/>
      <c r="H2810" s="320"/>
      <c r="I2810" s="228"/>
      <c r="J2810" s="228"/>
      <c r="K2810" s="233"/>
      <c r="L2810" s="197"/>
      <c r="M2810" s="197"/>
      <c r="N2810" s="197"/>
      <c r="O2810" s="197"/>
    </row>
    <row r="2811" spans="1:15">
      <c r="A2811" s="274"/>
      <c r="B2811" s="274"/>
      <c r="C2811" s="274"/>
      <c r="D2811" s="274"/>
      <c r="E2811" s="283"/>
      <c r="F2811" s="283"/>
      <c r="G2811" s="320"/>
      <c r="H2811" s="320"/>
      <c r="I2811" s="228"/>
      <c r="J2811" s="228"/>
      <c r="K2811" s="233"/>
      <c r="L2811" s="197"/>
      <c r="M2811" s="197"/>
      <c r="N2811" s="197"/>
      <c r="O2811" s="197"/>
    </row>
    <row r="2812" spans="1:15">
      <c r="A2812" s="274"/>
      <c r="B2812" s="274"/>
      <c r="C2812" s="274"/>
      <c r="D2812" s="274"/>
      <c r="E2812" s="283"/>
      <c r="F2812" s="283"/>
      <c r="G2812" s="320"/>
      <c r="H2812" s="320"/>
      <c r="I2812" s="228"/>
      <c r="J2812" s="228"/>
      <c r="K2812" s="233"/>
      <c r="L2812" s="197"/>
      <c r="M2812" s="197"/>
      <c r="N2812" s="197"/>
      <c r="O2812" s="197"/>
    </row>
    <row r="2813" spans="1:15">
      <c r="A2813" s="274"/>
      <c r="B2813" s="274"/>
      <c r="C2813" s="274"/>
      <c r="D2813" s="274"/>
      <c r="E2813" s="283"/>
      <c r="F2813" s="283"/>
      <c r="G2813" s="320"/>
      <c r="H2813" s="320"/>
      <c r="I2813" s="228"/>
      <c r="J2813" s="228"/>
      <c r="K2813" s="233"/>
      <c r="L2813" s="197"/>
      <c r="M2813" s="197"/>
      <c r="N2813" s="197"/>
      <c r="O2813" s="197"/>
    </row>
    <row r="2814" spans="1:15">
      <c r="A2814" s="274"/>
      <c r="B2814" s="274"/>
      <c r="C2814" s="274"/>
      <c r="D2814" s="274"/>
      <c r="E2814" s="283"/>
      <c r="F2814" s="283"/>
      <c r="G2814" s="320"/>
      <c r="H2814" s="320"/>
      <c r="I2814" s="228"/>
      <c r="J2814" s="228"/>
      <c r="K2814" s="233"/>
      <c r="L2814" s="197"/>
      <c r="M2814" s="197"/>
      <c r="N2814" s="197"/>
      <c r="O2814" s="197"/>
    </row>
    <row r="2815" spans="1:15">
      <c r="A2815" s="274"/>
      <c r="B2815" s="274"/>
      <c r="C2815" s="274"/>
      <c r="D2815" s="274"/>
      <c r="E2815" s="283"/>
      <c r="F2815" s="283"/>
      <c r="G2815" s="320"/>
      <c r="H2815" s="320"/>
      <c r="I2815" s="228"/>
      <c r="J2815" s="228"/>
      <c r="K2815" s="233"/>
      <c r="L2815" s="197"/>
      <c r="M2815" s="197"/>
      <c r="N2815" s="197"/>
      <c r="O2815" s="197"/>
    </row>
    <row r="2816" spans="1:15">
      <c r="A2816" s="274"/>
      <c r="B2816" s="274"/>
      <c r="C2816" s="274"/>
      <c r="D2816" s="274"/>
      <c r="E2816" s="283"/>
      <c r="F2816" s="283"/>
      <c r="G2816" s="320"/>
      <c r="H2816" s="320"/>
      <c r="I2816" s="228"/>
      <c r="J2816" s="228"/>
      <c r="K2816" s="233"/>
      <c r="L2816" s="197"/>
      <c r="M2816" s="197"/>
      <c r="N2816" s="197"/>
      <c r="O2816" s="197"/>
    </row>
    <row r="2817" spans="1:15">
      <c r="A2817" s="274"/>
      <c r="B2817" s="274"/>
      <c r="C2817" s="274"/>
      <c r="D2817" s="274"/>
      <c r="E2817" s="283"/>
      <c r="F2817" s="283"/>
      <c r="G2817" s="320"/>
      <c r="H2817" s="320"/>
      <c r="I2817" s="228"/>
      <c r="J2817" s="228"/>
      <c r="K2817" s="233"/>
      <c r="L2817" s="197"/>
      <c r="M2817" s="197"/>
      <c r="N2817" s="197"/>
      <c r="O2817" s="197"/>
    </row>
    <row r="2818" spans="1:15">
      <c r="A2818" s="274"/>
      <c r="B2818" s="274"/>
      <c r="C2818" s="274"/>
      <c r="D2818" s="274"/>
      <c r="E2818" s="283"/>
      <c r="F2818" s="283"/>
      <c r="G2818" s="320"/>
      <c r="H2818" s="320"/>
      <c r="I2818" s="228"/>
      <c r="J2818" s="228"/>
      <c r="K2818" s="233"/>
      <c r="L2818" s="197"/>
      <c r="M2818" s="197"/>
      <c r="N2818" s="197"/>
      <c r="O2818" s="197"/>
    </row>
    <row r="2819" spans="1:15">
      <c r="A2819" s="274"/>
      <c r="B2819" s="274"/>
      <c r="C2819" s="274"/>
      <c r="D2819" s="274"/>
      <c r="E2819" s="283"/>
      <c r="F2819" s="283"/>
      <c r="G2819" s="320"/>
      <c r="H2819" s="320"/>
      <c r="I2819" s="228"/>
      <c r="J2819" s="228"/>
      <c r="K2819" s="233"/>
      <c r="L2819" s="197"/>
      <c r="M2819" s="197"/>
      <c r="N2819" s="197"/>
      <c r="O2819" s="197"/>
    </row>
    <row r="2820" spans="1:15">
      <c r="A2820" s="274"/>
      <c r="B2820" s="274"/>
      <c r="C2820" s="274"/>
      <c r="D2820" s="274"/>
      <c r="E2820" s="283"/>
      <c r="F2820" s="283"/>
      <c r="G2820" s="320"/>
      <c r="H2820" s="320"/>
      <c r="I2820" s="228"/>
      <c r="J2820" s="228"/>
      <c r="K2820" s="233"/>
      <c r="L2820" s="197"/>
      <c r="M2820" s="197"/>
      <c r="N2820" s="197"/>
      <c r="O2820" s="197"/>
    </row>
    <row r="2821" spans="1:15">
      <c r="A2821" s="274"/>
      <c r="B2821" s="274"/>
      <c r="C2821" s="274"/>
      <c r="D2821" s="274"/>
      <c r="E2821" s="283"/>
      <c r="F2821" s="283"/>
      <c r="G2821" s="320"/>
      <c r="H2821" s="320"/>
      <c r="I2821" s="228"/>
      <c r="J2821" s="228"/>
      <c r="K2821" s="233"/>
      <c r="L2821" s="197"/>
      <c r="M2821" s="197"/>
      <c r="N2821" s="197"/>
      <c r="O2821" s="197"/>
    </row>
    <row r="2822" spans="1:15">
      <c r="A2822" s="274"/>
      <c r="B2822" s="274"/>
      <c r="C2822" s="274"/>
      <c r="D2822" s="274"/>
      <c r="E2822" s="283"/>
      <c r="F2822" s="283"/>
      <c r="G2822" s="320"/>
      <c r="H2822" s="320"/>
      <c r="I2822" s="228"/>
      <c r="J2822" s="228"/>
      <c r="K2822" s="233"/>
      <c r="L2822" s="197"/>
      <c r="M2822" s="197"/>
      <c r="N2822" s="197"/>
      <c r="O2822" s="197"/>
    </row>
    <row r="2823" spans="1:15">
      <c r="A2823" s="274"/>
      <c r="B2823" s="274"/>
      <c r="C2823" s="274"/>
      <c r="D2823" s="274"/>
      <c r="E2823" s="283"/>
      <c r="F2823" s="283"/>
      <c r="G2823" s="320"/>
      <c r="H2823" s="320"/>
      <c r="I2823" s="228"/>
      <c r="J2823" s="228"/>
      <c r="K2823" s="233"/>
      <c r="L2823" s="197"/>
      <c r="M2823" s="197"/>
      <c r="N2823" s="197"/>
      <c r="O2823" s="197"/>
    </row>
    <row r="2824" spans="1:15">
      <c r="A2824" s="274"/>
      <c r="B2824" s="274"/>
      <c r="C2824" s="274"/>
      <c r="D2824" s="274"/>
      <c r="E2824" s="283"/>
      <c r="F2824" s="283"/>
      <c r="G2824" s="320"/>
      <c r="H2824" s="320"/>
      <c r="I2824" s="228"/>
      <c r="J2824" s="228"/>
      <c r="K2824" s="233"/>
      <c r="L2824" s="197"/>
      <c r="M2824" s="197"/>
      <c r="N2824" s="197"/>
      <c r="O2824" s="197"/>
    </row>
    <row r="2825" spans="1:15">
      <c r="A2825" s="274"/>
      <c r="B2825" s="274"/>
      <c r="C2825" s="274"/>
      <c r="D2825" s="274"/>
      <c r="E2825" s="283"/>
      <c r="F2825" s="283"/>
      <c r="G2825" s="320"/>
      <c r="H2825" s="320"/>
      <c r="I2825" s="228"/>
      <c r="J2825" s="228"/>
      <c r="K2825" s="233"/>
      <c r="L2825" s="197"/>
      <c r="M2825" s="197"/>
      <c r="N2825" s="197"/>
      <c r="O2825" s="197"/>
    </row>
    <row r="2826" spans="1:15">
      <c r="A2826" s="274"/>
      <c r="B2826" s="274"/>
      <c r="C2826" s="274"/>
      <c r="D2826" s="274"/>
      <c r="E2826" s="283"/>
      <c r="F2826" s="283"/>
      <c r="G2826" s="320"/>
      <c r="H2826" s="320"/>
      <c r="I2826" s="228"/>
      <c r="J2826" s="228"/>
      <c r="K2826" s="233"/>
      <c r="L2826" s="197"/>
      <c r="M2826" s="197"/>
      <c r="N2826" s="197"/>
      <c r="O2826" s="197"/>
    </row>
    <row r="2827" spans="1:15">
      <c r="A2827" s="274"/>
      <c r="B2827" s="274"/>
      <c r="C2827" s="274"/>
      <c r="D2827" s="274"/>
      <c r="E2827" s="283"/>
      <c r="F2827" s="283"/>
      <c r="G2827" s="320"/>
      <c r="H2827" s="320"/>
      <c r="I2827" s="228"/>
      <c r="J2827" s="228"/>
      <c r="K2827" s="233"/>
      <c r="L2827" s="197"/>
      <c r="M2827" s="197"/>
      <c r="N2827" s="197"/>
      <c r="O2827" s="197"/>
    </row>
    <row r="2828" spans="1:15">
      <c r="A2828" s="274"/>
      <c r="B2828" s="274"/>
      <c r="C2828" s="274"/>
      <c r="D2828" s="274"/>
      <c r="E2828" s="283"/>
      <c r="F2828" s="283"/>
      <c r="G2828" s="320"/>
      <c r="H2828" s="320"/>
      <c r="I2828" s="228"/>
      <c r="J2828" s="228"/>
      <c r="K2828" s="233"/>
      <c r="L2828" s="197"/>
      <c r="M2828" s="197"/>
      <c r="N2828" s="197"/>
      <c r="O2828" s="197"/>
    </row>
    <row r="2829" spans="1:15">
      <c r="A2829" s="274"/>
      <c r="B2829" s="274"/>
      <c r="C2829" s="274"/>
      <c r="D2829" s="274"/>
      <c r="E2829" s="283"/>
      <c r="F2829" s="283"/>
      <c r="G2829" s="320"/>
      <c r="H2829" s="320"/>
      <c r="I2829" s="228"/>
      <c r="J2829" s="228"/>
      <c r="K2829" s="233"/>
      <c r="L2829" s="197"/>
      <c r="M2829" s="197"/>
      <c r="N2829" s="197"/>
      <c r="O2829" s="197"/>
    </row>
    <row r="2830" spans="1:15">
      <c r="A2830" s="274"/>
      <c r="B2830" s="274"/>
      <c r="C2830" s="274"/>
      <c r="D2830" s="274"/>
      <c r="E2830" s="283"/>
      <c r="F2830" s="283"/>
      <c r="G2830" s="320"/>
      <c r="H2830" s="320"/>
      <c r="I2830" s="228"/>
      <c r="J2830" s="228"/>
      <c r="K2830" s="233"/>
      <c r="L2830" s="197"/>
      <c r="M2830" s="197"/>
      <c r="N2830" s="197"/>
      <c r="O2830" s="197"/>
    </row>
    <row r="2831" spans="1:15">
      <c r="A2831" s="274"/>
      <c r="B2831" s="274"/>
      <c r="C2831" s="274"/>
      <c r="D2831" s="274"/>
      <c r="E2831" s="283"/>
      <c r="F2831" s="283"/>
      <c r="G2831" s="320"/>
      <c r="H2831" s="320"/>
      <c r="I2831" s="228"/>
      <c r="J2831" s="228"/>
      <c r="K2831" s="233"/>
      <c r="L2831" s="197"/>
      <c r="M2831" s="197"/>
      <c r="N2831" s="197"/>
      <c r="O2831" s="197"/>
    </row>
    <row r="2832" spans="1:15">
      <c r="A2832" s="274"/>
      <c r="B2832" s="274"/>
      <c r="C2832" s="274"/>
      <c r="D2832" s="274"/>
      <c r="E2832" s="283"/>
      <c r="F2832" s="283"/>
      <c r="G2832" s="320"/>
      <c r="H2832" s="320"/>
      <c r="I2832" s="228"/>
      <c r="J2832" s="228"/>
      <c r="K2832" s="233"/>
      <c r="L2832" s="197"/>
      <c r="M2832" s="197"/>
      <c r="N2832" s="197"/>
      <c r="O2832" s="197"/>
    </row>
    <row r="2833" spans="1:15">
      <c r="A2833" s="274"/>
      <c r="B2833" s="274"/>
      <c r="C2833" s="274"/>
      <c r="D2833" s="274"/>
      <c r="E2833" s="283"/>
      <c r="F2833" s="283"/>
      <c r="G2833" s="320"/>
      <c r="H2833" s="320"/>
      <c r="I2833" s="228"/>
      <c r="J2833" s="228"/>
      <c r="K2833" s="233"/>
      <c r="L2833" s="197"/>
      <c r="M2833" s="197"/>
      <c r="N2833" s="197"/>
      <c r="O2833" s="197"/>
    </row>
    <row r="2834" spans="1:15">
      <c r="A2834" s="274"/>
      <c r="B2834" s="274"/>
      <c r="C2834" s="274"/>
      <c r="D2834" s="274"/>
      <c r="E2834" s="283"/>
      <c r="F2834" s="283"/>
      <c r="G2834" s="320"/>
      <c r="H2834" s="320"/>
      <c r="I2834" s="228"/>
      <c r="J2834" s="228"/>
      <c r="K2834" s="233"/>
      <c r="L2834" s="197"/>
      <c r="M2834" s="197"/>
      <c r="N2834" s="197"/>
      <c r="O2834" s="197"/>
    </row>
    <row r="2835" spans="1:15">
      <c r="A2835" s="274"/>
      <c r="B2835" s="274"/>
      <c r="C2835" s="274"/>
      <c r="D2835" s="274"/>
      <c r="E2835" s="283"/>
      <c r="F2835" s="283"/>
      <c r="G2835" s="320"/>
      <c r="H2835" s="320"/>
      <c r="I2835" s="228"/>
      <c r="J2835" s="228"/>
      <c r="K2835" s="233"/>
      <c r="L2835" s="197"/>
      <c r="M2835" s="197"/>
      <c r="N2835" s="197"/>
      <c r="O2835" s="197"/>
    </row>
    <row r="2836" spans="1:15">
      <c r="A2836" s="274"/>
      <c r="B2836" s="274"/>
      <c r="C2836" s="274"/>
      <c r="D2836" s="274"/>
      <c r="E2836" s="283"/>
      <c r="F2836" s="283"/>
      <c r="G2836" s="320"/>
      <c r="H2836" s="320"/>
      <c r="I2836" s="228"/>
      <c r="J2836" s="228"/>
      <c r="K2836" s="233"/>
      <c r="L2836" s="197"/>
      <c r="M2836" s="197"/>
      <c r="N2836" s="197"/>
      <c r="O2836" s="197"/>
    </row>
    <row r="2837" spans="1:15">
      <c r="A2837" s="274"/>
      <c r="B2837" s="274"/>
      <c r="C2837" s="274"/>
      <c r="D2837" s="274"/>
      <c r="E2837" s="283"/>
      <c r="F2837" s="283"/>
      <c r="G2837" s="320"/>
      <c r="H2837" s="320"/>
      <c r="I2837" s="228"/>
      <c r="J2837" s="228"/>
      <c r="K2837" s="233"/>
      <c r="L2837" s="197"/>
      <c r="M2837" s="197"/>
      <c r="N2837" s="197"/>
      <c r="O2837" s="197"/>
    </row>
    <row r="2838" spans="1:15">
      <c r="A2838" s="274"/>
      <c r="B2838" s="274"/>
      <c r="C2838" s="274"/>
      <c r="D2838" s="274"/>
      <c r="E2838" s="283"/>
      <c r="F2838" s="283"/>
      <c r="G2838" s="320"/>
      <c r="H2838" s="320"/>
      <c r="I2838" s="228"/>
      <c r="J2838" s="228"/>
      <c r="K2838" s="233"/>
      <c r="L2838" s="197"/>
      <c r="M2838" s="197"/>
      <c r="N2838" s="197"/>
      <c r="O2838" s="197"/>
    </row>
    <row r="2839" spans="1:15">
      <c r="A2839" s="274"/>
      <c r="B2839" s="274"/>
      <c r="C2839" s="274"/>
      <c r="D2839" s="274"/>
      <c r="E2839" s="283"/>
      <c r="F2839" s="283"/>
      <c r="G2839" s="320"/>
      <c r="H2839" s="320"/>
      <c r="I2839" s="228"/>
      <c r="J2839" s="228"/>
      <c r="K2839" s="233"/>
      <c r="L2839" s="197"/>
      <c r="M2839" s="197"/>
      <c r="N2839" s="197"/>
      <c r="O2839" s="197"/>
    </row>
    <row r="2840" spans="1:15">
      <c r="A2840" s="274"/>
      <c r="B2840" s="274"/>
      <c r="C2840" s="274"/>
      <c r="D2840" s="274"/>
      <c r="E2840" s="283"/>
      <c r="F2840" s="283"/>
      <c r="G2840" s="320"/>
      <c r="H2840" s="320"/>
      <c r="I2840" s="228"/>
      <c r="J2840" s="228"/>
      <c r="K2840" s="233"/>
      <c r="L2840" s="197"/>
      <c r="M2840" s="197"/>
      <c r="N2840" s="197"/>
      <c r="O2840" s="197"/>
    </row>
    <row r="2841" spans="1:15">
      <c r="A2841" s="274"/>
      <c r="B2841" s="274"/>
      <c r="C2841" s="274"/>
      <c r="D2841" s="274"/>
      <c r="E2841" s="283"/>
      <c r="F2841" s="283"/>
      <c r="G2841" s="320"/>
      <c r="H2841" s="320"/>
      <c r="I2841" s="228"/>
      <c r="J2841" s="228"/>
      <c r="K2841" s="233"/>
      <c r="L2841" s="197"/>
      <c r="M2841" s="197"/>
      <c r="N2841" s="197"/>
      <c r="O2841" s="197"/>
    </row>
    <row r="2842" spans="1:15">
      <c r="A2842" s="274"/>
      <c r="B2842" s="274"/>
      <c r="C2842" s="274"/>
      <c r="D2842" s="274"/>
      <c r="E2842" s="283"/>
      <c r="F2842" s="283"/>
      <c r="G2842" s="320"/>
      <c r="H2842" s="320"/>
      <c r="I2842" s="228"/>
      <c r="J2842" s="228"/>
      <c r="K2842" s="233"/>
      <c r="L2842" s="197"/>
      <c r="M2842" s="197"/>
      <c r="N2842" s="197"/>
      <c r="O2842" s="197"/>
    </row>
    <row r="2843" spans="1:15">
      <c r="A2843" s="274"/>
      <c r="B2843" s="274"/>
      <c r="C2843" s="274"/>
      <c r="D2843" s="274"/>
      <c r="E2843" s="283"/>
      <c r="F2843" s="283"/>
      <c r="G2843" s="320"/>
      <c r="H2843" s="320"/>
      <c r="I2843" s="228"/>
      <c r="J2843" s="228"/>
      <c r="K2843" s="233"/>
      <c r="L2843" s="197"/>
      <c r="M2843" s="197"/>
      <c r="N2843" s="197"/>
      <c r="O2843" s="197"/>
    </row>
    <row r="2844" spans="1:15">
      <c r="A2844" s="274"/>
      <c r="B2844" s="274"/>
      <c r="C2844" s="274"/>
      <c r="D2844" s="274"/>
      <c r="E2844" s="283"/>
      <c r="F2844" s="283"/>
      <c r="G2844" s="320"/>
      <c r="H2844" s="320"/>
      <c r="I2844" s="228"/>
      <c r="J2844" s="228"/>
      <c r="K2844" s="233"/>
      <c r="L2844" s="197"/>
      <c r="M2844" s="197"/>
      <c r="N2844" s="197"/>
      <c r="O2844" s="197"/>
    </row>
    <row r="2845" spans="1:15">
      <c r="A2845" s="274"/>
      <c r="B2845" s="274"/>
      <c r="C2845" s="274"/>
      <c r="D2845" s="274"/>
      <c r="E2845" s="283"/>
      <c r="F2845" s="283"/>
      <c r="G2845" s="320"/>
      <c r="H2845" s="320"/>
      <c r="I2845" s="228"/>
      <c r="J2845" s="228"/>
      <c r="K2845" s="233"/>
      <c r="L2845" s="197"/>
      <c r="M2845" s="197"/>
      <c r="N2845" s="197"/>
      <c r="O2845" s="197"/>
    </row>
    <row r="2846" spans="1:15">
      <c r="A2846" s="274"/>
      <c r="B2846" s="274"/>
      <c r="C2846" s="274"/>
      <c r="D2846" s="274"/>
      <c r="E2846" s="283"/>
      <c r="F2846" s="283"/>
      <c r="G2846" s="320"/>
      <c r="H2846" s="320"/>
      <c r="I2846" s="228"/>
      <c r="J2846" s="228"/>
      <c r="K2846" s="233"/>
      <c r="L2846" s="197"/>
      <c r="M2846" s="197"/>
      <c r="N2846" s="197"/>
      <c r="O2846" s="197"/>
    </row>
    <row r="2847" spans="1:15">
      <c r="A2847" s="274"/>
      <c r="B2847" s="274"/>
      <c r="C2847" s="274"/>
      <c r="D2847" s="274"/>
      <c r="E2847" s="283"/>
      <c r="F2847" s="283"/>
      <c r="G2847" s="320"/>
      <c r="H2847" s="320"/>
      <c r="I2847" s="228"/>
      <c r="J2847" s="228"/>
      <c r="K2847" s="233"/>
      <c r="L2847" s="197"/>
      <c r="M2847" s="197"/>
      <c r="N2847" s="197"/>
      <c r="O2847" s="197"/>
    </row>
    <row r="2848" spans="1:15">
      <c r="A2848" s="274"/>
      <c r="B2848" s="274"/>
      <c r="C2848" s="274"/>
      <c r="D2848" s="274"/>
      <c r="E2848" s="283"/>
      <c r="F2848" s="283"/>
      <c r="G2848" s="320"/>
      <c r="H2848" s="320"/>
      <c r="I2848" s="228"/>
      <c r="J2848" s="228"/>
      <c r="K2848" s="233"/>
      <c r="L2848" s="197"/>
      <c r="M2848" s="197"/>
      <c r="N2848" s="197"/>
      <c r="O2848" s="197"/>
    </row>
    <row r="2849" spans="1:15">
      <c r="A2849" s="274"/>
      <c r="B2849" s="274"/>
      <c r="C2849" s="274"/>
      <c r="D2849" s="274"/>
      <c r="E2849" s="283"/>
      <c r="F2849" s="283"/>
      <c r="G2849" s="320"/>
      <c r="H2849" s="320"/>
      <c r="I2849" s="228"/>
      <c r="J2849" s="228"/>
      <c r="K2849" s="233"/>
      <c r="L2849" s="197"/>
      <c r="M2849" s="197"/>
      <c r="N2849" s="197"/>
      <c r="O2849" s="197"/>
    </row>
    <row r="2850" spans="1:15">
      <c r="A2850" s="274"/>
      <c r="B2850" s="274"/>
      <c r="C2850" s="274"/>
      <c r="D2850" s="274"/>
      <c r="E2850" s="283"/>
      <c r="F2850" s="283"/>
      <c r="G2850" s="320"/>
      <c r="H2850" s="320"/>
      <c r="I2850" s="228"/>
      <c r="J2850" s="228"/>
      <c r="K2850" s="233"/>
      <c r="L2850" s="197"/>
      <c r="M2850" s="197"/>
      <c r="N2850" s="197"/>
      <c r="O2850" s="197"/>
    </row>
    <row r="2851" spans="1:15">
      <c r="A2851" s="274"/>
      <c r="B2851" s="274"/>
      <c r="C2851" s="274"/>
      <c r="D2851" s="274"/>
      <c r="E2851" s="283"/>
      <c r="F2851" s="283"/>
      <c r="G2851" s="320"/>
      <c r="H2851" s="320"/>
      <c r="I2851" s="228"/>
      <c r="J2851" s="228"/>
      <c r="K2851" s="233"/>
      <c r="L2851" s="197"/>
      <c r="M2851" s="197"/>
      <c r="N2851" s="197"/>
      <c r="O2851" s="197"/>
    </row>
    <row r="2852" spans="1:15">
      <c r="A2852" s="274"/>
      <c r="B2852" s="274"/>
      <c r="C2852" s="274"/>
      <c r="D2852" s="274"/>
      <c r="E2852" s="283"/>
      <c r="F2852" s="283"/>
      <c r="G2852" s="320"/>
      <c r="H2852" s="320"/>
      <c r="I2852" s="228"/>
      <c r="J2852" s="228"/>
      <c r="K2852" s="233"/>
      <c r="L2852" s="197"/>
      <c r="M2852" s="197"/>
      <c r="N2852" s="197"/>
      <c r="O2852" s="197"/>
    </row>
    <row r="2853" spans="1:15">
      <c r="A2853" s="274"/>
      <c r="B2853" s="274"/>
      <c r="C2853" s="274"/>
      <c r="D2853" s="274"/>
      <c r="E2853" s="283"/>
      <c r="F2853" s="283"/>
      <c r="G2853" s="320"/>
      <c r="H2853" s="320"/>
      <c r="I2853" s="228"/>
      <c r="J2853" s="228"/>
      <c r="K2853" s="233"/>
      <c r="L2853" s="197"/>
      <c r="M2853" s="197"/>
      <c r="N2853" s="197"/>
      <c r="O2853" s="197"/>
    </row>
    <row r="2854" spans="1:15">
      <c r="A2854" s="274"/>
      <c r="B2854" s="274"/>
      <c r="C2854" s="274"/>
      <c r="D2854" s="274"/>
      <c r="E2854" s="283"/>
      <c r="F2854" s="283"/>
      <c r="G2854" s="320"/>
      <c r="H2854" s="320"/>
      <c r="I2854" s="228"/>
      <c r="J2854" s="228"/>
      <c r="K2854" s="233"/>
      <c r="L2854" s="197"/>
      <c r="M2854" s="197"/>
      <c r="N2854" s="197"/>
      <c r="O2854" s="197"/>
    </row>
    <row r="2855" spans="1:15">
      <c r="A2855" s="274"/>
      <c r="B2855" s="274"/>
      <c r="C2855" s="274"/>
      <c r="D2855" s="274"/>
      <c r="E2855" s="283"/>
      <c r="F2855" s="283"/>
      <c r="G2855" s="320"/>
      <c r="H2855" s="320"/>
      <c r="I2855" s="228"/>
      <c r="J2855" s="228"/>
      <c r="K2855" s="233"/>
      <c r="L2855" s="197"/>
      <c r="M2855" s="197"/>
      <c r="N2855" s="197"/>
      <c r="O2855" s="197"/>
    </row>
    <row r="2856" spans="1:15">
      <c r="A2856" s="274"/>
      <c r="B2856" s="274"/>
      <c r="C2856" s="274"/>
      <c r="D2856" s="274"/>
      <c r="E2856" s="283"/>
      <c r="F2856" s="283"/>
      <c r="G2856" s="320"/>
      <c r="H2856" s="320"/>
      <c r="I2856" s="228"/>
      <c r="J2856" s="228"/>
      <c r="K2856" s="233"/>
      <c r="L2856" s="197"/>
      <c r="M2856" s="197"/>
      <c r="N2856" s="197"/>
      <c r="O2856" s="197"/>
    </row>
    <row r="2857" spans="1:15">
      <c r="A2857" s="274"/>
      <c r="B2857" s="274"/>
      <c r="C2857" s="274"/>
      <c r="D2857" s="274"/>
      <c r="E2857" s="283"/>
      <c r="F2857" s="283"/>
      <c r="G2857" s="320"/>
      <c r="H2857" s="320"/>
      <c r="I2857" s="228"/>
      <c r="J2857" s="228"/>
      <c r="K2857" s="233"/>
      <c r="L2857" s="197"/>
      <c r="M2857" s="197"/>
      <c r="N2857" s="197"/>
      <c r="O2857" s="197"/>
    </row>
    <row r="2858" spans="1:15">
      <c r="A2858" s="274"/>
      <c r="B2858" s="274"/>
      <c r="C2858" s="274"/>
      <c r="D2858" s="274"/>
      <c r="E2858" s="283"/>
      <c r="F2858" s="283"/>
      <c r="G2858" s="320"/>
      <c r="H2858" s="320"/>
      <c r="I2858" s="228"/>
      <c r="J2858" s="228"/>
      <c r="K2858" s="233"/>
      <c r="L2858" s="197"/>
      <c r="M2858" s="197"/>
      <c r="N2858" s="197"/>
      <c r="O2858" s="197"/>
    </row>
    <row r="2859" spans="1:15">
      <c r="A2859" s="274"/>
      <c r="B2859" s="274"/>
      <c r="C2859" s="274"/>
      <c r="D2859" s="274"/>
      <c r="E2859" s="283"/>
      <c r="F2859" s="283"/>
      <c r="G2859" s="320"/>
      <c r="H2859" s="320"/>
      <c r="I2859" s="228"/>
      <c r="J2859" s="228"/>
      <c r="K2859" s="233"/>
      <c r="L2859" s="197"/>
      <c r="M2859" s="197"/>
      <c r="N2859" s="197"/>
      <c r="O2859" s="197"/>
    </row>
    <row r="2860" spans="1:15">
      <c r="A2860" s="274"/>
      <c r="B2860" s="274"/>
      <c r="C2860" s="274"/>
      <c r="D2860" s="274"/>
      <c r="E2860" s="283"/>
      <c r="F2860" s="283"/>
      <c r="G2860" s="320"/>
      <c r="H2860" s="320"/>
      <c r="I2860" s="228"/>
      <c r="J2860" s="228"/>
      <c r="K2860" s="233"/>
      <c r="L2860" s="197"/>
      <c r="M2860" s="197"/>
      <c r="N2860" s="197"/>
      <c r="O2860" s="197"/>
    </row>
    <row r="2861" spans="1:15">
      <c r="A2861" s="274"/>
      <c r="B2861" s="274"/>
      <c r="C2861" s="274"/>
      <c r="D2861" s="274"/>
      <c r="E2861" s="283"/>
      <c r="F2861" s="283"/>
      <c r="G2861" s="320"/>
      <c r="H2861" s="320"/>
      <c r="I2861" s="228"/>
      <c r="J2861" s="228"/>
      <c r="K2861" s="233"/>
      <c r="L2861" s="197"/>
      <c r="M2861" s="197"/>
      <c r="N2861" s="197"/>
      <c r="O2861" s="197"/>
    </row>
    <row r="2862" spans="1:15">
      <c r="A2862" s="274"/>
      <c r="B2862" s="274"/>
      <c r="C2862" s="274"/>
      <c r="D2862" s="274"/>
      <c r="E2862" s="283"/>
      <c r="F2862" s="283"/>
      <c r="G2862" s="320"/>
      <c r="H2862" s="320"/>
      <c r="I2862" s="228"/>
      <c r="J2862" s="228"/>
      <c r="K2862" s="233"/>
      <c r="L2862" s="197"/>
      <c r="M2862" s="197"/>
      <c r="N2862" s="197"/>
      <c r="O2862" s="197"/>
    </row>
    <row r="2863" spans="1:15">
      <c r="A2863" s="274"/>
      <c r="B2863" s="274"/>
      <c r="C2863" s="274"/>
      <c r="D2863" s="274"/>
      <c r="E2863" s="283"/>
      <c r="F2863" s="283"/>
      <c r="G2863" s="320"/>
      <c r="H2863" s="320"/>
      <c r="I2863" s="228"/>
      <c r="J2863" s="228"/>
      <c r="K2863" s="233"/>
      <c r="L2863" s="197"/>
      <c r="M2863" s="197"/>
      <c r="N2863" s="197"/>
      <c r="O2863" s="197"/>
    </row>
    <row r="2864" spans="1:15">
      <c r="A2864" s="274"/>
      <c r="B2864" s="274"/>
      <c r="C2864" s="274"/>
      <c r="D2864" s="274"/>
      <c r="E2864" s="283"/>
      <c r="F2864" s="283"/>
      <c r="G2864" s="320"/>
      <c r="H2864" s="320"/>
      <c r="I2864" s="228"/>
      <c r="J2864" s="228"/>
      <c r="K2864" s="233"/>
      <c r="L2864" s="197"/>
      <c r="M2864" s="197"/>
      <c r="N2864" s="197"/>
      <c r="O2864" s="197"/>
    </row>
    <row r="2865" spans="1:15">
      <c r="A2865" s="274"/>
      <c r="B2865" s="274"/>
      <c r="C2865" s="274"/>
      <c r="D2865" s="274"/>
      <c r="E2865" s="283"/>
      <c r="F2865" s="283"/>
      <c r="G2865" s="320"/>
      <c r="H2865" s="320"/>
      <c r="I2865" s="228"/>
      <c r="J2865" s="228"/>
      <c r="K2865" s="233"/>
      <c r="L2865" s="197"/>
      <c r="M2865" s="197"/>
      <c r="N2865" s="197"/>
      <c r="O2865" s="197"/>
    </row>
    <row r="2866" spans="1:15">
      <c r="A2866" s="274"/>
      <c r="B2866" s="274"/>
      <c r="C2866" s="274"/>
      <c r="D2866" s="274"/>
      <c r="E2866" s="283"/>
      <c r="F2866" s="283"/>
      <c r="G2866" s="320"/>
      <c r="H2866" s="320"/>
      <c r="I2866" s="228"/>
      <c r="J2866" s="228"/>
      <c r="K2866" s="233"/>
      <c r="L2866" s="197"/>
      <c r="M2866" s="197"/>
      <c r="N2866" s="197"/>
      <c r="O2866" s="197"/>
    </row>
    <row r="2867" spans="1:15">
      <c r="A2867" s="274"/>
      <c r="B2867" s="274"/>
      <c r="C2867" s="274"/>
      <c r="D2867" s="274"/>
      <c r="E2867" s="283"/>
      <c r="F2867" s="283"/>
      <c r="G2867" s="320"/>
      <c r="H2867" s="320"/>
      <c r="I2867" s="228"/>
      <c r="J2867" s="228"/>
      <c r="K2867" s="233"/>
      <c r="L2867" s="197"/>
      <c r="M2867" s="197"/>
      <c r="N2867" s="197"/>
      <c r="O2867" s="197"/>
    </row>
    <row r="2868" spans="1:15">
      <c r="A2868" s="274"/>
      <c r="B2868" s="274"/>
      <c r="C2868" s="274"/>
      <c r="D2868" s="274"/>
      <c r="E2868" s="283"/>
      <c r="F2868" s="283"/>
      <c r="G2868" s="320"/>
      <c r="H2868" s="320"/>
      <c r="I2868" s="228"/>
      <c r="J2868" s="228"/>
      <c r="K2868" s="233"/>
      <c r="L2868" s="197"/>
      <c r="M2868" s="197"/>
      <c r="N2868" s="197"/>
      <c r="O2868" s="197"/>
    </row>
    <row r="2869" spans="1:15">
      <c r="A2869" s="274"/>
      <c r="B2869" s="274"/>
      <c r="C2869" s="274"/>
      <c r="D2869" s="274"/>
      <c r="E2869" s="283"/>
      <c r="F2869" s="283"/>
      <c r="G2869" s="320"/>
      <c r="H2869" s="320"/>
      <c r="I2869" s="228"/>
      <c r="J2869" s="228"/>
      <c r="K2869" s="233"/>
      <c r="L2869" s="197"/>
      <c r="M2869" s="197"/>
      <c r="N2869" s="197"/>
      <c r="O2869" s="197"/>
    </row>
    <row r="2870" spans="1:15">
      <c r="A2870" s="274"/>
      <c r="B2870" s="274"/>
      <c r="C2870" s="274"/>
      <c r="D2870" s="274"/>
      <c r="E2870" s="283"/>
      <c r="F2870" s="283"/>
      <c r="G2870" s="320"/>
      <c r="H2870" s="320"/>
      <c r="I2870" s="228"/>
      <c r="J2870" s="228"/>
      <c r="K2870" s="233"/>
      <c r="L2870" s="197"/>
      <c r="M2870" s="197"/>
      <c r="N2870" s="197"/>
      <c r="O2870" s="197"/>
    </row>
    <row r="2871" spans="1:15">
      <c r="A2871" s="274"/>
      <c r="B2871" s="274"/>
      <c r="C2871" s="274"/>
      <c r="D2871" s="274"/>
      <c r="E2871" s="283"/>
      <c r="F2871" s="283"/>
      <c r="G2871" s="320"/>
      <c r="H2871" s="320"/>
      <c r="I2871" s="228"/>
      <c r="J2871" s="228"/>
      <c r="K2871" s="233"/>
      <c r="L2871" s="197"/>
      <c r="M2871" s="197"/>
      <c r="N2871" s="197"/>
      <c r="O2871" s="197"/>
    </row>
    <row r="2872" spans="1:15">
      <c r="A2872" s="274"/>
      <c r="B2872" s="274"/>
      <c r="C2872" s="274"/>
      <c r="D2872" s="274"/>
      <c r="E2872" s="283"/>
      <c r="F2872" s="283"/>
      <c r="G2872" s="320"/>
      <c r="H2872" s="320"/>
      <c r="I2872" s="228"/>
      <c r="J2872" s="228"/>
      <c r="K2872" s="233"/>
      <c r="L2872" s="197"/>
      <c r="M2872" s="197"/>
      <c r="N2872" s="197"/>
      <c r="O2872" s="197"/>
    </row>
    <row r="2873" spans="1:15">
      <c r="A2873" s="274"/>
      <c r="B2873" s="274"/>
      <c r="C2873" s="274"/>
      <c r="D2873" s="274"/>
      <c r="E2873" s="283"/>
      <c r="F2873" s="283"/>
      <c r="G2873" s="320"/>
      <c r="H2873" s="320"/>
      <c r="I2873" s="228"/>
      <c r="J2873" s="228"/>
      <c r="K2873" s="233"/>
      <c r="L2873" s="197"/>
      <c r="M2873" s="197"/>
      <c r="N2873" s="197"/>
      <c r="O2873" s="197"/>
    </row>
    <row r="2874" spans="1:15">
      <c r="A2874" s="274"/>
      <c r="B2874" s="274"/>
      <c r="C2874" s="274"/>
      <c r="D2874" s="274"/>
      <c r="E2874" s="283"/>
      <c r="F2874" s="283"/>
      <c r="G2874" s="320"/>
      <c r="H2874" s="320"/>
      <c r="I2874" s="228"/>
      <c r="J2874" s="228"/>
      <c r="K2874" s="233"/>
      <c r="L2874" s="197"/>
      <c r="M2874" s="197"/>
      <c r="N2874" s="197"/>
      <c r="O2874" s="197"/>
    </row>
    <row r="2875" spans="1:15">
      <c r="A2875" s="274"/>
      <c r="B2875" s="274"/>
      <c r="C2875" s="274"/>
      <c r="D2875" s="274"/>
      <c r="E2875" s="283"/>
      <c r="F2875" s="283"/>
      <c r="G2875" s="320"/>
      <c r="H2875" s="320"/>
      <c r="I2875" s="228"/>
      <c r="J2875" s="228"/>
      <c r="K2875" s="233"/>
      <c r="L2875" s="197"/>
      <c r="M2875" s="197"/>
      <c r="N2875" s="197"/>
      <c r="O2875" s="197"/>
    </row>
    <row r="2876" spans="1:15">
      <c r="A2876" s="274"/>
      <c r="B2876" s="274"/>
      <c r="C2876" s="274"/>
      <c r="D2876" s="274"/>
      <c r="E2876" s="283"/>
      <c r="F2876" s="283"/>
      <c r="G2876" s="320"/>
      <c r="H2876" s="320"/>
      <c r="I2876" s="228"/>
      <c r="J2876" s="228"/>
      <c r="K2876" s="233"/>
      <c r="L2876" s="197"/>
      <c r="M2876" s="197"/>
      <c r="N2876" s="197"/>
      <c r="O2876" s="197"/>
    </row>
    <row r="2877" spans="1:15">
      <c r="A2877" s="274"/>
      <c r="B2877" s="274"/>
      <c r="C2877" s="274"/>
      <c r="D2877" s="274"/>
      <c r="E2877" s="283"/>
      <c r="F2877" s="283"/>
      <c r="G2877" s="320"/>
      <c r="H2877" s="320"/>
      <c r="I2877" s="228"/>
      <c r="J2877" s="228"/>
      <c r="K2877" s="233"/>
      <c r="L2877" s="197"/>
      <c r="M2877" s="197"/>
      <c r="N2877" s="197"/>
      <c r="O2877" s="197"/>
    </row>
    <row r="2878" spans="1:15">
      <c r="A2878" s="274"/>
      <c r="B2878" s="274"/>
      <c r="C2878" s="274"/>
      <c r="D2878" s="274"/>
      <c r="E2878" s="283"/>
      <c r="F2878" s="283"/>
      <c r="G2878" s="320"/>
      <c r="H2878" s="320"/>
      <c r="I2878" s="228"/>
      <c r="J2878" s="228"/>
      <c r="K2878" s="233"/>
      <c r="L2878" s="197"/>
      <c r="M2878" s="197"/>
      <c r="N2878" s="197"/>
      <c r="O2878" s="197"/>
    </row>
    <row r="2879" spans="1:15">
      <c r="A2879" s="274"/>
      <c r="B2879" s="274"/>
      <c r="C2879" s="274"/>
      <c r="D2879" s="274"/>
      <c r="E2879" s="283"/>
      <c r="F2879" s="283"/>
      <c r="G2879" s="320"/>
      <c r="H2879" s="320"/>
      <c r="I2879" s="228"/>
      <c r="J2879" s="228"/>
      <c r="K2879" s="233"/>
      <c r="L2879" s="197"/>
      <c r="M2879" s="197"/>
      <c r="N2879" s="197"/>
      <c r="O2879" s="197"/>
    </row>
    <row r="2880" spans="1:15">
      <c r="A2880" s="274"/>
      <c r="B2880" s="274"/>
      <c r="C2880" s="274"/>
      <c r="D2880" s="274"/>
      <c r="E2880" s="283"/>
      <c r="F2880" s="283"/>
      <c r="G2880" s="320"/>
      <c r="H2880" s="320"/>
      <c r="I2880" s="228"/>
      <c r="J2880" s="228"/>
      <c r="K2880" s="233"/>
      <c r="L2880" s="197"/>
      <c r="M2880" s="197"/>
      <c r="N2880" s="197"/>
      <c r="O2880" s="197"/>
    </row>
    <row r="2881" spans="1:15">
      <c r="A2881" s="274"/>
      <c r="B2881" s="274"/>
      <c r="C2881" s="274"/>
      <c r="D2881" s="274"/>
      <c r="E2881" s="283"/>
      <c r="F2881" s="283"/>
      <c r="G2881" s="320"/>
      <c r="H2881" s="320"/>
      <c r="I2881" s="228"/>
      <c r="J2881" s="228"/>
      <c r="K2881" s="233"/>
      <c r="L2881" s="197"/>
      <c r="M2881" s="197"/>
      <c r="N2881" s="197"/>
      <c r="O2881" s="197"/>
    </row>
    <row r="2882" spans="1:15">
      <c r="A2882" s="274"/>
      <c r="B2882" s="274"/>
      <c r="C2882" s="274"/>
      <c r="D2882" s="274"/>
      <c r="E2882" s="283"/>
      <c r="F2882" s="283"/>
      <c r="G2882" s="320"/>
      <c r="H2882" s="320"/>
      <c r="I2882" s="228"/>
      <c r="J2882" s="228"/>
      <c r="K2882" s="233"/>
      <c r="L2882" s="197"/>
      <c r="M2882" s="197"/>
      <c r="N2882" s="197"/>
      <c r="O2882" s="197"/>
    </row>
    <row r="2883" spans="1:15">
      <c r="A2883" s="274"/>
      <c r="B2883" s="274"/>
      <c r="C2883" s="274"/>
      <c r="D2883" s="274"/>
      <c r="E2883" s="283"/>
      <c r="F2883" s="283"/>
      <c r="G2883" s="320"/>
      <c r="H2883" s="320"/>
      <c r="I2883" s="228"/>
      <c r="J2883" s="228"/>
      <c r="K2883" s="233"/>
      <c r="L2883" s="197"/>
      <c r="M2883" s="197"/>
      <c r="N2883" s="197"/>
      <c r="O2883" s="197"/>
    </row>
    <row r="2884" spans="1:15">
      <c r="A2884" s="274"/>
      <c r="B2884" s="274"/>
      <c r="C2884" s="274"/>
      <c r="D2884" s="274"/>
      <c r="E2884" s="283"/>
      <c r="F2884" s="283"/>
      <c r="G2884" s="320"/>
      <c r="H2884" s="320"/>
      <c r="I2884" s="228"/>
      <c r="J2884" s="228"/>
      <c r="K2884" s="233"/>
      <c r="L2884" s="197"/>
      <c r="M2884" s="197"/>
      <c r="N2884" s="197"/>
      <c r="O2884" s="197"/>
    </row>
    <row r="2885" spans="1:15">
      <c r="A2885" s="274"/>
      <c r="B2885" s="274"/>
      <c r="C2885" s="274"/>
      <c r="D2885" s="274"/>
      <c r="E2885" s="283"/>
      <c r="F2885" s="283"/>
      <c r="G2885" s="320"/>
      <c r="H2885" s="320"/>
      <c r="I2885" s="228"/>
      <c r="J2885" s="228"/>
      <c r="K2885" s="233"/>
      <c r="L2885" s="197"/>
      <c r="M2885" s="197"/>
      <c r="N2885" s="197"/>
      <c r="O2885" s="197"/>
    </row>
    <row r="2886" spans="1:15">
      <c r="A2886" s="274"/>
      <c r="B2886" s="274"/>
      <c r="C2886" s="274"/>
      <c r="D2886" s="274"/>
      <c r="E2886" s="283"/>
      <c r="F2886" s="283"/>
      <c r="G2886" s="320"/>
      <c r="H2886" s="320"/>
      <c r="I2886" s="228"/>
      <c r="J2886" s="228"/>
      <c r="K2886" s="233"/>
      <c r="L2886" s="197"/>
      <c r="M2886" s="197"/>
      <c r="N2886" s="197"/>
      <c r="O2886" s="197"/>
    </row>
    <row r="2887" spans="1:15">
      <c r="A2887" s="274"/>
      <c r="B2887" s="274"/>
      <c r="C2887" s="274"/>
      <c r="D2887" s="274"/>
      <c r="E2887" s="283"/>
      <c r="F2887" s="283"/>
      <c r="G2887" s="320"/>
      <c r="H2887" s="320"/>
      <c r="I2887" s="228"/>
      <c r="J2887" s="228"/>
      <c r="K2887" s="233"/>
      <c r="L2887" s="197"/>
      <c r="M2887" s="197"/>
      <c r="N2887" s="197"/>
      <c r="O2887" s="197"/>
    </row>
    <row r="2888" spans="1:15">
      <c r="A2888" s="274"/>
      <c r="B2888" s="274"/>
      <c r="C2888" s="274"/>
      <c r="D2888" s="274"/>
      <c r="E2888" s="283"/>
      <c r="F2888" s="283"/>
      <c r="G2888" s="320"/>
      <c r="H2888" s="320"/>
      <c r="I2888" s="228"/>
      <c r="J2888" s="228"/>
      <c r="K2888" s="233"/>
      <c r="L2888" s="197"/>
      <c r="M2888" s="197"/>
      <c r="N2888" s="197"/>
      <c r="O2888" s="197"/>
    </row>
    <row r="2889" spans="1:15">
      <c r="A2889" s="274"/>
      <c r="B2889" s="274"/>
      <c r="C2889" s="274"/>
      <c r="D2889" s="274"/>
      <c r="E2889" s="283"/>
      <c r="F2889" s="283"/>
      <c r="G2889" s="320"/>
      <c r="H2889" s="320"/>
      <c r="I2889" s="228"/>
      <c r="J2889" s="228"/>
      <c r="K2889" s="233"/>
      <c r="L2889" s="197"/>
      <c r="M2889" s="197"/>
      <c r="N2889" s="197"/>
      <c r="O2889" s="197"/>
    </row>
    <row r="2890" spans="1:15">
      <c r="A2890" s="274"/>
      <c r="B2890" s="274"/>
      <c r="C2890" s="274"/>
      <c r="D2890" s="274"/>
      <c r="E2890" s="283"/>
      <c r="F2890" s="283"/>
      <c r="G2890" s="320"/>
      <c r="H2890" s="320"/>
      <c r="I2890" s="228"/>
      <c r="J2890" s="228"/>
      <c r="K2890" s="233"/>
      <c r="L2890" s="197"/>
      <c r="M2890" s="197"/>
      <c r="N2890" s="197"/>
      <c r="O2890" s="197"/>
    </row>
    <row r="2891" spans="1:15">
      <c r="A2891" s="274"/>
      <c r="B2891" s="274"/>
      <c r="C2891" s="274"/>
      <c r="D2891" s="274"/>
      <c r="E2891" s="283"/>
      <c r="F2891" s="283"/>
      <c r="G2891" s="320"/>
      <c r="H2891" s="320"/>
      <c r="I2891" s="228"/>
      <c r="J2891" s="228"/>
      <c r="K2891" s="233"/>
      <c r="L2891" s="197"/>
      <c r="M2891" s="197"/>
      <c r="N2891" s="197"/>
      <c r="O2891" s="197"/>
    </row>
    <row r="2892" spans="1:15">
      <c r="A2892" s="274"/>
      <c r="B2892" s="274"/>
      <c r="C2892" s="274"/>
      <c r="D2892" s="274"/>
      <c r="E2892" s="283"/>
      <c r="F2892" s="283"/>
      <c r="G2892" s="320"/>
      <c r="H2892" s="320"/>
      <c r="I2892" s="228"/>
      <c r="J2892" s="228"/>
      <c r="K2892" s="233"/>
      <c r="L2892" s="197"/>
      <c r="M2892" s="197"/>
      <c r="N2892" s="197"/>
      <c r="O2892" s="197"/>
    </row>
    <row r="2893" spans="1:15">
      <c r="A2893" s="274"/>
      <c r="B2893" s="274"/>
      <c r="C2893" s="274"/>
      <c r="D2893" s="274"/>
      <c r="E2893" s="283"/>
      <c r="F2893" s="283"/>
      <c r="G2893" s="320"/>
      <c r="H2893" s="320"/>
      <c r="I2893" s="228"/>
      <c r="J2893" s="228"/>
      <c r="K2893" s="233"/>
      <c r="L2893" s="197"/>
      <c r="M2893" s="197"/>
      <c r="N2893" s="197"/>
      <c r="O2893" s="197"/>
    </row>
    <row r="2894" spans="1:15">
      <c r="A2894" s="274"/>
      <c r="B2894" s="274"/>
      <c r="C2894" s="274"/>
      <c r="D2894" s="274"/>
      <c r="E2894" s="283"/>
      <c r="F2894" s="283"/>
      <c r="G2894" s="320"/>
      <c r="H2894" s="320"/>
      <c r="I2894" s="228"/>
      <c r="J2894" s="228"/>
      <c r="K2894" s="233"/>
      <c r="L2894" s="197"/>
      <c r="M2894" s="197"/>
      <c r="N2894" s="197"/>
      <c r="O2894" s="197"/>
    </row>
    <row r="2895" spans="1:15">
      <c r="A2895" s="274"/>
      <c r="B2895" s="274"/>
      <c r="C2895" s="274"/>
      <c r="D2895" s="274"/>
      <c r="E2895" s="283"/>
      <c r="F2895" s="283"/>
      <c r="G2895" s="320"/>
      <c r="H2895" s="320"/>
      <c r="I2895" s="228"/>
      <c r="J2895" s="228"/>
      <c r="K2895" s="233"/>
      <c r="L2895" s="197"/>
      <c r="M2895" s="197"/>
      <c r="N2895" s="197"/>
      <c r="O2895" s="197"/>
    </row>
    <row r="2896" spans="1:15">
      <c r="A2896" s="274"/>
      <c r="B2896" s="274"/>
      <c r="C2896" s="274"/>
      <c r="D2896" s="274"/>
      <c r="E2896" s="283"/>
      <c r="F2896" s="283"/>
      <c r="G2896" s="320"/>
      <c r="H2896" s="320"/>
      <c r="I2896" s="228"/>
      <c r="J2896" s="228"/>
      <c r="K2896" s="233"/>
      <c r="L2896" s="197"/>
      <c r="M2896" s="197"/>
      <c r="N2896" s="197"/>
      <c r="O2896" s="197"/>
    </row>
    <row r="2897" spans="1:15">
      <c r="A2897" s="274"/>
      <c r="B2897" s="274"/>
      <c r="C2897" s="274"/>
      <c r="D2897" s="274"/>
      <c r="E2897" s="283"/>
      <c r="F2897" s="283"/>
      <c r="G2897" s="320"/>
      <c r="H2897" s="320"/>
      <c r="I2897" s="228"/>
      <c r="J2897" s="228"/>
      <c r="K2897" s="233"/>
      <c r="L2897" s="197"/>
      <c r="M2897" s="197"/>
      <c r="N2897" s="197"/>
      <c r="O2897" s="197"/>
    </row>
    <row r="2898" spans="1:15">
      <c r="A2898" s="274"/>
      <c r="B2898" s="274"/>
      <c r="C2898" s="274"/>
      <c r="D2898" s="274"/>
      <c r="E2898" s="283"/>
      <c r="F2898" s="283"/>
      <c r="G2898" s="320"/>
      <c r="H2898" s="320"/>
      <c r="I2898" s="228"/>
      <c r="J2898" s="228"/>
      <c r="K2898" s="233"/>
      <c r="L2898" s="197"/>
      <c r="M2898" s="197"/>
      <c r="N2898" s="197"/>
      <c r="O2898" s="197"/>
    </row>
    <row r="2899" spans="1:15">
      <c r="A2899" s="274"/>
      <c r="B2899" s="274"/>
      <c r="C2899" s="274"/>
      <c r="D2899" s="274"/>
      <c r="E2899" s="283"/>
      <c r="F2899" s="283"/>
      <c r="G2899" s="320"/>
      <c r="H2899" s="320"/>
      <c r="I2899" s="228"/>
      <c r="J2899" s="228"/>
      <c r="K2899" s="233"/>
      <c r="L2899" s="197"/>
      <c r="M2899" s="197"/>
      <c r="N2899" s="197"/>
      <c r="O2899" s="197"/>
    </row>
    <row r="2900" spans="1:15">
      <c r="A2900" s="274"/>
      <c r="B2900" s="274"/>
      <c r="C2900" s="274"/>
      <c r="D2900" s="274"/>
      <c r="E2900" s="283"/>
      <c r="F2900" s="283"/>
      <c r="G2900" s="320"/>
      <c r="H2900" s="320"/>
      <c r="I2900" s="228"/>
      <c r="J2900" s="228"/>
      <c r="K2900" s="233"/>
      <c r="L2900" s="197"/>
      <c r="M2900" s="197"/>
      <c r="N2900" s="197"/>
      <c r="O2900" s="197"/>
    </row>
    <row r="2901" spans="1:15">
      <c r="A2901" s="274"/>
      <c r="B2901" s="274"/>
      <c r="C2901" s="274"/>
      <c r="D2901" s="274"/>
      <c r="E2901" s="283"/>
      <c r="F2901" s="283"/>
      <c r="G2901" s="320"/>
      <c r="H2901" s="320"/>
      <c r="I2901" s="228"/>
      <c r="J2901" s="228"/>
      <c r="K2901" s="233"/>
      <c r="L2901" s="197"/>
      <c r="M2901" s="197"/>
      <c r="N2901" s="197"/>
      <c r="O2901" s="197"/>
    </row>
    <row r="2902" spans="1:15">
      <c r="A2902" s="274"/>
      <c r="B2902" s="274"/>
      <c r="C2902" s="274"/>
      <c r="D2902" s="274"/>
      <c r="E2902" s="283"/>
      <c r="F2902" s="283"/>
      <c r="G2902" s="320"/>
      <c r="H2902" s="320"/>
      <c r="I2902" s="228"/>
      <c r="J2902" s="228"/>
      <c r="K2902" s="233"/>
      <c r="L2902" s="197"/>
      <c r="M2902" s="197"/>
      <c r="N2902" s="197"/>
      <c r="O2902" s="197"/>
    </row>
    <row r="2903" spans="1:15">
      <c r="A2903" s="274"/>
      <c r="B2903" s="274"/>
      <c r="C2903" s="274"/>
      <c r="D2903" s="274"/>
      <c r="E2903" s="283"/>
      <c r="F2903" s="283"/>
      <c r="G2903" s="320"/>
      <c r="H2903" s="320"/>
      <c r="I2903" s="228"/>
      <c r="J2903" s="228"/>
      <c r="K2903" s="233"/>
      <c r="L2903" s="197"/>
      <c r="M2903" s="197"/>
      <c r="N2903" s="197"/>
      <c r="O2903" s="197"/>
    </row>
    <row r="2904" spans="1:15">
      <c r="A2904" s="274"/>
      <c r="B2904" s="274"/>
      <c r="C2904" s="274"/>
      <c r="D2904" s="274"/>
      <c r="E2904" s="283"/>
      <c r="F2904" s="283"/>
      <c r="G2904" s="320"/>
      <c r="H2904" s="320"/>
      <c r="I2904" s="228"/>
      <c r="J2904" s="228"/>
      <c r="K2904" s="233"/>
      <c r="L2904" s="197"/>
      <c r="M2904" s="197"/>
      <c r="N2904" s="197"/>
      <c r="O2904" s="197"/>
    </row>
    <row r="2905" spans="1:15">
      <c r="A2905" s="274"/>
      <c r="B2905" s="274"/>
      <c r="C2905" s="274"/>
      <c r="D2905" s="274"/>
      <c r="E2905" s="283"/>
      <c r="F2905" s="283"/>
      <c r="G2905" s="320"/>
      <c r="H2905" s="320"/>
      <c r="I2905" s="228"/>
      <c r="J2905" s="228"/>
      <c r="K2905" s="233"/>
      <c r="L2905" s="197"/>
      <c r="M2905" s="197"/>
      <c r="N2905" s="197"/>
      <c r="O2905" s="197"/>
    </row>
    <row r="2906" spans="1:15">
      <c r="A2906" s="274"/>
      <c r="B2906" s="274"/>
      <c r="C2906" s="274"/>
      <c r="D2906" s="274"/>
      <c r="E2906" s="283"/>
      <c r="F2906" s="283"/>
      <c r="G2906" s="320"/>
      <c r="H2906" s="320"/>
      <c r="I2906" s="228"/>
      <c r="J2906" s="228"/>
      <c r="K2906" s="233"/>
      <c r="L2906" s="197"/>
      <c r="M2906" s="197"/>
      <c r="N2906" s="197"/>
      <c r="O2906" s="197"/>
    </row>
    <row r="2907" spans="1:15">
      <c r="A2907" s="274"/>
      <c r="B2907" s="274"/>
      <c r="C2907" s="274"/>
      <c r="D2907" s="274"/>
      <c r="E2907" s="283"/>
      <c r="F2907" s="283"/>
      <c r="G2907" s="320"/>
      <c r="H2907" s="320"/>
      <c r="I2907" s="228"/>
      <c r="J2907" s="228"/>
      <c r="K2907" s="233"/>
      <c r="L2907" s="197"/>
      <c r="M2907" s="197"/>
      <c r="N2907" s="197"/>
      <c r="O2907" s="197"/>
    </row>
    <row r="2908" spans="1:15">
      <c r="A2908" s="274"/>
      <c r="B2908" s="274"/>
      <c r="C2908" s="274"/>
      <c r="D2908" s="274"/>
      <c r="E2908" s="283"/>
      <c r="F2908" s="283"/>
      <c r="G2908" s="320"/>
      <c r="H2908" s="320"/>
      <c r="I2908" s="228"/>
      <c r="J2908" s="228"/>
      <c r="K2908" s="233"/>
      <c r="L2908" s="197"/>
      <c r="M2908" s="197"/>
      <c r="N2908" s="197"/>
      <c r="O2908" s="197"/>
    </row>
    <row r="2909" spans="1:15">
      <c r="A2909" s="274"/>
      <c r="B2909" s="274"/>
      <c r="C2909" s="274"/>
      <c r="D2909" s="274"/>
      <c r="E2909" s="283"/>
      <c r="F2909" s="283"/>
      <c r="G2909" s="320"/>
      <c r="H2909" s="320"/>
      <c r="I2909" s="228"/>
      <c r="J2909" s="228"/>
      <c r="K2909" s="233"/>
      <c r="L2909" s="197"/>
      <c r="M2909" s="197"/>
      <c r="N2909" s="197"/>
      <c r="O2909" s="197"/>
    </row>
    <row r="2910" spans="1:15">
      <c r="A2910" s="274"/>
      <c r="B2910" s="274"/>
      <c r="C2910" s="274"/>
      <c r="D2910" s="274"/>
      <c r="E2910" s="283"/>
      <c r="F2910" s="283"/>
      <c r="G2910" s="320"/>
      <c r="H2910" s="320"/>
      <c r="I2910" s="228"/>
      <c r="J2910" s="228"/>
      <c r="K2910" s="233"/>
      <c r="L2910" s="197"/>
      <c r="M2910" s="197"/>
      <c r="N2910" s="197"/>
      <c r="O2910" s="197"/>
    </row>
    <row r="2911" spans="1:15">
      <c r="A2911" s="274"/>
      <c r="B2911" s="274"/>
      <c r="C2911" s="274"/>
      <c r="D2911" s="274"/>
      <c r="E2911" s="283"/>
      <c r="F2911" s="283"/>
      <c r="G2911" s="320"/>
      <c r="H2911" s="320"/>
      <c r="I2911" s="228"/>
      <c r="J2911" s="228"/>
      <c r="K2911" s="233"/>
      <c r="L2911" s="197"/>
      <c r="M2911" s="197"/>
      <c r="N2911" s="197"/>
      <c r="O2911" s="197"/>
    </row>
    <row r="2912" spans="1:15">
      <c r="A2912" s="274"/>
      <c r="B2912" s="274"/>
      <c r="C2912" s="274"/>
      <c r="D2912" s="274"/>
      <c r="E2912" s="283"/>
      <c r="F2912" s="283"/>
      <c r="G2912" s="320"/>
      <c r="H2912" s="320"/>
      <c r="I2912" s="228"/>
      <c r="J2912" s="228"/>
      <c r="K2912" s="233"/>
      <c r="L2912" s="197"/>
      <c r="M2912" s="197"/>
      <c r="N2912" s="197"/>
      <c r="O2912" s="197"/>
    </row>
    <row r="2913" spans="1:15">
      <c r="A2913" s="274"/>
      <c r="B2913" s="274"/>
      <c r="C2913" s="274"/>
      <c r="D2913" s="274"/>
      <c r="E2913" s="283"/>
      <c r="F2913" s="283"/>
      <c r="G2913" s="320"/>
      <c r="H2913" s="320"/>
      <c r="I2913" s="228"/>
      <c r="J2913" s="228"/>
      <c r="K2913" s="233"/>
      <c r="L2913" s="197"/>
      <c r="M2913" s="197"/>
      <c r="N2913" s="197"/>
      <c r="O2913" s="197"/>
    </row>
    <row r="2914" spans="1:15">
      <c r="A2914" s="274"/>
      <c r="B2914" s="274"/>
      <c r="C2914" s="274"/>
      <c r="D2914" s="274"/>
      <c r="E2914" s="283"/>
      <c r="F2914" s="283"/>
      <c r="G2914" s="320"/>
      <c r="H2914" s="320"/>
      <c r="I2914" s="228"/>
      <c r="J2914" s="228"/>
      <c r="K2914" s="233"/>
      <c r="L2914" s="197"/>
      <c r="M2914" s="197"/>
      <c r="N2914" s="197"/>
      <c r="O2914" s="197"/>
    </row>
    <row r="2915" spans="1:15">
      <c r="A2915" s="274"/>
      <c r="B2915" s="274"/>
      <c r="C2915" s="274"/>
      <c r="D2915" s="274"/>
      <c r="E2915" s="283"/>
      <c r="F2915" s="283"/>
      <c r="G2915" s="320"/>
      <c r="H2915" s="320"/>
      <c r="I2915" s="228"/>
      <c r="J2915" s="228"/>
      <c r="K2915" s="233"/>
      <c r="L2915" s="197"/>
      <c r="M2915" s="197"/>
      <c r="N2915" s="197"/>
      <c r="O2915" s="197"/>
    </row>
    <row r="2916" spans="1:15">
      <c r="A2916" s="274"/>
      <c r="B2916" s="274"/>
      <c r="C2916" s="274"/>
      <c r="D2916" s="274"/>
      <c r="E2916" s="283"/>
      <c r="F2916" s="283"/>
      <c r="G2916" s="320"/>
      <c r="H2916" s="320"/>
      <c r="I2916" s="228"/>
      <c r="J2916" s="228"/>
      <c r="K2916" s="233"/>
      <c r="L2916" s="197"/>
      <c r="M2916" s="197"/>
      <c r="N2916" s="197"/>
      <c r="O2916" s="197"/>
    </row>
    <row r="2917" spans="1:15">
      <c r="A2917" s="274"/>
      <c r="B2917" s="274"/>
      <c r="C2917" s="274"/>
      <c r="D2917" s="274"/>
      <c r="E2917" s="283"/>
      <c r="F2917" s="283"/>
      <c r="G2917" s="320"/>
      <c r="H2917" s="320"/>
      <c r="I2917" s="228"/>
      <c r="J2917" s="228"/>
      <c r="K2917" s="233"/>
      <c r="L2917" s="197"/>
      <c r="M2917" s="197"/>
      <c r="N2917" s="197"/>
      <c r="O2917" s="197"/>
    </row>
    <row r="2918" spans="1:15">
      <c r="A2918" s="274"/>
      <c r="B2918" s="274"/>
      <c r="C2918" s="274"/>
      <c r="D2918" s="274"/>
      <c r="E2918" s="283"/>
      <c r="F2918" s="283"/>
      <c r="G2918" s="320"/>
      <c r="H2918" s="320"/>
      <c r="I2918" s="228"/>
      <c r="J2918" s="228"/>
      <c r="K2918" s="233"/>
      <c r="L2918" s="197"/>
      <c r="M2918" s="197"/>
      <c r="N2918" s="197"/>
      <c r="O2918" s="197"/>
    </row>
    <row r="2919" spans="1:15">
      <c r="A2919" s="274"/>
      <c r="B2919" s="274"/>
      <c r="C2919" s="274"/>
      <c r="D2919" s="274"/>
      <c r="E2919" s="283"/>
      <c r="F2919" s="283"/>
      <c r="G2919" s="320"/>
      <c r="H2919" s="320"/>
      <c r="I2919" s="228"/>
      <c r="J2919" s="228"/>
      <c r="K2919" s="233"/>
      <c r="L2919" s="197"/>
      <c r="M2919" s="197"/>
      <c r="N2919" s="197"/>
      <c r="O2919" s="197"/>
    </row>
    <row r="2920" spans="1:15">
      <c r="A2920" s="274"/>
      <c r="B2920" s="274"/>
      <c r="C2920" s="274"/>
      <c r="D2920" s="274"/>
      <c r="E2920" s="283"/>
      <c r="F2920" s="283"/>
      <c r="G2920" s="320"/>
      <c r="H2920" s="320"/>
      <c r="I2920" s="228"/>
      <c r="J2920" s="228"/>
      <c r="K2920" s="233"/>
      <c r="L2920" s="197"/>
      <c r="M2920" s="197"/>
      <c r="N2920" s="197"/>
      <c r="O2920" s="197"/>
    </row>
    <row r="2921" spans="1:15">
      <c r="A2921" s="274"/>
      <c r="B2921" s="274"/>
      <c r="C2921" s="274"/>
      <c r="D2921" s="274"/>
      <c r="E2921" s="283"/>
      <c r="F2921" s="283"/>
      <c r="G2921" s="320"/>
      <c r="H2921" s="320"/>
      <c r="I2921" s="228"/>
      <c r="J2921" s="228"/>
      <c r="K2921" s="233"/>
      <c r="L2921" s="197"/>
      <c r="M2921" s="197"/>
      <c r="N2921" s="197"/>
      <c r="O2921" s="197"/>
    </row>
    <row r="2922" spans="1:15">
      <c r="A2922" s="274"/>
      <c r="B2922" s="274"/>
      <c r="C2922" s="274"/>
      <c r="D2922" s="274"/>
      <c r="E2922" s="283"/>
      <c r="F2922" s="283"/>
      <c r="G2922" s="320"/>
      <c r="H2922" s="320"/>
      <c r="I2922" s="228"/>
      <c r="J2922" s="228"/>
      <c r="K2922" s="233"/>
      <c r="L2922" s="197"/>
      <c r="M2922" s="197"/>
      <c r="N2922" s="197"/>
      <c r="O2922" s="197"/>
    </row>
    <row r="2923" spans="1:15">
      <c r="A2923" s="274"/>
      <c r="B2923" s="274"/>
      <c r="C2923" s="274"/>
      <c r="D2923" s="274"/>
      <c r="E2923" s="283"/>
      <c r="F2923" s="283"/>
      <c r="G2923" s="320"/>
      <c r="H2923" s="320"/>
      <c r="I2923" s="228"/>
      <c r="J2923" s="228"/>
      <c r="K2923" s="233"/>
      <c r="L2923" s="197"/>
      <c r="M2923" s="197"/>
      <c r="N2923" s="197"/>
      <c r="O2923" s="197"/>
    </row>
    <row r="2924" spans="1:15">
      <c r="A2924" s="274"/>
      <c r="B2924" s="274"/>
      <c r="C2924" s="274"/>
      <c r="D2924" s="274"/>
      <c r="E2924" s="283"/>
      <c r="F2924" s="283"/>
      <c r="G2924" s="320"/>
      <c r="H2924" s="320"/>
      <c r="I2924" s="228"/>
      <c r="J2924" s="228"/>
      <c r="K2924" s="233"/>
      <c r="L2924" s="197"/>
      <c r="M2924" s="197"/>
      <c r="N2924" s="197"/>
      <c r="O2924" s="197"/>
    </row>
    <row r="2925" spans="1:15">
      <c r="A2925" s="274"/>
      <c r="B2925" s="274"/>
      <c r="C2925" s="274"/>
      <c r="D2925" s="274"/>
      <c r="E2925" s="283"/>
      <c r="F2925" s="283"/>
      <c r="G2925" s="320"/>
      <c r="H2925" s="320"/>
      <c r="I2925" s="228"/>
      <c r="J2925" s="228"/>
      <c r="K2925" s="233"/>
      <c r="L2925" s="197"/>
      <c r="M2925" s="197"/>
      <c r="N2925" s="197"/>
      <c r="O2925" s="197"/>
    </row>
    <row r="2926" spans="1:15">
      <c r="A2926" s="274"/>
      <c r="B2926" s="274"/>
      <c r="C2926" s="274"/>
      <c r="D2926" s="274"/>
      <c r="E2926" s="283"/>
      <c r="F2926" s="283"/>
      <c r="G2926" s="320"/>
      <c r="H2926" s="320"/>
      <c r="I2926" s="228"/>
      <c r="J2926" s="228"/>
      <c r="K2926" s="233"/>
      <c r="L2926" s="197"/>
      <c r="M2926" s="197"/>
      <c r="N2926" s="197"/>
      <c r="O2926" s="197"/>
    </row>
    <row r="2927" spans="1:15">
      <c r="A2927" s="274"/>
      <c r="B2927" s="274"/>
      <c r="C2927" s="274"/>
      <c r="D2927" s="274"/>
      <c r="E2927" s="283"/>
      <c r="F2927" s="283"/>
      <c r="G2927" s="320"/>
      <c r="H2927" s="320"/>
      <c r="I2927" s="228"/>
      <c r="J2927" s="228"/>
      <c r="K2927" s="233"/>
      <c r="L2927" s="197"/>
      <c r="M2927" s="197"/>
      <c r="N2927" s="197"/>
      <c r="O2927" s="197"/>
    </row>
    <row r="2928" spans="1:15">
      <c r="A2928" s="274"/>
      <c r="B2928" s="274"/>
      <c r="C2928" s="274"/>
      <c r="D2928" s="274"/>
      <c r="E2928" s="283"/>
      <c r="F2928" s="283"/>
      <c r="G2928" s="320"/>
      <c r="H2928" s="320"/>
      <c r="I2928" s="228"/>
      <c r="J2928" s="228"/>
      <c r="K2928" s="233"/>
      <c r="L2928" s="197"/>
      <c r="M2928" s="197"/>
      <c r="N2928" s="197"/>
      <c r="O2928" s="197"/>
    </row>
    <row r="2929" spans="1:15">
      <c r="A2929" s="274"/>
      <c r="B2929" s="274"/>
      <c r="C2929" s="274"/>
      <c r="D2929" s="274"/>
      <c r="E2929" s="283"/>
      <c r="F2929" s="283"/>
      <c r="G2929" s="320"/>
      <c r="H2929" s="320"/>
      <c r="I2929" s="228"/>
      <c r="J2929" s="228"/>
      <c r="K2929" s="233"/>
      <c r="L2929" s="197"/>
      <c r="M2929" s="197"/>
      <c r="N2929" s="197"/>
      <c r="O2929" s="197"/>
    </row>
    <row r="2930" spans="1:15">
      <c r="A2930" s="274"/>
      <c r="B2930" s="274"/>
      <c r="C2930" s="274"/>
      <c r="D2930" s="274"/>
      <c r="E2930" s="283"/>
      <c r="F2930" s="283"/>
      <c r="G2930" s="320"/>
      <c r="H2930" s="320"/>
      <c r="I2930" s="228"/>
      <c r="J2930" s="228"/>
      <c r="K2930" s="233"/>
      <c r="L2930" s="197"/>
      <c r="M2930" s="197"/>
      <c r="N2930" s="197"/>
      <c r="O2930" s="197"/>
    </row>
    <row r="2931" spans="1:15">
      <c r="A2931" s="274"/>
      <c r="B2931" s="274"/>
      <c r="C2931" s="274"/>
      <c r="D2931" s="274"/>
      <c r="E2931" s="283"/>
      <c r="F2931" s="283"/>
      <c r="G2931" s="320"/>
      <c r="H2931" s="320"/>
      <c r="I2931" s="228"/>
      <c r="J2931" s="228"/>
      <c r="K2931" s="233"/>
      <c r="L2931" s="197"/>
      <c r="M2931" s="197"/>
      <c r="N2931" s="197"/>
      <c r="O2931" s="197"/>
    </row>
    <row r="2932" spans="1:15">
      <c r="A2932" s="274"/>
      <c r="B2932" s="274"/>
      <c r="C2932" s="274"/>
      <c r="D2932" s="274"/>
      <c r="E2932" s="283"/>
      <c r="F2932" s="283"/>
      <c r="G2932" s="320"/>
      <c r="H2932" s="320"/>
      <c r="I2932" s="228"/>
      <c r="J2932" s="228"/>
      <c r="K2932" s="233"/>
      <c r="L2932" s="197"/>
      <c r="M2932" s="197"/>
      <c r="N2932" s="197"/>
      <c r="O2932" s="197"/>
    </row>
    <row r="2933" spans="1:15">
      <c r="A2933" s="274"/>
      <c r="B2933" s="274"/>
      <c r="C2933" s="274"/>
      <c r="D2933" s="274"/>
      <c r="E2933" s="283"/>
      <c r="F2933" s="283"/>
      <c r="G2933" s="320"/>
      <c r="H2933" s="320"/>
      <c r="I2933" s="228"/>
      <c r="J2933" s="228"/>
      <c r="K2933" s="233"/>
      <c r="L2933" s="197"/>
      <c r="M2933" s="197"/>
      <c r="N2933" s="197"/>
      <c r="O2933" s="197"/>
    </row>
    <row r="2934" spans="1:15">
      <c r="A2934" s="274"/>
      <c r="B2934" s="274"/>
      <c r="C2934" s="274"/>
      <c r="D2934" s="274"/>
      <c r="E2934" s="283"/>
      <c r="F2934" s="283"/>
      <c r="G2934" s="320"/>
      <c r="H2934" s="320"/>
      <c r="I2934" s="228"/>
      <c r="J2934" s="228"/>
      <c r="K2934" s="233"/>
      <c r="L2934" s="197"/>
      <c r="M2934" s="197"/>
      <c r="N2934" s="197"/>
      <c r="O2934" s="197"/>
    </row>
    <row r="2935" spans="1:15">
      <c r="A2935" s="274"/>
      <c r="B2935" s="274"/>
      <c r="C2935" s="274"/>
      <c r="D2935" s="274"/>
      <c r="E2935" s="283"/>
      <c r="F2935" s="283"/>
      <c r="G2935" s="320"/>
      <c r="H2935" s="320"/>
      <c r="I2935" s="228"/>
      <c r="J2935" s="228"/>
      <c r="K2935" s="233"/>
      <c r="L2935" s="197"/>
      <c r="M2935" s="197"/>
      <c r="N2935" s="197"/>
      <c r="O2935" s="197"/>
    </row>
    <row r="2936" spans="1:15">
      <c r="A2936" s="274"/>
      <c r="B2936" s="274"/>
      <c r="C2936" s="274"/>
      <c r="D2936" s="274"/>
      <c r="E2936" s="283"/>
      <c r="F2936" s="283"/>
      <c r="G2936" s="320"/>
      <c r="H2936" s="320"/>
      <c r="I2936" s="228"/>
      <c r="J2936" s="228"/>
      <c r="K2936" s="233"/>
      <c r="L2936" s="197"/>
      <c r="M2936" s="197"/>
      <c r="N2936" s="197"/>
      <c r="O2936" s="197"/>
    </row>
    <row r="2937" spans="1:15">
      <c r="A2937" s="274"/>
      <c r="B2937" s="274"/>
      <c r="C2937" s="274"/>
      <c r="D2937" s="274"/>
      <c r="E2937" s="283"/>
      <c r="F2937" s="283"/>
      <c r="G2937" s="320"/>
      <c r="H2937" s="320"/>
      <c r="I2937" s="228"/>
      <c r="J2937" s="228"/>
      <c r="K2937" s="233"/>
      <c r="L2937" s="197"/>
      <c r="M2937" s="197"/>
      <c r="N2937" s="197"/>
      <c r="O2937" s="197"/>
    </row>
    <row r="2938" spans="1:15">
      <c r="A2938" s="274"/>
      <c r="B2938" s="274"/>
      <c r="C2938" s="274"/>
      <c r="D2938" s="274"/>
      <c r="E2938" s="283"/>
      <c r="F2938" s="283"/>
      <c r="G2938" s="320"/>
      <c r="H2938" s="320"/>
      <c r="I2938" s="228"/>
      <c r="J2938" s="228"/>
      <c r="K2938" s="233"/>
      <c r="L2938" s="197"/>
      <c r="M2938" s="197"/>
      <c r="N2938" s="197"/>
      <c r="O2938" s="197"/>
    </row>
    <row r="2939" spans="1:15">
      <c r="A2939" s="274"/>
      <c r="B2939" s="274"/>
      <c r="C2939" s="274"/>
      <c r="D2939" s="274"/>
      <c r="E2939" s="283"/>
      <c r="F2939" s="283"/>
      <c r="G2939" s="320"/>
      <c r="H2939" s="320"/>
      <c r="I2939" s="228"/>
      <c r="J2939" s="228"/>
      <c r="K2939" s="233"/>
      <c r="L2939" s="197"/>
      <c r="M2939" s="197"/>
      <c r="N2939" s="197"/>
      <c r="O2939" s="197"/>
    </row>
    <row r="2940" spans="1:15">
      <c r="A2940" s="274"/>
      <c r="B2940" s="274"/>
      <c r="C2940" s="274"/>
      <c r="D2940" s="274"/>
      <c r="E2940" s="283"/>
      <c r="F2940" s="283"/>
      <c r="G2940" s="320"/>
      <c r="H2940" s="320"/>
      <c r="I2940" s="228"/>
      <c r="J2940" s="228"/>
      <c r="K2940" s="233"/>
      <c r="L2940" s="197"/>
      <c r="M2940" s="197"/>
      <c r="N2940" s="197"/>
      <c r="O2940" s="197"/>
    </row>
    <row r="2941" spans="1:15">
      <c r="A2941" s="274"/>
      <c r="B2941" s="274"/>
      <c r="C2941" s="274"/>
      <c r="D2941" s="274"/>
      <c r="E2941" s="283"/>
      <c r="F2941" s="283"/>
      <c r="G2941" s="320"/>
      <c r="H2941" s="320"/>
      <c r="I2941" s="228"/>
      <c r="J2941" s="228"/>
      <c r="K2941" s="233"/>
      <c r="L2941" s="197"/>
      <c r="M2941" s="197"/>
      <c r="N2941" s="197"/>
      <c r="O2941" s="197"/>
    </row>
    <row r="2942" spans="1:15">
      <c r="A2942" s="274"/>
      <c r="B2942" s="274"/>
      <c r="C2942" s="274"/>
      <c r="D2942" s="274"/>
      <c r="E2942" s="283"/>
      <c r="F2942" s="283"/>
      <c r="G2942" s="320"/>
      <c r="H2942" s="320"/>
      <c r="I2942" s="228"/>
      <c r="J2942" s="228"/>
      <c r="K2942" s="233"/>
      <c r="L2942" s="197"/>
      <c r="M2942" s="197"/>
      <c r="N2942" s="197"/>
      <c r="O2942" s="197"/>
    </row>
    <row r="2943" spans="1:15">
      <c r="A2943" s="274"/>
      <c r="B2943" s="274"/>
      <c r="C2943" s="274"/>
      <c r="D2943" s="274"/>
      <c r="E2943" s="283"/>
      <c r="F2943" s="283"/>
      <c r="G2943" s="320"/>
      <c r="H2943" s="320"/>
      <c r="I2943" s="228"/>
      <c r="J2943" s="228"/>
      <c r="K2943" s="233"/>
      <c r="L2943" s="197"/>
      <c r="M2943" s="197"/>
      <c r="N2943" s="197"/>
      <c r="O2943" s="197"/>
    </row>
    <row r="2944" spans="1:15">
      <c r="A2944" s="274"/>
      <c r="B2944" s="274"/>
      <c r="C2944" s="274"/>
      <c r="D2944" s="274"/>
      <c r="E2944" s="283"/>
      <c r="F2944" s="283"/>
      <c r="G2944" s="320"/>
      <c r="H2944" s="320"/>
      <c r="I2944" s="228"/>
      <c r="J2944" s="228"/>
      <c r="K2944" s="233"/>
      <c r="L2944" s="197"/>
      <c r="M2944" s="197"/>
      <c r="N2944" s="197"/>
      <c r="O2944" s="197"/>
    </row>
    <row r="2945" spans="1:15">
      <c r="A2945" s="274"/>
      <c r="B2945" s="274"/>
      <c r="C2945" s="274"/>
      <c r="D2945" s="274"/>
      <c r="E2945" s="283"/>
      <c r="F2945" s="283"/>
      <c r="G2945" s="320"/>
      <c r="H2945" s="320"/>
      <c r="I2945" s="228"/>
      <c r="J2945" s="228"/>
      <c r="K2945" s="233"/>
      <c r="L2945" s="197"/>
      <c r="M2945" s="197"/>
      <c r="N2945" s="197"/>
      <c r="O2945" s="197"/>
    </row>
    <row r="2946" spans="1:15">
      <c r="A2946" s="274"/>
      <c r="B2946" s="274"/>
      <c r="C2946" s="274"/>
      <c r="D2946" s="274"/>
      <c r="E2946" s="283"/>
      <c r="F2946" s="283"/>
      <c r="G2946" s="320"/>
      <c r="H2946" s="320"/>
      <c r="I2946" s="228"/>
      <c r="J2946" s="228"/>
      <c r="K2946" s="233"/>
      <c r="L2946" s="197"/>
      <c r="M2946" s="197"/>
      <c r="N2946" s="197"/>
      <c r="O2946" s="197"/>
    </row>
    <row r="2947" spans="1:15">
      <c r="A2947" s="274"/>
      <c r="B2947" s="274"/>
      <c r="C2947" s="274"/>
      <c r="D2947" s="274"/>
      <c r="E2947" s="283"/>
      <c r="F2947" s="283"/>
      <c r="G2947" s="320"/>
      <c r="H2947" s="320"/>
      <c r="I2947" s="228"/>
      <c r="J2947" s="228"/>
      <c r="K2947" s="233"/>
      <c r="L2947" s="197"/>
      <c r="M2947" s="197"/>
      <c r="N2947" s="197"/>
      <c r="O2947" s="197"/>
    </row>
    <row r="2948" spans="1:15">
      <c r="A2948" s="274"/>
      <c r="B2948" s="274"/>
      <c r="C2948" s="274"/>
      <c r="D2948" s="274"/>
      <c r="E2948" s="283"/>
      <c r="F2948" s="283"/>
      <c r="G2948" s="320"/>
      <c r="H2948" s="320"/>
      <c r="I2948" s="228"/>
      <c r="J2948" s="228"/>
      <c r="K2948" s="233"/>
      <c r="L2948" s="197"/>
      <c r="M2948" s="197"/>
      <c r="N2948" s="197"/>
      <c r="O2948" s="197"/>
    </row>
    <row r="2949" spans="1:15">
      <c r="A2949" s="274"/>
      <c r="B2949" s="274"/>
      <c r="C2949" s="274"/>
      <c r="D2949" s="274"/>
      <c r="E2949" s="283"/>
      <c r="F2949" s="283"/>
      <c r="G2949" s="320"/>
      <c r="H2949" s="320"/>
      <c r="I2949" s="228"/>
      <c r="J2949" s="228"/>
      <c r="K2949" s="233"/>
      <c r="L2949" s="197"/>
      <c r="M2949" s="197"/>
      <c r="N2949" s="197"/>
      <c r="O2949" s="197"/>
    </row>
    <row r="2950" spans="1:15">
      <c r="A2950" s="274"/>
      <c r="B2950" s="274"/>
      <c r="C2950" s="274"/>
      <c r="D2950" s="274"/>
      <c r="E2950" s="283"/>
      <c r="F2950" s="283"/>
      <c r="G2950" s="320"/>
      <c r="H2950" s="320"/>
      <c r="I2950" s="228"/>
      <c r="J2950" s="228"/>
      <c r="K2950" s="233"/>
      <c r="L2950" s="197"/>
      <c r="M2950" s="197"/>
      <c r="N2950" s="197"/>
      <c r="O2950" s="197"/>
    </row>
    <row r="2951" spans="1:15">
      <c r="A2951" s="274"/>
      <c r="B2951" s="274"/>
      <c r="C2951" s="274"/>
      <c r="D2951" s="274"/>
      <c r="E2951" s="283"/>
      <c r="F2951" s="283"/>
      <c r="G2951" s="320"/>
      <c r="H2951" s="320"/>
      <c r="I2951" s="228"/>
      <c r="J2951" s="228"/>
      <c r="K2951" s="233"/>
      <c r="L2951" s="197"/>
      <c r="M2951" s="197"/>
      <c r="N2951" s="197"/>
      <c r="O2951" s="197"/>
    </row>
    <row r="2952" spans="1:15">
      <c r="A2952" s="274"/>
      <c r="B2952" s="274"/>
      <c r="C2952" s="274"/>
      <c r="D2952" s="274"/>
      <c r="E2952" s="283"/>
      <c r="F2952" s="283"/>
      <c r="G2952" s="320"/>
      <c r="H2952" s="320"/>
      <c r="I2952" s="228"/>
      <c r="J2952" s="228"/>
      <c r="K2952" s="233"/>
      <c r="L2952" s="197"/>
      <c r="M2952" s="197"/>
      <c r="N2952" s="197"/>
      <c r="O2952" s="197"/>
    </row>
    <row r="2953" spans="1:15">
      <c r="A2953" s="274"/>
      <c r="B2953" s="274"/>
      <c r="C2953" s="274"/>
      <c r="D2953" s="274"/>
      <c r="E2953" s="283"/>
      <c r="F2953" s="283"/>
      <c r="G2953" s="320"/>
      <c r="H2953" s="320"/>
      <c r="I2953" s="228"/>
      <c r="J2953" s="228"/>
      <c r="K2953" s="233"/>
      <c r="L2953" s="197"/>
      <c r="M2953" s="197"/>
      <c r="N2953" s="197"/>
      <c r="O2953" s="197"/>
    </row>
    <row r="2954" spans="1:15">
      <c r="A2954" s="274"/>
      <c r="B2954" s="274"/>
      <c r="C2954" s="274"/>
      <c r="D2954" s="274"/>
      <c r="E2954" s="283"/>
      <c r="F2954" s="283"/>
      <c r="G2954" s="320"/>
      <c r="H2954" s="320"/>
      <c r="I2954" s="228"/>
      <c r="J2954" s="228"/>
      <c r="K2954" s="233"/>
      <c r="L2954" s="197"/>
      <c r="M2954" s="197"/>
      <c r="N2954" s="197"/>
      <c r="O2954" s="197"/>
    </row>
    <row r="2955" spans="1:15">
      <c r="A2955" s="274"/>
      <c r="B2955" s="274"/>
      <c r="C2955" s="274"/>
      <c r="D2955" s="274"/>
      <c r="E2955" s="283"/>
      <c r="F2955" s="283"/>
      <c r="G2955" s="320"/>
      <c r="H2955" s="320"/>
      <c r="I2955" s="228"/>
      <c r="J2955" s="228"/>
      <c r="K2955" s="233"/>
      <c r="L2955" s="197"/>
      <c r="M2955" s="197"/>
      <c r="N2955" s="197"/>
      <c r="O2955" s="197"/>
    </row>
    <row r="2956" spans="1:15">
      <c r="A2956" s="274"/>
      <c r="B2956" s="274"/>
      <c r="C2956" s="274"/>
      <c r="D2956" s="274"/>
      <c r="E2956" s="283"/>
      <c r="F2956" s="283"/>
      <c r="G2956" s="320"/>
      <c r="H2956" s="320"/>
      <c r="I2956" s="228"/>
      <c r="J2956" s="228"/>
      <c r="K2956" s="233"/>
      <c r="L2956" s="197"/>
      <c r="M2956" s="197"/>
      <c r="N2956" s="197"/>
      <c r="O2956" s="197"/>
    </row>
    <row r="2957" spans="1:15">
      <c r="A2957" s="274"/>
      <c r="B2957" s="274"/>
      <c r="C2957" s="274"/>
      <c r="D2957" s="274"/>
      <c r="E2957" s="283"/>
      <c r="F2957" s="283"/>
      <c r="G2957" s="320"/>
      <c r="H2957" s="320"/>
      <c r="I2957" s="228"/>
      <c r="J2957" s="228"/>
      <c r="K2957" s="233"/>
      <c r="L2957" s="197"/>
      <c r="M2957" s="197"/>
      <c r="N2957" s="197"/>
      <c r="O2957" s="197"/>
    </row>
    <row r="2958" spans="1:15">
      <c r="A2958" s="274"/>
      <c r="B2958" s="274"/>
      <c r="C2958" s="274"/>
      <c r="D2958" s="274"/>
      <c r="E2958" s="283"/>
      <c r="F2958" s="283"/>
      <c r="G2958" s="320"/>
      <c r="H2958" s="320"/>
      <c r="I2958" s="228"/>
      <c r="J2958" s="228"/>
      <c r="K2958" s="233"/>
      <c r="L2958" s="197"/>
      <c r="M2958" s="197"/>
      <c r="N2958" s="197"/>
      <c r="O2958" s="197"/>
    </row>
    <row r="2959" spans="1:15">
      <c r="A2959" s="274"/>
      <c r="B2959" s="274"/>
      <c r="C2959" s="274"/>
      <c r="D2959" s="274"/>
      <c r="E2959" s="283"/>
      <c r="F2959" s="283"/>
      <c r="G2959" s="320"/>
      <c r="H2959" s="320"/>
      <c r="I2959" s="228"/>
      <c r="J2959" s="228"/>
      <c r="K2959" s="233"/>
      <c r="L2959" s="197"/>
      <c r="M2959" s="197"/>
      <c r="N2959" s="197"/>
      <c r="O2959" s="197"/>
    </row>
    <row r="2960" spans="1:15">
      <c r="A2960" s="274"/>
      <c r="B2960" s="274"/>
      <c r="C2960" s="274"/>
      <c r="D2960" s="274"/>
      <c r="E2960" s="283"/>
      <c r="F2960" s="283"/>
      <c r="G2960" s="320"/>
      <c r="H2960" s="320"/>
      <c r="I2960" s="228"/>
      <c r="J2960" s="228"/>
      <c r="K2960" s="233"/>
      <c r="L2960" s="197"/>
      <c r="M2960" s="197"/>
      <c r="N2960" s="197"/>
      <c r="O2960" s="197"/>
    </row>
    <row r="2961" spans="1:15">
      <c r="A2961" s="274"/>
      <c r="B2961" s="274"/>
      <c r="C2961" s="274"/>
      <c r="D2961" s="274"/>
      <c r="E2961" s="283"/>
      <c r="F2961" s="283"/>
      <c r="G2961" s="320"/>
      <c r="H2961" s="320"/>
      <c r="I2961" s="228"/>
      <c r="J2961" s="228"/>
      <c r="K2961" s="233"/>
      <c r="L2961" s="197"/>
      <c r="M2961" s="197"/>
      <c r="N2961" s="197"/>
      <c r="O2961" s="197"/>
    </row>
    <row r="2962" spans="1:15">
      <c r="A2962" s="274"/>
      <c r="B2962" s="274"/>
      <c r="C2962" s="274"/>
      <c r="D2962" s="274"/>
      <c r="E2962" s="283"/>
      <c r="F2962" s="283"/>
      <c r="G2962" s="320"/>
      <c r="H2962" s="320"/>
      <c r="I2962" s="228"/>
      <c r="J2962" s="228"/>
      <c r="K2962" s="233"/>
      <c r="L2962" s="197"/>
      <c r="M2962" s="197"/>
      <c r="N2962" s="197"/>
      <c r="O2962" s="197"/>
    </row>
    <row r="2963" spans="1:15">
      <c r="A2963" s="274"/>
      <c r="B2963" s="274"/>
      <c r="C2963" s="274"/>
      <c r="D2963" s="274"/>
      <c r="E2963" s="283"/>
      <c r="F2963" s="283"/>
      <c r="G2963" s="320"/>
      <c r="H2963" s="320"/>
      <c r="I2963" s="228"/>
      <c r="J2963" s="228"/>
      <c r="K2963" s="233"/>
      <c r="L2963" s="197"/>
      <c r="M2963" s="197"/>
      <c r="N2963" s="197"/>
      <c r="O2963" s="197"/>
    </row>
    <row r="2964" spans="1:15">
      <c r="A2964" s="274"/>
      <c r="B2964" s="274"/>
      <c r="C2964" s="274"/>
      <c r="D2964" s="274"/>
      <c r="E2964" s="283"/>
      <c r="F2964" s="283"/>
      <c r="G2964" s="320"/>
      <c r="H2964" s="320"/>
      <c r="I2964" s="228"/>
      <c r="J2964" s="228"/>
      <c r="K2964" s="233"/>
      <c r="L2964" s="197"/>
      <c r="M2964" s="197"/>
      <c r="N2964" s="197"/>
      <c r="O2964" s="197"/>
    </row>
    <row r="2965" spans="1:15">
      <c r="A2965" s="274"/>
      <c r="B2965" s="274"/>
      <c r="C2965" s="274"/>
      <c r="D2965" s="274"/>
      <c r="E2965" s="283"/>
      <c r="F2965" s="283"/>
      <c r="G2965" s="320"/>
      <c r="H2965" s="320"/>
      <c r="I2965" s="228"/>
      <c r="J2965" s="228"/>
      <c r="K2965" s="233"/>
      <c r="L2965" s="197"/>
      <c r="M2965" s="197"/>
      <c r="N2965" s="197"/>
      <c r="O2965" s="197"/>
    </row>
    <row r="2966" spans="1:15">
      <c r="A2966" s="274"/>
      <c r="B2966" s="274"/>
      <c r="C2966" s="274"/>
      <c r="D2966" s="274"/>
      <c r="E2966" s="283"/>
      <c r="F2966" s="283"/>
      <c r="G2966" s="320"/>
      <c r="H2966" s="320"/>
      <c r="I2966" s="228"/>
      <c r="J2966" s="228"/>
      <c r="K2966" s="233"/>
      <c r="L2966" s="197"/>
      <c r="M2966" s="197"/>
      <c r="N2966" s="197"/>
      <c r="O2966" s="197"/>
    </row>
    <row r="2967" spans="1:15">
      <c r="A2967" s="274"/>
      <c r="B2967" s="274"/>
      <c r="C2967" s="274"/>
      <c r="D2967" s="274"/>
      <c r="E2967" s="283"/>
      <c r="F2967" s="283"/>
      <c r="G2967" s="320"/>
      <c r="H2967" s="320"/>
      <c r="I2967" s="228"/>
      <c r="J2967" s="228"/>
      <c r="K2967" s="233"/>
      <c r="L2967" s="197"/>
      <c r="M2967" s="197"/>
      <c r="N2967" s="197"/>
      <c r="O2967" s="197"/>
    </row>
    <row r="2968" spans="1:15">
      <c r="A2968" s="274"/>
      <c r="B2968" s="274"/>
      <c r="C2968" s="274"/>
      <c r="D2968" s="274"/>
      <c r="E2968" s="283"/>
      <c r="F2968" s="283"/>
      <c r="G2968" s="320"/>
      <c r="H2968" s="320"/>
      <c r="I2968" s="228"/>
      <c r="J2968" s="228"/>
      <c r="K2968" s="233"/>
      <c r="L2968" s="197"/>
      <c r="M2968" s="197"/>
      <c r="N2968" s="197"/>
      <c r="O2968" s="197"/>
    </row>
    <row r="2969" spans="1:15">
      <c r="A2969" s="274"/>
      <c r="B2969" s="274"/>
      <c r="C2969" s="274"/>
      <c r="D2969" s="274"/>
      <c r="E2969" s="283"/>
      <c r="F2969" s="283"/>
      <c r="G2969" s="320"/>
      <c r="H2969" s="320"/>
      <c r="I2969" s="228"/>
      <c r="J2969" s="228"/>
      <c r="K2969" s="233"/>
      <c r="L2969" s="197"/>
      <c r="M2969" s="197"/>
      <c r="N2969" s="197"/>
      <c r="O2969" s="197"/>
    </row>
    <row r="2970" spans="1:15">
      <c r="A2970" s="274"/>
      <c r="B2970" s="274"/>
      <c r="C2970" s="274"/>
      <c r="D2970" s="274"/>
      <c r="E2970" s="283"/>
      <c r="F2970" s="283"/>
      <c r="G2970" s="320"/>
      <c r="H2970" s="320"/>
      <c r="I2970" s="228"/>
      <c r="J2970" s="228"/>
      <c r="K2970" s="233"/>
      <c r="L2970" s="197"/>
      <c r="M2970" s="197"/>
      <c r="N2970" s="197"/>
      <c r="O2970" s="197"/>
    </row>
    <row r="2971" spans="1:15">
      <c r="A2971" s="274"/>
      <c r="B2971" s="274"/>
      <c r="C2971" s="274"/>
      <c r="D2971" s="274"/>
      <c r="E2971" s="283"/>
      <c r="F2971" s="283"/>
      <c r="G2971" s="320"/>
      <c r="H2971" s="320"/>
      <c r="I2971" s="228"/>
      <c r="J2971" s="228"/>
      <c r="K2971" s="233"/>
      <c r="L2971" s="197"/>
      <c r="M2971" s="197"/>
      <c r="N2971" s="197"/>
      <c r="O2971" s="197"/>
    </row>
    <row r="2972" spans="1:15">
      <c r="A2972" s="274"/>
      <c r="B2972" s="274"/>
      <c r="C2972" s="274"/>
      <c r="D2972" s="274"/>
      <c r="E2972" s="283"/>
      <c r="F2972" s="283"/>
      <c r="G2972" s="320"/>
      <c r="H2972" s="320"/>
      <c r="I2972" s="228"/>
      <c r="J2972" s="228"/>
      <c r="K2972" s="233"/>
      <c r="L2972" s="197"/>
      <c r="M2972" s="197"/>
      <c r="N2972" s="197"/>
      <c r="O2972" s="197"/>
    </row>
    <row r="2973" spans="1:15">
      <c r="A2973" s="274"/>
      <c r="B2973" s="274"/>
      <c r="C2973" s="274"/>
      <c r="D2973" s="274"/>
      <c r="E2973" s="283"/>
      <c r="F2973" s="283"/>
      <c r="G2973" s="320"/>
      <c r="H2973" s="320"/>
      <c r="I2973" s="228"/>
      <c r="J2973" s="228"/>
      <c r="K2973" s="233"/>
      <c r="L2973" s="197"/>
      <c r="M2973" s="197"/>
      <c r="N2973" s="197"/>
      <c r="O2973" s="197"/>
    </row>
    <row r="2974" spans="1:15">
      <c r="A2974" s="274"/>
      <c r="B2974" s="274"/>
      <c r="C2974" s="274"/>
      <c r="D2974" s="274"/>
      <c r="E2974" s="283"/>
      <c r="F2974" s="283"/>
      <c r="G2974" s="320"/>
      <c r="H2974" s="320"/>
      <c r="I2974" s="228"/>
      <c r="J2974" s="228"/>
      <c r="K2974" s="233"/>
      <c r="L2974" s="197"/>
      <c r="M2974" s="197"/>
      <c r="N2974" s="197"/>
      <c r="O2974" s="197"/>
    </row>
    <row r="2975" spans="1:15">
      <c r="A2975" s="274"/>
      <c r="B2975" s="274"/>
      <c r="C2975" s="274"/>
      <c r="D2975" s="274"/>
      <c r="E2975" s="283"/>
      <c r="F2975" s="283"/>
      <c r="G2975" s="320"/>
      <c r="H2975" s="320"/>
      <c r="I2975" s="228"/>
      <c r="J2975" s="228"/>
      <c r="K2975" s="233"/>
      <c r="L2975" s="197"/>
      <c r="M2975" s="197"/>
      <c r="N2975" s="197"/>
      <c r="O2975" s="197"/>
    </row>
    <row r="2976" spans="1:15">
      <c r="A2976" s="274"/>
      <c r="B2976" s="274"/>
      <c r="C2976" s="274"/>
      <c r="D2976" s="274"/>
      <c r="E2976" s="283"/>
      <c r="F2976" s="283"/>
      <c r="G2976" s="320"/>
      <c r="H2976" s="320"/>
      <c r="I2976" s="228"/>
      <c r="J2976" s="228"/>
      <c r="K2976" s="233"/>
      <c r="L2976" s="197"/>
      <c r="M2976" s="197"/>
      <c r="N2976" s="197"/>
      <c r="O2976" s="197"/>
    </row>
    <row r="2977" spans="1:15">
      <c r="A2977" s="274"/>
      <c r="B2977" s="274"/>
      <c r="C2977" s="274"/>
      <c r="D2977" s="274"/>
      <c r="E2977" s="283"/>
      <c r="F2977" s="283"/>
      <c r="G2977" s="320"/>
      <c r="H2977" s="320"/>
      <c r="I2977" s="228"/>
      <c r="J2977" s="228"/>
      <c r="K2977" s="233"/>
      <c r="L2977" s="197"/>
      <c r="M2977" s="197"/>
      <c r="N2977" s="197"/>
      <c r="O2977" s="197"/>
    </row>
    <row r="2978" spans="1:15">
      <c r="A2978" s="274"/>
      <c r="B2978" s="274"/>
      <c r="C2978" s="274"/>
      <c r="D2978" s="274"/>
      <c r="E2978" s="283"/>
      <c r="F2978" s="283"/>
      <c r="G2978" s="320"/>
      <c r="H2978" s="320"/>
      <c r="I2978" s="228"/>
      <c r="J2978" s="228"/>
      <c r="K2978" s="233"/>
      <c r="L2978" s="197"/>
      <c r="M2978" s="197"/>
      <c r="N2978" s="197"/>
      <c r="O2978" s="197"/>
    </row>
    <row r="2979" spans="1:15">
      <c r="A2979" s="274"/>
      <c r="B2979" s="274"/>
      <c r="C2979" s="274"/>
      <c r="D2979" s="274"/>
      <c r="E2979" s="283"/>
      <c r="F2979" s="283"/>
      <c r="G2979" s="320"/>
      <c r="H2979" s="320"/>
      <c r="I2979" s="228"/>
      <c r="J2979" s="228"/>
      <c r="K2979" s="233"/>
      <c r="L2979" s="197"/>
      <c r="M2979" s="197"/>
      <c r="N2979" s="197"/>
      <c r="O2979" s="197"/>
    </row>
    <row r="2980" spans="1:15">
      <c r="A2980" s="274"/>
      <c r="B2980" s="274"/>
      <c r="C2980" s="274"/>
      <c r="D2980" s="274"/>
      <c r="E2980" s="283"/>
      <c r="F2980" s="283"/>
      <c r="G2980" s="320"/>
      <c r="H2980" s="320"/>
      <c r="I2980" s="228"/>
      <c r="J2980" s="228"/>
      <c r="K2980" s="233"/>
      <c r="L2980" s="197"/>
      <c r="M2980" s="197"/>
      <c r="N2980" s="197"/>
      <c r="O2980" s="197"/>
    </row>
    <row r="2981" spans="1:15">
      <c r="A2981" s="274"/>
      <c r="B2981" s="274"/>
      <c r="C2981" s="274"/>
      <c r="D2981" s="274"/>
      <c r="E2981" s="283"/>
      <c r="F2981" s="283"/>
      <c r="G2981" s="320"/>
      <c r="H2981" s="320"/>
      <c r="I2981" s="228"/>
      <c r="J2981" s="228"/>
      <c r="K2981" s="233"/>
      <c r="L2981" s="197"/>
      <c r="M2981" s="197"/>
      <c r="N2981" s="197"/>
      <c r="O2981" s="197"/>
    </row>
    <row r="2982" spans="1:15">
      <c r="A2982" s="274"/>
      <c r="B2982" s="274"/>
      <c r="C2982" s="274"/>
      <c r="D2982" s="274"/>
      <c r="E2982" s="283"/>
      <c r="F2982" s="283"/>
      <c r="G2982" s="320"/>
      <c r="H2982" s="320"/>
      <c r="I2982" s="228"/>
      <c r="J2982" s="228"/>
      <c r="K2982" s="233"/>
      <c r="L2982" s="197"/>
      <c r="M2982" s="197"/>
      <c r="N2982" s="197"/>
      <c r="O2982" s="197"/>
    </row>
    <row r="2983" spans="1:15">
      <c r="A2983" s="274"/>
      <c r="B2983" s="274"/>
      <c r="C2983" s="274"/>
      <c r="D2983" s="274"/>
      <c r="E2983" s="283"/>
      <c r="F2983" s="283"/>
      <c r="G2983" s="320"/>
      <c r="H2983" s="320"/>
      <c r="I2983" s="228"/>
      <c r="J2983" s="228"/>
      <c r="K2983" s="233"/>
      <c r="L2983" s="197"/>
      <c r="M2983" s="197"/>
      <c r="N2983" s="197"/>
      <c r="O2983" s="197"/>
    </row>
    <row r="2984" spans="1:15">
      <c r="A2984" s="274"/>
      <c r="B2984" s="274"/>
      <c r="C2984" s="274"/>
      <c r="D2984" s="274"/>
      <c r="E2984" s="283"/>
      <c r="F2984" s="283"/>
      <c r="G2984" s="320"/>
      <c r="H2984" s="320"/>
      <c r="I2984" s="228"/>
      <c r="J2984" s="228"/>
      <c r="K2984" s="233"/>
      <c r="L2984" s="197"/>
      <c r="M2984" s="197"/>
      <c r="N2984" s="197"/>
      <c r="O2984" s="197"/>
    </row>
    <row r="2985" spans="1:15">
      <c r="A2985" s="274"/>
      <c r="B2985" s="274"/>
      <c r="C2985" s="274"/>
      <c r="D2985" s="274"/>
      <c r="E2985" s="283"/>
      <c r="F2985" s="283"/>
      <c r="G2985" s="320"/>
      <c r="H2985" s="320"/>
      <c r="I2985" s="228"/>
      <c r="J2985" s="228"/>
      <c r="K2985" s="233"/>
      <c r="L2985" s="197"/>
      <c r="M2985" s="197"/>
      <c r="N2985" s="197"/>
      <c r="O2985" s="197"/>
    </row>
    <row r="2986" spans="1:15">
      <c r="A2986" s="274"/>
      <c r="B2986" s="274"/>
      <c r="C2986" s="274"/>
      <c r="D2986" s="274"/>
      <c r="E2986" s="283"/>
      <c r="F2986" s="283"/>
      <c r="G2986" s="320"/>
      <c r="H2986" s="320"/>
      <c r="I2986" s="228"/>
      <c r="J2986" s="228"/>
      <c r="K2986" s="233"/>
      <c r="L2986" s="197"/>
      <c r="M2986" s="197"/>
      <c r="N2986" s="197"/>
      <c r="O2986" s="197"/>
    </row>
    <row r="2987" spans="1:15">
      <c r="A2987" s="274"/>
      <c r="B2987" s="274"/>
      <c r="C2987" s="274"/>
      <c r="D2987" s="274"/>
      <c r="E2987" s="283"/>
      <c r="F2987" s="283"/>
      <c r="G2987" s="320"/>
      <c r="H2987" s="320"/>
      <c r="I2987" s="228"/>
      <c r="J2987" s="228"/>
      <c r="K2987" s="233"/>
      <c r="L2987" s="197"/>
      <c r="M2987" s="197"/>
      <c r="N2987" s="197"/>
      <c r="O2987" s="197"/>
    </row>
    <row r="2988" spans="1:15">
      <c r="A2988" s="274"/>
      <c r="B2988" s="274"/>
      <c r="C2988" s="274"/>
      <c r="D2988" s="274"/>
      <c r="E2988" s="283"/>
      <c r="F2988" s="283"/>
      <c r="G2988" s="320"/>
      <c r="H2988" s="320"/>
      <c r="I2988" s="228"/>
      <c r="J2988" s="228"/>
      <c r="K2988" s="233"/>
      <c r="L2988" s="197"/>
      <c r="M2988" s="197"/>
      <c r="N2988" s="197"/>
      <c r="O2988" s="197"/>
    </row>
    <row r="2989" spans="1:15">
      <c r="A2989" s="274"/>
      <c r="B2989" s="274"/>
      <c r="C2989" s="274"/>
      <c r="D2989" s="274"/>
      <c r="E2989" s="283"/>
      <c r="F2989" s="283"/>
      <c r="G2989" s="320"/>
      <c r="H2989" s="320"/>
      <c r="I2989" s="228"/>
      <c r="J2989" s="228"/>
      <c r="K2989" s="233"/>
      <c r="L2989" s="197"/>
      <c r="M2989" s="197"/>
      <c r="N2989" s="197"/>
      <c r="O2989" s="197"/>
    </row>
    <row r="2990" spans="1:15">
      <c r="A2990" s="274"/>
      <c r="B2990" s="274"/>
      <c r="C2990" s="274"/>
      <c r="D2990" s="274"/>
      <c r="E2990" s="283"/>
      <c r="F2990" s="283"/>
      <c r="G2990" s="320"/>
      <c r="H2990" s="320"/>
      <c r="I2990" s="228"/>
      <c r="J2990" s="228"/>
      <c r="K2990" s="233"/>
      <c r="L2990" s="197"/>
      <c r="M2990" s="197"/>
      <c r="N2990" s="197"/>
      <c r="O2990" s="197"/>
    </row>
    <row r="2991" spans="1:15">
      <c r="A2991" s="274"/>
      <c r="B2991" s="274"/>
      <c r="C2991" s="274"/>
      <c r="D2991" s="274"/>
      <c r="E2991" s="283"/>
      <c r="F2991" s="283"/>
      <c r="G2991" s="320"/>
      <c r="H2991" s="320"/>
      <c r="I2991" s="228"/>
      <c r="J2991" s="228"/>
      <c r="K2991" s="233"/>
      <c r="L2991" s="197"/>
      <c r="M2991" s="197"/>
      <c r="N2991" s="197"/>
      <c r="O2991" s="197"/>
    </row>
    <row r="2992" spans="1:15">
      <c r="A2992" s="274"/>
      <c r="B2992" s="274"/>
      <c r="C2992" s="274"/>
      <c r="D2992" s="274"/>
      <c r="E2992" s="283"/>
      <c r="F2992" s="283"/>
      <c r="G2992" s="320"/>
      <c r="H2992" s="320"/>
      <c r="I2992" s="228"/>
      <c r="J2992" s="228"/>
      <c r="K2992" s="233"/>
      <c r="L2992" s="197"/>
      <c r="M2992" s="197"/>
      <c r="N2992" s="197"/>
      <c r="O2992" s="197"/>
    </row>
    <row r="2993" spans="1:15">
      <c r="A2993" s="274"/>
      <c r="B2993" s="274"/>
      <c r="C2993" s="274"/>
      <c r="D2993" s="274"/>
      <c r="E2993" s="283"/>
      <c r="F2993" s="283"/>
      <c r="G2993" s="320"/>
      <c r="H2993" s="320"/>
      <c r="I2993" s="228"/>
      <c r="J2993" s="228"/>
      <c r="K2993" s="233"/>
      <c r="L2993" s="197"/>
      <c r="M2993" s="197"/>
      <c r="N2993" s="197"/>
      <c r="O2993" s="197"/>
    </row>
    <row r="2994" spans="1:15">
      <c r="A2994" s="274"/>
      <c r="B2994" s="274"/>
      <c r="C2994" s="274"/>
      <c r="D2994" s="274"/>
      <c r="E2994" s="283"/>
      <c r="F2994" s="283"/>
      <c r="G2994" s="320"/>
      <c r="H2994" s="320"/>
      <c r="I2994" s="228"/>
      <c r="J2994" s="228"/>
      <c r="K2994" s="233"/>
      <c r="L2994" s="197"/>
      <c r="M2994" s="197"/>
      <c r="N2994" s="197"/>
      <c r="O2994" s="197"/>
    </row>
    <row r="2995" spans="1:15">
      <c r="A2995" s="274"/>
      <c r="B2995" s="274"/>
      <c r="C2995" s="274"/>
      <c r="D2995" s="274"/>
      <c r="E2995" s="283"/>
      <c r="F2995" s="283"/>
      <c r="G2995" s="320"/>
      <c r="H2995" s="320"/>
      <c r="I2995" s="228"/>
      <c r="J2995" s="228"/>
      <c r="K2995" s="233"/>
      <c r="L2995" s="197"/>
      <c r="M2995" s="197"/>
      <c r="N2995" s="197"/>
      <c r="O2995" s="197"/>
    </row>
    <row r="2996" spans="1:15">
      <c r="A2996" s="274"/>
      <c r="B2996" s="274"/>
      <c r="C2996" s="274"/>
      <c r="D2996" s="274"/>
      <c r="E2996" s="283"/>
      <c r="F2996" s="283"/>
      <c r="G2996" s="320"/>
      <c r="H2996" s="320"/>
      <c r="I2996" s="228"/>
      <c r="J2996" s="228"/>
      <c r="K2996" s="233"/>
      <c r="L2996" s="197"/>
      <c r="M2996" s="197"/>
      <c r="N2996" s="197"/>
      <c r="O2996" s="197"/>
    </row>
    <row r="2997" spans="1:15">
      <c r="A2997" s="274"/>
      <c r="B2997" s="274"/>
      <c r="C2997" s="274"/>
      <c r="D2997" s="274"/>
      <c r="E2997" s="283"/>
      <c r="F2997" s="283"/>
      <c r="G2997" s="320"/>
      <c r="H2997" s="320"/>
      <c r="I2997" s="228"/>
      <c r="J2997" s="228"/>
      <c r="K2997" s="233"/>
      <c r="L2997" s="197"/>
      <c r="M2997" s="197"/>
      <c r="N2997" s="197"/>
      <c r="O2997" s="197"/>
    </row>
    <row r="2998" spans="1:15">
      <c r="A2998" s="274"/>
      <c r="B2998" s="274"/>
      <c r="C2998" s="274"/>
      <c r="D2998" s="274"/>
      <c r="E2998" s="283"/>
      <c r="F2998" s="283"/>
      <c r="G2998" s="320"/>
      <c r="H2998" s="320"/>
      <c r="I2998" s="228"/>
      <c r="J2998" s="228"/>
      <c r="K2998" s="233"/>
      <c r="L2998" s="197"/>
      <c r="M2998" s="197"/>
      <c r="N2998" s="197"/>
      <c r="O2998" s="197"/>
    </row>
    <row r="2999" spans="1:15">
      <c r="A2999" s="274"/>
      <c r="B2999" s="274"/>
      <c r="C2999" s="274"/>
      <c r="D2999" s="274"/>
      <c r="E2999" s="283"/>
      <c r="F2999" s="283"/>
      <c r="G2999" s="320"/>
      <c r="H2999" s="320"/>
      <c r="I2999" s="228"/>
      <c r="J2999" s="228"/>
      <c r="K2999" s="233"/>
      <c r="L2999" s="197"/>
      <c r="M2999" s="197"/>
      <c r="N2999" s="197"/>
      <c r="O2999" s="197"/>
    </row>
    <row r="3000" spans="1:15">
      <c r="A3000" s="274"/>
      <c r="B3000" s="274"/>
      <c r="C3000" s="274"/>
      <c r="D3000" s="274"/>
      <c r="E3000" s="283"/>
      <c r="F3000" s="283"/>
      <c r="G3000" s="320"/>
      <c r="H3000" s="320"/>
      <c r="I3000" s="228"/>
      <c r="J3000" s="228"/>
      <c r="K3000" s="233"/>
      <c r="L3000" s="197"/>
      <c r="M3000" s="197"/>
      <c r="N3000" s="197"/>
      <c r="O3000" s="197"/>
    </row>
    <row r="3001" spans="1:15">
      <c r="A3001" s="274"/>
      <c r="B3001" s="274"/>
      <c r="C3001" s="274"/>
      <c r="D3001" s="274"/>
      <c r="E3001" s="283"/>
      <c r="F3001" s="283"/>
      <c r="G3001" s="320"/>
      <c r="H3001" s="320"/>
      <c r="I3001" s="228"/>
      <c r="J3001" s="228"/>
      <c r="K3001" s="233"/>
      <c r="L3001" s="197"/>
      <c r="M3001" s="197"/>
      <c r="N3001" s="197"/>
      <c r="O3001" s="197"/>
    </row>
    <row r="3002" spans="1:15">
      <c r="A3002" s="274"/>
      <c r="B3002" s="274"/>
      <c r="C3002" s="274"/>
      <c r="D3002" s="274"/>
      <c r="E3002" s="283"/>
      <c r="F3002" s="283"/>
      <c r="G3002" s="320"/>
      <c r="H3002" s="320"/>
      <c r="I3002" s="228"/>
      <c r="J3002" s="228"/>
      <c r="K3002" s="233"/>
      <c r="L3002" s="197"/>
      <c r="M3002" s="197"/>
      <c r="N3002" s="197"/>
      <c r="O3002" s="197"/>
    </row>
    <row r="3003" spans="1:15">
      <c r="A3003" s="274"/>
      <c r="B3003" s="274"/>
      <c r="C3003" s="274"/>
      <c r="D3003" s="274"/>
      <c r="E3003" s="283"/>
      <c r="F3003" s="283"/>
      <c r="G3003" s="320"/>
      <c r="H3003" s="320"/>
      <c r="I3003" s="228"/>
      <c r="J3003" s="228"/>
      <c r="K3003" s="233"/>
      <c r="L3003" s="197"/>
      <c r="M3003" s="197"/>
      <c r="N3003" s="197"/>
      <c r="O3003" s="197"/>
    </row>
    <row r="3004" spans="1:15">
      <c r="A3004" s="274"/>
      <c r="B3004" s="274"/>
      <c r="C3004" s="274"/>
      <c r="D3004" s="274"/>
      <c r="E3004" s="283"/>
      <c r="F3004" s="283"/>
      <c r="G3004" s="320"/>
      <c r="H3004" s="320"/>
      <c r="I3004" s="228"/>
      <c r="J3004" s="228"/>
      <c r="K3004" s="233"/>
      <c r="L3004" s="197"/>
      <c r="M3004" s="197"/>
      <c r="N3004" s="197"/>
      <c r="O3004" s="197"/>
    </row>
    <row r="3005" spans="1:15">
      <c r="A3005" s="274"/>
      <c r="B3005" s="274"/>
      <c r="C3005" s="274"/>
      <c r="D3005" s="274"/>
      <c r="E3005" s="283"/>
      <c r="F3005" s="283"/>
      <c r="G3005" s="320"/>
      <c r="H3005" s="320"/>
      <c r="I3005" s="228"/>
      <c r="J3005" s="228"/>
      <c r="K3005" s="233"/>
      <c r="L3005" s="197"/>
      <c r="M3005" s="197"/>
      <c r="N3005" s="197"/>
      <c r="O3005" s="197"/>
    </row>
    <row r="3006" spans="1:15">
      <c r="A3006" s="274"/>
      <c r="B3006" s="274"/>
      <c r="C3006" s="274"/>
      <c r="D3006" s="274"/>
      <c r="E3006" s="283"/>
      <c r="F3006" s="283"/>
      <c r="G3006" s="320"/>
      <c r="H3006" s="320"/>
      <c r="I3006" s="228"/>
      <c r="J3006" s="228"/>
      <c r="K3006" s="233"/>
      <c r="L3006" s="197"/>
      <c r="M3006" s="197"/>
      <c r="N3006" s="197"/>
      <c r="O3006" s="197"/>
    </row>
    <row r="3007" spans="1:15">
      <c r="A3007" s="274"/>
      <c r="B3007" s="274"/>
      <c r="C3007" s="274"/>
      <c r="D3007" s="274"/>
      <c r="E3007" s="283"/>
      <c r="F3007" s="283"/>
      <c r="G3007" s="320"/>
      <c r="H3007" s="320"/>
      <c r="I3007" s="228"/>
      <c r="J3007" s="228"/>
      <c r="K3007" s="233"/>
      <c r="L3007" s="197"/>
      <c r="M3007" s="197"/>
      <c r="N3007" s="197"/>
      <c r="O3007" s="197"/>
    </row>
    <row r="3008" spans="1:15">
      <c r="A3008" s="274"/>
      <c r="B3008" s="274"/>
      <c r="C3008" s="274"/>
      <c r="D3008" s="274"/>
      <c r="E3008" s="283"/>
      <c r="F3008" s="283"/>
      <c r="G3008" s="320"/>
      <c r="H3008" s="320"/>
      <c r="I3008" s="228"/>
      <c r="J3008" s="228"/>
      <c r="K3008" s="233"/>
      <c r="L3008" s="197"/>
      <c r="M3008" s="197"/>
      <c r="N3008" s="197"/>
      <c r="O3008" s="197"/>
    </row>
    <row r="3009" spans="1:15">
      <c r="A3009" s="274"/>
      <c r="B3009" s="274"/>
      <c r="C3009" s="274"/>
      <c r="D3009" s="274"/>
      <c r="E3009" s="283"/>
      <c r="F3009" s="283"/>
      <c r="G3009" s="320"/>
      <c r="H3009" s="320"/>
      <c r="I3009" s="228"/>
      <c r="J3009" s="228"/>
      <c r="K3009" s="233"/>
      <c r="L3009" s="197"/>
      <c r="M3009" s="197"/>
      <c r="N3009" s="197"/>
      <c r="O3009" s="197"/>
    </row>
    <row r="3010" spans="1:15">
      <c r="A3010" s="274"/>
      <c r="B3010" s="274"/>
      <c r="C3010" s="274"/>
      <c r="D3010" s="274"/>
      <c r="E3010" s="283"/>
      <c r="F3010" s="283"/>
      <c r="G3010" s="320"/>
      <c r="H3010" s="320"/>
      <c r="I3010" s="228"/>
      <c r="J3010" s="228"/>
      <c r="K3010" s="233"/>
      <c r="L3010" s="197"/>
      <c r="M3010" s="197"/>
      <c r="N3010" s="197"/>
      <c r="O3010" s="197"/>
    </row>
    <row r="3011" spans="1:15">
      <c r="A3011" s="274"/>
      <c r="B3011" s="274"/>
      <c r="C3011" s="274"/>
      <c r="D3011" s="274"/>
      <c r="E3011" s="283"/>
      <c r="F3011" s="283"/>
      <c r="G3011" s="320"/>
      <c r="H3011" s="320"/>
      <c r="I3011" s="228"/>
      <c r="J3011" s="228"/>
      <c r="K3011" s="233"/>
      <c r="L3011" s="197"/>
      <c r="M3011" s="197"/>
      <c r="N3011" s="197"/>
      <c r="O3011" s="197"/>
    </row>
    <row r="3012" spans="1:15">
      <c r="A3012" s="274"/>
      <c r="B3012" s="274"/>
      <c r="C3012" s="274"/>
      <c r="D3012" s="274"/>
      <c r="E3012" s="283"/>
      <c r="F3012" s="283"/>
      <c r="G3012" s="320"/>
      <c r="H3012" s="320"/>
      <c r="I3012" s="228"/>
      <c r="J3012" s="228"/>
      <c r="K3012" s="233"/>
      <c r="L3012" s="197"/>
      <c r="M3012" s="197"/>
      <c r="N3012" s="197"/>
      <c r="O3012" s="197"/>
    </row>
    <row r="3013" spans="1:15">
      <c r="A3013" s="274"/>
      <c r="B3013" s="274"/>
      <c r="C3013" s="274"/>
      <c r="D3013" s="274"/>
      <c r="E3013" s="283"/>
      <c r="F3013" s="283"/>
      <c r="G3013" s="320"/>
      <c r="H3013" s="320"/>
      <c r="I3013" s="228"/>
      <c r="J3013" s="228"/>
      <c r="K3013" s="233"/>
      <c r="L3013" s="197"/>
      <c r="M3013" s="197"/>
      <c r="N3013" s="197"/>
      <c r="O3013" s="197"/>
    </row>
    <row r="3014" spans="1:15">
      <c r="A3014" s="274"/>
      <c r="B3014" s="274"/>
      <c r="C3014" s="274"/>
      <c r="D3014" s="274"/>
      <c r="E3014" s="283"/>
      <c r="F3014" s="283"/>
      <c r="G3014" s="320"/>
      <c r="H3014" s="320"/>
      <c r="I3014" s="228"/>
      <c r="J3014" s="228"/>
      <c r="K3014" s="233"/>
      <c r="L3014" s="197"/>
      <c r="M3014" s="197"/>
      <c r="N3014" s="197"/>
      <c r="O3014" s="197"/>
    </row>
    <row r="3015" spans="1:15">
      <c r="A3015" s="274"/>
      <c r="B3015" s="274"/>
      <c r="C3015" s="274"/>
      <c r="D3015" s="274"/>
      <c r="E3015" s="283"/>
      <c r="F3015" s="283"/>
      <c r="G3015" s="320"/>
      <c r="H3015" s="320"/>
      <c r="I3015" s="228"/>
      <c r="J3015" s="228"/>
      <c r="K3015" s="233"/>
      <c r="L3015" s="197"/>
      <c r="M3015" s="197"/>
      <c r="N3015" s="197"/>
      <c r="O3015" s="197"/>
    </row>
    <row r="3016" spans="1:15">
      <c r="A3016" s="274"/>
      <c r="B3016" s="274"/>
      <c r="C3016" s="274"/>
      <c r="D3016" s="274"/>
      <c r="E3016" s="283"/>
      <c r="F3016" s="283"/>
      <c r="G3016" s="320"/>
      <c r="H3016" s="320"/>
      <c r="I3016" s="228"/>
      <c r="J3016" s="228"/>
      <c r="K3016" s="233"/>
      <c r="L3016" s="197"/>
      <c r="M3016" s="197"/>
      <c r="N3016" s="197"/>
      <c r="O3016" s="197"/>
    </row>
    <row r="3017" spans="1:15">
      <c r="A3017" s="274"/>
      <c r="B3017" s="274"/>
      <c r="C3017" s="274"/>
      <c r="D3017" s="274"/>
      <c r="E3017" s="283"/>
      <c r="F3017" s="283"/>
      <c r="G3017" s="320"/>
      <c r="H3017" s="320"/>
      <c r="I3017" s="228"/>
      <c r="J3017" s="228"/>
      <c r="K3017" s="233"/>
      <c r="L3017" s="197"/>
      <c r="M3017" s="197"/>
      <c r="N3017" s="197"/>
      <c r="O3017" s="197"/>
    </row>
    <row r="3018" spans="1:15">
      <c r="A3018" s="274"/>
      <c r="B3018" s="274"/>
      <c r="C3018" s="274"/>
      <c r="D3018" s="274"/>
      <c r="E3018" s="283"/>
      <c r="F3018" s="283"/>
      <c r="G3018" s="320"/>
      <c r="H3018" s="320"/>
      <c r="I3018" s="228"/>
      <c r="J3018" s="228"/>
      <c r="K3018" s="233"/>
      <c r="L3018" s="197"/>
      <c r="M3018" s="197"/>
      <c r="N3018" s="197"/>
      <c r="O3018" s="197"/>
    </row>
    <row r="3019" spans="1:15">
      <c r="A3019" s="274"/>
      <c r="B3019" s="274"/>
      <c r="C3019" s="274"/>
      <c r="D3019" s="274"/>
      <c r="E3019" s="283"/>
      <c r="F3019" s="283"/>
      <c r="G3019" s="320"/>
      <c r="H3019" s="320"/>
      <c r="I3019" s="228"/>
      <c r="J3019" s="228"/>
      <c r="K3019" s="233"/>
      <c r="L3019" s="197"/>
      <c r="M3019" s="197"/>
      <c r="N3019" s="197"/>
      <c r="O3019" s="197"/>
    </row>
    <row r="3020" spans="1:15">
      <c r="A3020" s="274"/>
      <c r="B3020" s="274"/>
      <c r="C3020" s="274"/>
      <c r="D3020" s="274"/>
      <c r="E3020" s="283"/>
      <c r="F3020" s="283"/>
      <c r="G3020" s="320"/>
      <c r="H3020" s="320"/>
      <c r="I3020" s="228"/>
      <c r="J3020" s="228"/>
      <c r="K3020" s="233"/>
      <c r="L3020" s="197"/>
      <c r="M3020" s="197"/>
      <c r="N3020" s="197"/>
      <c r="O3020" s="197"/>
    </row>
    <row r="3021" spans="1:15">
      <c r="A3021" s="274"/>
      <c r="B3021" s="274"/>
      <c r="C3021" s="274"/>
      <c r="D3021" s="274"/>
      <c r="E3021" s="283"/>
      <c r="F3021" s="283"/>
      <c r="G3021" s="320"/>
      <c r="H3021" s="320"/>
      <c r="I3021" s="228"/>
      <c r="J3021" s="228"/>
      <c r="K3021" s="233"/>
      <c r="L3021" s="197"/>
      <c r="M3021" s="197"/>
      <c r="N3021" s="197"/>
      <c r="O3021" s="197"/>
    </row>
    <row r="3022" spans="1:15">
      <c r="A3022" s="274"/>
      <c r="B3022" s="274"/>
      <c r="C3022" s="274"/>
      <c r="D3022" s="274"/>
      <c r="E3022" s="283"/>
      <c r="F3022" s="283"/>
      <c r="G3022" s="320"/>
      <c r="H3022" s="320"/>
      <c r="I3022" s="228"/>
      <c r="J3022" s="228"/>
      <c r="K3022" s="233"/>
      <c r="L3022" s="197"/>
      <c r="M3022" s="197"/>
      <c r="N3022" s="197"/>
      <c r="O3022" s="197"/>
    </row>
    <row r="3023" spans="1:15">
      <c r="A3023" s="274"/>
      <c r="B3023" s="274"/>
      <c r="C3023" s="274"/>
      <c r="D3023" s="274"/>
      <c r="E3023" s="283"/>
      <c r="F3023" s="283"/>
      <c r="G3023" s="320"/>
      <c r="H3023" s="320"/>
      <c r="I3023" s="228"/>
      <c r="J3023" s="228"/>
      <c r="K3023" s="233"/>
      <c r="L3023" s="197"/>
      <c r="M3023" s="197"/>
      <c r="N3023" s="197"/>
      <c r="O3023" s="197"/>
    </row>
    <row r="3024" spans="1:15">
      <c r="A3024" s="274"/>
      <c r="B3024" s="274"/>
      <c r="C3024" s="274"/>
      <c r="D3024" s="274"/>
      <c r="E3024" s="283"/>
      <c r="F3024" s="283"/>
      <c r="G3024" s="320"/>
      <c r="H3024" s="320"/>
      <c r="I3024" s="228"/>
      <c r="J3024" s="228"/>
      <c r="K3024" s="233"/>
      <c r="L3024" s="197"/>
      <c r="M3024" s="197"/>
      <c r="N3024" s="197"/>
      <c r="O3024" s="197"/>
    </row>
    <row r="3025" spans="1:15">
      <c r="A3025" s="274"/>
      <c r="B3025" s="274"/>
      <c r="C3025" s="274"/>
      <c r="D3025" s="274"/>
      <c r="E3025" s="283"/>
      <c r="F3025" s="283"/>
      <c r="G3025" s="320"/>
      <c r="H3025" s="320"/>
      <c r="I3025" s="228"/>
      <c r="J3025" s="228"/>
      <c r="K3025" s="233"/>
      <c r="L3025" s="197"/>
      <c r="M3025" s="197"/>
      <c r="N3025" s="197"/>
      <c r="O3025" s="197"/>
    </row>
    <row r="3026" spans="1:15">
      <c r="A3026" s="274"/>
      <c r="B3026" s="274"/>
      <c r="C3026" s="274"/>
      <c r="D3026" s="274"/>
      <c r="E3026" s="283"/>
      <c r="F3026" s="283"/>
      <c r="G3026" s="320"/>
      <c r="H3026" s="320"/>
      <c r="I3026" s="228"/>
      <c r="J3026" s="228"/>
      <c r="K3026" s="233"/>
      <c r="L3026" s="197"/>
      <c r="M3026" s="197"/>
      <c r="N3026" s="197"/>
      <c r="O3026" s="197"/>
    </row>
    <row r="3027" spans="1:15">
      <c r="A3027" s="274"/>
      <c r="B3027" s="274"/>
      <c r="C3027" s="274"/>
      <c r="D3027" s="274"/>
      <c r="E3027" s="283"/>
      <c r="F3027" s="283"/>
      <c r="G3027" s="320"/>
      <c r="H3027" s="320"/>
      <c r="I3027" s="228"/>
      <c r="J3027" s="228"/>
      <c r="K3027" s="233"/>
      <c r="L3027" s="197"/>
      <c r="M3027" s="197"/>
      <c r="N3027" s="197"/>
      <c r="O3027" s="197"/>
    </row>
    <row r="3028" spans="1:15">
      <c r="A3028" s="274"/>
      <c r="B3028" s="274"/>
      <c r="C3028" s="274"/>
      <c r="D3028" s="274"/>
      <c r="E3028" s="283"/>
      <c r="F3028" s="283"/>
      <c r="G3028" s="320"/>
      <c r="H3028" s="320"/>
      <c r="I3028" s="228"/>
      <c r="J3028" s="228"/>
      <c r="K3028" s="233"/>
      <c r="L3028" s="197"/>
      <c r="M3028" s="197"/>
      <c r="N3028" s="197"/>
      <c r="O3028" s="197"/>
    </row>
    <row r="3029" spans="1:15">
      <c r="A3029" s="274"/>
      <c r="B3029" s="274"/>
      <c r="C3029" s="274"/>
      <c r="D3029" s="274"/>
      <c r="E3029" s="283"/>
      <c r="F3029" s="283"/>
      <c r="G3029" s="320"/>
      <c r="H3029" s="320"/>
      <c r="I3029" s="228"/>
      <c r="J3029" s="228"/>
      <c r="K3029" s="233"/>
      <c r="L3029" s="197"/>
      <c r="M3029" s="197"/>
      <c r="N3029" s="197"/>
      <c r="O3029" s="197"/>
    </row>
    <row r="3030" spans="1:15">
      <c r="A3030" s="274"/>
      <c r="B3030" s="274"/>
      <c r="C3030" s="274"/>
      <c r="D3030" s="274"/>
      <c r="E3030" s="283"/>
      <c r="F3030" s="283"/>
      <c r="G3030" s="320"/>
      <c r="H3030" s="320"/>
      <c r="I3030" s="228"/>
      <c r="J3030" s="228"/>
      <c r="K3030" s="233"/>
      <c r="L3030" s="197"/>
      <c r="M3030" s="197"/>
      <c r="N3030" s="197"/>
      <c r="O3030" s="197"/>
    </row>
    <row r="3031" spans="1:15">
      <c r="A3031" s="274"/>
      <c r="B3031" s="274"/>
      <c r="C3031" s="274"/>
      <c r="D3031" s="274"/>
      <c r="E3031" s="283"/>
      <c r="F3031" s="283"/>
      <c r="G3031" s="320"/>
      <c r="H3031" s="320"/>
      <c r="I3031" s="228"/>
      <c r="J3031" s="228"/>
      <c r="K3031" s="233"/>
      <c r="L3031" s="197"/>
      <c r="M3031" s="197"/>
      <c r="N3031" s="197"/>
      <c r="O3031" s="197"/>
    </row>
    <row r="3032" spans="1:15">
      <c r="A3032" s="274"/>
      <c r="B3032" s="274"/>
      <c r="C3032" s="274"/>
      <c r="D3032" s="274"/>
      <c r="E3032" s="283"/>
      <c r="F3032" s="283"/>
      <c r="G3032" s="320"/>
      <c r="H3032" s="320"/>
      <c r="I3032" s="228"/>
      <c r="J3032" s="228"/>
      <c r="K3032" s="233"/>
      <c r="L3032" s="197"/>
      <c r="M3032" s="197"/>
      <c r="N3032" s="197"/>
      <c r="O3032" s="197"/>
    </row>
    <row r="3033" spans="1:15">
      <c r="A3033" s="274"/>
      <c r="B3033" s="274"/>
      <c r="C3033" s="274"/>
      <c r="D3033" s="274"/>
      <c r="E3033" s="283"/>
      <c r="F3033" s="283"/>
      <c r="G3033" s="320"/>
      <c r="H3033" s="320"/>
      <c r="I3033" s="228"/>
      <c r="J3033" s="228"/>
      <c r="K3033" s="233"/>
      <c r="L3033" s="197"/>
      <c r="M3033" s="197"/>
      <c r="N3033" s="197"/>
      <c r="O3033" s="197"/>
    </row>
    <row r="3034" spans="1:15">
      <c r="A3034" s="274"/>
      <c r="B3034" s="274"/>
      <c r="C3034" s="274"/>
      <c r="D3034" s="274"/>
      <c r="E3034" s="283"/>
      <c r="F3034" s="283"/>
      <c r="G3034" s="320"/>
      <c r="H3034" s="320"/>
      <c r="I3034" s="228"/>
      <c r="J3034" s="228"/>
      <c r="K3034" s="233"/>
      <c r="L3034" s="197"/>
      <c r="M3034" s="197"/>
      <c r="N3034" s="197"/>
      <c r="O3034" s="197"/>
    </row>
    <row r="3035" spans="1:15">
      <c r="A3035" s="274"/>
      <c r="B3035" s="274"/>
      <c r="C3035" s="274"/>
      <c r="D3035" s="274"/>
      <c r="E3035" s="283"/>
      <c r="F3035" s="283"/>
      <c r="G3035" s="320"/>
      <c r="H3035" s="320"/>
      <c r="I3035" s="228"/>
      <c r="J3035" s="228"/>
      <c r="K3035" s="233"/>
      <c r="L3035" s="197"/>
      <c r="M3035" s="197"/>
      <c r="N3035" s="197"/>
      <c r="O3035" s="197"/>
    </row>
    <row r="3036" spans="1:15">
      <c r="A3036" s="274"/>
      <c r="B3036" s="274"/>
      <c r="C3036" s="274"/>
      <c r="D3036" s="274"/>
      <c r="E3036" s="283"/>
      <c r="F3036" s="283"/>
      <c r="G3036" s="320"/>
      <c r="H3036" s="320"/>
      <c r="I3036" s="228"/>
      <c r="J3036" s="228"/>
      <c r="K3036" s="233"/>
      <c r="L3036" s="197"/>
      <c r="M3036" s="197"/>
      <c r="N3036" s="197"/>
      <c r="O3036" s="197"/>
    </row>
    <row r="3037" spans="1:15">
      <c r="A3037" s="274"/>
      <c r="B3037" s="274"/>
      <c r="C3037" s="274"/>
      <c r="D3037" s="274"/>
      <c r="E3037" s="283"/>
      <c r="F3037" s="283"/>
      <c r="G3037" s="320"/>
      <c r="H3037" s="320"/>
      <c r="I3037" s="228"/>
      <c r="J3037" s="228"/>
      <c r="K3037" s="233"/>
      <c r="L3037" s="197"/>
      <c r="M3037" s="197"/>
      <c r="N3037" s="197"/>
      <c r="O3037" s="197"/>
    </row>
    <row r="3038" spans="1:15">
      <c r="A3038" s="274"/>
      <c r="B3038" s="274"/>
      <c r="C3038" s="233"/>
      <c r="D3038" s="274"/>
      <c r="E3038" s="283"/>
      <c r="F3038" s="283"/>
      <c r="G3038" s="320"/>
      <c r="H3038" s="320"/>
      <c r="I3038" s="228"/>
      <c r="J3038" s="283"/>
      <c r="K3038" s="197"/>
      <c r="L3038" s="197"/>
      <c r="M3038" s="197"/>
      <c r="N3038" s="197"/>
      <c r="O3038" s="197"/>
    </row>
    <row r="3039" spans="1:15">
      <c r="A3039" s="274"/>
      <c r="B3039" s="274"/>
      <c r="C3039" s="233"/>
      <c r="D3039" s="274"/>
      <c r="E3039" s="283"/>
      <c r="F3039" s="283"/>
      <c r="G3039" s="320"/>
      <c r="H3039" s="320"/>
      <c r="I3039" s="228"/>
      <c r="J3039" s="283"/>
      <c r="K3039" s="197"/>
      <c r="L3039" s="197"/>
      <c r="M3039" s="197"/>
      <c r="N3039" s="197"/>
      <c r="O3039" s="197"/>
    </row>
    <row r="3040" spans="1:15">
      <c r="A3040" s="274"/>
      <c r="B3040" s="274"/>
      <c r="C3040" s="233"/>
      <c r="D3040" s="274"/>
      <c r="E3040" s="283"/>
      <c r="F3040" s="283"/>
      <c r="G3040" s="320"/>
      <c r="H3040" s="320"/>
      <c r="I3040" s="228"/>
      <c r="J3040" s="283"/>
      <c r="K3040" s="233"/>
      <c r="L3040" s="197"/>
      <c r="M3040" s="197"/>
      <c r="N3040" s="197"/>
      <c r="O3040" s="197"/>
    </row>
    <row r="3041" spans="1:15">
      <c r="A3041" s="274"/>
      <c r="B3041" s="274"/>
      <c r="C3041" s="233"/>
      <c r="D3041" s="274"/>
      <c r="E3041" s="283"/>
      <c r="F3041" s="283"/>
      <c r="G3041" s="320"/>
      <c r="H3041" s="320"/>
      <c r="I3041" s="228"/>
      <c r="J3041" s="283"/>
      <c r="K3041" s="283"/>
      <c r="L3041" s="197"/>
      <c r="M3041" s="197"/>
      <c r="N3041" s="197"/>
      <c r="O3041" s="197"/>
    </row>
    <row r="3042" spans="1:15">
      <c r="A3042" s="274"/>
      <c r="B3042" s="274"/>
      <c r="C3042" s="233"/>
      <c r="D3042" s="274"/>
      <c r="E3042" s="283"/>
      <c r="F3042" s="283"/>
      <c r="G3042" s="320"/>
      <c r="H3042" s="320"/>
      <c r="I3042" s="228"/>
      <c r="J3042" s="283"/>
      <c r="K3042" s="197"/>
      <c r="L3042" s="197"/>
      <c r="M3042" s="197"/>
      <c r="N3042" s="197"/>
      <c r="O3042" s="197"/>
    </row>
    <row r="3043" spans="1:15">
      <c r="A3043" s="274"/>
      <c r="B3043" s="274"/>
      <c r="C3043" s="233"/>
      <c r="D3043" s="274"/>
      <c r="E3043" s="283"/>
      <c r="F3043" s="283"/>
      <c r="G3043" s="320"/>
      <c r="H3043" s="320"/>
      <c r="I3043" s="228"/>
      <c r="J3043" s="283"/>
      <c r="K3043" s="197"/>
      <c r="L3043" s="197"/>
      <c r="M3043" s="197"/>
      <c r="N3043" s="197"/>
      <c r="O3043" s="197"/>
    </row>
    <row r="3044" spans="1:15">
      <c r="A3044" s="274"/>
      <c r="B3044" s="274"/>
      <c r="C3044" s="274"/>
      <c r="D3044" s="274"/>
      <c r="E3044" s="283"/>
      <c r="F3044" s="283"/>
      <c r="G3044" s="320"/>
      <c r="H3044" s="320"/>
      <c r="I3044" s="228"/>
      <c r="J3044" s="228"/>
      <c r="K3044" s="197"/>
      <c r="L3044" s="197"/>
      <c r="M3044" s="197"/>
      <c r="N3044" s="197"/>
      <c r="O3044" s="197"/>
    </row>
    <row r="3045" spans="1:15">
      <c r="A3045" s="274"/>
      <c r="B3045" s="274"/>
      <c r="C3045" s="274"/>
      <c r="D3045" s="274"/>
      <c r="E3045" s="283"/>
      <c r="F3045" s="283"/>
      <c r="G3045" s="320"/>
      <c r="H3045" s="320"/>
      <c r="I3045" s="228"/>
      <c r="J3045" s="283"/>
      <c r="K3045" s="197"/>
      <c r="L3045" s="197"/>
      <c r="M3045" s="197"/>
      <c r="N3045" s="197"/>
      <c r="O3045" s="197"/>
    </row>
    <row r="3046" spans="1:15">
      <c r="A3046" s="274"/>
      <c r="B3046" s="274"/>
      <c r="C3046" s="274"/>
      <c r="D3046" s="274"/>
      <c r="E3046" s="283"/>
      <c r="F3046" s="283"/>
      <c r="G3046" s="320"/>
      <c r="H3046" s="320"/>
      <c r="I3046" s="228"/>
      <c r="J3046" s="283"/>
      <c r="K3046" s="197"/>
      <c r="L3046" s="197"/>
      <c r="M3046" s="197"/>
      <c r="N3046" s="197"/>
      <c r="O3046" s="197"/>
    </row>
    <row r="3047" spans="1:15">
      <c r="A3047" s="274"/>
      <c r="B3047" s="274"/>
      <c r="C3047" s="274"/>
      <c r="D3047" s="274"/>
      <c r="E3047" s="283"/>
      <c r="F3047" s="283"/>
      <c r="G3047" s="320"/>
      <c r="H3047" s="320"/>
      <c r="I3047" s="228"/>
      <c r="J3047" s="228"/>
      <c r="K3047" s="283"/>
      <c r="L3047" s="197"/>
      <c r="M3047" s="197"/>
      <c r="N3047" s="197"/>
      <c r="O3047" s="197"/>
    </row>
    <row r="3048" spans="1:15">
      <c r="A3048" s="274"/>
      <c r="B3048" s="274"/>
      <c r="C3048" s="274"/>
      <c r="D3048" s="274"/>
      <c r="E3048" s="283"/>
      <c r="F3048" s="283"/>
      <c r="G3048" s="320"/>
      <c r="H3048" s="320"/>
      <c r="I3048" s="228"/>
      <c r="J3048" s="228"/>
      <c r="K3048" s="283"/>
      <c r="L3048" s="197"/>
      <c r="M3048" s="197"/>
      <c r="N3048" s="197"/>
      <c r="O3048" s="197"/>
    </row>
    <row r="3049" spans="1:15">
      <c r="A3049" s="274"/>
      <c r="B3049" s="274"/>
      <c r="C3049" s="274"/>
      <c r="D3049" s="274"/>
      <c r="E3049" s="283"/>
      <c r="F3049" s="283"/>
      <c r="G3049" s="320"/>
      <c r="H3049" s="320"/>
      <c r="I3049" s="228"/>
      <c r="J3049" s="228"/>
      <c r="K3049" s="274"/>
      <c r="L3049" s="197"/>
      <c r="M3049" s="197"/>
      <c r="N3049" s="197"/>
      <c r="O3049" s="197"/>
    </row>
    <row r="3050" spans="1:15">
      <c r="A3050" s="274"/>
      <c r="B3050" s="274"/>
      <c r="C3050" s="274"/>
      <c r="D3050" s="274"/>
      <c r="E3050" s="283"/>
      <c r="F3050" s="283"/>
      <c r="G3050" s="320"/>
      <c r="H3050" s="320"/>
      <c r="I3050" s="228"/>
      <c r="J3050" s="228"/>
      <c r="K3050" s="283"/>
      <c r="L3050" s="197"/>
      <c r="M3050" s="197"/>
      <c r="N3050" s="197"/>
      <c r="O3050" s="197"/>
    </row>
    <row r="3051" spans="1:15">
      <c r="A3051" s="274"/>
      <c r="B3051" s="274"/>
      <c r="C3051" s="274"/>
      <c r="D3051" s="274"/>
      <c r="E3051" s="283"/>
      <c r="F3051" s="283"/>
      <c r="G3051" s="320"/>
      <c r="H3051" s="320"/>
      <c r="I3051" s="228"/>
      <c r="J3051" s="283"/>
      <c r="K3051" s="197"/>
      <c r="L3051" s="197"/>
      <c r="M3051" s="197"/>
      <c r="N3051" s="197"/>
      <c r="O3051" s="197"/>
    </row>
    <row r="3052" spans="1:15">
      <c r="A3052" s="274"/>
      <c r="B3052" s="274"/>
      <c r="C3052" s="274"/>
      <c r="D3052" s="274"/>
      <c r="E3052" s="283"/>
      <c r="F3052" s="283"/>
      <c r="G3052" s="320"/>
      <c r="H3052" s="320"/>
      <c r="I3052" s="228"/>
      <c r="J3052" s="283"/>
      <c r="K3052" s="197"/>
      <c r="L3052" s="197"/>
      <c r="M3052" s="197"/>
      <c r="N3052" s="197"/>
      <c r="O3052" s="197"/>
    </row>
    <row r="3053" spans="1:15">
      <c r="A3053" s="274"/>
      <c r="B3053" s="274"/>
      <c r="C3053" s="274"/>
      <c r="D3053" s="274"/>
      <c r="E3053" s="283"/>
      <c r="F3053" s="283"/>
      <c r="G3053" s="320"/>
      <c r="H3053" s="320"/>
      <c r="I3053" s="228"/>
      <c r="J3053" s="228"/>
      <c r="K3053" s="274"/>
      <c r="L3053" s="197"/>
      <c r="M3053" s="197"/>
      <c r="N3053" s="197"/>
      <c r="O3053" s="197"/>
    </row>
    <row r="3054" spans="1:15">
      <c r="A3054" s="274"/>
      <c r="B3054" s="274"/>
      <c r="C3054" s="274"/>
      <c r="D3054" s="274"/>
      <c r="E3054" s="283"/>
      <c r="F3054" s="283"/>
      <c r="G3054" s="320"/>
      <c r="H3054" s="320"/>
      <c r="I3054" s="228"/>
      <c r="J3054" s="228"/>
      <c r="K3054" s="283"/>
      <c r="L3054" s="197"/>
      <c r="M3054" s="197"/>
      <c r="N3054" s="197"/>
      <c r="O3054" s="197"/>
    </row>
    <row r="3055" spans="1:15">
      <c r="A3055" s="274"/>
      <c r="B3055" s="274"/>
      <c r="C3055" s="274"/>
      <c r="D3055" s="274"/>
      <c r="E3055" s="283"/>
      <c r="F3055" s="283"/>
      <c r="G3055" s="320"/>
      <c r="H3055" s="320"/>
      <c r="I3055" s="228"/>
      <c r="J3055" s="283"/>
      <c r="K3055" s="283"/>
      <c r="L3055" s="197"/>
      <c r="M3055" s="197"/>
      <c r="N3055" s="197"/>
      <c r="O3055" s="197"/>
    </row>
    <row r="3056" spans="1:15">
      <c r="A3056" s="274"/>
      <c r="B3056" s="274"/>
      <c r="C3056" s="274"/>
      <c r="D3056" s="274"/>
      <c r="E3056" s="283"/>
      <c r="F3056" s="283"/>
      <c r="G3056" s="320"/>
      <c r="H3056" s="320"/>
      <c r="I3056" s="228"/>
      <c r="J3056" s="228"/>
      <c r="K3056" s="274"/>
      <c r="L3056" s="197"/>
      <c r="M3056" s="197"/>
      <c r="N3056" s="197"/>
      <c r="O3056" s="197"/>
    </row>
    <row r="3057" spans="1:15">
      <c r="A3057" s="274"/>
      <c r="B3057" s="274"/>
      <c r="C3057" s="274"/>
      <c r="D3057" s="274"/>
      <c r="E3057" s="283"/>
      <c r="F3057" s="283"/>
      <c r="G3057" s="320"/>
      <c r="H3057" s="320"/>
      <c r="I3057" s="228"/>
      <c r="J3057" s="228"/>
      <c r="K3057" s="274"/>
      <c r="L3057" s="197"/>
      <c r="M3057" s="197"/>
      <c r="N3057" s="197"/>
      <c r="O3057" s="197"/>
    </row>
    <row r="3058" spans="1:15">
      <c r="A3058" s="274"/>
      <c r="B3058" s="274"/>
      <c r="C3058" s="274"/>
      <c r="D3058" s="274"/>
      <c r="E3058" s="283"/>
      <c r="F3058" s="283"/>
      <c r="G3058" s="320"/>
      <c r="H3058" s="320"/>
      <c r="I3058" s="228"/>
      <c r="J3058" s="228"/>
      <c r="K3058" s="274"/>
      <c r="L3058" s="197"/>
      <c r="M3058" s="197"/>
      <c r="N3058" s="197"/>
      <c r="O3058" s="197"/>
    </row>
    <row r="3059" spans="1:15">
      <c r="A3059" s="274"/>
      <c r="B3059" s="274"/>
      <c r="C3059" s="274"/>
      <c r="D3059" s="274"/>
      <c r="E3059" s="283"/>
      <c r="F3059" s="283"/>
      <c r="G3059" s="320"/>
      <c r="H3059" s="320"/>
      <c r="I3059" s="228"/>
      <c r="J3059" s="228"/>
      <c r="K3059" s="233"/>
      <c r="L3059" s="197"/>
      <c r="M3059" s="197"/>
      <c r="N3059" s="197"/>
      <c r="O3059" s="197"/>
    </row>
    <row r="3060" spans="1:15">
      <c r="A3060" s="274"/>
      <c r="B3060" s="274"/>
      <c r="C3060" s="274"/>
      <c r="D3060" s="274"/>
      <c r="E3060" s="283"/>
      <c r="F3060" s="283"/>
      <c r="G3060" s="320"/>
      <c r="H3060" s="320"/>
      <c r="I3060" s="228"/>
      <c r="J3060" s="228"/>
      <c r="K3060" s="274"/>
      <c r="L3060" s="197"/>
      <c r="M3060" s="197"/>
      <c r="N3060" s="197"/>
      <c r="O3060" s="197"/>
    </row>
    <row r="3061" spans="1:15">
      <c r="A3061" s="274"/>
      <c r="B3061" s="274"/>
      <c r="C3061" s="274"/>
      <c r="D3061" s="274"/>
      <c r="E3061" s="283"/>
      <c r="F3061" s="283"/>
      <c r="G3061" s="320"/>
      <c r="H3061" s="320"/>
      <c r="I3061" s="228"/>
      <c r="J3061" s="228"/>
      <c r="K3061" s="283"/>
      <c r="L3061" s="197"/>
      <c r="M3061" s="197"/>
      <c r="N3061" s="197"/>
      <c r="O3061" s="197"/>
    </row>
    <row r="3062" spans="1:15">
      <c r="A3062" s="274"/>
      <c r="B3062" s="274"/>
      <c r="C3062" s="274"/>
      <c r="D3062" s="274"/>
      <c r="E3062" s="283"/>
      <c r="F3062" s="283"/>
      <c r="G3062" s="320"/>
      <c r="H3062" s="320"/>
      <c r="I3062" s="228"/>
      <c r="J3062" s="228"/>
      <c r="K3062" s="274"/>
      <c r="L3062" s="197"/>
      <c r="M3062" s="197"/>
      <c r="N3062" s="197"/>
      <c r="O3062" s="197"/>
    </row>
    <row r="3063" spans="1:15">
      <c r="A3063" s="274"/>
      <c r="B3063" s="274"/>
      <c r="C3063" s="274"/>
      <c r="D3063" s="274"/>
      <c r="E3063" s="283"/>
      <c r="F3063" s="283"/>
      <c r="G3063" s="320"/>
      <c r="H3063" s="320"/>
      <c r="I3063" s="228"/>
      <c r="J3063" s="228"/>
      <c r="K3063" s="274"/>
      <c r="L3063" s="197"/>
      <c r="M3063" s="197"/>
      <c r="N3063" s="197"/>
      <c r="O3063" s="197"/>
    </row>
    <row r="3064" spans="1:15">
      <c r="A3064" s="274"/>
      <c r="B3064" s="274"/>
      <c r="C3064" s="274"/>
      <c r="D3064" s="274"/>
      <c r="E3064" s="283"/>
      <c r="F3064" s="283"/>
      <c r="G3064" s="320"/>
      <c r="H3064" s="320"/>
      <c r="I3064" s="228"/>
      <c r="J3064" s="228"/>
      <c r="K3064" s="283"/>
      <c r="L3064" s="197"/>
      <c r="M3064" s="197"/>
      <c r="N3064" s="197"/>
      <c r="O3064" s="197"/>
    </row>
    <row r="3065" spans="1:15">
      <c r="A3065" s="274"/>
      <c r="B3065" s="274"/>
      <c r="C3065" s="274"/>
      <c r="D3065" s="274"/>
      <c r="E3065" s="283"/>
      <c r="F3065" s="283"/>
      <c r="G3065" s="320"/>
      <c r="H3065" s="320"/>
      <c r="I3065" s="228"/>
      <c r="J3065" s="228"/>
      <c r="K3065" s="274"/>
      <c r="L3065" s="197"/>
      <c r="M3065" s="197"/>
      <c r="N3065" s="197"/>
      <c r="O3065" s="197"/>
    </row>
    <row r="3066" spans="1:15">
      <c r="A3066" s="274"/>
      <c r="B3066" s="274"/>
      <c r="C3066" s="274"/>
      <c r="D3066" s="274"/>
      <c r="E3066" s="283"/>
      <c r="F3066" s="283"/>
      <c r="G3066" s="320"/>
      <c r="H3066" s="320"/>
      <c r="I3066" s="228"/>
      <c r="J3066" s="228"/>
      <c r="K3066" s="233"/>
      <c r="L3066" s="197"/>
      <c r="M3066" s="197"/>
      <c r="N3066" s="197"/>
      <c r="O3066" s="197"/>
    </row>
    <row r="3067" spans="1:15">
      <c r="A3067" s="274"/>
      <c r="B3067" s="274"/>
      <c r="C3067" s="274"/>
      <c r="D3067" s="274"/>
      <c r="E3067" s="283"/>
      <c r="F3067" s="283"/>
      <c r="G3067" s="320"/>
      <c r="H3067" s="320"/>
      <c r="I3067" s="228"/>
      <c r="J3067" s="228"/>
      <c r="K3067" s="283"/>
      <c r="L3067" s="197"/>
      <c r="M3067" s="197"/>
      <c r="N3067" s="197"/>
      <c r="O3067" s="197"/>
    </row>
    <row r="3068" spans="1:15">
      <c r="A3068" s="274"/>
      <c r="B3068" s="274"/>
      <c r="C3068" s="274"/>
      <c r="D3068" s="274"/>
      <c r="E3068" s="283"/>
      <c r="F3068" s="283"/>
      <c r="G3068" s="320"/>
      <c r="H3068" s="320"/>
      <c r="I3068" s="228"/>
      <c r="J3068" s="283"/>
      <c r="K3068" s="197"/>
      <c r="L3068" s="197"/>
      <c r="M3068" s="197"/>
      <c r="N3068" s="197"/>
      <c r="O3068" s="197"/>
    </row>
    <row r="3069" spans="1:15">
      <c r="A3069" s="274"/>
      <c r="B3069" s="274"/>
      <c r="C3069" s="274"/>
      <c r="D3069" s="274"/>
      <c r="E3069" s="283"/>
      <c r="F3069" s="283"/>
      <c r="G3069" s="320"/>
      <c r="H3069" s="320"/>
      <c r="I3069" s="228"/>
      <c r="J3069" s="228"/>
      <c r="K3069" s="274"/>
      <c r="L3069" s="197"/>
      <c r="M3069" s="197"/>
      <c r="N3069" s="197"/>
      <c r="O3069" s="197"/>
    </row>
    <row r="3070" spans="1:15">
      <c r="A3070" s="274"/>
      <c r="B3070" s="274"/>
      <c r="C3070" s="274"/>
      <c r="D3070" s="274"/>
      <c r="E3070" s="283"/>
      <c r="F3070" s="283"/>
      <c r="G3070" s="320"/>
      <c r="H3070" s="320"/>
      <c r="I3070" s="228"/>
      <c r="J3070" s="228"/>
      <c r="K3070" s="274"/>
      <c r="L3070" s="197"/>
      <c r="M3070" s="197"/>
      <c r="N3070" s="197"/>
      <c r="O3070" s="197"/>
    </row>
    <row r="3071" spans="1:15">
      <c r="A3071" s="274"/>
      <c r="B3071" s="274"/>
      <c r="C3071" s="274"/>
      <c r="D3071" s="274"/>
      <c r="E3071" s="283"/>
      <c r="F3071" s="283"/>
      <c r="G3071" s="320"/>
      <c r="H3071" s="320"/>
      <c r="I3071" s="228"/>
      <c r="J3071" s="228"/>
      <c r="K3071" s="233"/>
      <c r="L3071" s="197"/>
      <c r="M3071" s="197"/>
      <c r="N3071" s="197"/>
      <c r="O3071" s="197"/>
    </row>
    <row r="3072" spans="1:15">
      <c r="A3072" s="274"/>
      <c r="B3072" s="274"/>
      <c r="C3072" s="274"/>
      <c r="D3072" s="274"/>
      <c r="E3072" s="283"/>
      <c r="F3072" s="283"/>
      <c r="G3072" s="320"/>
      <c r="H3072" s="320"/>
      <c r="I3072" s="228"/>
      <c r="J3072" s="228"/>
      <c r="K3072" s="283"/>
      <c r="L3072" s="197"/>
      <c r="M3072" s="197"/>
      <c r="N3072" s="197"/>
      <c r="O3072" s="197"/>
    </row>
    <row r="3073" spans="1:15">
      <c r="A3073" s="274"/>
      <c r="B3073" s="274"/>
      <c r="C3073" s="274"/>
      <c r="D3073" s="274"/>
      <c r="E3073" s="283"/>
      <c r="F3073" s="283"/>
      <c r="G3073" s="320"/>
      <c r="H3073" s="320"/>
      <c r="I3073" s="228"/>
      <c r="J3073" s="283"/>
      <c r="K3073" s="197"/>
      <c r="L3073" s="197"/>
      <c r="M3073" s="197"/>
      <c r="N3073" s="197"/>
      <c r="O3073" s="197"/>
    </row>
    <row r="3074" spans="1:15">
      <c r="A3074" s="274"/>
      <c r="B3074" s="274"/>
      <c r="C3074" s="274"/>
      <c r="D3074" s="274"/>
      <c r="E3074" s="283"/>
      <c r="F3074" s="283"/>
      <c r="G3074" s="320"/>
      <c r="H3074" s="320"/>
      <c r="I3074" s="228"/>
      <c r="J3074" s="283"/>
      <c r="K3074" s="197"/>
      <c r="L3074" s="197"/>
      <c r="M3074" s="197"/>
      <c r="N3074" s="197"/>
      <c r="O3074" s="197"/>
    </row>
    <row r="3075" spans="1:15">
      <c r="A3075" s="274"/>
      <c r="B3075" s="274"/>
      <c r="C3075" s="274"/>
      <c r="D3075" s="274"/>
      <c r="E3075" s="283"/>
      <c r="F3075" s="283"/>
      <c r="G3075" s="320"/>
      <c r="H3075" s="320"/>
      <c r="I3075" s="228"/>
      <c r="J3075" s="228"/>
      <c r="K3075" s="274"/>
      <c r="L3075" s="197"/>
      <c r="M3075" s="197"/>
      <c r="N3075" s="197"/>
      <c r="O3075" s="197"/>
    </row>
    <row r="3076" spans="1:15">
      <c r="A3076" s="274"/>
      <c r="B3076" s="274"/>
      <c r="C3076" s="274"/>
      <c r="D3076" s="274"/>
      <c r="E3076" s="283"/>
      <c r="F3076" s="283"/>
      <c r="G3076" s="320"/>
      <c r="H3076" s="320"/>
      <c r="I3076" s="228"/>
      <c r="J3076" s="228"/>
      <c r="K3076" s="283"/>
      <c r="L3076" s="197"/>
      <c r="M3076" s="197"/>
      <c r="N3076" s="197"/>
      <c r="O3076" s="197"/>
    </row>
    <row r="3077" spans="1:15">
      <c r="A3077" s="274"/>
      <c r="B3077" s="274"/>
      <c r="C3077" s="274"/>
      <c r="D3077" s="274"/>
      <c r="E3077" s="283"/>
      <c r="F3077" s="283"/>
      <c r="G3077" s="320"/>
      <c r="H3077" s="320"/>
      <c r="I3077" s="228"/>
      <c r="J3077" s="283"/>
      <c r="K3077" s="197"/>
      <c r="L3077" s="197"/>
      <c r="M3077" s="197"/>
      <c r="N3077" s="197"/>
      <c r="O3077" s="197"/>
    </row>
    <row r="3078" spans="1:15">
      <c r="A3078" s="274"/>
      <c r="B3078" s="274"/>
      <c r="C3078" s="274"/>
      <c r="D3078" s="274"/>
      <c r="E3078" s="283"/>
      <c r="F3078" s="283"/>
      <c r="G3078" s="320"/>
      <c r="H3078" s="320"/>
      <c r="I3078" s="228"/>
      <c r="J3078" s="228"/>
      <c r="K3078" s="274"/>
      <c r="L3078" s="197"/>
      <c r="M3078" s="197"/>
      <c r="N3078" s="197"/>
      <c r="O3078" s="197"/>
    </row>
    <row r="3079" spans="1:15">
      <c r="A3079" s="274"/>
      <c r="B3079" s="274"/>
      <c r="C3079" s="274"/>
      <c r="D3079" s="274"/>
      <c r="E3079" s="283"/>
      <c r="F3079" s="283"/>
      <c r="G3079" s="320"/>
      <c r="H3079" s="320"/>
      <c r="I3079" s="228"/>
      <c r="J3079" s="228"/>
      <c r="K3079" s="274"/>
      <c r="L3079" s="197"/>
      <c r="M3079" s="197"/>
      <c r="N3079" s="197"/>
      <c r="O3079" s="197"/>
    </row>
    <row r="3080" spans="1:15">
      <c r="A3080" s="274"/>
      <c r="B3080" s="274"/>
      <c r="C3080" s="274"/>
      <c r="D3080" s="274"/>
      <c r="E3080" s="283"/>
      <c r="F3080" s="283"/>
      <c r="G3080" s="320"/>
      <c r="H3080" s="320"/>
      <c r="I3080" s="228"/>
      <c r="J3080" s="228"/>
      <c r="K3080" s="274"/>
      <c r="L3080" s="197"/>
      <c r="M3080" s="197"/>
      <c r="N3080" s="197"/>
      <c r="O3080" s="197"/>
    </row>
    <row r="3081" spans="1:15">
      <c r="A3081" s="274"/>
      <c r="B3081" s="274"/>
      <c r="C3081" s="274"/>
      <c r="D3081" s="274"/>
      <c r="E3081" s="283"/>
      <c r="F3081" s="283"/>
      <c r="G3081" s="320"/>
      <c r="H3081" s="320"/>
      <c r="I3081" s="228"/>
      <c r="J3081" s="228"/>
      <c r="K3081" s="233"/>
      <c r="L3081" s="197"/>
      <c r="M3081" s="197"/>
      <c r="N3081" s="197"/>
      <c r="O3081" s="197"/>
    </row>
    <row r="3082" spans="1:15">
      <c r="A3082" s="274"/>
      <c r="B3082" s="274"/>
      <c r="C3082" s="274"/>
      <c r="D3082" s="274"/>
      <c r="E3082" s="283"/>
      <c r="F3082" s="283"/>
      <c r="G3082" s="320"/>
      <c r="H3082" s="320"/>
      <c r="I3082" s="228"/>
      <c r="J3082" s="228"/>
      <c r="K3082" s="274"/>
      <c r="L3082" s="197"/>
      <c r="M3082" s="197"/>
      <c r="N3082" s="197"/>
      <c r="O3082" s="197"/>
    </row>
    <row r="3083" spans="1:15">
      <c r="A3083" s="274"/>
      <c r="B3083" s="274"/>
      <c r="C3083" s="274"/>
      <c r="D3083" s="274"/>
      <c r="E3083" s="283"/>
      <c r="F3083" s="283"/>
      <c r="G3083" s="320"/>
      <c r="H3083" s="320"/>
      <c r="I3083" s="228"/>
      <c r="J3083" s="228"/>
      <c r="K3083" s="274"/>
      <c r="L3083" s="197"/>
      <c r="M3083" s="197"/>
      <c r="N3083" s="197"/>
      <c r="O3083" s="197"/>
    </row>
    <row r="3084" spans="1:15">
      <c r="A3084" s="274"/>
      <c r="B3084" s="274"/>
      <c r="C3084" s="274"/>
      <c r="D3084" s="274"/>
      <c r="E3084" s="283"/>
      <c r="F3084" s="283"/>
      <c r="G3084" s="320"/>
      <c r="H3084" s="320"/>
      <c r="I3084" s="228"/>
      <c r="J3084" s="228"/>
      <c r="K3084" s="283"/>
      <c r="L3084" s="197"/>
      <c r="M3084" s="197"/>
      <c r="N3084" s="197"/>
      <c r="O3084" s="197"/>
    </row>
    <row r="3085" spans="1:15">
      <c r="A3085" s="274"/>
      <c r="B3085" s="274"/>
      <c r="C3085" s="274"/>
      <c r="D3085" s="274"/>
      <c r="E3085" s="283"/>
      <c r="F3085" s="283"/>
      <c r="G3085" s="320"/>
      <c r="H3085" s="320"/>
      <c r="I3085" s="228"/>
      <c r="J3085" s="283"/>
      <c r="K3085" s="283"/>
      <c r="L3085" s="197"/>
      <c r="M3085" s="197"/>
      <c r="N3085" s="197"/>
      <c r="O3085" s="197"/>
    </row>
    <row r="3086" spans="1:15">
      <c r="A3086" s="274"/>
      <c r="B3086" s="274"/>
      <c r="C3086" s="274"/>
      <c r="D3086" s="274"/>
      <c r="E3086" s="283"/>
      <c r="F3086" s="283"/>
      <c r="G3086" s="320"/>
      <c r="H3086" s="320"/>
      <c r="I3086" s="228"/>
      <c r="J3086" s="283"/>
      <c r="K3086" s="197"/>
      <c r="L3086" s="197"/>
      <c r="M3086" s="197"/>
      <c r="N3086" s="197"/>
      <c r="O3086" s="197"/>
    </row>
    <row r="3087" spans="1:15">
      <c r="A3087" s="274"/>
      <c r="B3087" s="274"/>
      <c r="C3087" s="274"/>
      <c r="D3087" s="274"/>
      <c r="E3087" s="283"/>
      <c r="F3087" s="283"/>
      <c r="G3087" s="320"/>
      <c r="H3087" s="320"/>
      <c r="I3087" s="228"/>
      <c r="J3087" s="228"/>
      <c r="K3087" s="274"/>
      <c r="L3087" s="197"/>
      <c r="M3087" s="197"/>
      <c r="N3087" s="197"/>
      <c r="O3087" s="197"/>
    </row>
    <row r="3088" spans="1:15">
      <c r="A3088" s="274"/>
      <c r="B3088" s="274"/>
      <c r="C3088" s="274"/>
      <c r="D3088" s="274"/>
      <c r="E3088" s="283"/>
      <c r="F3088" s="283"/>
      <c r="G3088" s="320"/>
      <c r="H3088" s="320"/>
      <c r="I3088" s="228"/>
      <c r="J3088" s="228"/>
      <c r="K3088" s="283"/>
      <c r="L3088" s="197"/>
      <c r="M3088" s="197"/>
      <c r="N3088" s="197"/>
      <c r="O3088" s="197"/>
    </row>
    <row r="3089" spans="1:15">
      <c r="A3089" s="274"/>
      <c r="B3089" s="274"/>
      <c r="C3089" s="274"/>
      <c r="D3089" s="274"/>
      <c r="E3089" s="283"/>
      <c r="F3089" s="283"/>
      <c r="G3089" s="320"/>
      <c r="H3089" s="320"/>
      <c r="I3089" s="228"/>
      <c r="J3089" s="283"/>
      <c r="K3089" s="197"/>
      <c r="L3089" s="197"/>
      <c r="M3089" s="197"/>
      <c r="N3089" s="197"/>
      <c r="O3089" s="197"/>
    </row>
    <row r="3090" spans="1:15">
      <c r="A3090" s="274"/>
      <c r="B3090" s="274"/>
      <c r="C3090" s="274"/>
      <c r="D3090" s="274"/>
      <c r="E3090" s="283"/>
      <c r="F3090" s="283"/>
      <c r="G3090" s="320"/>
      <c r="H3090" s="320"/>
      <c r="I3090" s="228"/>
      <c r="J3090" s="228"/>
      <c r="K3090" s="274"/>
      <c r="L3090" s="197"/>
      <c r="M3090" s="197"/>
      <c r="N3090" s="197"/>
      <c r="O3090" s="197"/>
    </row>
    <row r="3091" spans="1:15">
      <c r="A3091" s="274"/>
      <c r="B3091" s="274"/>
      <c r="C3091" s="274"/>
      <c r="D3091" s="274"/>
      <c r="E3091" s="283"/>
      <c r="F3091" s="283"/>
      <c r="G3091" s="320"/>
      <c r="H3091" s="320"/>
      <c r="I3091" s="228"/>
      <c r="J3091" s="228"/>
      <c r="K3091" s="233"/>
      <c r="L3091" s="197"/>
      <c r="M3091" s="197"/>
      <c r="N3091" s="197"/>
      <c r="O3091" s="197"/>
    </row>
    <row r="3092" spans="1:15">
      <c r="A3092" s="274"/>
      <c r="B3092" s="274"/>
      <c r="C3092" s="274"/>
      <c r="D3092" s="274"/>
      <c r="E3092" s="283"/>
      <c r="F3092" s="283"/>
      <c r="G3092" s="320"/>
      <c r="H3092" s="320"/>
      <c r="I3092" s="228"/>
      <c r="J3092" s="228"/>
      <c r="K3092" s="274"/>
      <c r="L3092" s="197"/>
      <c r="M3092" s="197"/>
      <c r="N3092" s="197"/>
      <c r="O3092" s="197"/>
    </row>
    <row r="3093" spans="1:15">
      <c r="A3093" s="274"/>
      <c r="B3093" s="274"/>
      <c r="C3093" s="274"/>
      <c r="D3093" s="274"/>
      <c r="E3093" s="283"/>
      <c r="F3093" s="283"/>
      <c r="G3093" s="320"/>
      <c r="H3093" s="320"/>
      <c r="I3093" s="228"/>
      <c r="J3093" s="228"/>
      <c r="K3093" s="233"/>
      <c r="L3093" s="197"/>
      <c r="M3093" s="197"/>
      <c r="N3093" s="197"/>
      <c r="O3093" s="197"/>
    </row>
    <row r="3094" spans="1:15">
      <c r="A3094" s="274"/>
      <c r="B3094" s="274"/>
      <c r="C3094" s="274"/>
      <c r="D3094" s="274"/>
      <c r="E3094" s="283"/>
      <c r="F3094" s="283"/>
      <c r="G3094" s="320"/>
      <c r="H3094" s="320"/>
      <c r="I3094" s="228"/>
      <c r="J3094" s="228"/>
      <c r="K3094" s="274"/>
      <c r="L3094" s="197"/>
      <c r="M3094" s="197"/>
      <c r="N3094" s="197"/>
      <c r="O3094" s="197"/>
    </row>
    <row r="3095" spans="1:15">
      <c r="A3095" s="274"/>
      <c r="B3095" s="274"/>
      <c r="C3095" s="274"/>
      <c r="D3095" s="274"/>
      <c r="E3095" s="283"/>
      <c r="F3095" s="283"/>
      <c r="G3095" s="320"/>
      <c r="H3095" s="320"/>
      <c r="I3095" s="228"/>
      <c r="J3095" s="283"/>
      <c r="K3095" s="283"/>
      <c r="L3095" s="197"/>
      <c r="M3095" s="197"/>
      <c r="N3095" s="197"/>
      <c r="O3095" s="197"/>
    </row>
    <row r="3096" spans="1:15">
      <c r="A3096" s="274"/>
      <c r="B3096" s="274"/>
      <c r="C3096" s="274"/>
      <c r="D3096" s="274"/>
      <c r="E3096" s="283"/>
      <c r="F3096" s="283"/>
      <c r="G3096" s="320"/>
      <c r="H3096" s="320"/>
      <c r="I3096" s="228"/>
      <c r="J3096" s="228"/>
      <c r="K3096" s="233"/>
      <c r="L3096" s="197"/>
      <c r="M3096" s="197"/>
      <c r="N3096" s="197"/>
      <c r="O3096" s="197"/>
    </row>
    <row r="3097" spans="1:15">
      <c r="A3097" s="274"/>
      <c r="B3097" s="274"/>
      <c r="C3097" s="274"/>
      <c r="D3097" s="274"/>
      <c r="E3097" s="283"/>
      <c r="F3097" s="283"/>
      <c r="G3097" s="320"/>
      <c r="H3097" s="320"/>
      <c r="I3097" s="228"/>
      <c r="J3097" s="228"/>
      <c r="K3097" s="233"/>
      <c r="L3097" s="197"/>
      <c r="M3097" s="197"/>
      <c r="N3097" s="197"/>
      <c r="O3097" s="197"/>
    </row>
    <row r="3098" spans="1:15">
      <c r="A3098" s="274"/>
      <c r="B3098" s="274"/>
      <c r="C3098" s="274"/>
      <c r="D3098" s="274"/>
      <c r="E3098" s="283"/>
      <c r="F3098" s="283"/>
      <c r="G3098" s="320"/>
      <c r="H3098" s="320"/>
      <c r="I3098" s="228"/>
      <c r="J3098" s="228"/>
      <c r="K3098" s="233"/>
      <c r="L3098" s="197"/>
      <c r="M3098" s="197"/>
      <c r="N3098" s="197"/>
      <c r="O3098" s="197"/>
    </row>
    <row r="3099" spans="1:15">
      <c r="A3099" s="274"/>
      <c r="B3099" s="274"/>
      <c r="C3099" s="274"/>
      <c r="D3099" s="274"/>
      <c r="E3099" s="283"/>
      <c r="F3099" s="283"/>
      <c r="G3099" s="320"/>
      <c r="H3099" s="320"/>
      <c r="I3099" s="228"/>
      <c r="J3099" s="228"/>
      <c r="K3099" s="233"/>
      <c r="L3099" s="197"/>
      <c r="M3099" s="197"/>
      <c r="N3099" s="197"/>
      <c r="O3099" s="197"/>
    </row>
    <row r="3100" spans="1:15">
      <c r="A3100" s="274"/>
      <c r="B3100" s="274"/>
      <c r="C3100" s="274"/>
      <c r="D3100" s="274"/>
      <c r="E3100" s="283"/>
      <c r="F3100" s="283"/>
      <c r="G3100" s="320"/>
      <c r="H3100" s="320"/>
      <c r="I3100" s="228"/>
      <c r="J3100" s="228"/>
      <c r="K3100" s="233"/>
      <c r="L3100" s="197"/>
      <c r="M3100" s="197"/>
      <c r="N3100" s="197"/>
      <c r="O3100" s="197"/>
    </row>
    <row r="3101" spans="1:15">
      <c r="A3101" s="274"/>
      <c r="B3101" s="274"/>
      <c r="C3101" s="274"/>
      <c r="D3101" s="274"/>
      <c r="E3101" s="283"/>
      <c r="F3101" s="283"/>
      <c r="G3101" s="320"/>
      <c r="H3101" s="320"/>
      <c r="I3101" s="228"/>
      <c r="J3101" s="228"/>
      <c r="K3101" s="233"/>
      <c r="L3101" s="197"/>
      <c r="M3101" s="197"/>
      <c r="N3101" s="197"/>
      <c r="O3101" s="197"/>
    </row>
    <row r="3102" spans="1:15">
      <c r="A3102" s="274"/>
      <c r="B3102" s="274"/>
      <c r="C3102" s="274"/>
      <c r="D3102" s="274"/>
      <c r="E3102" s="283"/>
      <c r="F3102" s="283"/>
      <c r="G3102" s="320"/>
      <c r="H3102" s="320"/>
      <c r="I3102" s="228"/>
      <c r="J3102" s="228"/>
      <c r="K3102" s="233"/>
      <c r="L3102" s="197"/>
      <c r="M3102" s="197"/>
      <c r="N3102" s="197"/>
      <c r="O3102" s="197"/>
    </row>
    <row r="3103" spans="1:15">
      <c r="A3103" s="274"/>
      <c r="B3103" s="274"/>
      <c r="C3103" s="274"/>
      <c r="D3103" s="274"/>
      <c r="E3103" s="283"/>
      <c r="F3103" s="283"/>
      <c r="G3103" s="320"/>
      <c r="H3103" s="320"/>
      <c r="I3103" s="228"/>
      <c r="J3103" s="228"/>
      <c r="K3103" s="233"/>
      <c r="L3103" s="197"/>
      <c r="M3103" s="197"/>
      <c r="N3103" s="197"/>
      <c r="O3103" s="197"/>
    </row>
    <row r="3104" spans="1:15">
      <c r="A3104" s="274"/>
      <c r="B3104" s="274"/>
      <c r="C3104" s="274"/>
      <c r="D3104" s="274"/>
      <c r="E3104" s="283"/>
      <c r="F3104" s="283"/>
      <c r="G3104" s="320"/>
      <c r="H3104" s="320"/>
      <c r="I3104" s="228"/>
      <c r="J3104" s="228"/>
      <c r="K3104" s="233"/>
      <c r="L3104" s="197"/>
      <c r="M3104" s="197"/>
      <c r="N3104" s="197"/>
      <c r="O3104" s="197"/>
    </row>
    <row r="3105" spans="1:15">
      <c r="A3105" s="274"/>
      <c r="B3105" s="274"/>
      <c r="C3105" s="274"/>
      <c r="D3105" s="274"/>
      <c r="E3105" s="283"/>
      <c r="F3105" s="283"/>
      <c r="G3105" s="320"/>
      <c r="H3105" s="320"/>
      <c r="I3105" s="228"/>
      <c r="J3105" s="228"/>
      <c r="K3105" s="233"/>
      <c r="L3105" s="197"/>
      <c r="M3105" s="197"/>
      <c r="N3105" s="197"/>
      <c r="O3105" s="197"/>
    </row>
    <row r="3106" spans="1:15">
      <c r="A3106" s="274"/>
      <c r="B3106" s="274"/>
      <c r="C3106" s="274"/>
      <c r="D3106" s="274"/>
      <c r="E3106" s="283"/>
      <c r="F3106" s="283"/>
      <c r="G3106" s="320"/>
      <c r="H3106" s="320"/>
      <c r="I3106" s="228"/>
      <c r="J3106" s="228"/>
      <c r="K3106" s="233"/>
      <c r="L3106" s="197"/>
      <c r="M3106" s="197"/>
      <c r="N3106" s="197"/>
      <c r="O3106" s="197"/>
    </row>
    <row r="3107" spans="1:15">
      <c r="A3107" s="274"/>
      <c r="B3107" s="274"/>
      <c r="C3107" s="274"/>
      <c r="D3107" s="274"/>
      <c r="E3107" s="283"/>
      <c r="F3107" s="283"/>
      <c r="G3107" s="320"/>
      <c r="H3107" s="320"/>
      <c r="I3107" s="228"/>
      <c r="J3107" s="228"/>
      <c r="K3107" s="233"/>
      <c r="L3107" s="197"/>
      <c r="M3107" s="197"/>
      <c r="N3107" s="197"/>
      <c r="O3107" s="197"/>
    </row>
    <row r="3108" spans="1:15">
      <c r="A3108" s="274"/>
      <c r="B3108" s="274"/>
      <c r="C3108" s="274"/>
      <c r="D3108" s="274"/>
      <c r="E3108" s="283"/>
      <c r="F3108" s="283"/>
      <c r="G3108" s="320"/>
      <c r="H3108" s="320"/>
      <c r="I3108" s="228"/>
      <c r="J3108" s="228"/>
      <c r="K3108" s="233"/>
      <c r="L3108" s="197"/>
      <c r="M3108" s="197"/>
      <c r="N3108" s="197"/>
      <c r="O3108" s="197"/>
    </row>
    <row r="3109" spans="1:15">
      <c r="A3109" s="274"/>
      <c r="B3109" s="274"/>
      <c r="C3109" s="274"/>
      <c r="D3109" s="274"/>
      <c r="E3109" s="283"/>
      <c r="F3109" s="283"/>
      <c r="G3109" s="320"/>
      <c r="H3109" s="320"/>
      <c r="I3109" s="228"/>
      <c r="J3109" s="228"/>
      <c r="K3109" s="233"/>
      <c r="L3109" s="197"/>
      <c r="M3109" s="197"/>
      <c r="N3109" s="197"/>
      <c r="O3109" s="197"/>
    </row>
    <row r="3110" spans="1:15">
      <c r="A3110" s="274"/>
      <c r="B3110" s="274"/>
      <c r="C3110" s="274"/>
      <c r="D3110" s="274"/>
      <c r="E3110" s="283"/>
      <c r="F3110" s="283"/>
      <c r="G3110" s="320"/>
      <c r="H3110" s="320"/>
      <c r="I3110" s="228"/>
      <c r="J3110" s="228"/>
      <c r="K3110" s="233"/>
      <c r="L3110" s="197"/>
      <c r="M3110" s="197"/>
      <c r="N3110" s="197"/>
      <c r="O3110" s="197"/>
    </row>
    <row r="3111" spans="1:15">
      <c r="A3111" s="274"/>
      <c r="B3111" s="274"/>
      <c r="C3111" s="274"/>
      <c r="D3111" s="274"/>
      <c r="E3111" s="283"/>
      <c r="F3111" s="283"/>
      <c r="G3111" s="320"/>
      <c r="H3111" s="320"/>
      <c r="I3111" s="228"/>
      <c r="J3111" s="228"/>
      <c r="K3111" s="233"/>
      <c r="L3111" s="197"/>
      <c r="M3111" s="197"/>
      <c r="N3111" s="197"/>
      <c r="O3111" s="197"/>
    </row>
    <row r="3112" spans="1:15">
      <c r="A3112" s="274"/>
      <c r="B3112" s="274"/>
      <c r="C3112" s="274"/>
      <c r="D3112" s="274"/>
      <c r="E3112" s="283"/>
      <c r="F3112" s="283"/>
      <c r="G3112" s="320"/>
      <c r="H3112" s="320"/>
      <c r="I3112" s="228"/>
      <c r="J3112" s="228"/>
      <c r="K3112" s="233"/>
      <c r="L3112" s="197"/>
      <c r="M3112" s="197"/>
      <c r="N3112" s="197"/>
      <c r="O3112" s="197"/>
    </row>
    <row r="3113" spans="1:15">
      <c r="A3113" s="274"/>
      <c r="B3113" s="274"/>
      <c r="C3113" s="274"/>
      <c r="D3113" s="274"/>
      <c r="E3113" s="283"/>
      <c r="F3113" s="283"/>
      <c r="G3113" s="320"/>
      <c r="H3113" s="320"/>
      <c r="I3113" s="228"/>
      <c r="J3113" s="228"/>
      <c r="K3113" s="233"/>
      <c r="L3113" s="197"/>
      <c r="M3113" s="197"/>
      <c r="N3113" s="197"/>
      <c r="O3113" s="197"/>
    </row>
    <row r="3114" spans="1:15">
      <c r="A3114" s="274"/>
      <c r="B3114" s="274"/>
      <c r="C3114" s="274"/>
      <c r="D3114" s="274"/>
      <c r="E3114" s="283"/>
      <c r="F3114" s="283"/>
      <c r="G3114" s="320"/>
      <c r="H3114" s="320"/>
      <c r="I3114" s="228"/>
      <c r="J3114" s="228"/>
      <c r="K3114" s="233"/>
      <c r="L3114" s="197"/>
      <c r="M3114" s="197"/>
      <c r="N3114" s="197"/>
      <c r="O3114" s="197"/>
    </row>
    <row r="3115" spans="1:15">
      <c r="A3115" s="274"/>
      <c r="B3115" s="274"/>
      <c r="C3115" s="274"/>
      <c r="D3115" s="274"/>
      <c r="E3115" s="283"/>
      <c r="F3115" s="283"/>
      <c r="G3115" s="320"/>
      <c r="H3115" s="320"/>
      <c r="I3115" s="228"/>
      <c r="J3115" s="228"/>
      <c r="K3115" s="233"/>
      <c r="L3115" s="197"/>
      <c r="M3115" s="197"/>
      <c r="N3115" s="197"/>
      <c r="O3115" s="197"/>
    </row>
    <row r="3116" spans="1:15">
      <c r="A3116" s="274"/>
      <c r="B3116" s="274"/>
      <c r="C3116" s="274"/>
      <c r="D3116" s="274"/>
      <c r="E3116" s="283"/>
      <c r="F3116" s="283"/>
      <c r="G3116" s="320"/>
      <c r="H3116" s="320"/>
      <c r="I3116" s="228"/>
      <c r="J3116" s="228"/>
      <c r="K3116" s="233"/>
      <c r="L3116" s="197"/>
      <c r="M3116" s="197"/>
      <c r="N3116" s="197"/>
      <c r="O3116" s="197"/>
    </row>
    <row r="3117" spans="1:15">
      <c r="A3117" s="274"/>
      <c r="B3117" s="274"/>
      <c r="C3117" s="274"/>
      <c r="D3117" s="274"/>
      <c r="E3117" s="283"/>
      <c r="F3117" s="283"/>
      <c r="G3117" s="320"/>
      <c r="H3117" s="320"/>
      <c r="I3117" s="228"/>
      <c r="J3117" s="228"/>
      <c r="K3117" s="233"/>
      <c r="L3117" s="197"/>
      <c r="M3117" s="197"/>
      <c r="N3117" s="197"/>
      <c r="O3117" s="197"/>
    </row>
    <row r="3118" spans="1:15">
      <c r="A3118" s="274"/>
      <c r="B3118" s="274"/>
      <c r="C3118" s="274"/>
      <c r="D3118" s="274"/>
      <c r="E3118" s="283"/>
      <c r="F3118" s="283"/>
      <c r="G3118" s="320"/>
      <c r="H3118" s="320"/>
      <c r="I3118" s="228"/>
      <c r="J3118" s="228"/>
      <c r="K3118" s="233"/>
      <c r="L3118" s="197"/>
      <c r="M3118" s="197"/>
      <c r="N3118" s="197"/>
      <c r="O3118" s="197"/>
    </row>
    <row r="3119" spans="1:15">
      <c r="A3119" s="274"/>
      <c r="B3119" s="274"/>
      <c r="C3119" s="274"/>
      <c r="D3119" s="274"/>
      <c r="E3119" s="283"/>
      <c r="F3119" s="283"/>
      <c r="G3119" s="320"/>
      <c r="H3119" s="320"/>
      <c r="I3119" s="228"/>
      <c r="J3119" s="228"/>
      <c r="K3119" s="233"/>
      <c r="L3119" s="197"/>
      <c r="M3119" s="197"/>
      <c r="N3119" s="197"/>
      <c r="O3119" s="197"/>
    </row>
    <row r="3120" spans="1:15">
      <c r="A3120" s="274"/>
      <c r="B3120" s="274"/>
      <c r="C3120" s="274"/>
      <c r="D3120" s="274"/>
      <c r="E3120" s="283"/>
      <c r="F3120" s="283"/>
      <c r="G3120" s="320"/>
      <c r="H3120" s="320"/>
      <c r="I3120" s="228"/>
      <c r="J3120" s="228"/>
      <c r="K3120" s="233"/>
      <c r="L3120" s="197"/>
      <c r="M3120" s="197"/>
      <c r="N3120" s="197"/>
      <c r="O3120" s="197"/>
    </row>
    <row r="3121" spans="1:15">
      <c r="A3121" s="274"/>
      <c r="B3121" s="274"/>
      <c r="C3121" s="274"/>
      <c r="D3121" s="274"/>
      <c r="E3121" s="283"/>
      <c r="F3121" s="283"/>
      <c r="G3121" s="320"/>
      <c r="H3121" s="320"/>
      <c r="I3121" s="228"/>
      <c r="J3121" s="228"/>
      <c r="K3121" s="233"/>
      <c r="L3121" s="197"/>
      <c r="M3121" s="197"/>
      <c r="N3121" s="197"/>
      <c r="O3121" s="197"/>
    </row>
    <row r="3122" spans="1:15">
      <c r="A3122" s="274"/>
      <c r="B3122" s="274"/>
      <c r="C3122" s="274"/>
      <c r="D3122" s="274"/>
      <c r="E3122" s="283"/>
      <c r="F3122" s="283"/>
      <c r="G3122" s="320"/>
      <c r="H3122" s="320"/>
      <c r="I3122" s="228"/>
      <c r="J3122" s="228"/>
      <c r="K3122" s="233"/>
      <c r="L3122" s="197"/>
      <c r="M3122" s="197"/>
      <c r="N3122" s="197"/>
      <c r="O3122" s="197"/>
    </row>
    <row r="3123" spans="1:15">
      <c r="A3123" s="274"/>
      <c r="B3123" s="274"/>
      <c r="C3123" s="274"/>
      <c r="D3123" s="274"/>
      <c r="E3123" s="283"/>
      <c r="F3123" s="283"/>
      <c r="G3123" s="320"/>
      <c r="H3123" s="320"/>
      <c r="I3123" s="228"/>
      <c r="J3123" s="228"/>
      <c r="K3123" s="233"/>
      <c r="L3123" s="197"/>
      <c r="M3123" s="197"/>
      <c r="N3123" s="197"/>
      <c r="O3123" s="197"/>
    </row>
    <row r="3124" spans="1:15">
      <c r="A3124" s="274"/>
      <c r="B3124" s="274"/>
      <c r="C3124" s="274"/>
      <c r="D3124" s="274"/>
      <c r="E3124" s="283"/>
      <c r="F3124" s="283"/>
      <c r="G3124" s="320"/>
      <c r="H3124" s="320"/>
      <c r="I3124" s="228"/>
      <c r="J3124" s="228"/>
      <c r="K3124" s="233"/>
      <c r="L3124" s="197"/>
      <c r="M3124" s="197"/>
      <c r="N3124" s="197"/>
      <c r="O3124" s="197"/>
    </row>
    <row r="3125" spans="1:15">
      <c r="A3125" s="274"/>
      <c r="B3125" s="274"/>
      <c r="C3125" s="274"/>
      <c r="D3125" s="274"/>
      <c r="E3125" s="283"/>
      <c r="F3125" s="283"/>
      <c r="G3125" s="320"/>
      <c r="H3125" s="320"/>
      <c r="I3125" s="228"/>
      <c r="J3125" s="228"/>
      <c r="K3125" s="233"/>
      <c r="L3125" s="197"/>
      <c r="M3125" s="197"/>
      <c r="N3125" s="197"/>
      <c r="O3125" s="197"/>
    </row>
    <row r="3126" spans="1:15">
      <c r="A3126" s="274"/>
      <c r="B3126" s="274"/>
      <c r="C3126" s="274"/>
      <c r="D3126" s="274"/>
      <c r="E3126" s="283"/>
      <c r="F3126" s="283"/>
      <c r="G3126" s="320"/>
      <c r="H3126" s="320"/>
      <c r="I3126" s="228"/>
      <c r="J3126" s="228"/>
      <c r="K3126" s="233"/>
      <c r="L3126" s="197"/>
      <c r="M3126" s="197"/>
      <c r="N3126" s="197"/>
      <c r="O3126" s="197"/>
    </row>
    <row r="3127" spans="1:15">
      <c r="A3127" s="274"/>
      <c r="B3127" s="274"/>
      <c r="C3127" s="274"/>
      <c r="D3127" s="274"/>
      <c r="E3127" s="283"/>
      <c r="F3127" s="283"/>
      <c r="G3127" s="320"/>
      <c r="H3127" s="320"/>
      <c r="I3127" s="228"/>
      <c r="J3127" s="228"/>
      <c r="K3127" s="233"/>
      <c r="L3127" s="197"/>
      <c r="M3127" s="197"/>
      <c r="N3127" s="197"/>
      <c r="O3127" s="197"/>
    </row>
    <row r="3128" spans="1:15">
      <c r="A3128" s="274"/>
      <c r="B3128" s="274"/>
      <c r="C3128" s="274"/>
      <c r="D3128" s="274"/>
      <c r="E3128" s="283"/>
      <c r="F3128" s="283"/>
      <c r="G3128" s="320"/>
      <c r="H3128" s="320"/>
      <c r="I3128" s="228"/>
      <c r="J3128" s="228"/>
      <c r="K3128" s="233"/>
      <c r="L3128" s="197"/>
      <c r="M3128" s="197"/>
      <c r="N3128" s="197"/>
      <c r="O3128" s="197"/>
    </row>
    <row r="3129" spans="1:15">
      <c r="A3129" s="274"/>
      <c r="B3129" s="274"/>
      <c r="C3129" s="274"/>
      <c r="D3129" s="274"/>
      <c r="E3129" s="283"/>
      <c r="F3129" s="283"/>
      <c r="G3129" s="320"/>
      <c r="H3129" s="320"/>
      <c r="I3129" s="228"/>
      <c r="J3129" s="228"/>
      <c r="K3129" s="233"/>
      <c r="L3129" s="197"/>
      <c r="M3129" s="197"/>
      <c r="N3129" s="197"/>
      <c r="O3129" s="197"/>
    </row>
    <row r="3130" spans="1:15">
      <c r="A3130" s="274"/>
      <c r="B3130" s="274"/>
      <c r="C3130" s="274"/>
      <c r="D3130" s="274"/>
      <c r="E3130" s="283"/>
      <c r="F3130" s="283"/>
      <c r="G3130" s="320"/>
      <c r="H3130" s="320"/>
      <c r="I3130" s="228"/>
      <c r="J3130" s="228"/>
      <c r="K3130" s="274"/>
      <c r="L3130" s="197"/>
      <c r="M3130" s="197"/>
      <c r="N3130" s="197"/>
      <c r="O3130" s="197"/>
    </row>
    <row r="3131" spans="1:15">
      <c r="A3131" s="274"/>
      <c r="B3131" s="274"/>
      <c r="C3131" s="274"/>
      <c r="D3131" s="274"/>
      <c r="E3131" s="283"/>
      <c r="F3131" s="283"/>
      <c r="G3131" s="320"/>
      <c r="H3131" s="320"/>
      <c r="I3131" s="228"/>
      <c r="J3131" s="228"/>
      <c r="K3131" s="233"/>
      <c r="L3131" s="197"/>
      <c r="M3131" s="197"/>
      <c r="N3131" s="197"/>
      <c r="O3131" s="197"/>
    </row>
    <row r="3132" spans="1:15">
      <c r="A3132" s="274"/>
      <c r="B3132" s="227"/>
      <c r="C3132" s="245"/>
      <c r="D3132" s="245"/>
      <c r="E3132" s="331"/>
      <c r="F3132" s="227"/>
      <c r="G3132" s="322"/>
      <c r="H3132" s="322"/>
      <c r="I3132" s="228"/>
      <c r="J3132" s="228"/>
      <c r="K3132" s="233"/>
      <c r="L3132" s="197"/>
      <c r="M3132" s="197"/>
      <c r="N3132" s="197"/>
      <c r="O3132" s="197"/>
    </row>
    <row r="3133" spans="1:15">
      <c r="A3133" s="274"/>
      <c r="B3133" s="274"/>
      <c r="C3133" s="274"/>
      <c r="D3133" s="274"/>
      <c r="E3133" s="283"/>
      <c r="F3133" s="283"/>
      <c r="G3133" s="320"/>
      <c r="H3133" s="320"/>
      <c r="I3133" s="228"/>
      <c r="J3133" s="228"/>
      <c r="K3133" s="233"/>
      <c r="L3133" s="197"/>
      <c r="M3133" s="197"/>
      <c r="N3133" s="197"/>
      <c r="O3133" s="197"/>
    </row>
    <row r="3134" spans="1:15">
      <c r="A3134" s="274"/>
      <c r="B3134" s="274"/>
      <c r="C3134" s="274"/>
      <c r="D3134" s="274"/>
      <c r="E3134" s="283"/>
      <c r="F3134" s="283"/>
      <c r="G3134" s="320"/>
      <c r="H3134" s="320"/>
      <c r="I3134" s="228"/>
      <c r="J3134" s="228"/>
      <c r="K3134" s="233"/>
      <c r="L3134" s="197"/>
      <c r="M3134" s="197"/>
      <c r="N3134" s="197"/>
      <c r="O3134" s="197"/>
    </row>
    <row r="3135" spans="1:15">
      <c r="A3135" s="274"/>
      <c r="B3135" s="274"/>
      <c r="C3135" s="274"/>
      <c r="D3135" s="274"/>
      <c r="E3135" s="283"/>
      <c r="F3135" s="283"/>
      <c r="G3135" s="320"/>
      <c r="H3135" s="320"/>
      <c r="I3135" s="228"/>
      <c r="J3135" s="228"/>
      <c r="K3135" s="233"/>
      <c r="L3135" s="197"/>
      <c r="M3135" s="197"/>
      <c r="N3135" s="197"/>
      <c r="O3135" s="197"/>
    </row>
    <row r="3136" spans="1:15">
      <c r="A3136" s="274"/>
      <c r="B3136" s="274"/>
      <c r="C3136" s="274"/>
      <c r="D3136" s="274"/>
      <c r="E3136" s="283"/>
      <c r="F3136" s="283"/>
      <c r="G3136" s="320"/>
      <c r="H3136" s="320"/>
      <c r="I3136" s="228"/>
      <c r="J3136" s="228"/>
      <c r="K3136" s="233"/>
      <c r="L3136" s="197"/>
      <c r="M3136" s="197"/>
      <c r="N3136" s="197"/>
      <c r="O3136" s="197"/>
    </row>
    <row r="3137" spans="1:15">
      <c r="A3137" s="274"/>
      <c r="B3137" s="274"/>
      <c r="C3137" s="274"/>
      <c r="D3137" s="274"/>
      <c r="E3137" s="283"/>
      <c r="F3137" s="283"/>
      <c r="G3137" s="320"/>
      <c r="H3137" s="320"/>
      <c r="I3137" s="228"/>
      <c r="J3137" s="228"/>
      <c r="K3137" s="233"/>
      <c r="L3137" s="197"/>
      <c r="M3137" s="197"/>
      <c r="N3137" s="197"/>
      <c r="O3137" s="197"/>
    </row>
    <row r="3138" spans="1:15">
      <c r="A3138" s="274"/>
      <c r="B3138" s="274"/>
      <c r="C3138" s="274"/>
      <c r="D3138" s="274"/>
      <c r="E3138" s="283"/>
      <c r="F3138" s="283"/>
      <c r="G3138" s="320"/>
      <c r="H3138" s="320"/>
      <c r="I3138" s="228"/>
      <c r="J3138" s="228"/>
      <c r="K3138" s="233"/>
      <c r="L3138" s="197"/>
      <c r="M3138" s="197"/>
      <c r="N3138" s="197"/>
      <c r="O3138" s="197"/>
    </row>
    <row r="3139" spans="1:15">
      <c r="A3139" s="274"/>
      <c r="B3139" s="274"/>
      <c r="C3139" s="274"/>
      <c r="D3139" s="274"/>
      <c r="E3139" s="283"/>
      <c r="F3139" s="283"/>
      <c r="G3139" s="320"/>
      <c r="H3139" s="320"/>
      <c r="I3139" s="228"/>
      <c r="J3139" s="228"/>
      <c r="K3139" s="233"/>
      <c r="L3139" s="197"/>
      <c r="M3139" s="197"/>
      <c r="N3139" s="197"/>
      <c r="O3139" s="197"/>
    </row>
    <row r="3140" spans="1:15">
      <c r="A3140" s="274"/>
      <c r="B3140" s="274"/>
      <c r="C3140" s="274"/>
      <c r="D3140" s="274"/>
      <c r="E3140" s="283"/>
      <c r="F3140" s="283"/>
      <c r="G3140" s="320"/>
      <c r="H3140" s="320"/>
      <c r="I3140" s="228"/>
      <c r="J3140" s="228"/>
      <c r="K3140" s="233"/>
      <c r="L3140" s="197"/>
      <c r="M3140" s="197"/>
      <c r="N3140" s="197"/>
      <c r="O3140" s="197"/>
    </row>
    <row r="3141" spans="1:15">
      <c r="A3141" s="274"/>
      <c r="B3141" s="274"/>
      <c r="C3141" s="274"/>
      <c r="D3141" s="274"/>
      <c r="E3141" s="283"/>
      <c r="F3141" s="283"/>
      <c r="G3141" s="320"/>
      <c r="H3141" s="320"/>
      <c r="I3141" s="228"/>
      <c r="J3141" s="228"/>
      <c r="K3141" s="233"/>
      <c r="L3141" s="197"/>
      <c r="M3141" s="197"/>
      <c r="N3141" s="197"/>
      <c r="O3141" s="197"/>
    </row>
    <row r="3142" spans="1:15">
      <c r="A3142" s="274"/>
      <c r="B3142" s="227"/>
      <c r="C3142" s="245"/>
      <c r="D3142" s="245"/>
      <c r="E3142" s="331"/>
      <c r="F3142" s="227"/>
      <c r="G3142" s="322"/>
      <c r="H3142" s="322"/>
      <c r="I3142" s="228"/>
      <c r="J3142" s="228"/>
      <c r="K3142" s="233"/>
      <c r="L3142" s="197"/>
      <c r="M3142" s="197"/>
      <c r="N3142" s="197"/>
      <c r="O3142" s="197"/>
    </row>
    <row r="3143" spans="1:15">
      <c r="A3143" s="274"/>
      <c r="B3143" s="274"/>
      <c r="C3143" s="274"/>
      <c r="D3143" s="274"/>
      <c r="E3143" s="283"/>
      <c r="F3143" s="283"/>
      <c r="G3143" s="320"/>
      <c r="H3143" s="320"/>
      <c r="I3143" s="228"/>
      <c r="J3143" s="228"/>
      <c r="K3143" s="233"/>
      <c r="L3143" s="197"/>
      <c r="M3143" s="197"/>
      <c r="N3143" s="197"/>
      <c r="O3143" s="197"/>
    </row>
    <row r="3144" spans="1:15">
      <c r="A3144" s="274"/>
      <c r="B3144" s="274"/>
      <c r="C3144" s="274"/>
      <c r="D3144" s="274"/>
      <c r="E3144" s="283"/>
      <c r="F3144" s="283"/>
      <c r="G3144" s="320"/>
      <c r="H3144" s="320"/>
      <c r="I3144" s="228"/>
      <c r="J3144" s="228"/>
      <c r="K3144" s="233"/>
      <c r="L3144" s="197"/>
      <c r="M3144" s="197"/>
      <c r="N3144" s="197"/>
      <c r="O3144" s="197"/>
    </row>
    <row r="3145" spans="1:15">
      <c r="A3145" s="274"/>
      <c r="B3145" s="274"/>
      <c r="C3145" s="274"/>
      <c r="D3145" s="274"/>
      <c r="E3145" s="283"/>
      <c r="F3145" s="283"/>
      <c r="G3145" s="320"/>
      <c r="H3145" s="320"/>
      <c r="I3145" s="228"/>
      <c r="J3145" s="228"/>
      <c r="K3145" s="233"/>
      <c r="L3145" s="197"/>
      <c r="M3145" s="197"/>
      <c r="N3145" s="197"/>
      <c r="O3145" s="197"/>
    </row>
    <row r="3146" spans="1:15">
      <c r="A3146" s="274"/>
      <c r="B3146" s="274"/>
      <c r="C3146" s="274"/>
      <c r="D3146" s="274"/>
      <c r="E3146" s="283"/>
      <c r="F3146" s="283"/>
      <c r="G3146" s="320"/>
      <c r="H3146" s="320"/>
      <c r="I3146" s="228"/>
      <c r="J3146" s="228"/>
      <c r="K3146" s="233"/>
      <c r="L3146" s="197"/>
      <c r="M3146" s="197"/>
      <c r="N3146" s="197"/>
      <c r="O3146" s="197"/>
    </row>
    <row r="3147" spans="1:15">
      <c r="A3147" s="274"/>
      <c r="B3147" s="274"/>
      <c r="C3147" s="274"/>
      <c r="D3147" s="274"/>
      <c r="E3147" s="283"/>
      <c r="F3147" s="283"/>
      <c r="G3147" s="320"/>
      <c r="H3147" s="320"/>
      <c r="I3147" s="228"/>
      <c r="J3147" s="228"/>
      <c r="K3147" s="274"/>
      <c r="L3147" s="197"/>
      <c r="M3147" s="197"/>
      <c r="N3147" s="197"/>
      <c r="O3147" s="197"/>
    </row>
    <row r="3148" spans="1:15">
      <c r="A3148" s="274"/>
      <c r="B3148" s="274"/>
      <c r="C3148" s="274"/>
      <c r="D3148" s="274"/>
      <c r="E3148" s="283"/>
      <c r="F3148" s="283"/>
      <c r="G3148" s="320"/>
      <c r="H3148" s="320"/>
      <c r="I3148" s="228"/>
      <c r="J3148" s="228"/>
      <c r="K3148" s="233"/>
      <c r="L3148" s="197"/>
      <c r="M3148" s="197"/>
      <c r="N3148" s="197"/>
      <c r="O3148" s="197"/>
    </row>
    <row r="3149" spans="1:15">
      <c r="A3149" s="274"/>
      <c r="B3149" s="274"/>
      <c r="C3149" s="274"/>
      <c r="D3149" s="274"/>
      <c r="E3149" s="283"/>
      <c r="F3149" s="283"/>
      <c r="G3149" s="320"/>
      <c r="H3149" s="320"/>
      <c r="I3149" s="228"/>
      <c r="J3149" s="228"/>
      <c r="K3149" s="233"/>
      <c r="L3149" s="197"/>
      <c r="M3149" s="197"/>
      <c r="N3149" s="197"/>
      <c r="O3149" s="197"/>
    </row>
    <row r="3150" spans="1:15">
      <c r="A3150" s="274"/>
      <c r="B3150" s="274"/>
      <c r="C3150" s="274"/>
      <c r="D3150" s="274"/>
      <c r="E3150" s="283"/>
      <c r="F3150" s="283"/>
      <c r="G3150" s="320"/>
      <c r="H3150" s="320"/>
      <c r="I3150" s="228"/>
      <c r="J3150" s="228"/>
      <c r="K3150" s="233"/>
      <c r="L3150" s="197"/>
      <c r="M3150" s="197"/>
      <c r="N3150" s="197"/>
      <c r="O3150" s="197"/>
    </row>
    <row r="3151" spans="1:15">
      <c r="A3151" s="274"/>
      <c r="B3151" s="274"/>
      <c r="C3151" s="274"/>
      <c r="D3151" s="274"/>
      <c r="E3151" s="283"/>
      <c r="F3151" s="283"/>
      <c r="G3151" s="320"/>
      <c r="H3151" s="320"/>
      <c r="I3151" s="228"/>
      <c r="J3151" s="228"/>
      <c r="K3151" s="233"/>
      <c r="L3151" s="197"/>
      <c r="M3151" s="197"/>
      <c r="N3151" s="197"/>
      <c r="O3151" s="197"/>
    </row>
    <row r="3152" spans="1:15">
      <c r="A3152" s="274"/>
      <c r="B3152" s="274"/>
      <c r="C3152" s="274"/>
      <c r="D3152" s="274"/>
      <c r="E3152" s="283"/>
      <c r="F3152" s="283"/>
      <c r="G3152" s="320"/>
      <c r="H3152" s="320"/>
      <c r="I3152" s="228"/>
      <c r="J3152" s="228"/>
      <c r="K3152" s="233"/>
      <c r="L3152" s="197"/>
      <c r="M3152" s="197"/>
      <c r="N3152" s="197"/>
      <c r="O3152" s="197"/>
    </row>
    <row r="3153" spans="1:15">
      <c r="A3153" s="274"/>
      <c r="B3153" s="274"/>
      <c r="C3153" s="274"/>
      <c r="D3153" s="274"/>
      <c r="E3153" s="283"/>
      <c r="F3153" s="283"/>
      <c r="G3153" s="320"/>
      <c r="H3153" s="320"/>
      <c r="I3153" s="228"/>
      <c r="J3153" s="228"/>
      <c r="K3153" s="233"/>
      <c r="L3153" s="197"/>
      <c r="M3153" s="197"/>
      <c r="N3153" s="197"/>
      <c r="O3153" s="197"/>
    </row>
    <row r="3154" spans="1:15">
      <c r="A3154" s="274"/>
      <c r="B3154" s="274"/>
      <c r="C3154" s="274"/>
      <c r="D3154" s="274"/>
      <c r="E3154" s="283"/>
      <c r="F3154" s="283"/>
      <c r="G3154" s="320"/>
      <c r="H3154" s="320"/>
      <c r="I3154" s="228"/>
      <c r="J3154" s="228"/>
      <c r="K3154" s="233"/>
      <c r="L3154" s="197"/>
      <c r="M3154" s="197"/>
      <c r="N3154" s="197"/>
      <c r="O3154" s="197"/>
    </row>
    <row r="3155" spans="1:15">
      <c r="A3155" s="274"/>
      <c r="B3155" s="274"/>
      <c r="C3155" s="274"/>
      <c r="D3155" s="274"/>
      <c r="E3155" s="283"/>
      <c r="F3155" s="283"/>
      <c r="G3155" s="320"/>
      <c r="H3155" s="320"/>
      <c r="I3155" s="228"/>
      <c r="J3155" s="228"/>
      <c r="K3155" s="233"/>
      <c r="L3155" s="197"/>
      <c r="M3155" s="197"/>
      <c r="N3155" s="197"/>
      <c r="O3155" s="197"/>
    </row>
    <row r="3156" spans="1:15">
      <c r="A3156" s="274"/>
      <c r="B3156" s="274"/>
      <c r="C3156" s="274"/>
      <c r="D3156" s="274"/>
      <c r="E3156" s="283"/>
      <c r="F3156" s="283"/>
      <c r="G3156" s="320"/>
      <c r="H3156" s="320"/>
      <c r="I3156" s="228"/>
      <c r="J3156" s="228"/>
      <c r="K3156" s="233"/>
      <c r="L3156" s="197"/>
      <c r="M3156" s="197"/>
      <c r="N3156" s="197"/>
      <c r="O3156" s="197"/>
    </row>
    <row r="3157" spans="1:15">
      <c r="A3157" s="274"/>
      <c r="B3157" s="274"/>
      <c r="C3157" s="274"/>
      <c r="D3157" s="274"/>
      <c r="E3157" s="283"/>
      <c r="F3157" s="283"/>
      <c r="G3157" s="320"/>
      <c r="H3157" s="320"/>
      <c r="I3157" s="228"/>
      <c r="J3157" s="228"/>
      <c r="K3157" s="233"/>
      <c r="L3157" s="197"/>
      <c r="M3157" s="197"/>
      <c r="N3157" s="197"/>
      <c r="O3157" s="197"/>
    </row>
    <row r="3158" spans="1:15">
      <c r="A3158" s="274"/>
      <c r="B3158" s="274"/>
      <c r="C3158" s="274"/>
      <c r="D3158" s="274"/>
      <c r="E3158" s="283"/>
      <c r="F3158" s="283"/>
      <c r="G3158" s="320"/>
      <c r="H3158" s="320"/>
      <c r="I3158" s="228"/>
      <c r="J3158" s="228"/>
      <c r="K3158" s="233"/>
      <c r="L3158" s="197"/>
      <c r="M3158" s="197"/>
      <c r="N3158" s="197"/>
      <c r="O3158" s="197"/>
    </row>
    <row r="3159" spans="1:15">
      <c r="A3159" s="274"/>
      <c r="B3159" s="274"/>
      <c r="C3159" s="274"/>
      <c r="D3159" s="274"/>
      <c r="E3159" s="283"/>
      <c r="F3159" s="283"/>
      <c r="G3159" s="320"/>
      <c r="H3159" s="320"/>
      <c r="I3159" s="228"/>
      <c r="J3159" s="228"/>
      <c r="K3159" s="233"/>
      <c r="L3159" s="197"/>
      <c r="M3159" s="197"/>
      <c r="N3159" s="197"/>
      <c r="O3159" s="197"/>
    </row>
    <row r="3160" spans="1:15">
      <c r="A3160" s="274"/>
      <c r="B3160" s="274"/>
      <c r="C3160" s="274"/>
      <c r="D3160" s="274"/>
      <c r="E3160" s="283"/>
      <c r="F3160" s="283"/>
      <c r="G3160" s="320"/>
      <c r="H3160" s="320"/>
      <c r="I3160" s="228"/>
      <c r="J3160" s="228"/>
      <c r="K3160" s="233"/>
      <c r="L3160" s="197"/>
      <c r="M3160" s="197"/>
      <c r="N3160" s="197"/>
      <c r="O3160" s="197"/>
    </row>
    <row r="3161" spans="1:15">
      <c r="A3161" s="274"/>
      <c r="B3161" s="274"/>
      <c r="C3161" s="274"/>
      <c r="D3161" s="274"/>
      <c r="E3161" s="283"/>
      <c r="F3161" s="283"/>
      <c r="G3161" s="320"/>
      <c r="H3161" s="320"/>
      <c r="I3161" s="228"/>
      <c r="J3161" s="228"/>
      <c r="K3161" s="233"/>
      <c r="L3161" s="197"/>
      <c r="M3161" s="197"/>
      <c r="N3161" s="197"/>
      <c r="O3161" s="197"/>
    </row>
    <row r="3162" spans="1:15">
      <c r="A3162" s="274"/>
      <c r="B3162" s="274"/>
      <c r="C3162" s="274"/>
      <c r="D3162" s="274"/>
      <c r="E3162" s="283"/>
      <c r="F3162" s="283"/>
      <c r="G3162" s="320"/>
      <c r="H3162" s="320"/>
      <c r="I3162" s="228"/>
      <c r="J3162" s="228"/>
      <c r="K3162" s="233"/>
      <c r="L3162" s="197"/>
      <c r="M3162" s="197"/>
      <c r="N3162" s="197"/>
      <c r="O3162" s="197"/>
    </row>
    <row r="3163" spans="1:15">
      <c r="A3163" s="274"/>
      <c r="B3163" s="274"/>
      <c r="C3163" s="274"/>
      <c r="D3163" s="274"/>
      <c r="E3163" s="283"/>
      <c r="F3163" s="283"/>
      <c r="G3163" s="320"/>
      <c r="H3163" s="320"/>
      <c r="I3163" s="228"/>
      <c r="J3163" s="228"/>
      <c r="K3163" s="233"/>
      <c r="L3163" s="197"/>
      <c r="M3163" s="197"/>
      <c r="N3163" s="197"/>
      <c r="O3163" s="197"/>
    </row>
    <row r="3164" spans="1:15">
      <c r="A3164" s="274"/>
      <c r="B3164" s="227"/>
      <c r="C3164" s="245"/>
      <c r="D3164" s="245"/>
      <c r="E3164" s="331"/>
      <c r="F3164" s="227"/>
      <c r="G3164" s="322"/>
      <c r="H3164" s="322"/>
      <c r="I3164" s="228"/>
      <c r="J3164" s="228"/>
      <c r="K3164" s="233"/>
      <c r="L3164" s="197"/>
      <c r="M3164" s="197"/>
      <c r="N3164" s="197"/>
      <c r="O3164" s="197"/>
    </row>
    <row r="3165" spans="1:15">
      <c r="A3165" s="274"/>
      <c r="B3165" s="274"/>
      <c r="C3165" s="274"/>
      <c r="D3165" s="274"/>
      <c r="E3165" s="283"/>
      <c r="F3165" s="283"/>
      <c r="G3165" s="320"/>
      <c r="H3165" s="320"/>
      <c r="I3165" s="228"/>
      <c r="J3165" s="228"/>
      <c r="K3165" s="233"/>
      <c r="L3165" s="197"/>
      <c r="M3165" s="197"/>
      <c r="N3165" s="197"/>
      <c r="O3165" s="197"/>
    </row>
    <row r="3166" spans="1:15">
      <c r="A3166" s="274"/>
      <c r="B3166" s="274"/>
      <c r="C3166" s="274"/>
      <c r="D3166" s="274"/>
      <c r="E3166" s="283"/>
      <c r="F3166" s="283"/>
      <c r="G3166" s="320"/>
      <c r="H3166" s="320"/>
      <c r="I3166" s="228"/>
      <c r="J3166" s="228"/>
      <c r="K3166" s="233"/>
      <c r="L3166" s="197"/>
      <c r="M3166" s="197"/>
      <c r="N3166" s="197"/>
      <c r="O3166" s="197"/>
    </row>
    <row r="3167" spans="1:15">
      <c r="A3167" s="274"/>
      <c r="B3167" s="274"/>
      <c r="C3167" s="274"/>
      <c r="D3167" s="274"/>
      <c r="E3167" s="283"/>
      <c r="F3167" s="283"/>
      <c r="G3167" s="320"/>
      <c r="H3167" s="320"/>
      <c r="I3167" s="228"/>
      <c r="J3167" s="228"/>
      <c r="K3167" s="233"/>
      <c r="L3167" s="197"/>
      <c r="M3167" s="197"/>
      <c r="N3167" s="197"/>
      <c r="O3167" s="197"/>
    </row>
    <row r="3168" spans="1:15">
      <c r="A3168" s="274"/>
      <c r="B3168" s="274"/>
      <c r="C3168" s="274"/>
      <c r="D3168" s="274"/>
      <c r="E3168" s="283"/>
      <c r="F3168" s="283"/>
      <c r="G3168" s="320"/>
      <c r="H3168" s="320"/>
      <c r="I3168" s="228"/>
      <c r="J3168" s="228"/>
      <c r="K3168" s="233"/>
      <c r="L3168" s="197"/>
      <c r="M3168" s="197"/>
      <c r="N3168" s="197"/>
      <c r="O3168" s="197"/>
    </row>
    <row r="3169" spans="1:15">
      <c r="A3169" s="274"/>
      <c r="B3169" s="274"/>
      <c r="C3169" s="274"/>
      <c r="D3169" s="274"/>
      <c r="E3169" s="283"/>
      <c r="F3169" s="283"/>
      <c r="G3169" s="320"/>
      <c r="H3169" s="320"/>
      <c r="I3169" s="228"/>
      <c r="J3169" s="228"/>
      <c r="K3169" s="233"/>
      <c r="L3169" s="197"/>
      <c r="M3169" s="197"/>
      <c r="N3169" s="197"/>
      <c r="O3169" s="197"/>
    </row>
    <row r="3170" spans="1:15">
      <c r="A3170" s="274"/>
      <c r="B3170" s="274"/>
      <c r="C3170" s="274"/>
      <c r="D3170" s="274"/>
      <c r="E3170" s="283"/>
      <c r="F3170" s="283"/>
      <c r="G3170" s="320"/>
      <c r="H3170" s="320"/>
      <c r="I3170" s="228"/>
      <c r="J3170" s="228"/>
      <c r="K3170" s="233"/>
      <c r="L3170" s="197"/>
      <c r="M3170" s="197"/>
      <c r="N3170" s="197"/>
      <c r="O3170" s="197"/>
    </row>
    <row r="3171" spans="1:15">
      <c r="A3171" s="274"/>
      <c r="B3171" s="274"/>
      <c r="C3171" s="274"/>
      <c r="D3171" s="274"/>
      <c r="E3171" s="283"/>
      <c r="F3171" s="283"/>
      <c r="G3171" s="320"/>
      <c r="H3171" s="320"/>
      <c r="I3171" s="228"/>
      <c r="J3171" s="228"/>
      <c r="K3171" s="233"/>
      <c r="L3171" s="197"/>
      <c r="M3171" s="197"/>
      <c r="N3171" s="197"/>
      <c r="O3171" s="197"/>
    </row>
    <row r="3172" spans="1:15">
      <c r="A3172" s="274"/>
      <c r="B3172" s="274"/>
      <c r="C3172" s="274"/>
      <c r="D3172" s="274"/>
      <c r="E3172" s="283"/>
      <c r="F3172" s="283"/>
      <c r="G3172" s="320"/>
      <c r="H3172" s="320"/>
      <c r="I3172" s="228"/>
      <c r="J3172" s="228"/>
      <c r="K3172" s="233"/>
      <c r="L3172" s="197"/>
      <c r="M3172" s="197"/>
      <c r="N3172" s="197"/>
      <c r="O3172" s="197"/>
    </row>
    <row r="3173" spans="1:15">
      <c r="A3173" s="274"/>
      <c r="B3173" s="274"/>
      <c r="C3173" s="274"/>
      <c r="D3173" s="274"/>
      <c r="E3173" s="283"/>
      <c r="F3173" s="283"/>
      <c r="G3173" s="320"/>
      <c r="H3173" s="320"/>
      <c r="I3173" s="228"/>
      <c r="J3173" s="228"/>
      <c r="K3173" s="233"/>
      <c r="L3173" s="197"/>
      <c r="M3173" s="197"/>
      <c r="N3173" s="197"/>
      <c r="O3173" s="197"/>
    </row>
    <row r="3174" spans="1:15">
      <c r="A3174" s="274"/>
      <c r="B3174" s="274"/>
      <c r="C3174" s="274"/>
      <c r="D3174" s="274"/>
      <c r="E3174" s="283"/>
      <c r="F3174" s="283"/>
      <c r="G3174" s="320"/>
      <c r="H3174" s="320"/>
      <c r="I3174" s="228"/>
      <c r="J3174" s="228"/>
      <c r="K3174" s="233"/>
      <c r="L3174" s="197"/>
      <c r="M3174" s="197"/>
      <c r="N3174" s="197"/>
      <c r="O3174" s="197"/>
    </row>
    <row r="3175" spans="1:15">
      <c r="A3175" s="274"/>
      <c r="B3175" s="274"/>
      <c r="C3175" s="274"/>
      <c r="D3175" s="274"/>
      <c r="E3175" s="283"/>
      <c r="F3175" s="283"/>
      <c r="G3175" s="320"/>
      <c r="H3175" s="320"/>
      <c r="I3175" s="228"/>
      <c r="J3175" s="228"/>
      <c r="K3175" s="233"/>
      <c r="L3175" s="197"/>
      <c r="M3175" s="197"/>
      <c r="N3175" s="197"/>
      <c r="O3175" s="197"/>
    </row>
    <row r="3176" spans="1:15">
      <c r="A3176" s="274"/>
      <c r="B3176" s="274"/>
      <c r="C3176" s="274"/>
      <c r="D3176" s="274"/>
      <c r="E3176" s="283"/>
      <c r="F3176" s="283"/>
      <c r="G3176" s="320"/>
      <c r="H3176" s="320"/>
      <c r="I3176" s="228"/>
      <c r="J3176" s="228"/>
      <c r="K3176" s="233"/>
      <c r="L3176" s="197"/>
      <c r="M3176" s="197"/>
      <c r="N3176" s="197"/>
      <c r="O3176" s="197"/>
    </row>
    <row r="3177" spans="1:15">
      <c r="A3177" s="274"/>
      <c r="B3177" s="274"/>
      <c r="C3177" s="274"/>
      <c r="D3177" s="274"/>
      <c r="E3177" s="283"/>
      <c r="F3177" s="283"/>
      <c r="G3177" s="320"/>
      <c r="H3177" s="320"/>
      <c r="I3177" s="228"/>
      <c r="J3177" s="228"/>
      <c r="K3177" s="233"/>
      <c r="L3177" s="197"/>
      <c r="M3177" s="197"/>
      <c r="N3177" s="197"/>
      <c r="O3177" s="197"/>
    </row>
    <row r="3178" spans="1:15">
      <c r="A3178" s="274"/>
      <c r="B3178" s="274"/>
      <c r="C3178" s="274"/>
      <c r="D3178" s="274"/>
      <c r="E3178" s="283"/>
      <c r="F3178" s="283"/>
      <c r="G3178" s="320"/>
      <c r="H3178" s="320"/>
      <c r="I3178" s="228"/>
      <c r="J3178" s="228"/>
      <c r="K3178" s="233"/>
      <c r="L3178" s="197"/>
      <c r="M3178" s="197"/>
      <c r="N3178" s="197"/>
      <c r="O3178" s="197"/>
    </row>
    <row r="3179" spans="1:15">
      <c r="A3179" s="274"/>
      <c r="B3179" s="274"/>
      <c r="C3179" s="274"/>
      <c r="D3179" s="274"/>
      <c r="E3179" s="283"/>
      <c r="F3179" s="283"/>
      <c r="G3179" s="320"/>
      <c r="H3179" s="320"/>
      <c r="I3179" s="228"/>
      <c r="J3179" s="228"/>
      <c r="K3179" s="233"/>
      <c r="L3179" s="197"/>
      <c r="M3179" s="197"/>
      <c r="N3179" s="197"/>
      <c r="O3179" s="197"/>
    </row>
    <row r="3180" spans="1:15">
      <c r="A3180" s="274"/>
      <c r="B3180" s="274"/>
      <c r="C3180" s="274"/>
      <c r="D3180" s="274"/>
      <c r="E3180" s="283"/>
      <c r="F3180" s="283"/>
      <c r="G3180" s="320"/>
      <c r="H3180" s="320"/>
      <c r="I3180" s="228"/>
      <c r="J3180" s="228"/>
      <c r="K3180" s="233"/>
      <c r="L3180" s="197"/>
      <c r="M3180" s="197"/>
      <c r="N3180" s="197"/>
      <c r="O3180" s="197"/>
    </row>
    <row r="3181" spans="1:15">
      <c r="A3181" s="274"/>
      <c r="B3181" s="274"/>
      <c r="C3181" s="274"/>
      <c r="D3181" s="274"/>
      <c r="E3181" s="283"/>
      <c r="F3181" s="283"/>
      <c r="G3181" s="320"/>
      <c r="H3181" s="320"/>
      <c r="I3181" s="228"/>
      <c r="J3181" s="228"/>
      <c r="K3181" s="233"/>
      <c r="L3181" s="197"/>
      <c r="M3181" s="197"/>
      <c r="N3181" s="197"/>
      <c r="O3181" s="197"/>
    </row>
    <row r="3182" spans="1:15">
      <c r="A3182" s="274"/>
      <c r="B3182" s="274"/>
      <c r="C3182" s="274"/>
      <c r="D3182" s="274"/>
      <c r="E3182" s="283"/>
      <c r="F3182" s="283"/>
      <c r="G3182" s="320"/>
      <c r="H3182" s="320"/>
      <c r="I3182" s="228"/>
      <c r="J3182" s="228"/>
      <c r="K3182" s="233"/>
      <c r="L3182" s="197"/>
      <c r="M3182" s="197"/>
      <c r="N3182" s="197"/>
      <c r="O3182" s="197"/>
    </row>
    <row r="3183" spans="1:15">
      <c r="A3183" s="274"/>
      <c r="B3183" s="227"/>
      <c r="C3183" s="245"/>
      <c r="D3183" s="245"/>
      <c r="E3183" s="331"/>
      <c r="F3183" s="227"/>
      <c r="G3183" s="322"/>
      <c r="H3183" s="322"/>
      <c r="I3183" s="228"/>
      <c r="J3183" s="228"/>
      <c r="K3183" s="233"/>
      <c r="L3183" s="197"/>
      <c r="M3183" s="197"/>
      <c r="N3183" s="197"/>
      <c r="O3183" s="197"/>
    </row>
    <row r="3184" spans="1:15">
      <c r="A3184" s="274"/>
      <c r="B3184" s="274"/>
      <c r="C3184" s="274"/>
      <c r="D3184" s="274"/>
      <c r="E3184" s="283"/>
      <c r="F3184" s="283"/>
      <c r="G3184" s="320"/>
      <c r="H3184" s="320"/>
      <c r="I3184" s="228"/>
      <c r="J3184" s="228"/>
      <c r="K3184" s="233"/>
      <c r="L3184" s="197"/>
      <c r="M3184" s="197"/>
      <c r="N3184" s="197"/>
      <c r="O3184" s="197"/>
    </row>
    <row r="3185" spans="1:15">
      <c r="A3185" s="274"/>
      <c r="B3185" s="274"/>
      <c r="C3185" s="274"/>
      <c r="D3185" s="274"/>
      <c r="E3185" s="283"/>
      <c r="F3185" s="283"/>
      <c r="G3185" s="320"/>
      <c r="H3185" s="320"/>
      <c r="I3185" s="228"/>
      <c r="J3185" s="228"/>
      <c r="K3185" s="233"/>
      <c r="L3185" s="197"/>
      <c r="M3185" s="197"/>
      <c r="N3185" s="197"/>
      <c r="O3185" s="197"/>
    </row>
    <row r="3186" spans="1:15">
      <c r="A3186" s="274"/>
      <c r="B3186" s="274"/>
      <c r="C3186" s="274"/>
      <c r="D3186" s="274"/>
      <c r="E3186" s="283"/>
      <c r="F3186" s="283"/>
      <c r="G3186" s="320"/>
      <c r="H3186" s="320"/>
      <c r="I3186" s="228"/>
      <c r="J3186" s="228"/>
      <c r="K3186" s="233"/>
      <c r="L3186" s="197"/>
      <c r="M3186" s="197"/>
      <c r="N3186" s="197"/>
      <c r="O3186" s="197"/>
    </row>
    <row r="3187" spans="1:15">
      <c r="A3187" s="274"/>
      <c r="B3187" s="274"/>
      <c r="C3187" s="274"/>
      <c r="D3187" s="274"/>
      <c r="E3187" s="283"/>
      <c r="F3187" s="283"/>
      <c r="G3187" s="320"/>
      <c r="H3187" s="320"/>
      <c r="I3187" s="228"/>
      <c r="J3187" s="228"/>
      <c r="K3187" s="233"/>
      <c r="L3187" s="197"/>
      <c r="M3187" s="197"/>
      <c r="N3187" s="197"/>
      <c r="O3187" s="197"/>
    </row>
    <row r="3188" spans="1:15">
      <c r="A3188" s="274"/>
      <c r="B3188" s="274"/>
      <c r="C3188" s="274"/>
      <c r="D3188" s="274"/>
      <c r="E3188" s="283"/>
      <c r="F3188" s="283"/>
      <c r="G3188" s="320"/>
      <c r="H3188" s="320"/>
      <c r="I3188" s="228"/>
      <c r="J3188" s="228"/>
      <c r="K3188" s="233"/>
      <c r="L3188" s="197"/>
      <c r="M3188" s="197"/>
      <c r="N3188" s="197"/>
      <c r="O3188" s="197"/>
    </row>
    <row r="3189" spans="1:15">
      <c r="A3189" s="274"/>
      <c r="B3189" s="274"/>
      <c r="C3189" s="274"/>
      <c r="D3189" s="274"/>
      <c r="E3189" s="283"/>
      <c r="F3189" s="283"/>
      <c r="G3189" s="320"/>
      <c r="H3189" s="320"/>
      <c r="I3189" s="228"/>
      <c r="J3189" s="228"/>
      <c r="K3189" s="274"/>
      <c r="L3189" s="197"/>
      <c r="M3189" s="197"/>
      <c r="N3189" s="197"/>
      <c r="O3189" s="197"/>
    </row>
    <row r="3190" spans="1:15">
      <c r="A3190" s="274"/>
      <c r="B3190" s="274"/>
      <c r="C3190" s="274"/>
      <c r="D3190" s="274"/>
      <c r="E3190" s="283"/>
      <c r="F3190" s="283"/>
      <c r="G3190" s="320"/>
      <c r="H3190" s="320"/>
      <c r="I3190" s="228"/>
      <c r="J3190" s="228"/>
      <c r="K3190" s="233"/>
      <c r="L3190" s="197"/>
      <c r="M3190" s="197"/>
      <c r="N3190" s="197"/>
      <c r="O3190" s="197"/>
    </row>
    <row r="3191" spans="1:15">
      <c r="A3191" s="274"/>
      <c r="B3191" s="274"/>
      <c r="C3191" s="274"/>
      <c r="D3191" s="274"/>
      <c r="E3191" s="283"/>
      <c r="F3191" s="283"/>
      <c r="G3191" s="320"/>
      <c r="H3191" s="320"/>
      <c r="I3191" s="228"/>
      <c r="J3191" s="228"/>
      <c r="K3191" s="233"/>
      <c r="L3191" s="197"/>
      <c r="M3191" s="197"/>
      <c r="N3191" s="197"/>
      <c r="O3191" s="197"/>
    </row>
    <row r="3192" spans="1:15">
      <c r="A3192" s="274"/>
      <c r="B3192" s="274"/>
      <c r="C3192" s="274"/>
      <c r="D3192" s="274"/>
      <c r="E3192" s="283"/>
      <c r="F3192" s="283"/>
      <c r="G3192" s="320"/>
      <c r="H3192" s="320"/>
      <c r="I3192" s="228"/>
      <c r="J3192" s="228"/>
      <c r="K3192" s="233"/>
      <c r="L3192" s="197"/>
      <c r="M3192" s="197"/>
      <c r="N3192" s="197"/>
      <c r="O3192" s="197"/>
    </row>
    <row r="3193" spans="1:15">
      <c r="A3193" s="274"/>
      <c r="B3193" s="274"/>
      <c r="C3193" s="274"/>
      <c r="D3193" s="274"/>
      <c r="E3193" s="283"/>
      <c r="F3193" s="283"/>
      <c r="G3193" s="320"/>
      <c r="H3193" s="320"/>
      <c r="I3193" s="228"/>
      <c r="J3193" s="228"/>
      <c r="K3193" s="233"/>
      <c r="L3193" s="197"/>
      <c r="M3193" s="197"/>
      <c r="N3193" s="197"/>
      <c r="O3193" s="197"/>
    </row>
    <row r="3194" spans="1:15">
      <c r="A3194" s="274"/>
      <c r="B3194" s="274"/>
      <c r="C3194" s="274"/>
      <c r="D3194" s="274"/>
      <c r="E3194" s="283"/>
      <c r="F3194" s="283"/>
      <c r="G3194" s="320"/>
      <c r="H3194" s="320"/>
      <c r="I3194" s="228"/>
      <c r="J3194" s="228"/>
      <c r="K3194" s="233"/>
      <c r="L3194" s="197"/>
      <c r="M3194" s="197"/>
      <c r="N3194" s="197"/>
      <c r="O3194" s="197"/>
    </row>
    <row r="3195" spans="1:15">
      <c r="A3195" s="274"/>
      <c r="B3195" s="274"/>
      <c r="C3195" s="274"/>
      <c r="D3195" s="274"/>
      <c r="E3195" s="283"/>
      <c r="F3195" s="283"/>
      <c r="G3195" s="320"/>
      <c r="H3195" s="320"/>
      <c r="I3195" s="228"/>
      <c r="J3195" s="228"/>
      <c r="K3195" s="233"/>
      <c r="L3195" s="197"/>
      <c r="M3195" s="197"/>
      <c r="N3195" s="197"/>
      <c r="O3195" s="197"/>
    </row>
    <row r="3196" spans="1:15">
      <c r="A3196" s="274"/>
      <c r="B3196" s="274"/>
      <c r="C3196" s="274"/>
      <c r="D3196" s="274"/>
      <c r="E3196" s="283"/>
      <c r="F3196" s="283"/>
      <c r="G3196" s="320"/>
      <c r="H3196" s="320"/>
      <c r="I3196" s="228"/>
      <c r="J3196" s="228"/>
      <c r="K3196" s="233"/>
      <c r="L3196" s="197"/>
      <c r="M3196" s="197"/>
      <c r="N3196" s="197"/>
      <c r="O3196" s="197"/>
    </row>
    <row r="3197" spans="1:15">
      <c r="A3197" s="274"/>
      <c r="B3197" s="274"/>
      <c r="C3197" s="274"/>
      <c r="D3197" s="274"/>
      <c r="E3197" s="283"/>
      <c r="F3197" s="283"/>
      <c r="G3197" s="320"/>
      <c r="H3197" s="320"/>
      <c r="I3197" s="228"/>
      <c r="J3197" s="228"/>
      <c r="K3197" s="233"/>
      <c r="L3197" s="197"/>
      <c r="M3197" s="197"/>
      <c r="N3197" s="197"/>
      <c r="O3197" s="197"/>
    </row>
    <row r="3198" spans="1:15">
      <c r="A3198" s="274"/>
      <c r="B3198" s="274"/>
      <c r="C3198" s="274"/>
      <c r="D3198" s="274"/>
      <c r="E3198" s="283"/>
      <c r="F3198" s="283"/>
      <c r="G3198" s="320"/>
      <c r="H3198" s="320"/>
      <c r="I3198" s="228"/>
      <c r="J3198" s="228"/>
      <c r="K3198" s="233"/>
      <c r="L3198" s="197"/>
      <c r="M3198" s="197"/>
      <c r="N3198" s="197"/>
      <c r="O3198" s="197"/>
    </row>
    <row r="3199" spans="1:15">
      <c r="A3199" s="274"/>
      <c r="B3199" s="274"/>
      <c r="C3199" s="274"/>
      <c r="D3199" s="274"/>
      <c r="E3199" s="283"/>
      <c r="F3199" s="283"/>
      <c r="G3199" s="320"/>
      <c r="H3199" s="320"/>
      <c r="I3199" s="228"/>
      <c r="J3199" s="228"/>
      <c r="K3199" s="233"/>
      <c r="L3199" s="197"/>
      <c r="M3199" s="197"/>
      <c r="N3199" s="197"/>
      <c r="O3199" s="197"/>
    </row>
    <row r="3200" spans="1:15">
      <c r="A3200" s="274"/>
      <c r="B3200" s="274"/>
      <c r="C3200" s="274"/>
      <c r="D3200" s="274"/>
      <c r="E3200" s="283"/>
      <c r="F3200" s="283"/>
      <c r="G3200" s="320"/>
      <c r="H3200" s="320"/>
      <c r="I3200" s="228"/>
      <c r="J3200" s="228"/>
      <c r="K3200" s="233"/>
      <c r="L3200" s="197"/>
      <c r="M3200" s="197"/>
      <c r="N3200" s="197"/>
      <c r="O3200" s="197"/>
    </row>
    <row r="3201" spans="1:15">
      <c r="A3201" s="274"/>
      <c r="B3201" s="274"/>
      <c r="C3201" s="274"/>
      <c r="D3201" s="274"/>
      <c r="E3201" s="283"/>
      <c r="F3201" s="283"/>
      <c r="G3201" s="320"/>
      <c r="H3201" s="320"/>
      <c r="I3201" s="228"/>
      <c r="J3201" s="228"/>
      <c r="K3201" s="233"/>
      <c r="L3201" s="197"/>
      <c r="M3201" s="197"/>
      <c r="N3201" s="197"/>
      <c r="O3201" s="197"/>
    </row>
    <row r="3202" spans="1:15">
      <c r="A3202" s="274"/>
      <c r="B3202" s="274"/>
      <c r="C3202" s="274"/>
      <c r="D3202" s="274"/>
      <c r="E3202" s="283"/>
      <c r="F3202" s="283"/>
      <c r="G3202" s="320"/>
      <c r="H3202" s="320"/>
      <c r="I3202" s="228"/>
      <c r="J3202" s="228"/>
      <c r="K3202" s="274"/>
      <c r="L3202" s="197"/>
      <c r="M3202" s="197"/>
      <c r="N3202" s="197"/>
      <c r="O3202" s="197"/>
    </row>
    <row r="3203" spans="1:15">
      <c r="A3203" s="274"/>
      <c r="B3203" s="274"/>
      <c r="C3203" s="274"/>
      <c r="D3203" s="274"/>
      <c r="E3203" s="283"/>
      <c r="F3203" s="283"/>
      <c r="G3203" s="320"/>
      <c r="H3203" s="320"/>
      <c r="I3203" s="228"/>
      <c r="J3203" s="228"/>
      <c r="K3203" s="233"/>
      <c r="L3203" s="197"/>
      <c r="M3203" s="197"/>
      <c r="N3203" s="197"/>
      <c r="O3203" s="197"/>
    </row>
    <row r="3204" spans="1:15">
      <c r="A3204" s="274"/>
      <c r="B3204" s="274"/>
      <c r="C3204" s="274"/>
      <c r="D3204" s="274"/>
      <c r="E3204" s="283"/>
      <c r="F3204" s="283"/>
      <c r="G3204" s="320"/>
      <c r="H3204" s="320"/>
      <c r="I3204" s="228"/>
      <c r="J3204" s="228"/>
      <c r="K3204" s="233"/>
      <c r="L3204" s="197"/>
      <c r="M3204" s="197"/>
      <c r="N3204" s="197"/>
      <c r="O3204" s="197"/>
    </row>
    <row r="3205" spans="1:15">
      <c r="A3205" s="274"/>
      <c r="B3205" s="274"/>
      <c r="C3205" s="274"/>
      <c r="D3205" s="274"/>
      <c r="E3205" s="283"/>
      <c r="F3205" s="283"/>
      <c r="G3205" s="320"/>
      <c r="H3205" s="320"/>
      <c r="I3205" s="228"/>
      <c r="J3205" s="228"/>
      <c r="K3205" s="233"/>
      <c r="L3205" s="197"/>
      <c r="M3205" s="197"/>
      <c r="N3205" s="197"/>
      <c r="O3205" s="197"/>
    </row>
    <row r="3206" spans="1:15">
      <c r="A3206" s="274"/>
      <c r="B3206" s="274"/>
      <c r="C3206" s="274"/>
      <c r="D3206" s="274"/>
      <c r="E3206" s="283"/>
      <c r="F3206" s="283"/>
      <c r="G3206" s="320"/>
      <c r="H3206" s="320"/>
      <c r="I3206" s="228"/>
      <c r="J3206" s="228"/>
      <c r="K3206" s="233"/>
      <c r="L3206" s="197"/>
      <c r="M3206" s="197"/>
      <c r="N3206" s="197"/>
      <c r="O3206" s="197"/>
    </row>
    <row r="3207" spans="1:15">
      <c r="A3207" s="274"/>
      <c r="B3207" s="274"/>
      <c r="C3207" s="274"/>
      <c r="D3207" s="274"/>
      <c r="E3207" s="283"/>
      <c r="F3207" s="283"/>
      <c r="G3207" s="320"/>
      <c r="H3207" s="320"/>
      <c r="I3207" s="228"/>
      <c r="J3207" s="228"/>
      <c r="K3207" s="233"/>
      <c r="L3207" s="197"/>
      <c r="M3207" s="197"/>
      <c r="N3207" s="197"/>
      <c r="O3207" s="197"/>
    </row>
    <row r="3208" spans="1:15">
      <c r="A3208" s="274"/>
      <c r="B3208" s="274"/>
      <c r="C3208" s="274"/>
      <c r="D3208" s="274"/>
      <c r="E3208" s="283"/>
      <c r="F3208" s="283"/>
      <c r="G3208" s="320"/>
      <c r="H3208" s="320"/>
      <c r="I3208" s="228"/>
      <c r="J3208" s="228"/>
      <c r="K3208" s="233"/>
      <c r="L3208" s="197"/>
      <c r="M3208" s="197"/>
      <c r="N3208" s="197"/>
      <c r="O3208" s="197"/>
    </row>
    <row r="3209" spans="1:15">
      <c r="A3209" s="274"/>
      <c r="B3209" s="274"/>
      <c r="C3209" s="274"/>
      <c r="D3209" s="274"/>
      <c r="E3209" s="283"/>
      <c r="F3209" s="283"/>
      <c r="G3209" s="320"/>
      <c r="H3209" s="320"/>
      <c r="I3209" s="228"/>
      <c r="J3209" s="228"/>
      <c r="K3209" s="233"/>
      <c r="L3209" s="197"/>
      <c r="M3209" s="197"/>
      <c r="N3209" s="197"/>
      <c r="O3209" s="197"/>
    </row>
    <row r="3210" spans="1:15">
      <c r="A3210" s="274"/>
      <c r="B3210" s="274"/>
      <c r="C3210" s="274"/>
      <c r="D3210" s="274"/>
      <c r="E3210" s="283"/>
      <c r="F3210" s="283"/>
      <c r="G3210" s="320"/>
      <c r="H3210" s="320"/>
      <c r="I3210" s="228"/>
      <c r="J3210" s="228"/>
      <c r="K3210" s="274"/>
      <c r="L3210" s="197"/>
      <c r="M3210" s="197"/>
      <c r="N3210" s="197"/>
      <c r="O3210" s="197"/>
    </row>
    <row r="3211" spans="1:15">
      <c r="A3211" s="274"/>
      <c r="B3211" s="274"/>
      <c r="C3211" s="274"/>
      <c r="D3211" s="274"/>
      <c r="E3211" s="283"/>
      <c r="F3211" s="283"/>
      <c r="G3211" s="320"/>
      <c r="H3211" s="320"/>
      <c r="I3211" s="228"/>
      <c r="J3211" s="228"/>
      <c r="K3211" s="233"/>
      <c r="L3211" s="197"/>
      <c r="M3211" s="197"/>
      <c r="N3211" s="197"/>
      <c r="O3211" s="197"/>
    </row>
    <row r="3212" spans="1:15">
      <c r="A3212" s="274"/>
      <c r="B3212" s="274"/>
      <c r="C3212" s="274"/>
      <c r="D3212" s="274"/>
      <c r="E3212" s="283"/>
      <c r="F3212" s="283"/>
      <c r="G3212" s="320"/>
      <c r="H3212" s="320"/>
      <c r="I3212" s="228"/>
      <c r="J3212" s="228"/>
      <c r="K3212" s="233"/>
      <c r="L3212" s="197"/>
      <c r="M3212" s="197"/>
      <c r="N3212" s="197"/>
      <c r="O3212" s="197"/>
    </row>
    <row r="3213" spans="1:15">
      <c r="A3213" s="274"/>
      <c r="B3213" s="274"/>
      <c r="C3213" s="274"/>
      <c r="D3213" s="274"/>
      <c r="E3213" s="283"/>
      <c r="F3213" s="283"/>
      <c r="G3213" s="320"/>
      <c r="H3213" s="320"/>
      <c r="I3213" s="228"/>
      <c r="J3213" s="228"/>
      <c r="K3213" s="233"/>
      <c r="L3213" s="197"/>
      <c r="M3213" s="197"/>
      <c r="N3213" s="197"/>
      <c r="O3213" s="197"/>
    </row>
    <row r="3214" spans="1:15">
      <c r="A3214" s="274"/>
      <c r="B3214" s="274"/>
      <c r="C3214" s="274"/>
      <c r="D3214" s="274"/>
      <c r="E3214" s="283"/>
      <c r="F3214" s="283"/>
      <c r="G3214" s="320"/>
      <c r="H3214" s="320"/>
      <c r="I3214" s="228"/>
      <c r="J3214" s="228"/>
      <c r="K3214" s="233"/>
      <c r="L3214" s="197"/>
      <c r="M3214" s="197"/>
      <c r="N3214" s="197"/>
      <c r="O3214" s="197"/>
    </row>
    <row r="3215" spans="1:15">
      <c r="A3215" s="274"/>
      <c r="B3215" s="274"/>
      <c r="C3215" s="274"/>
      <c r="D3215" s="274"/>
      <c r="E3215" s="283"/>
      <c r="F3215" s="283"/>
      <c r="G3215" s="320"/>
      <c r="H3215" s="320"/>
      <c r="I3215" s="228"/>
      <c r="J3215" s="228"/>
      <c r="K3215" s="233"/>
      <c r="L3215" s="197"/>
      <c r="M3215" s="197"/>
      <c r="N3215" s="197"/>
      <c r="O3215" s="197"/>
    </row>
    <row r="3216" spans="1:15">
      <c r="A3216" s="274"/>
      <c r="B3216" s="274"/>
      <c r="C3216" s="274"/>
      <c r="D3216" s="274"/>
      <c r="E3216" s="283"/>
      <c r="F3216" s="283"/>
      <c r="G3216" s="320"/>
      <c r="H3216" s="320"/>
      <c r="I3216" s="228"/>
      <c r="J3216" s="228"/>
      <c r="K3216" s="233"/>
      <c r="L3216" s="197"/>
      <c r="M3216" s="197"/>
      <c r="N3216" s="197"/>
      <c r="O3216" s="197"/>
    </row>
    <row r="3217" spans="1:15">
      <c r="A3217" s="274"/>
      <c r="B3217" s="227"/>
      <c r="C3217" s="245"/>
      <c r="D3217" s="245"/>
      <c r="E3217" s="331"/>
      <c r="F3217" s="227"/>
      <c r="G3217" s="322"/>
      <c r="H3217" s="322"/>
      <c r="I3217" s="228"/>
      <c r="J3217" s="228"/>
      <c r="K3217" s="233"/>
      <c r="L3217" s="197"/>
      <c r="M3217" s="197"/>
      <c r="N3217" s="197"/>
      <c r="O3217" s="197"/>
    </row>
    <row r="3218" spans="1:15">
      <c r="A3218" s="274"/>
      <c r="B3218" s="274"/>
      <c r="C3218" s="274"/>
      <c r="D3218" s="274"/>
      <c r="E3218" s="283"/>
      <c r="F3218" s="283"/>
      <c r="G3218" s="320"/>
      <c r="H3218" s="320"/>
      <c r="I3218" s="228"/>
      <c r="J3218" s="228"/>
      <c r="K3218" s="233"/>
      <c r="L3218" s="197"/>
      <c r="M3218" s="197"/>
      <c r="N3218" s="197"/>
      <c r="O3218" s="197"/>
    </row>
    <row r="3219" spans="1:15">
      <c r="A3219" s="274"/>
      <c r="B3219" s="274"/>
      <c r="C3219" s="274"/>
      <c r="D3219" s="274"/>
      <c r="E3219" s="283"/>
      <c r="F3219" s="283"/>
      <c r="G3219" s="320"/>
      <c r="H3219" s="320"/>
      <c r="I3219" s="228"/>
      <c r="J3219" s="228"/>
      <c r="K3219" s="233"/>
      <c r="L3219" s="197"/>
      <c r="M3219" s="197"/>
      <c r="N3219" s="197"/>
      <c r="O3219" s="197"/>
    </row>
    <row r="3220" spans="1:15">
      <c r="A3220" s="274"/>
      <c r="B3220" s="274"/>
      <c r="C3220" s="274"/>
      <c r="D3220" s="274"/>
      <c r="E3220" s="283"/>
      <c r="F3220" s="283"/>
      <c r="G3220" s="320"/>
      <c r="H3220" s="320"/>
      <c r="I3220" s="228"/>
      <c r="J3220" s="228"/>
      <c r="K3220" s="233"/>
      <c r="L3220" s="197"/>
      <c r="M3220" s="197"/>
      <c r="N3220" s="197"/>
      <c r="O3220" s="197"/>
    </row>
    <row r="3221" spans="1:15">
      <c r="A3221" s="274"/>
      <c r="B3221" s="274"/>
      <c r="C3221" s="274"/>
      <c r="D3221" s="274"/>
      <c r="E3221" s="283"/>
      <c r="F3221" s="283"/>
      <c r="G3221" s="320"/>
      <c r="H3221" s="320"/>
      <c r="I3221" s="228"/>
      <c r="J3221" s="228"/>
      <c r="K3221" s="233"/>
      <c r="L3221" s="197"/>
      <c r="M3221" s="197"/>
      <c r="N3221" s="197"/>
      <c r="O3221" s="197"/>
    </row>
    <row r="3222" spans="1:15">
      <c r="A3222" s="274"/>
      <c r="B3222" s="274"/>
      <c r="C3222" s="274"/>
      <c r="D3222" s="274"/>
      <c r="E3222" s="283"/>
      <c r="F3222" s="283"/>
      <c r="G3222" s="320"/>
      <c r="H3222" s="320"/>
      <c r="I3222" s="228"/>
      <c r="J3222" s="228"/>
      <c r="K3222" s="233"/>
      <c r="L3222" s="197"/>
      <c r="M3222" s="197"/>
      <c r="N3222" s="197"/>
      <c r="O3222" s="197"/>
    </row>
    <row r="3223" spans="1:15">
      <c r="A3223" s="274"/>
      <c r="B3223" s="274"/>
      <c r="C3223" s="274"/>
      <c r="D3223" s="274"/>
      <c r="E3223" s="283"/>
      <c r="F3223" s="283"/>
      <c r="G3223" s="320"/>
      <c r="H3223" s="320"/>
      <c r="I3223" s="228"/>
      <c r="J3223" s="228"/>
      <c r="K3223" s="233"/>
      <c r="L3223" s="197"/>
      <c r="M3223" s="197"/>
      <c r="N3223" s="197"/>
      <c r="O3223" s="197"/>
    </row>
    <row r="3224" spans="1:15">
      <c r="A3224" s="274"/>
      <c r="B3224" s="274"/>
      <c r="C3224" s="274"/>
      <c r="D3224" s="274"/>
      <c r="E3224" s="283"/>
      <c r="F3224" s="283"/>
      <c r="G3224" s="320"/>
      <c r="H3224" s="320"/>
      <c r="I3224" s="228"/>
      <c r="J3224" s="228"/>
      <c r="K3224" s="233"/>
      <c r="L3224" s="197"/>
      <c r="M3224" s="197"/>
      <c r="N3224" s="197"/>
      <c r="O3224" s="197"/>
    </row>
    <row r="3225" spans="1:15">
      <c r="A3225" s="274"/>
      <c r="B3225" s="274"/>
      <c r="C3225" s="274"/>
      <c r="D3225" s="274"/>
      <c r="E3225" s="283"/>
      <c r="F3225" s="283"/>
      <c r="G3225" s="320"/>
      <c r="H3225" s="320"/>
      <c r="I3225" s="228"/>
      <c r="J3225" s="228"/>
      <c r="K3225" s="233"/>
      <c r="L3225" s="197"/>
      <c r="M3225" s="197"/>
      <c r="N3225" s="197"/>
      <c r="O3225" s="197"/>
    </row>
    <row r="3226" spans="1:15">
      <c r="A3226" s="274"/>
      <c r="B3226" s="274"/>
      <c r="C3226" s="274"/>
      <c r="D3226" s="274"/>
      <c r="E3226" s="283"/>
      <c r="F3226" s="283"/>
      <c r="G3226" s="320"/>
      <c r="H3226" s="320"/>
      <c r="I3226" s="228"/>
      <c r="J3226" s="228"/>
      <c r="K3226" s="233"/>
      <c r="L3226" s="197"/>
      <c r="M3226" s="197"/>
      <c r="N3226" s="197"/>
      <c r="O3226" s="197"/>
    </row>
    <row r="3227" spans="1:15">
      <c r="A3227" s="274"/>
      <c r="B3227" s="274"/>
      <c r="C3227" s="274"/>
      <c r="D3227" s="274"/>
      <c r="E3227" s="283"/>
      <c r="F3227" s="283"/>
      <c r="G3227" s="320"/>
      <c r="H3227" s="320"/>
      <c r="I3227" s="228"/>
      <c r="J3227" s="228"/>
      <c r="K3227" s="233"/>
      <c r="L3227" s="197"/>
      <c r="M3227" s="197"/>
      <c r="N3227" s="197"/>
      <c r="O3227" s="197"/>
    </row>
    <row r="3228" spans="1:15">
      <c r="A3228" s="274"/>
      <c r="B3228" s="274"/>
      <c r="C3228" s="274"/>
      <c r="D3228" s="274"/>
      <c r="E3228" s="283"/>
      <c r="F3228" s="283"/>
      <c r="G3228" s="320"/>
      <c r="H3228" s="320"/>
      <c r="I3228" s="228"/>
      <c r="J3228" s="228"/>
      <c r="K3228" s="233"/>
      <c r="L3228" s="197"/>
      <c r="M3228" s="197"/>
      <c r="N3228" s="197"/>
      <c r="O3228" s="197"/>
    </row>
    <row r="3229" spans="1:15">
      <c r="A3229" s="274"/>
      <c r="B3229" s="274"/>
      <c r="C3229" s="274"/>
      <c r="D3229" s="274"/>
      <c r="E3229" s="283"/>
      <c r="F3229" s="283"/>
      <c r="G3229" s="320"/>
      <c r="H3229" s="320"/>
      <c r="I3229" s="228"/>
      <c r="J3229" s="228"/>
      <c r="K3229" s="233"/>
      <c r="L3229" s="197"/>
      <c r="M3229" s="197"/>
      <c r="N3229" s="197"/>
      <c r="O3229" s="197"/>
    </row>
    <row r="3230" spans="1:15">
      <c r="A3230" s="274"/>
      <c r="B3230" s="274"/>
      <c r="C3230" s="274"/>
      <c r="D3230" s="274"/>
      <c r="E3230" s="283"/>
      <c r="F3230" s="283"/>
      <c r="G3230" s="320"/>
      <c r="H3230" s="320"/>
      <c r="I3230" s="228"/>
      <c r="J3230" s="228"/>
      <c r="K3230" s="233"/>
      <c r="L3230" s="197"/>
      <c r="M3230" s="197"/>
      <c r="N3230" s="197"/>
      <c r="O3230" s="197"/>
    </row>
    <row r="3231" spans="1:15">
      <c r="A3231" s="274"/>
      <c r="B3231" s="274"/>
      <c r="C3231" s="274"/>
      <c r="D3231" s="274"/>
      <c r="E3231" s="283"/>
      <c r="F3231" s="283"/>
      <c r="G3231" s="320"/>
      <c r="H3231" s="320"/>
      <c r="I3231" s="228"/>
      <c r="J3231" s="228"/>
      <c r="K3231" s="233"/>
      <c r="L3231" s="197"/>
      <c r="M3231" s="197"/>
      <c r="N3231" s="197"/>
      <c r="O3231" s="197"/>
    </row>
    <row r="3232" spans="1:15">
      <c r="A3232" s="274"/>
      <c r="B3232" s="274"/>
      <c r="C3232" s="274"/>
      <c r="D3232" s="274"/>
      <c r="E3232" s="283"/>
      <c r="F3232" s="283"/>
      <c r="G3232" s="320"/>
      <c r="H3232" s="320"/>
      <c r="I3232" s="228"/>
      <c r="J3232" s="228"/>
      <c r="K3232" s="233"/>
      <c r="L3232" s="197"/>
      <c r="M3232" s="197"/>
      <c r="N3232" s="197"/>
      <c r="O3232" s="197"/>
    </row>
    <row r="3233" spans="1:15">
      <c r="A3233" s="274"/>
      <c r="B3233" s="274"/>
      <c r="C3233" s="274"/>
      <c r="D3233" s="274"/>
      <c r="E3233" s="283"/>
      <c r="F3233" s="283"/>
      <c r="G3233" s="320"/>
      <c r="H3233" s="320"/>
      <c r="I3233" s="228"/>
      <c r="J3233" s="228"/>
      <c r="K3233" s="233"/>
      <c r="L3233" s="197"/>
      <c r="M3233" s="197"/>
      <c r="N3233" s="197"/>
      <c r="O3233" s="197"/>
    </row>
    <row r="3234" spans="1:15">
      <c r="A3234" s="274"/>
      <c r="B3234" s="274"/>
      <c r="C3234" s="274"/>
      <c r="D3234" s="274"/>
      <c r="E3234" s="283"/>
      <c r="F3234" s="283"/>
      <c r="G3234" s="320"/>
      <c r="H3234" s="320"/>
      <c r="I3234" s="228"/>
      <c r="J3234" s="228"/>
      <c r="K3234" s="233"/>
      <c r="L3234" s="197"/>
      <c r="M3234" s="197"/>
      <c r="N3234" s="197"/>
      <c r="O3234" s="197"/>
    </row>
    <row r="3235" spans="1:15">
      <c r="A3235" s="274"/>
      <c r="B3235" s="274"/>
      <c r="C3235" s="274"/>
      <c r="D3235" s="274"/>
      <c r="E3235" s="283"/>
      <c r="F3235" s="283"/>
      <c r="G3235" s="320"/>
      <c r="H3235" s="320"/>
      <c r="I3235" s="228"/>
      <c r="J3235" s="228"/>
      <c r="K3235" s="233"/>
      <c r="L3235" s="197"/>
      <c r="M3235" s="197"/>
      <c r="N3235" s="197"/>
      <c r="O3235" s="197"/>
    </row>
    <row r="3236" spans="1:15">
      <c r="A3236" s="274"/>
      <c r="B3236" s="274"/>
      <c r="C3236" s="274"/>
      <c r="D3236" s="274"/>
      <c r="E3236" s="283"/>
      <c r="F3236" s="283"/>
      <c r="G3236" s="320"/>
      <c r="H3236" s="320"/>
      <c r="I3236" s="228"/>
      <c r="J3236" s="228"/>
      <c r="K3236" s="233"/>
      <c r="L3236" s="197"/>
      <c r="M3236" s="197"/>
      <c r="N3236" s="197"/>
      <c r="O3236" s="197"/>
    </row>
    <row r="3237" spans="1:15">
      <c r="A3237" s="274"/>
      <c r="B3237" s="274"/>
      <c r="C3237" s="274"/>
      <c r="D3237" s="274"/>
      <c r="E3237" s="283"/>
      <c r="F3237" s="283"/>
      <c r="G3237" s="320"/>
      <c r="H3237" s="320"/>
      <c r="I3237" s="228"/>
      <c r="J3237" s="228"/>
      <c r="K3237" s="233"/>
      <c r="L3237" s="197"/>
      <c r="M3237" s="197"/>
      <c r="N3237" s="197"/>
      <c r="O3237" s="197"/>
    </row>
    <row r="3238" spans="1:15">
      <c r="A3238" s="274"/>
      <c r="B3238" s="274"/>
      <c r="C3238" s="274"/>
      <c r="D3238" s="274"/>
      <c r="E3238" s="283"/>
      <c r="F3238" s="283"/>
      <c r="G3238" s="320"/>
      <c r="H3238" s="320"/>
      <c r="I3238" s="228"/>
      <c r="J3238" s="228"/>
      <c r="K3238" s="233"/>
      <c r="L3238" s="197"/>
      <c r="M3238" s="197"/>
      <c r="N3238" s="197"/>
      <c r="O3238" s="197"/>
    </row>
    <row r="3239" spans="1:15">
      <c r="A3239" s="274"/>
      <c r="B3239" s="274"/>
      <c r="C3239" s="274"/>
      <c r="D3239" s="274"/>
      <c r="E3239" s="283"/>
      <c r="F3239" s="283"/>
      <c r="G3239" s="320"/>
      <c r="H3239" s="320"/>
      <c r="I3239" s="228"/>
      <c r="J3239" s="228"/>
      <c r="K3239" s="233"/>
      <c r="L3239" s="197"/>
      <c r="M3239" s="197"/>
      <c r="N3239" s="197"/>
      <c r="O3239" s="197"/>
    </row>
    <row r="3240" spans="1:15">
      <c r="A3240" s="274"/>
      <c r="B3240" s="274"/>
      <c r="C3240" s="274"/>
      <c r="D3240" s="274"/>
      <c r="E3240" s="283"/>
      <c r="F3240" s="283"/>
      <c r="G3240" s="320"/>
      <c r="H3240" s="320"/>
      <c r="I3240" s="228"/>
      <c r="J3240" s="228"/>
      <c r="K3240" s="233"/>
      <c r="L3240" s="197"/>
      <c r="M3240" s="197"/>
      <c r="N3240" s="197"/>
      <c r="O3240" s="197"/>
    </row>
    <row r="3241" spans="1:15">
      <c r="A3241" s="274"/>
      <c r="B3241" s="274"/>
      <c r="C3241" s="274"/>
      <c r="D3241" s="274"/>
      <c r="E3241" s="283"/>
      <c r="F3241" s="283"/>
      <c r="G3241" s="320"/>
      <c r="H3241" s="320"/>
      <c r="I3241" s="228"/>
      <c r="J3241" s="228"/>
      <c r="K3241" s="233"/>
      <c r="L3241" s="197"/>
      <c r="M3241" s="197"/>
      <c r="N3241" s="197"/>
      <c r="O3241" s="197"/>
    </row>
    <row r="3242" spans="1:15">
      <c r="A3242" s="274"/>
      <c r="B3242" s="274"/>
      <c r="C3242" s="274"/>
      <c r="D3242" s="274"/>
      <c r="E3242" s="283"/>
      <c r="F3242" s="283"/>
      <c r="G3242" s="320"/>
      <c r="H3242" s="320"/>
      <c r="I3242" s="228"/>
      <c r="J3242" s="228"/>
      <c r="K3242" s="233"/>
      <c r="L3242" s="197"/>
      <c r="M3242" s="197"/>
      <c r="N3242" s="197"/>
      <c r="O3242" s="197"/>
    </row>
    <row r="3243" spans="1:15">
      <c r="A3243" s="274"/>
      <c r="B3243" s="274"/>
      <c r="C3243" s="274"/>
      <c r="D3243" s="274"/>
      <c r="E3243" s="283"/>
      <c r="F3243" s="283"/>
      <c r="G3243" s="320"/>
      <c r="H3243" s="320"/>
      <c r="I3243" s="228"/>
      <c r="J3243" s="228"/>
      <c r="K3243" s="233"/>
      <c r="L3243" s="197"/>
      <c r="M3243" s="197"/>
      <c r="N3243" s="197"/>
      <c r="O3243" s="197"/>
    </row>
    <row r="3244" spans="1:15">
      <c r="A3244" s="274"/>
      <c r="B3244" s="274"/>
      <c r="C3244" s="274"/>
      <c r="D3244" s="274"/>
      <c r="E3244" s="283"/>
      <c r="F3244" s="283"/>
      <c r="G3244" s="320"/>
      <c r="H3244" s="320"/>
      <c r="I3244" s="228"/>
      <c r="J3244" s="228"/>
      <c r="K3244" s="233"/>
      <c r="L3244" s="197"/>
      <c r="M3244" s="197"/>
      <c r="N3244" s="197"/>
      <c r="O3244" s="197"/>
    </row>
    <row r="3245" spans="1:15">
      <c r="A3245" s="274"/>
      <c r="B3245" s="274"/>
      <c r="C3245" s="274"/>
      <c r="D3245" s="274"/>
      <c r="E3245" s="283"/>
      <c r="F3245" s="283"/>
      <c r="G3245" s="320"/>
      <c r="H3245" s="320"/>
      <c r="I3245" s="228"/>
      <c r="J3245" s="228"/>
      <c r="K3245" s="233"/>
      <c r="L3245" s="197"/>
      <c r="M3245" s="197"/>
      <c r="N3245" s="197"/>
      <c r="O3245" s="197"/>
    </row>
    <row r="3246" spans="1:15">
      <c r="A3246" s="274"/>
      <c r="B3246" s="274"/>
      <c r="C3246" s="274"/>
      <c r="D3246" s="274"/>
      <c r="E3246" s="283"/>
      <c r="F3246" s="283"/>
      <c r="G3246" s="320"/>
      <c r="H3246" s="320"/>
      <c r="I3246" s="228"/>
      <c r="J3246" s="228"/>
      <c r="K3246" s="233"/>
      <c r="L3246" s="197"/>
      <c r="M3246" s="197"/>
      <c r="N3246" s="197"/>
      <c r="O3246" s="197"/>
    </row>
    <row r="3247" spans="1:15">
      <c r="A3247" s="274"/>
      <c r="B3247" s="274"/>
      <c r="C3247" s="274"/>
      <c r="D3247" s="274"/>
      <c r="E3247" s="283"/>
      <c r="F3247" s="283"/>
      <c r="G3247" s="320"/>
      <c r="H3247" s="320"/>
      <c r="I3247" s="228"/>
      <c r="J3247" s="228"/>
      <c r="K3247" s="233"/>
      <c r="L3247" s="197"/>
      <c r="M3247" s="197"/>
      <c r="N3247" s="197"/>
      <c r="O3247" s="197"/>
    </row>
    <row r="3248" spans="1:15">
      <c r="A3248" s="274"/>
      <c r="B3248" s="274"/>
      <c r="C3248" s="274"/>
      <c r="D3248" s="274"/>
      <c r="E3248" s="283"/>
      <c r="F3248" s="283"/>
      <c r="G3248" s="320"/>
      <c r="H3248" s="320"/>
      <c r="I3248" s="228"/>
      <c r="J3248" s="228"/>
      <c r="K3248" s="233"/>
      <c r="L3248" s="197"/>
      <c r="M3248" s="197"/>
      <c r="N3248" s="197"/>
      <c r="O3248" s="197"/>
    </row>
    <row r="3249" spans="1:15">
      <c r="A3249" s="274"/>
      <c r="B3249" s="274"/>
      <c r="C3249" s="274"/>
      <c r="D3249" s="274"/>
      <c r="E3249" s="283"/>
      <c r="F3249" s="283"/>
      <c r="G3249" s="320"/>
      <c r="H3249" s="320"/>
      <c r="I3249" s="228"/>
      <c r="J3249" s="228"/>
      <c r="K3249" s="233"/>
      <c r="L3249" s="197"/>
      <c r="M3249" s="197"/>
      <c r="N3249" s="197"/>
      <c r="O3249" s="197"/>
    </row>
    <row r="3250" spans="1:15">
      <c r="A3250" s="274"/>
      <c r="B3250" s="274"/>
      <c r="C3250" s="274"/>
      <c r="D3250" s="274"/>
      <c r="E3250" s="283"/>
      <c r="F3250" s="283"/>
      <c r="G3250" s="320"/>
      <c r="H3250" s="320"/>
      <c r="I3250" s="228"/>
      <c r="J3250" s="228"/>
      <c r="K3250" s="233"/>
      <c r="L3250" s="197"/>
      <c r="M3250" s="197"/>
      <c r="N3250" s="197"/>
      <c r="O3250" s="197"/>
    </row>
    <row r="3251" spans="1:15">
      <c r="A3251" s="274"/>
      <c r="B3251" s="274"/>
      <c r="C3251" s="274"/>
      <c r="D3251" s="274"/>
      <c r="E3251" s="283"/>
      <c r="F3251" s="283"/>
      <c r="G3251" s="320"/>
      <c r="H3251" s="320"/>
      <c r="I3251" s="228"/>
      <c r="J3251" s="228"/>
      <c r="K3251" s="233"/>
      <c r="L3251" s="197"/>
      <c r="M3251" s="197"/>
      <c r="N3251" s="197"/>
      <c r="O3251" s="197"/>
    </row>
    <row r="3252" spans="1:15">
      <c r="A3252" s="274"/>
      <c r="B3252" s="274"/>
      <c r="C3252" s="274"/>
      <c r="D3252" s="274"/>
      <c r="E3252" s="283"/>
      <c r="F3252" s="283"/>
      <c r="G3252" s="320"/>
      <c r="H3252" s="320"/>
      <c r="I3252" s="228"/>
      <c r="J3252" s="228"/>
      <c r="K3252" s="233"/>
      <c r="L3252" s="197"/>
      <c r="M3252" s="197"/>
      <c r="N3252" s="197"/>
      <c r="O3252" s="197"/>
    </row>
    <row r="3253" spans="1:15">
      <c r="A3253" s="274"/>
      <c r="B3253" s="274"/>
      <c r="C3253" s="274"/>
      <c r="D3253" s="274"/>
      <c r="E3253" s="283"/>
      <c r="F3253" s="283"/>
      <c r="G3253" s="320"/>
      <c r="H3253" s="320"/>
      <c r="I3253" s="228"/>
      <c r="J3253" s="228"/>
      <c r="K3253" s="233"/>
      <c r="L3253" s="197"/>
      <c r="M3253" s="197"/>
      <c r="N3253" s="197"/>
      <c r="O3253" s="197"/>
    </row>
    <row r="3254" spans="1:15">
      <c r="A3254" s="274"/>
      <c r="B3254" s="274"/>
      <c r="C3254" s="274"/>
      <c r="D3254" s="274"/>
      <c r="E3254" s="283"/>
      <c r="F3254" s="283"/>
      <c r="G3254" s="320"/>
      <c r="H3254" s="320"/>
      <c r="I3254" s="228"/>
      <c r="J3254" s="228"/>
      <c r="K3254" s="233"/>
      <c r="L3254" s="197"/>
      <c r="M3254" s="197"/>
      <c r="N3254" s="197"/>
      <c r="O3254" s="197"/>
    </row>
    <row r="3255" spans="1:15">
      <c r="A3255" s="274"/>
      <c r="B3255" s="274"/>
      <c r="C3255" s="274"/>
      <c r="D3255" s="274"/>
      <c r="E3255" s="283"/>
      <c r="F3255" s="283"/>
      <c r="G3255" s="320"/>
      <c r="H3255" s="320"/>
      <c r="I3255" s="228"/>
      <c r="J3255" s="228"/>
      <c r="K3255" s="274"/>
      <c r="L3255" s="197"/>
      <c r="M3255" s="197"/>
      <c r="N3255" s="197"/>
      <c r="O3255" s="197"/>
    </row>
    <row r="3256" spans="1:15">
      <c r="A3256" s="274"/>
      <c r="B3256" s="274"/>
      <c r="C3256" s="274"/>
      <c r="D3256" s="274"/>
      <c r="E3256" s="283"/>
      <c r="F3256" s="283"/>
      <c r="G3256" s="320"/>
      <c r="H3256" s="320"/>
      <c r="I3256" s="228"/>
      <c r="J3256" s="228"/>
      <c r="K3256" s="233"/>
      <c r="L3256" s="197"/>
      <c r="M3256" s="197"/>
      <c r="N3256" s="197"/>
      <c r="O3256" s="197"/>
    </row>
    <row r="3257" spans="1:15">
      <c r="A3257" s="274"/>
      <c r="B3257" s="274"/>
      <c r="C3257" s="274"/>
      <c r="D3257" s="274"/>
      <c r="E3257" s="283"/>
      <c r="F3257" s="283"/>
      <c r="G3257" s="320"/>
      <c r="H3257" s="320"/>
      <c r="I3257" s="228"/>
      <c r="J3257" s="228"/>
      <c r="K3257" s="233"/>
      <c r="L3257" s="197"/>
      <c r="M3257" s="197"/>
      <c r="N3257" s="197"/>
      <c r="O3257" s="197"/>
    </row>
    <row r="3258" spans="1:15">
      <c r="A3258" s="274"/>
      <c r="B3258" s="274"/>
      <c r="C3258" s="274"/>
      <c r="D3258" s="274"/>
      <c r="E3258" s="283"/>
      <c r="F3258" s="283"/>
      <c r="G3258" s="320"/>
      <c r="H3258" s="320"/>
      <c r="I3258" s="228"/>
      <c r="J3258" s="228"/>
      <c r="K3258" s="233"/>
      <c r="L3258" s="197"/>
      <c r="M3258" s="197"/>
      <c r="N3258" s="197"/>
      <c r="O3258" s="197"/>
    </row>
    <row r="3259" spans="1:15">
      <c r="A3259" s="274"/>
      <c r="B3259" s="274"/>
      <c r="C3259" s="274"/>
      <c r="D3259" s="274"/>
      <c r="E3259" s="283"/>
      <c r="F3259" s="283"/>
      <c r="G3259" s="320"/>
      <c r="H3259" s="320"/>
      <c r="I3259" s="228"/>
      <c r="J3259" s="228"/>
      <c r="K3259" s="233"/>
      <c r="L3259" s="197"/>
      <c r="M3259" s="197"/>
      <c r="N3259" s="197"/>
      <c r="O3259" s="197"/>
    </row>
    <row r="3260" spans="1:15">
      <c r="A3260" s="274"/>
      <c r="B3260" s="274"/>
      <c r="C3260" s="274"/>
      <c r="D3260" s="274"/>
      <c r="E3260" s="283"/>
      <c r="F3260" s="283"/>
      <c r="G3260" s="320"/>
      <c r="H3260" s="320"/>
      <c r="I3260" s="228"/>
      <c r="J3260" s="228"/>
      <c r="K3260" s="233"/>
      <c r="L3260" s="197"/>
      <c r="M3260" s="197"/>
      <c r="N3260" s="197"/>
      <c r="O3260" s="197"/>
    </row>
    <row r="3261" spans="1:15">
      <c r="A3261" s="274"/>
      <c r="B3261" s="274"/>
      <c r="C3261" s="274"/>
      <c r="D3261" s="274"/>
      <c r="E3261" s="283"/>
      <c r="F3261" s="283"/>
      <c r="G3261" s="320"/>
      <c r="H3261" s="320"/>
      <c r="I3261" s="228"/>
      <c r="J3261" s="228"/>
      <c r="K3261" s="233"/>
      <c r="L3261" s="197"/>
      <c r="M3261" s="197"/>
      <c r="N3261" s="197"/>
      <c r="O3261" s="197"/>
    </row>
    <row r="3262" spans="1:15">
      <c r="A3262" s="274"/>
      <c r="B3262" s="274"/>
      <c r="C3262" s="274"/>
      <c r="D3262" s="274"/>
      <c r="E3262" s="283"/>
      <c r="F3262" s="283"/>
      <c r="G3262" s="320"/>
      <c r="H3262" s="320"/>
      <c r="I3262" s="228"/>
      <c r="J3262" s="228"/>
      <c r="K3262" s="233"/>
      <c r="L3262" s="197"/>
      <c r="M3262" s="197"/>
      <c r="N3262" s="197"/>
      <c r="O3262" s="197"/>
    </row>
    <row r="3263" spans="1:15">
      <c r="A3263" s="274"/>
      <c r="B3263" s="274"/>
      <c r="C3263" s="274"/>
      <c r="D3263" s="274"/>
      <c r="E3263" s="283"/>
      <c r="F3263" s="283"/>
      <c r="G3263" s="320"/>
      <c r="H3263" s="320"/>
      <c r="I3263" s="228"/>
      <c r="J3263" s="228"/>
      <c r="K3263" s="233"/>
      <c r="L3263" s="197"/>
      <c r="M3263" s="197"/>
      <c r="N3263" s="197"/>
      <c r="O3263" s="197"/>
    </row>
    <row r="3264" spans="1:15">
      <c r="A3264" s="274"/>
      <c r="B3264" s="274"/>
      <c r="C3264" s="274"/>
      <c r="D3264" s="274"/>
      <c r="E3264" s="283"/>
      <c r="F3264" s="283"/>
      <c r="G3264" s="320"/>
      <c r="H3264" s="320"/>
      <c r="I3264" s="228"/>
      <c r="J3264" s="228"/>
      <c r="K3264" s="233"/>
      <c r="L3264" s="197"/>
      <c r="M3264" s="197"/>
      <c r="N3264" s="197"/>
      <c r="O3264" s="197"/>
    </row>
    <row r="3265" spans="1:15">
      <c r="A3265" s="274"/>
      <c r="B3265" s="274"/>
      <c r="C3265" s="274"/>
      <c r="D3265" s="274"/>
      <c r="E3265" s="283"/>
      <c r="F3265" s="283"/>
      <c r="G3265" s="320"/>
      <c r="H3265" s="320"/>
      <c r="I3265" s="228"/>
      <c r="J3265" s="228"/>
      <c r="K3265" s="233"/>
      <c r="L3265" s="197"/>
      <c r="M3265" s="197"/>
      <c r="N3265" s="197"/>
      <c r="O3265" s="197"/>
    </row>
    <row r="3266" spans="1:15">
      <c r="A3266" s="274"/>
      <c r="B3266" s="274"/>
      <c r="C3266" s="274"/>
      <c r="D3266" s="274"/>
      <c r="E3266" s="283"/>
      <c r="F3266" s="283"/>
      <c r="G3266" s="320"/>
      <c r="H3266" s="320"/>
      <c r="I3266" s="228"/>
      <c r="J3266" s="228"/>
      <c r="K3266" s="233"/>
      <c r="L3266" s="197"/>
      <c r="M3266" s="197"/>
      <c r="N3266" s="197"/>
      <c r="O3266" s="197"/>
    </row>
    <row r="3267" spans="1:15">
      <c r="A3267" s="274"/>
      <c r="B3267" s="274"/>
      <c r="C3267" s="274"/>
      <c r="D3267" s="274"/>
      <c r="E3267" s="283"/>
      <c r="F3267" s="283"/>
      <c r="G3267" s="320"/>
      <c r="H3267" s="320"/>
      <c r="I3267" s="228"/>
      <c r="J3267" s="228"/>
      <c r="K3267" s="233"/>
      <c r="L3267" s="197"/>
      <c r="M3267" s="197"/>
      <c r="N3267" s="197"/>
      <c r="O3267" s="197"/>
    </row>
    <row r="3268" spans="1:15">
      <c r="A3268" s="274"/>
      <c r="B3268" s="274"/>
      <c r="C3268" s="274"/>
      <c r="D3268" s="274"/>
      <c r="E3268" s="283"/>
      <c r="F3268" s="283"/>
      <c r="G3268" s="320"/>
      <c r="H3268" s="320"/>
      <c r="I3268" s="228"/>
      <c r="J3268" s="228"/>
      <c r="K3268" s="233"/>
      <c r="L3268" s="197"/>
      <c r="M3268" s="197"/>
      <c r="N3268" s="197"/>
      <c r="O3268" s="197"/>
    </row>
    <row r="3269" spans="1:15">
      <c r="A3269" s="274"/>
      <c r="B3269" s="274"/>
      <c r="C3269" s="274"/>
      <c r="D3269" s="274"/>
      <c r="E3269" s="283"/>
      <c r="F3269" s="283"/>
      <c r="G3269" s="320"/>
      <c r="H3269" s="320"/>
      <c r="I3269" s="228"/>
      <c r="J3269" s="228"/>
      <c r="K3269" s="233"/>
      <c r="L3269" s="197"/>
      <c r="M3269" s="197"/>
      <c r="N3269" s="197"/>
      <c r="O3269" s="197"/>
    </row>
    <row r="3270" spans="1:15">
      <c r="A3270" s="274"/>
      <c r="B3270" s="274"/>
      <c r="C3270" s="274"/>
      <c r="D3270" s="274"/>
      <c r="E3270" s="283"/>
      <c r="F3270" s="283"/>
      <c r="G3270" s="320"/>
      <c r="H3270" s="320"/>
      <c r="I3270" s="228"/>
      <c r="J3270" s="228"/>
      <c r="K3270" s="233"/>
      <c r="L3270" s="197"/>
      <c r="M3270" s="197"/>
      <c r="N3270" s="197"/>
      <c r="O3270" s="197"/>
    </row>
    <row r="3271" spans="1:15">
      <c r="A3271" s="274"/>
      <c r="B3271" s="274"/>
      <c r="C3271" s="274"/>
      <c r="D3271" s="274"/>
      <c r="E3271" s="283"/>
      <c r="F3271" s="283"/>
      <c r="G3271" s="320"/>
      <c r="H3271" s="320"/>
      <c r="I3271" s="228"/>
      <c r="J3271" s="228"/>
      <c r="K3271" s="233"/>
      <c r="L3271" s="197"/>
      <c r="M3271" s="197"/>
      <c r="N3271" s="197"/>
      <c r="O3271" s="197"/>
    </row>
    <row r="3272" spans="1:15">
      <c r="A3272" s="274"/>
      <c r="B3272" s="274"/>
      <c r="C3272" s="274"/>
      <c r="D3272" s="274"/>
      <c r="E3272" s="283"/>
      <c r="F3272" s="283"/>
      <c r="G3272" s="320"/>
      <c r="H3272" s="320"/>
      <c r="I3272" s="228"/>
      <c r="J3272" s="228"/>
      <c r="K3272" s="233"/>
      <c r="L3272" s="197"/>
      <c r="M3272" s="197"/>
      <c r="N3272" s="197"/>
      <c r="O3272" s="197"/>
    </row>
    <row r="3273" spans="1:15">
      <c r="A3273" s="274"/>
      <c r="B3273" s="274"/>
      <c r="C3273" s="274"/>
      <c r="D3273" s="274"/>
      <c r="E3273" s="283"/>
      <c r="F3273" s="283"/>
      <c r="G3273" s="320"/>
      <c r="H3273" s="320"/>
      <c r="I3273" s="228"/>
      <c r="J3273" s="228"/>
      <c r="K3273" s="233"/>
      <c r="L3273" s="197"/>
      <c r="M3273" s="197"/>
      <c r="N3273" s="197"/>
      <c r="O3273" s="197"/>
    </row>
    <row r="3274" spans="1:15">
      <c r="A3274" s="274"/>
      <c r="B3274" s="274"/>
      <c r="C3274" s="274"/>
      <c r="D3274" s="274"/>
      <c r="E3274" s="283"/>
      <c r="F3274" s="283"/>
      <c r="G3274" s="320"/>
      <c r="H3274" s="320"/>
      <c r="I3274" s="228"/>
      <c r="J3274" s="228"/>
      <c r="K3274" s="233"/>
      <c r="L3274" s="197"/>
      <c r="M3274" s="197"/>
      <c r="N3274" s="197"/>
      <c r="O3274" s="197"/>
    </row>
    <row r="3275" spans="1:15">
      <c r="A3275" s="274"/>
      <c r="B3275" s="274"/>
      <c r="C3275" s="274"/>
      <c r="D3275" s="274"/>
      <c r="E3275" s="283"/>
      <c r="F3275" s="283"/>
      <c r="G3275" s="320"/>
      <c r="H3275" s="320"/>
      <c r="I3275" s="228"/>
      <c r="J3275" s="228"/>
      <c r="K3275" s="233"/>
      <c r="L3275" s="197"/>
      <c r="M3275" s="197"/>
      <c r="N3275" s="197"/>
      <c r="O3275" s="197"/>
    </row>
    <row r="3276" spans="1:15">
      <c r="A3276" s="274"/>
      <c r="B3276" s="274"/>
      <c r="C3276" s="274"/>
      <c r="D3276" s="274"/>
      <c r="E3276" s="283"/>
      <c r="F3276" s="283"/>
      <c r="G3276" s="320"/>
      <c r="H3276" s="320"/>
      <c r="I3276" s="228"/>
      <c r="J3276" s="228"/>
      <c r="K3276" s="233"/>
      <c r="L3276" s="197"/>
      <c r="M3276" s="197"/>
      <c r="N3276" s="197"/>
      <c r="O3276" s="197"/>
    </row>
    <row r="3277" spans="1:15">
      <c r="A3277" s="274"/>
      <c r="B3277" s="274"/>
      <c r="C3277" s="274"/>
      <c r="D3277" s="274"/>
      <c r="E3277" s="283"/>
      <c r="F3277" s="283"/>
      <c r="G3277" s="320"/>
      <c r="H3277" s="320"/>
      <c r="I3277" s="228"/>
      <c r="J3277" s="228"/>
      <c r="K3277" s="233"/>
      <c r="L3277" s="197"/>
      <c r="M3277" s="197"/>
      <c r="N3277" s="197"/>
      <c r="O3277" s="197"/>
    </row>
    <row r="3278" spans="1:15">
      <c r="A3278" s="274"/>
      <c r="B3278" s="274"/>
      <c r="C3278" s="274"/>
      <c r="D3278" s="274"/>
      <c r="E3278" s="283"/>
      <c r="F3278" s="283"/>
      <c r="G3278" s="320"/>
      <c r="H3278" s="320"/>
      <c r="I3278" s="228"/>
      <c r="J3278" s="228"/>
      <c r="K3278" s="233"/>
      <c r="L3278" s="197"/>
      <c r="M3278" s="197"/>
      <c r="N3278" s="197"/>
      <c r="O3278" s="197"/>
    </row>
    <row r="3279" spans="1:15">
      <c r="A3279" s="274"/>
      <c r="B3279" s="274"/>
      <c r="C3279" s="274"/>
      <c r="D3279" s="274"/>
      <c r="E3279" s="283"/>
      <c r="F3279" s="283"/>
      <c r="G3279" s="320"/>
      <c r="H3279" s="320"/>
      <c r="I3279" s="228"/>
      <c r="J3279" s="228"/>
      <c r="K3279" s="233"/>
      <c r="L3279" s="197"/>
      <c r="M3279" s="197"/>
      <c r="N3279" s="197"/>
      <c r="O3279" s="197"/>
    </row>
    <row r="3280" spans="1:15">
      <c r="A3280" s="274"/>
      <c r="B3280" s="274"/>
      <c r="C3280" s="274"/>
      <c r="D3280" s="274"/>
      <c r="E3280" s="283"/>
      <c r="F3280" s="283"/>
      <c r="G3280" s="320"/>
      <c r="H3280" s="320"/>
      <c r="I3280" s="228"/>
      <c r="J3280" s="228"/>
      <c r="K3280" s="233"/>
      <c r="L3280" s="197"/>
      <c r="M3280" s="197"/>
      <c r="N3280" s="197"/>
      <c r="O3280" s="197"/>
    </row>
    <row r="3281" spans="1:15">
      <c r="A3281" s="274"/>
      <c r="B3281" s="274"/>
      <c r="C3281" s="274"/>
      <c r="D3281" s="274"/>
      <c r="E3281" s="283"/>
      <c r="F3281" s="283"/>
      <c r="G3281" s="320"/>
      <c r="H3281" s="320"/>
      <c r="I3281" s="228"/>
      <c r="J3281" s="228"/>
      <c r="K3281" s="233"/>
      <c r="L3281" s="197"/>
      <c r="M3281" s="197"/>
      <c r="N3281" s="197"/>
      <c r="O3281" s="197"/>
    </row>
    <row r="3282" spans="1:15">
      <c r="A3282" s="274"/>
      <c r="B3282" s="274"/>
      <c r="C3282" s="274"/>
      <c r="D3282" s="274"/>
      <c r="E3282" s="283"/>
      <c r="F3282" s="283"/>
      <c r="G3282" s="320"/>
      <c r="H3282" s="320"/>
      <c r="I3282" s="228"/>
      <c r="J3282" s="228"/>
      <c r="K3282" s="233"/>
      <c r="L3282" s="197"/>
      <c r="M3282" s="197"/>
      <c r="N3282" s="197"/>
      <c r="O3282" s="197"/>
    </row>
    <row r="3283" spans="1:15">
      <c r="A3283" s="274"/>
      <c r="B3283" s="274"/>
      <c r="C3283" s="274"/>
      <c r="D3283" s="274"/>
      <c r="E3283" s="283"/>
      <c r="F3283" s="283"/>
      <c r="G3283" s="320"/>
      <c r="H3283" s="320"/>
      <c r="I3283" s="228"/>
      <c r="J3283" s="228"/>
      <c r="K3283" s="233"/>
      <c r="L3283" s="197"/>
      <c r="M3283" s="197"/>
      <c r="N3283" s="197"/>
      <c r="O3283" s="197"/>
    </row>
    <row r="3284" spans="1:15">
      <c r="A3284" s="274"/>
      <c r="B3284" s="274"/>
      <c r="C3284" s="274"/>
      <c r="D3284" s="274"/>
      <c r="E3284" s="283"/>
      <c r="F3284" s="283"/>
      <c r="G3284" s="320"/>
      <c r="H3284" s="320"/>
      <c r="I3284" s="228"/>
      <c r="J3284" s="228"/>
      <c r="K3284" s="233"/>
      <c r="L3284" s="197"/>
      <c r="M3284" s="197"/>
      <c r="N3284" s="197"/>
      <c r="O3284" s="197"/>
    </row>
    <row r="3285" spans="1:15">
      <c r="A3285" s="274"/>
      <c r="B3285" s="274"/>
      <c r="C3285" s="274"/>
      <c r="D3285" s="274"/>
      <c r="E3285" s="283"/>
      <c r="F3285" s="283"/>
      <c r="G3285" s="320"/>
      <c r="H3285" s="320"/>
      <c r="I3285" s="228"/>
      <c r="J3285" s="228"/>
      <c r="K3285" s="233"/>
      <c r="L3285" s="197"/>
      <c r="M3285" s="197"/>
      <c r="N3285" s="197"/>
      <c r="O3285" s="197"/>
    </row>
    <row r="3286" spans="1:15">
      <c r="A3286" s="274"/>
      <c r="B3286" s="274"/>
      <c r="C3286" s="274"/>
      <c r="D3286" s="274"/>
      <c r="E3286" s="283"/>
      <c r="F3286" s="283"/>
      <c r="G3286" s="320"/>
      <c r="H3286" s="320"/>
      <c r="I3286" s="228"/>
      <c r="J3286" s="228"/>
      <c r="K3286" s="233"/>
      <c r="L3286" s="197"/>
      <c r="M3286" s="197"/>
      <c r="N3286" s="197"/>
      <c r="O3286" s="197"/>
    </row>
    <row r="3287" spans="1:15">
      <c r="A3287" s="274"/>
      <c r="B3287" s="274"/>
      <c r="C3287" s="274"/>
      <c r="D3287" s="274"/>
      <c r="E3287" s="283"/>
      <c r="F3287" s="283"/>
      <c r="G3287" s="320"/>
      <c r="H3287" s="320"/>
      <c r="I3287" s="228"/>
      <c r="J3287" s="228"/>
      <c r="K3287" s="233"/>
      <c r="L3287" s="197"/>
      <c r="M3287" s="197"/>
      <c r="N3287" s="197"/>
      <c r="O3287" s="197"/>
    </row>
    <row r="3288" spans="1:15">
      <c r="A3288" s="274"/>
      <c r="B3288" s="274"/>
      <c r="C3288" s="274"/>
      <c r="D3288" s="274"/>
      <c r="E3288" s="283"/>
      <c r="F3288" s="283"/>
      <c r="G3288" s="320"/>
      <c r="H3288" s="320"/>
      <c r="I3288" s="228"/>
      <c r="J3288" s="228"/>
      <c r="K3288" s="233"/>
      <c r="L3288" s="197"/>
      <c r="M3288" s="197"/>
      <c r="N3288" s="197"/>
      <c r="O3288" s="197"/>
    </row>
    <row r="3289" spans="1:15">
      <c r="A3289" s="274"/>
      <c r="B3289" s="274"/>
      <c r="C3289" s="274"/>
      <c r="D3289" s="274"/>
      <c r="E3289" s="283"/>
      <c r="F3289" s="283"/>
      <c r="G3289" s="320"/>
      <c r="H3289" s="320"/>
      <c r="I3289" s="228"/>
      <c r="J3289" s="228"/>
      <c r="K3289" s="233"/>
      <c r="L3289" s="197"/>
      <c r="M3289" s="197"/>
      <c r="N3289" s="197"/>
      <c r="O3289" s="197"/>
    </row>
    <row r="3290" spans="1:15">
      <c r="A3290" s="274"/>
      <c r="B3290" s="274"/>
      <c r="C3290" s="274"/>
      <c r="D3290" s="274"/>
      <c r="E3290" s="283"/>
      <c r="F3290" s="283"/>
      <c r="G3290" s="320"/>
      <c r="H3290" s="320"/>
      <c r="I3290" s="228"/>
      <c r="J3290" s="228"/>
      <c r="K3290" s="233"/>
      <c r="L3290" s="197"/>
      <c r="M3290" s="197"/>
      <c r="N3290" s="197"/>
      <c r="O3290" s="197"/>
    </row>
    <row r="3291" spans="1:15">
      <c r="A3291" s="274"/>
      <c r="B3291" s="274"/>
      <c r="C3291" s="274"/>
      <c r="D3291" s="274"/>
      <c r="E3291" s="283"/>
      <c r="F3291" s="283"/>
      <c r="G3291" s="320"/>
      <c r="H3291" s="320"/>
      <c r="I3291" s="228"/>
      <c r="J3291" s="228"/>
      <c r="K3291" s="233"/>
      <c r="L3291" s="197"/>
      <c r="M3291" s="197"/>
      <c r="N3291" s="197"/>
      <c r="O3291" s="197"/>
    </row>
    <row r="3292" spans="1:15">
      <c r="A3292" s="274"/>
      <c r="B3292" s="274"/>
      <c r="C3292" s="274"/>
      <c r="D3292" s="274"/>
      <c r="E3292" s="283"/>
      <c r="F3292" s="283"/>
      <c r="G3292" s="320"/>
      <c r="H3292" s="320"/>
      <c r="I3292" s="228"/>
      <c r="J3292" s="228"/>
      <c r="K3292" s="233"/>
      <c r="L3292" s="197"/>
      <c r="M3292" s="197"/>
      <c r="N3292" s="197"/>
      <c r="O3292" s="197"/>
    </row>
    <row r="3293" spans="1:15">
      <c r="A3293" s="274"/>
      <c r="B3293" s="274"/>
      <c r="C3293" s="274"/>
      <c r="D3293" s="274"/>
      <c r="E3293" s="283"/>
      <c r="F3293" s="283"/>
      <c r="G3293" s="320"/>
      <c r="H3293" s="320"/>
      <c r="I3293" s="228"/>
      <c r="J3293" s="228"/>
      <c r="K3293" s="233"/>
      <c r="L3293" s="197"/>
      <c r="M3293" s="197"/>
      <c r="N3293" s="197"/>
      <c r="O3293" s="197"/>
    </row>
    <row r="3294" spans="1:15">
      <c r="A3294" s="274"/>
      <c r="B3294" s="274"/>
      <c r="C3294" s="274"/>
      <c r="D3294" s="274"/>
      <c r="E3294" s="283"/>
      <c r="F3294" s="283"/>
      <c r="G3294" s="320"/>
      <c r="H3294" s="320"/>
      <c r="I3294" s="228"/>
      <c r="J3294" s="228"/>
      <c r="K3294" s="233"/>
      <c r="L3294" s="197"/>
      <c r="M3294" s="197"/>
      <c r="N3294" s="197"/>
      <c r="O3294" s="197"/>
    </row>
    <row r="3295" spans="1:15">
      <c r="A3295" s="274"/>
      <c r="B3295" s="274"/>
      <c r="C3295" s="274"/>
      <c r="D3295" s="274"/>
      <c r="E3295" s="283"/>
      <c r="F3295" s="283"/>
      <c r="G3295" s="320"/>
      <c r="H3295" s="320"/>
      <c r="I3295" s="228"/>
      <c r="J3295" s="228"/>
      <c r="K3295" s="233"/>
      <c r="L3295" s="197"/>
      <c r="M3295" s="197"/>
      <c r="N3295" s="197"/>
      <c r="O3295" s="197"/>
    </row>
    <row r="3296" spans="1:15">
      <c r="A3296" s="274"/>
      <c r="B3296" s="274"/>
      <c r="C3296" s="274"/>
      <c r="D3296" s="274"/>
      <c r="E3296" s="283"/>
      <c r="F3296" s="283"/>
      <c r="G3296" s="320"/>
      <c r="H3296" s="320"/>
      <c r="I3296" s="228"/>
      <c r="J3296" s="228"/>
      <c r="K3296" s="233"/>
      <c r="L3296" s="197"/>
      <c r="M3296" s="197"/>
      <c r="N3296" s="197"/>
      <c r="O3296" s="197"/>
    </row>
    <row r="3297" spans="1:15">
      <c r="A3297" s="274"/>
      <c r="B3297" s="274"/>
      <c r="C3297" s="274"/>
      <c r="D3297" s="274"/>
      <c r="E3297" s="283"/>
      <c r="F3297" s="283"/>
      <c r="G3297" s="320"/>
      <c r="H3297" s="320"/>
      <c r="I3297" s="228"/>
      <c r="J3297" s="228"/>
      <c r="K3297" s="233"/>
      <c r="L3297" s="197"/>
      <c r="M3297" s="197"/>
      <c r="N3297" s="197"/>
      <c r="O3297" s="197"/>
    </row>
    <row r="3298" spans="1:15">
      <c r="A3298" s="274"/>
      <c r="B3298" s="274"/>
      <c r="C3298" s="274"/>
      <c r="D3298" s="274"/>
      <c r="E3298" s="283"/>
      <c r="F3298" s="283"/>
      <c r="G3298" s="320"/>
      <c r="H3298" s="320"/>
      <c r="I3298" s="228"/>
      <c r="J3298" s="228"/>
      <c r="K3298" s="233"/>
      <c r="L3298" s="197"/>
      <c r="M3298" s="197"/>
      <c r="N3298" s="197"/>
      <c r="O3298" s="197"/>
    </row>
    <row r="3299" spans="1:15">
      <c r="A3299" s="274"/>
      <c r="B3299" s="274"/>
      <c r="C3299" s="274"/>
      <c r="D3299" s="274"/>
      <c r="E3299" s="283"/>
      <c r="F3299" s="283"/>
      <c r="G3299" s="320"/>
      <c r="H3299" s="320"/>
      <c r="I3299" s="228"/>
      <c r="J3299" s="228"/>
      <c r="K3299" s="233"/>
      <c r="L3299" s="197"/>
      <c r="M3299" s="197"/>
      <c r="N3299" s="197"/>
      <c r="O3299" s="197"/>
    </row>
    <row r="3300" spans="1:15">
      <c r="A3300" s="274"/>
      <c r="B3300" s="274"/>
      <c r="C3300" s="274"/>
      <c r="D3300" s="274"/>
      <c r="E3300" s="283"/>
      <c r="F3300" s="283"/>
      <c r="G3300" s="320"/>
      <c r="H3300" s="320"/>
      <c r="I3300" s="228"/>
      <c r="J3300" s="228"/>
      <c r="K3300" s="233"/>
      <c r="L3300" s="197"/>
      <c r="M3300" s="197"/>
      <c r="N3300" s="197"/>
      <c r="O3300" s="197"/>
    </row>
    <row r="3301" spans="1:15">
      <c r="A3301" s="274"/>
      <c r="B3301" s="274"/>
      <c r="C3301" s="274"/>
      <c r="D3301" s="274"/>
      <c r="E3301" s="283"/>
      <c r="F3301" s="283"/>
      <c r="G3301" s="320"/>
      <c r="H3301" s="320"/>
      <c r="I3301" s="228"/>
      <c r="J3301" s="228"/>
      <c r="K3301" s="233"/>
      <c r="L3301" s="197"/>
      <c r="M3301" s="197"/>
      <c r="N3301" s="197"/>
      <c r="O3301" s="197"/>
    </row>
    <row r="3302" spans="1:15">
      <c r="A3302" s="274"/>
      <c r="B3302" s="274"/>
      <c r="C3302" s="274"/>
      <c r="D3302" s="274"/>
      <c r="E3302" s="283"/>
      <c r="F3302" s="283"/>
      <c r="G3302" s="320"/>
      <c r="H3302" s="320"/>
      <c r="I3302" s="228"/>
      <c r="J3302" s="228"/>
      <c r="K3302" s="233"/>
      <c r="L3302" s="197"/>
      <c r="M3302" s="197"/>
      <c r="N3302" s="197"/>
      <c r="O3302" s="197"/>
    </row>
    <row r="3303" spans="1:15">
      <c r="A3303" s="274"/>
      <c r="B3303" s="274"/>
      <c r="C3303" s="274"/>
      <c r="D3303" s="274"/>
      <c r="E3303" s="283"/>
      <c r="F3303" s="283"/>
      <c r="G3303" s="320"/>
      <c r="H3303" s="320"/>
      <c r="I3303" s="228"/>
      <c r="J3303" s="228"/>
      <c r="K3303" s="233"/>
      <c r="L3303" s="197"/>
      <c r="M3303" s="197"/>
      <c r="N3303" s="197"/>
      <c r="O3303" s="197"/>
    </row>
    <row r="3304" spans="1:15">
      <c r="A3304" s="274"/>
      <c r="B3304" s="274"/>
      <c r="C3304" s="274"/>
      <c r="D3304" s="274"/>
      <c r="E3304" s="283"/>
      <c r="F3304" s="283"/>
      <c r="G3304" s="320"/>
      <c r="H3304" s="320"/>
      <c r="I3304" s="228"/>
      <c r="J3304" s="228"/>
      <c r="K3304" s="233"/>
      <c r="L3304" s="197"/>
      <c r="M3304" s="197"/>
      <c r="N3304" s="197"/>
      <c r="O3304" s="197"/>
    </row>
    <row r="3305" spans="1:15">
      <c r="A3305" s="274"/>
      <c r="B3305" s="274"/>
      <c r="C3305" s="274"/>
      <c r="D3305" s="274"/>
      <c r="E3305" s="283"/>
      <c r="F3305" s="283"/>
      <c r="G3305" s="320"/>
      <c r="H3305" s="320"/>
      <c r="I3305" s="228"/>
      <c r="J3305" s="228"/>
      <c r="K3305" s="233"/>
      <c r="L3305" s="197"/>
      <c r="M3305" s="197"/>
      <c r="N3305" s="197"/>
      <c r="O3305" s="197"/>
    </row>
    <row r="3306" spans="1:15">
      <c r="A3306" s="274"/>
      <c r="B3306" s="274"/>
      <c r="C3306" s="274"/>
      <c r="D3306" s="274"/>
      <c r="E3306" s="283"/>
      <c r="F3306" s="283"/>
      <c r="G3306" s="320"/>
      <c r="H3306" s="320"/>
      <c r="I3306" s="228"/>
      <c r="J3306" s="228"/>
      <c r="K3306" s="233"/>
      <c r="L3306" s="197"/>
      <c r="M3306" s="197"/>
      <c r="N3306" s="197"/>
      <c r="O3306" s="197"/>
    </row>
    <row r="3307" spans="1:15">
      <c r="A3307" s="274"/>
      <c r="B3307" s="274"/>
      <c r="C3307" s="274"/>
      <c r="D3307" s="274"/>
      <c r="E3307" s="283"/>
      <c r="F3307" s="283"/>
      <c r="G3307" s="320"/>
      <c r="H3307" s="320"/>
      <c r="I3307" s="228"/>
      <c r="J3307" s="228"/>
      <c r="K3307" s="233"/>
      <c r="L3307" s="197"/>
      <c r="M3307" s="197"/>
      <c r="N3307" s="197"/>
      <c r="O3307" s="197"/>
    </row>
    <row r="3308" spans="1:15">
      <c r="A3308" s="274"/>
      <c r="B3308" s="274"/>
      <c r="C3308" s="274"/>
      <c r="D3308" s="274"/>
      <c r="E3308" s="283"/>
      <c r="F3308" s="283"/>
      <c r="G3308" s="320"/>
      <c r="H3308" s="320"/>
      <c r="I3308" s="228"/>
      <c r="J3308" s="228"/>
      <c r="K3308" s="233"/>
      <c r="L3308" s="197"/>
      <c r="M3308" s="197"/>
      <c r="N3308" s="197"/>
      <c r="O3308" s="197"/>
    </row>
    <row r="3309" spans="1:15">
      <c r="A3309" s="274"/>
      <c r="B3309" s="274"/>
      <c r="C3309" s="274"/>
      <c r="D3309" s="274"/>
      <c r="E3309" s="283"/>
      <c r="F3309" s="283"/>
      <c r="G3309" s="320"/>
      <c r="H3309" s="320"/>
      <c r="I3309" s="228"/>
      <c r="J3309" s="228"/>
      <c r="K3309" s="233"/>
      <c r="L3309" s="197"/>
      <c r="M3309" s="197"/>
      <c r="N3309" s="197"/>
      <c r="O3309" s="197"/>
    </row>
    <row r="3310" spans="1:15">
      <c r="A3310" s="274"/>
      <c r="B3310" s="274"/>
      <c r="C3310" s="274"/>
      <c r="D3310" s="274"/>
      <c r="E3310" s="283"/>
      <c r="F3310" s="283"/>
      <c r="G3310" s="320"/>
      <c r="H3310" s="320"/>
      <c r="I3310" s="228"/>
      <c r="J3310" s="228"/>
      <c r="K3310" s="233"/>
      <c r="L3310" s="197"/>
      <c r="M3310" s="197"/>
      <c r="N3310" s="197"/>
      <c r="O3310" s="197"/>
    </row>
    <row r="3311" spans="1:15">
      <c r="A3311" s="274"/>
      <c r="B3311" s="274"/>
      <c r="C3311" s="274"/>
      <c r="D3311" s="274"/>
      <c r="E3311" s="283"/>
      <c r="F3311" s="283"/>
      <c r="G3311" s="320"/>
      <c r="H3311" s="320"/>
      <c r="I3311" s="228"/>
      <c r="J3311" s="228"/>
      <c r="K3311" s="233"/>
      <c r="L3311" s="197"/>
      <c r="M3311" s="197"/>
      <c r="N3311" s="197"/>
      <c r="O3311" s="197"/>
    </row>
    <row r="3312" spans="1:15">
      <c r="A3312" s="274"/>
      <c r="B3312" s="274"/>
      <c r="C3312" s="274"/>
      <c r="D3312" s="274"/>
      <c r="E3312" s="283"/>
      <c r="F3312" s="283"/>
      <c r="G3312" s="320"/>
      <c r="H3312" s="320"/>
      <c r="I3312" s="228"/>
      <c r="J3312" s="228"/>
      <c r="K3312" s="233"/>
      <c r="L3312" s="197"/>
      <c r="M3312" s="197"/>
      <c r="N3312" s="197"/>
      <c r="O3312" s="197"/>
    </row>
    <row r="3313" spans="1:15">
      <c r="A3313" s="274"/>
      <c r="B3313" s="274"/>
      <c r="C3313" s="274"/>
      <c r="D3313" s="274"/>
      <c r="E3313" s="283"/>
      <c r="F3313" s="283"/>
      <c r="G3313" s="320"/>
      <c r="H3313" s="320"/>
      <c r="I3313" s="228"/>
      <c r="J3313" s="228"/>
      <c r="K3313" s="233"/>
      <c r="L3313" s="197"/>
      <c r="M3313" s="197"/>
      <c r="N3313" s="197"/>
      <c r="O3313" s="197"/>
    </row>
    <row r="3314" spans="1:15">
      <c r="A3314" s="274"/>
      <c r="B3314" s="274"/>
      <c r="C3314" s="274"/>
      <c r="D3314" s="274"/>
      <c r="E3314" s="283"/>
      <c r="F3314" s="283"/>
      <c r="G3314" s="320"/>
      <c r="H3314" s="320"/>
      <c r="I3314" s="228"/>
      <c r="J3314" s="228"/>
      <c r="K3314" s="233"/>
      <c r="L3314" s="197"/>
      <c r="M3314" s="197"/>
      <c r="N3314" s="197"/>
      <c r="O3314" s="197"/>
    </row>
    <row r="3315" spans="1:15">
      <c r="A3315" s="274"/>
      <c r="B3315" s="274"/>
      <c r="C3315" s="274"/>
      <c r="D3315" s="274"/>
      <c r="E3315" s="283"/>
      <c r="F3315" s="283"/>
      <c r="G3315" s="320"/>
      <c r="H3315" s="320"/>
      <c r="I3315" s="228"/>
      <c r="J3315" s="228"/>
      <c r="K3315" s="233"/>
      <c r="L3315" s="197"/>
      <c r="M3315" s="197"/>
      <c r="N3315" s="197"/>
      <c r="O3315" s="197"/>
    </row>
    <row r="3316" spans="1:15">
      <c r="A3316" s="274"/>
      <c r="B3316" s="274"/>
      <c r="C3316" s="274"/>
      <c r="D3316" s="274"/>
      <c r="E3316" s="283"/>
      <c r="F3316" s="283"/>
      <c r="G3316" s="320"/>
      <c r="H3316" s="320"/>
      <c r="I3316" s="228"/>
      <c r="J3316" s="228"/>
      <c r="K3316" s="233"/>
      <c r="L3316" s="197"/>
      <c r="M3316" s="197"/>
      <c r="N3316" s="197"/>
      <c r="O3316" s="197"/>
    </row>
    <row r="3317" spans="1:15">
      <c r="A3317" s="274"/>
      <c r="B3317" s="274"/>
      <c r="C3317" s="274"/>
      <c r="D3317" s="274"/>
      <c r="E3317" s="283"/>
      <c r="F3317" s="283"/>
      <c r="G3317" s="320"/>
      <c r="H3317" s="320"/>
      <c r="I3317" s="228"/>
      <c r="J3317" s="228"/>
      <c r="K3317" s="233"/>
      <c r="L3317" s="197"/>
      <c r="M3317" s="197"/>
      <c r="N3317" s="197"/>
      <c r="O3317" s="197"/>
    </row>
    <row r="3318" spans="1:15">
      <c r="A3318" s="274"/>
      <c r="B3318" s="274"/>
      <c r="C3318" s="274"/>
      <c r="D3318" s="274"/>
      <c r="E3318" s="283"/>
      <c r="F3318" s="283"/>
      <c r="G3318" s="320"/>
      <c r="H3318" s="320"/>
      <c r="I3318" s="228"/>
      <c r="J3318" s="228"/>
      <c r="K3318" s="233"/>
      <c r="L3318" s="197"/>
      <c r="M3318" s="197"/>
      <c r="N3318" s="197"/>
      <c r="O3318" s="197"/>
    </row>
    <row r="3319" spans="1:15">
      <c r="A3319" s="274"/>
      <c r="B3319" s="274"/>
      <c r="C3319" s="274"/>
      <c r="D3319" s="274"/>
      <c r="E3319" s="283"/>
      <c r="F3319" s="283"/>
      <c r="G3319" s="320"/>
      <c r="H3319" s="320"/>
      <c r="I3319" s="228"/>
      <c r="J3319" s="228"/>
      <c r="K3319" s="233"/>
      <c r="L3319" s="197"/>
      <c r="M3319" s="197"/>
      <c r="N3319" s="197"/>
      <c r="O3319" s="197"/>
    </row>
    <row r="3320" spans="1:15">
      <c r="A3320" s="274"/>
      <c r="B3320" s="274"/>
      <c r="C3320" s="274"/>
      <c r="D3320" s="274"/>
      <c r="E3320" s="283"/>
      <c r="F3320" s="283"/>
      <c r="G3320" s="320"/>
      <c r="H3320" s="320"/>
      <c r="I3320" s="228"/>
      <c r="J3320" s="228"/>
      <c r="K3320" s="233"/>
      <c r="L3320" s="197"/>
      <c r="M3320" s="197"/>
      <c r="N3320" s="197"/>
      <c r="O3320" s="197"/>
    </row>
    <row r="3321" spans="1:15">
      <c r="A3321" s="274"/>
      <c r="B3321" s="274"/>
      <c r="C3321" s="274"/>
      <c r="D3321" s="274"/>
      <c r="E3321" s="283"/>
      <c r="F3321" s="283"/>
      <c r="G3321" s="320"/>
      <c r="H3321" s="320"/>
      <c r="I3321" s="228"/>
      <c r="J3321" s="228"/>
      <c r="K3321" s="233"/>
      <c r="L3321" s="197"/>
      <c r="M3321" s="197"/>
      <c r="N3321" s="197"/>
      <c r="O3321" s="197"/>
    </row>
    <row r="3322" spans="1:15">
      <c r="A3322" s="274"/>
      <c r="B3322" s="274"/>
      <c r="C3322" s="274"/>
      <c r="D3322" s="274"/>
      <c r="E3322" s="283"/>
      <c r="F3322" s="283"/>
      <c r="G3322" s="320"/>
      <c r="H3322" s="320"/>
      <c r="I3322" s="228"/>
      <c r="J3322" s="228"/>
      <c r="K3322" s="233"/>
      <c r="L3322" s="197"/>
      <c r="M3322" s="197"/>
      <c r="N3322" s="197"/>
      <c r="O3322" s="197"/>
    </row>
    <row r="3323" spans="1:15">
      <c r="A3323" s="274"/>
      <c r="B3323" s="274"/>
      <c r="C3323" s="274"/>
      <c r="D3323" s="274"/>
      <c r="E3323" s="283"/>
      <c r="F3323" s="283"/>
      <c r="G3323" s="320"/>
      <c r="H3323" s="320"/>
      <c r="I3323" s="228"/>
      <c r="J3323" s="228"/>
      <c r="K3323" s="233"/>
      <c r="L3323" s="197"/>
      <c r="M3323" s="197"/>
      <c r="N3323" s="197"/>
      <c r="O3323" s="197"/>
    </row>
    <row r="3324" spans="1:15">
      <c r="A3324" s="274"/>
      <c r="B3324" s="274"/>
      <c r="C3324" s="274"/>
      <c r="D3324" s="274"/>
      <c r="E3324" s="283"/>
      <c r="F3324" s="283"/>
      <c r="G3324" s="320"/>
      <c r="H3324" s="320"/>
      <c r="I3324" s="228"/>
      <c r="J3324" s="228"/>
      <c r="K3324" s="233"/>
      <c r="L3324" s="197"/>
      <c r="M3324" s="197"/>
      <c r="N3324" s="197"/>
      <c r="O3324" s="197"/>
    </row>
    <row r="3325" spans="1:15">
      <c r="A3325" s="274"/>
      <c r="B3325" s="274"/>
      <c r="C3325" s="274"/>
      <c r="D3325" s="274"/>
      <c r="E3325" s="283"/>
      <c r="F3325" s="283"/>
      <c r="G3325" s="320"/>
      <c r="H3325" s="320"/>
      <c r="I3325" s="228"/>
      <c r="J3325" s="228"/>
      <c r="K3325" s="233"/>
      <c r="L3325" s="197"/>
      <c r="M3325" s="197"/>
      <c r="N3325" s="197"/>
      <c r="O3325" s="197"/>
    </row>
    <row r="3326" spans="1:15">
      <c r="A3326" s="274"/>
      <c r="B3326" s="274"/>
      <c r="C3326" s="274"/>
      <c r="D3326" s="274"/>
      <c r="E3326" s="283"/>
      <c r="F3326" s="283"/>
      <c r="G3326" s="320"/>
      <c r="H3326" s="320"/>
      <c r="I3326" s="228"/>
      <c r="J3326" s="228"/>
      <c r="K3326" s="233"/>
      <c r="L3326" s="197"/>
      <c r="M3326" s="197"/>
      <c r="N3326" s="197"/>
      <c r="O3326" s="197"/>
    </row>
    <row r="3327" spans="1:15">
      <c r="A3327" s="274"/>
      <c r="B3327" s="274"/>
      <c r="C3327" s="274"/>
      <c r="D3327" s="274"/>
      <c r="E3327" s="283"/>
      <c r="F3327" s="283"/>
      <c r="G3327" s="320"/>
      <c r="H3327" s="320"/>
      <c r="I3327" s="228"/>
      <c r="J3327" s="228"/>
      <c r="K3327" s="233"/>
      <c r="L3327" s="197"/>
      <c r="M3327" s="197"/>
      <c r="N3327" s="197"/>
      <c r="O3327" s="197"/>
    </row>
    <row r="3328" spans="1:15">
      <c r="A3328" s="274"/>
      <c r="B3328" s="274"/>
      <c r="C3328" s="274"/>
      <c r="D3328" s="274"/>
      <c r="E3328" s="283"/>
      <c r="F3328" s="283"/>
      <c r="G3328" s="320"/>
      <c r="H3328" s="320"/>
      <c r="I3328" s="228"/>
      <c r="J3328" s="228"/>
      <c r="K3328" s="233"/>
      <c r="L3328" s="197"/>
      <c r="M3328" s="197"/>
      <c r="N3328" s="197"/>
      <c r="O3328" s="197"/>
    </row>
    <row r="3329" spans="1:15">
      <c r="A3329" s="274"/>
      <c r="B3329" s="274"/>
      <c r="C3329" s="274"/>
      <c r="D3329" s="274"/>
      <c r="E3329" s="283"/>
      <c r="F3329" s="283"/>
      <c r="G3329" s="320"/>
      <c r="H3329" s="320"/>
      <c r="I3329" s="228"/>
      <c r="J3329" s="228"/>
      <c r="K3329" s="233"/>
      <c r="L3329" s="197"/>
      <c r="M3329" s="197"/>
      <c r="N3329" s="197"/>
      <c r="O3329" s="197"/>
    </row>
    <row r="3330" spans="1:15">
      <c r="A3330" s="274"/>
      <c r="B3330" s="274"/>
      <c r="C3330" s="274"/>
      <c r="D3330" s="274"/>
      <c r="E3330" s="283"/>
      <c r="F3330" s="283"/>
      <c r="G3330" s="320"/>
      <c r="H3330" s="320"/>
      <c r="I3330" s="228"/>
      <c r="J3330" s="228"/>
      <c r="K3330" s="233"/>
      <c r="L3330" s="197"/>
      <c r="M3330" s="197"/>
      <c r="N3330" s="197"/>
      <c r="O3330" s="197"/>
    </row>
    <row r="3331" spans="1:15">
      <c r="A3331" s="274"/>
      <c r="B3331" s="274"/>
      <c r="C3331" s="274"/>
      <c r="D3331" s="274"/>
      <c r="E3331" s="283"/>
      <c r="F3331" s="283"/>
      <c r="G3331" s="320"/>
      <c r="H3331" s="320"/>
      <c r="I3331" s="228"/>
      <c r="J3331" s="228"/>
      <c r="K3331" s="233"/>
      <c r="L3331" s="197"/>
      <c r="M3331" s="197"/>
      <c r="N3331" s="197"/>
      <c r="O3331" s="197"/>
    </row>
    <row r="3332" spans="1:15">
      <c r="A3332" s="274"/>
      <c r="B3332" s="274"/>
      <c r="C3332" s="274"/>
      <c r="D3332" s="274"/>
      <c r="E3332" s="283"/>
      <c r="F3332" s="283"/>
      <c r="G3332" s="320"/>
      <c r="H3332" s="320"/>
      <c r="I3332" s="228"/>
      <c r="J3332" s="228"/>
      <c r="K3332" s="233"/>
      <c r="L3332" s="197"/>
      <c r="M3332" s="197"/>
      <c r="N3332" s="197"/>
      <c r="O3332" s="197"/>
    </row>
    <row r="3333" spans="1:15">
      <c r="A3333" s="274"/>
      <c r="B3333" s="274"/>
      <c r="C3333" s="274"/>
      <c r="D3333" s="274"/>
      <c r="E3333" s="283"/>
      <c r="F3333" s="283"/>
      <c r="G3333" s="320"/>
      <c r="H3333" s="320"/>
      <c r="I3333" s="228"/>
      <c r="J3333" s="228"/>
      <c r="K3333" s="233"/>
      <c r="L3333" s="197"/>
      <c r="M3333" s="197"/>
      <c r="N3333" s="197"/>
      <c r="O3333" s="197"/>
    </row>
    <row r="3334" spans="1:15">
      <c r="A3334" s="274"/>
      <c r="B3334" s="274"/>
      <c r="C3334" s="274"/>
      <c r="D3334" s="274"/>
      <c r="E3334" s="283"/>
      <c r="F3334" s="283"/>
      <c r="G3334" s="320"/>
      <c r="H3334" s="320"/>
      <c r="I3334" s="228"/>
      <c r="J3334" s="228"/>
      <c r="K3334" s="233"/>
      <c r="L3334" s="197"/>
      <c r="M3334" s="197"/>
      <c r="N3334" s="197"/>
      <c r="O3334" s="197"/>
    </row>
    <row r="3335" spans="1:15">
      <c r="A3335" s="274"/>
      <c r="B3335" s="274"/>
      <c r="C3335" s="274"/>
      <c r="D3335" s="274"/>
      <c r="E3335" s="283"/>
      <c r="F3335" s="283"/>
      <c r="G3335" s="320"/>
      <c r="H3335" s="320"/>
      <c r="I3335" s="228"/>
      <c r="J3335" s="228"/>
      <c r="K3335" s="233"/>
      <c r="L3335" s="197"/>
      <c r="M3335" s="197"/>
      <c r="N3335" s="197"/>
      <c r="O3335" s="197"/>
    </row>
    <row r="3336" spans="1:15">
      <c r="A3336" s="274"/>
      <c r="B3336" s="274"/>
      <c r="C3336" s="274"/>
      <c r="D3336" s="274"/>
      <c r="E3336" s="283"/>
      <c r="F3336" s="283"/>
      <c r="G3336" s="320"/>
      <c r="H3336" s="320"/>
      <c r="I3336" s="228"/>
      <c r="J3336" s="228"/>
      <c r="K3336" s="233"/>
      <c r="L3336" s="197"/>
      <c r="M3336" s="197"/>
      <c r="N3336" s="197"/>
      <c r="O3336" s="197"/>
    </row>
    <row r="3337" spans="1:15">
      <c r="A3337" s="274"/>
      <c r="B3337" s="274"/>
      <c r="C3337" s="274"/>
      <c r="D3337" s="274"/>
      <c r="E3337" s="283"/>
      <c r="F3337" s="283"/>
      <c r="G3337" s="320"/>
      <c r="H3337" s="320"/>
      <c r="I3337" s="228"/>
      <c r="J3337" s="228"/>
      <c r="K3337" s="233"/>
      <c r="L3337" s="197"/>
      <c r="M3337" s="197"/>
      <c r="N3337" s="197"/>
      <c r="O3337" s="197"/>
    </row>
    <row r="3338" spans="1:15">
      <c r="A3338" s="274"/>
      <c r="B3338" s="274"/>
      <c r="C3338" s="274"/>
      <c r="D3338" s="274"/>
      <c r="E3338" s="283"/>
      <c r="F3338" s="283"/>
      <c r="G3338" s="320"/>
      <c r="H3338" s="320"/>
      <c r="I3338" s="228"/>
      <c r="J3338" s="228"/>
      <c r="K3338" s="233"/>
      <c r="L3338" s="197"/>
      <c r="M3338" s="197"/>
      <c r="N3338" s="197"/>
      <c r="O3338" s="197"/>
    </row>
    <row r="3339" spans="1:15">
      <c r="A3339" s="274"/>
      <c r="B3339" s="274"/>
      <c r="C3339" s="274"/>
      <c r="D3339" s="274"/>
      <c r="E3339" s="283"/>
      <c r="F3339" s="283"/>
      <c r="G3339" s="320"/>
      <c r="H3339" s="320"/>
      <c r="I3339" s="228"/>
      <c r="J3339" s="228"/>
      <c r="K3339" s="233"/>
      <c r="L3339" s="197"/>
      <c r="M3339" s="197"/>
      <c r="N3339" s="197"/>
      <c r="O3339" s="197"/>
    </row>
    <row r="3340" spans="1:15">
      <c r="A3340" s="274"/>
      <c r="B3340" s="274"/>
      <c r="C3340" s="274"/>
      <c r="D3340" s="274"/>
      <c r="E3340" s="283"/>
      <c r="F3340" s="283"/>
      <c r="G3340" s="320"/>
      <c r="H3340" s="320"/>
      <c r="I3340" s="228"/>
      <c r="J3340" s="228"/>
      <c r="K3340" s="233"/>
      <c r="L3340" s="197"/>
      <c r="M3340" s="197"/>
      <c r="N3340" s="197"/>
      <c r="O3340" s="197"/>
    </row>
    <row r="3341" spans="1:15">
      <c r="A3341" s="274"/>
      <c r="B3341" s="274"/>
      <c r="C3341" s="274"/>
      <c r="D3341" s="274"/>
      <c r="E3341" s="283"/>
      <c r="F3341" s="283"/>
      <c r="G3341" s="320"/>
      <c r="H3341" s="320"/>
      <c r="I3341" s="228"/>
      <c r="J3341" s="228"/>
      <c r="K3341" s="233"/>
      <c r="L3341" s="197"/>
      <c r="M3341" s="197"/>
      <c r="N3341" s="197"/>
      <c r="O3341" s="197"/>
    </row>
    <row r="3342" spans="1:15">
      <c r="A3342" s="274"/>
      <c r="B3342" s="274"/>
      <c r="C3342" s="274"/>
      <c r="D3342" s="274"/>
      <c r="E3342" s="283"/>
      <c r="F3342" s="283"/>
      <c r="G3342" s="320"/>
      <c r="H3342" s="320"/>
      <c r="I3342" s="228"/>
      <c r="J3342" s="228"/>
      <c r="K3342" s="233"/>
      <c r="L3342" s="197"/>
      <c r="M3342" s="197"/>
      <c r="N3342" s="197"/>
      <c r="O3342" s="197"/>
    </row>
    <row r="3343" spans="1:15">
      <c r="A3343" s="274"/>
      <c r="B3343" s="274"/>
      <c r="C3343" s="274"/>
      <c r="D3343" s="274"/>
      <c r="E3343" s="283"/>
      <c r="F3343" s="283"/>
      <c r="G3343" s="320"/>
      <c r="H3343" s="320"/>
      <c r="I3343" s="228"/>
      <c r="J3343" s="228"/>
      <c r="K3343" s="233"/>
      <c r="L3343" s="197"/>
      <c r="M3343" s="197"/>
      <c r="N3343" s="197"/>
      <c r="O3343" s="197"/>
    </row>
    <row r="3344" spans="1:15">
      <c r="A3344" s="274"/>
      <c r="B3344" s="274"/>
      <c r="C3344" s="274"/>
      <c r="D3344" s="274"/>
      <c r="E3344" s="283"/>
      <c r="F3344" s="283"/>
      <c r="G3344" s="320"/>
      <c r="H3344" s="320"/>
      <c r="I3344" s="228"/>
      <c r="J3344" s="228"/>
      <c r="K3344" s="233"/>
      <c r="L3344" s="197"/>
      <c r="M3344" s="197"/>
      <c r="N3344" s="197"/>
      <c r="O3344" s="197"/>
    </row>
    <row r="3345" spans="1:15">
      <c r="A3345" s="274"/>
      <c r="B3345" s="274"/>
      <c r="C3345" s="274"/>
      <c r="D3345" s="274"/>
      <c r="E3345" s="283"/>
      <c r="F3345" s="283"/>
      <c r="G3345" s="320"/>
      <c r="H3345" s="320"/>
      <c r="I3345" s="228"/>
      <c r="J3345" s="228"/>
      <c r="K3345" s="233"/>
      <c r="L3345" s="197"/>
      <c r="M3345" s="197"/>
      <c r="N3345" s="197"/>
      <c r="O3345" s="197"/>
    </row>
    <row r="3346" spans="1:15">
      <c r="A3346" s="274"/>
      <c r="B3346" s="274"/>
      <c r="C3346" s="274"/>
      <c r="D3346" s="274"/>
      <c r="E3346" s="283"/>
      <c r="F3346" s="283"/>
      <c r="G3346" s="320"/>
      <c r="H3346" s="320"/>
      <c r="I3346" s="228"/>
      <c r="J3346" s="228"/>
      <c r="K3346" s="233"/>
      <c r="L3346" s="197"/>
      <c r="M3346" s="197"/>
      <c r="N3346" s="197"/>
      <c r="O3346" s="197"/>
    </row>
    <row r="3347" spans="1:15">
      <c r="A3347" s="274"/>
      <c r="B3347" s="274"/>
      <c r="C3347" s="274"/>
      <c r="D3347" s="274"/>
      <c r="E3347" s="283"/>
      <c r="F3347" s="283"/>
      <c r="G3347" s="320"/>
      <c r="H3347" s="320"/>
      <c r="I3347" s="228"/>
      <c r="J3347" s="228"/>
      <c r="K3347" s="233"/>
      <c r="L3347" s="197"/>
      <c r="M3347" s="197"/>
      <c r="N3347" s="197"/>
      <c r="O3347" s="197"/>
    </row>
    <row r="3348" spans="1:15">
      <c r="A3348" s="274"/>
      <c r="B3348" s="274"/>
      <c r="C3348" s="274"/>
      <c r="D3348" s="274"/>
      <c r="E3348" s="283"/>
      <c r="F3348" s="283"/>
      <c r="G3348" s="320"/>
      <c r="H3348" s="320"/>
      <c r="I3348" s="228"/>
      <c r="J3348" s="228"/>
      <c r="K3348" s="233"/>
      <c r="L3348" s="197"/>
      <c r="M3348" s="197"/>
      <c r="N3348" s="197"/>
      <c r="O3348" s="197"/>
    </row>
    <row r="3349" spans="1:15">
      <c r="A3349" s="274"/>
      <c r="B3349" s="274"/>
      <c r="C3349" s="274"/>
      <c r="D3349" s="274"/>
      <c r="E3349" s="283"/>
      <c r="F3349" s="283"/>
      <c r="G3349" s="320"/>
      <c r="H3349" s="320"/>
      <c r="I3349" s="228"/>
      <c r="J3349" s="228"/>
      <c r="K3349" s="233"/>
      <c r="L3349" s="197"/>
      <c r="M3349" s="197"/>
      <c r="N3349" s="197"/>
      <c r="O3349" s="197"/>
    </row>
    <row r="3350" spans="1:15">
      <c r="A3350" s="274"/>
      <c r="B3350" s="274"/>
      <c r="C3350" s="274"/>
      <c r="D3350" s="274"/>
      <c r="E3350" s="283"/>
      <c r="F3350" s="283"/>
      <c r="G3350" s="320"/>
      <c r="H3350" s="320"/>
      <c r="I3350" s="228"/>
      <c r="J3350" s="228"/>
      <c r="K3350" s="233"/>
      <c r="L3350" s="197"/>
      <c r="M3350" s="197"/>
      <c r="N3350" s="197"/>
      <c r="O3350" s="197"/>
    </row>
    <row r="3351" spans="1:15">
      <c r="A3351" s="274"/>
      <c r="B3351" s="274"/>
      <c r="C3351" s="274"/>
      <c r="D3351" s="274"/>
      <c r="E3351" s="283"/>
      <c r="F3351" s="283"/>
      <c r="G3351" s="320"/>
      <c r="H3351" s="320"/>
      <c r="I3351" s="228"/>
      <c r="J3351" s="228"/>
      <c r="K3351" s="233"/>
      <c r="L3351" s="197"/>
      <c r="M3351" s="197"/>
      <c r="N3351" s="197"/>
      <c r="O3351" s="197"/>
    </row>
    <row r="3352" spans="1:15">
      <c r="A3352" s="274"/>
      <c r="B3352" s="274"/>
      <c r="C3352" s="274"/>
      <c r="D3352" s="274"/>
      <c r="E3352" s="283"/>
      <c r="F3352" s="283"/>
      <c r="G3352" s="320"/>
      <c r="H3352" s="320"/>
      <c r="I3352" s="228"/>
      <c r="J3352" s="228"/>
      <c r="K3352" s="233"/>
      <c r="L3352" s="197"/>
      <c r="M3352" s="197"/>
      <c r="N3352" s="197"/>
      <c r="O3352" s="197"/>
    </row>
    <row r="3353" spans="1:15">
      <c r="A3353" s="274"/>
      <c r="B3353" s="274"/>
      <c r="C3353" s="274"/>
      <c r="D3353" s="274"/>
      <c r="E3353" s="283"/>
      <c r="F3353" s="283"/>
      <c r="G3353" s="320"/>
      <c r="H3353" s="320"/>
      <c r="I3353" s="228"/>
      <c r="J3353" s="228"/>
      <c r="K3353" s="233"/>
      <c r="L3353" s="197"/>
      <c r="M3353" s="197"/>
      <c r="N3353" s="197"/>
      <c r="O3353" s="197"/>
    </row>
    <row r="3354" spans="1:15">
      <c r="A3354" s="274"/>
      <c r="B3354" s="274"/>
      <c r="C3354" s="274"/>
      <c r="D3354" s="274"/>
      <c r="E3354" s="283"/>
      <c r="F3354" s="283"/>
      <c r="G3354" s="320"/>
      <c r="H3354" s="320"/>
      <c r="I3354" s="228"/>
      <c r="J3354" s="228"/>
      <c r="K3354" s="233"/>
      <c r="L3354" s="197"/>
      <c r="M3354" s="197"/>
      <c r="N3354" s="197"/>
      <c r="O3354" s="197"/>
    </row>
    <row r="3355" spans="1:15">
      <c r="A3355" s="274"/>
      <c r="B3355" s="274"/>
      <c r="C3355" s="274"/>
      <c r="D3355" s="274"/>
      <c r="E3355" s="283"/>
      <c r="F3355" s="283"/>
      <c r="G3355" s="320"/>
      <c r="H3355" s="320"/>
      <c r="I3355" s="228"/>
      <c r="J3355" s="228"/>
      <c r="K3355" s="233"/>
      <c r="L3355" s="197"/>
      <c r="M3355" s="197"/>
      <c r="N3355" s="197"/>
      <c r="O3355" s="197"/>
    </row>
    <row r="3356" spans="1:15">
      <c r="A3356" s="274"/>
      <c r="B3356" s="274"/>
      <c r="C3356" s="274"/>
      <c r="D3356" s="274"/>
      <c r="E3356" s="283"/>
      <c r="F3356" s="283"/>
      <c r="G3356" s="320"/>
      <c r="H3356" s="320"/>
      <c r="I3356" s="228"/>
      <c r="J3356" s="228"/>
      <c r="K3356" s="233"/>
      <c r="L3356" s="197"/>
      <c r="M3356" s="197"/>
      <c r="N3356" s="197"/>
      <c r="O3356" s="197"/>
    </row>
    <row r="3357" spans="1:15">
      <c r="A3357" s="274"/>
      <c r="B3357" s="274"/>
      <c r="C3357" s="274"/>
      <c r="D3357" s="274"/>
      <c r="E3357" s="283"/>
      <c r="F3357" s="283"/>
      <c r="G3357" s="320"/>
      <c r="H3357" s="320"/>
      <c r="I3357" s="228"/>
      <c r="J3357" s="228"/>
      <c r="K3357" s="233"/>
      <c r="L3357" s="197"/>
      <c r="M3357" s="197"/>
      <c r="N3357" s="197"/>
      <c r="O3357" s="197"/>
    </row>
    <row r="3358" spans="1:15">
      <c r="A3358" s="274"/>
      <c r="B3358" s="274"/>
      <c r="C3358" s="274"/>
      <c r="D3358" s="274"/>
      <c r="E3358" s="283"/>
      <c r="F3358" s="283"/>
      <c r="G3358" s="320"/>
      <c r="H3358" s="320"/>
      <c r="I3358" s="228"/>
      <c r="J3358" s="228"/>
      <c r="K3358" s="233"/>
      <c r="L3358" s="197"/>
      <c r="M3358" s="197"/>
      <c r="N3358" s="197"/>
      <c r="O3358" s="197"/>
    </row>
    <row r="3359" spans="1:15">
      <c r="A3359" s="274"/>
      <c r="B3359" s="274"/>
      <c r="C3359" s="274"/>
      <c r="D3359" s="274"/>
      <c r="E3359" s="283"/>
      <c r="F3359" s="283"/>
      <c r="G3359" s="320"/>
      <c r="H3359" s="320"/>
      <c r="I3359" s="228"/>
      <c r="J3359" s="228"/>
      <c r="K3359" s="233"/>
      <c r="L3359" s="197"/>
      <c r="M3359" s="197"/>
      <c r="N3359" s="197"/>
      <c r="O3359" s="197"/>
    </row>
    <row r="3360" spans="1:15">
      <c r="A3360" s="274"/>
      <c r="B3360" s="274"/>
      <c r="C3360" s="274"/>
      <c r="D3360" s="274"/>
      <c r="E3360" s="283"/>
      <c r="F3360" s="283"/>
      <c r="G3360" s="320"/>
      <c r="H3360" s="320"/>
      <c r="I3360" s="228"/>
      <c r="J3360" s="228"/>
      <c r="K3360" s="233"/>
      <c r="L3360" s="197"/>
      <c r="M3360" s="197"/>
      <c r="N3360" s="197"/>
      <c r="O3360" s="197"/>
    </row>
    <row r="3361" spans="1:15">
      <c r="A3361" s="274"/>
      <c r="B3361" s="274"/>
      <c r="C3361" s="274"/>
      <c r="D3361" s="274"/>
      <c r="E3361" s="283"/>
      <c r="F3361" s="283"/>
      <c r="G3361" s="320"/>
      <c r="H3361" s="320"/>
      <c r="I3361" s="228"/>
      <c r="J3361" s="228"/>
      <c r="K3361" s="233"/>
      <c r="L3361" s="197"/>
      <c r="M3361" s="197"/>
      <c r="N3361" s="197"/>
      <c r="O3361" s="197"/>
    </row>
    <row r="3362" spans="1:15">
      <c r="A3362" s="274"/>
      <c r="B3362" s="274"/>
      <c r="C3362" s="274"/>
      <c r="D3362" s="274"/>
      <c r="E3362" s="283"/>
      <c r="F3362" s="283"/>
      <c r="G3362" s="320"/>
      <c r="H3362" s="320"/>
      <c r="I3362" s="228"/>
      <c r="J3362" s="228"/>
      <c r="K3362" s="233"/>
      <c r="L3362" s="197"/>
      <c r="M3362" s="197"/>
      <c r="N3362" s="197"/>
      <c r="O3362" s="197"/>
    </row>
    <row r="3363" spans="1:15">
      <c r="A3363" s="274"/>
      <c r="B3363" s="274"/>
      <c r="C3363" s="274"/>
      <c r="D3363" s="274"/>
      <c r="E3363" s="283"/>
      <c r="F3363" s="283"/>
      <c r="G3363" s="320"/>
      <c r="H3363" s="320"/>
      <c r="I3363" s="228"/>
      <c r="J3363" s="228"/>
      <c r="K3363" s="233"/>
      <c r="L3363" s="197"/>
      <c r="M3363" s="197"/>
      <c r="N3363" s="197"/>
      <c r="O3363" s="197"/>
    </row>
    <row r="3364" spans="1:15">
      <c r="A3364" s="274"/>
      <c r="B3364" s="274"/>
      <c r="C3364" s="274"/>
      <c r="D3364" s="274"/>
      <c r="E3364" s="283"/>
      <c r="F3364" s="283"/>
      <c r="G3364" s="320"/>
      <c r="H3364" s="320"/>
      <c r="I3364" s="228"/>
      <c r="J3364" s="228"/>
      <c r="K3364" s="233"/>
      <c r="L3364" s="197"/>
      <c r="M3364" s="197"/>
      <c r="N3364" s="197"/>
      <c r="O3364" s="197"/>
    </row>
    <row r="3365" spans="1:15">
      <c r="A3365" s="274"/>
      <c r="B3365" s="274"/>
      <c r="C3365" s="274"/>
      <c r="D3365" s="274"/>
      <c r="E3365" s="283"/>
      <c r="F3365" s="283"/>
      <c r="G3365" s="320"/>
      <c r="H3365" s="320"/>
      <c r="I3365" s="228"/>
      <c r="J3365" s="228"/>
      <c r="K3365" s="233"/>
      <c r="L3365" s="197"/>
      <c r="M3365" s="197"/>
      <c r="N3365" s="197"/>
      <c r="O3365" s="197"/>
    </row>
    <row r="3366" spans="1:15">
      <c r="A3366" s="274"/>
      <c r="B3366" s="274"/>
      <c r="C3366" s="274"/>
      <c r="D3366" s="274"/>
      <c r="E3366" s="283"/>
      <c r="F3366" s="283"/>
      <c r="G3366" s="320"/>
      <c r="H3366" s="320"/>
      <c r="I3366" s="228"/>
      <c r="J3366" s="228"/>
      <c r="K3366" s="233"/>
      <c r="L3366" s="197"/>
      <c r="M3366" s="197"/>
      <c r="N3366" s="197"/>
      <c r="O3366" s="197"/>
    </row>
    <row r="3367" spans="1:15">
      <c r="A3367" s="274"/>
      <c r="B3367" s="274"/>
      <c r="C3367" s="274"/>
      <c r="D3367" s="274"/>
      <c r="E3367" s="283"/>
      <c r="F3367" s="283"/>
      <c r="G3367" s="320"/>
      <c r="H3367" s="320"/>
      <c r="I3367" s="228"/>
      <c r="J3367" s="228"/>
      <c r="K3367" s="233"/>
      <c r="L3367" s="197"/>
      <c r="M3367" s="197"/>
      <c r="N3367" s="197"/>
      <c r="O3367" s="197"/>
    </row>
    <row r="3368" spans="1:15">
      <c r="A3368" s="274"/>
      <c r="B3368" s="274"/>
      <c r="C3368" s="274"/>
      <c r="D3368" s="274"/>
      <c r="E3368" s="283"/>
      <c r="F3368" s="283"/>
      <c r="G3368" s="320"/>
      <c r="H3368" s="320"/>
      <c r="I3368" s="228"/>
      <c r="J3368" s="228"/>
      <c r="K3368" s="233"/>
      <c r="L3368" s="197"/>
      <c r="M3368" s="197"/>
      <c r="N3368" s="197"/>
      <c r="O3368" s="197"/>
    </row>
    <row r="3369" spans="1:15">
      <c r="A3369" s="274"/>
      <c r="B3369" s="274"/>
      <c r="C3369" s="274"/>
      <c r="D3369" s="274"/>
      <c r="E3369" s="283"/>
      <c r="F3369" s="283"/>
      <c r="G3369" s="320"/>
      <c r="H3369" s="320"/>
      <c r="I3369" s="228"/>
      <c r="J3369" s="228"/>
      <c r="K3369" s="233"/>
      <c r="L3369" s="197"/>
      <c r="M3369" s="197"/>
      <c r="N3369" s="197"/>
      <c r="O3369" s="197"/>
    </row>
    <row r="3370" spans="1:15">
      <c r="A3370" s="274"/>
      <c r="B3370" s="274"/>
      <c r="C3370" s="274"/>
      <c r="D3370" s="274"/>
      <c r="E3370" s="283"/>
      <c r="F3370" s="283"/>
      <c r="G3370" s="320"/>
      <c r="H3370" s="320"/>
      <c r="I3370" s="228"/>
      <c r="J3370" s="228"/>
      <c r="K3370" s="233"/>
      <c r="L3370" s="197"/>
      <c r="M3370" s="197"/>
      <c r="N3370" s="197"/>
      <c r="O3370" s="197"/>
    </row>
    <row r="3371" spans="1:15">
      <c r="A3371" s="274"/>
      <c r="B3371" s="274"/>
      <c r="C3371" s="274"/>
      <c r="D3371" s="274"/>
      <c r="E3371" s="283"/>
      <c r="F3371" s="283"/>
      <c r="G3371" s="320"/>
      <c r="H3371" s="320"/>
      <c r="I3371" s="228"/>
      <c r="J3371" s="228"/>
      <c r="K3371" s="233"/>
      <c r="L3371" s="197"/>
      <c r="M3371" s="197"/>
      <c r="N3371" s="197"/>
      <c r="O3371" s="197"/>
    </row>
    <row r="3372" spans="1:15">
      <c r="A3372" s="274"/>
      <c r="B3372" s="274"/>
      <c r="C3372" s="274"/>
      <c r="D3372" s="274"/>
      <c r="E3372" s="283"/>
      <c r="F3372" s="283"/>
      <c r="G3372" s="320"/>
      <c r="H3372" s="320"/>
      <c r="I3372" s="228"/>
      <c r="J3372" s="228"/>
      <c r="K3372" s="233"/>
      <c r="L3372" s="197"/>
      <c r="M3372" s="197"/>
      <c r="N3372" s="197"/>
      <c r="O3372" s="197"/>
    </row>
    <row r="3373" spans="1:15">
      <c r="A3373" s="274"/>
      <c r="B3373" s="274"/>
      <c r="C3373" s="274"/>
      <c r="D3373" s="274"/>
      <c r="E3373" s="283"/>
      <c r="F3373" s="283"/>
      <c r="G3373" s="320"/>
      <c r="H3373" s="320"/>
      <c r="I3373" s="228"/>
      <c r="J3373" s="228"/>
      <c r="K3373" s="233"/>
      <c r="L3373" s="197"/>
      <c r="M3373" s="197"/>
      <c r="N3373" s="197"/>
      <c r="O3373" s="197"/>
    </row>
    <row r="3374" spans="1:15">
      <c r="A3374" s="274"/>
      <c r="B3374" s="274"/>
      <c r="C3374" s="274"/>
      <c r="D3374" s="274"/>
      <c r="E3374" s="283"/>
      <c r="F3374" s="283"/>
      <c r="G3374" s="320"/>
      <c r="H3374" s="320"/>
      <c r="I3374" s="228"/>
      <c r="J3374" s="228"/>
      <c r="K3374" s="233"/>
      <c r="L3374" s="197"/>
      <c r="M3374" s="197"/>
      <c r="N3374" s="197"/>
      <c r="O3374" s="197"/>
    </row>
    <row r="3375" spans="1:15">
      <c r="A3375" s="274"/>
      <c r="B3375" s="274"/>
      <c r="C3375" s="274"/>
      <c r="D3375" s="274"/>
      <c r="E3375" s="283"/>
      <c r="F3375" s="283"/>
      <c r="G3375" s="320"/>
      <c r="H3375" s="320"/>
      <c r="I3375" s="228"/>
      <c r="J3375" s="228"/>
      <c r="K3375" s="233"/>
      <c r="L3375" s="197"/>
      <c r="M3375" s="197"/>
      <c r="N3375" s="197"/>
      <c r="O3375" s="197"/>
    </row>
    <row r="3376" spans="1:15">
      <c r="A3376" s="274"/>
      <c r="B3376" s="274"/>
      <c r="C3376" s="274"/>
      <c r="D3376" s="274"/>
      <c r="E3376" s="283"/>
      <c r="F3376" s="283"/>
      <c r="G3376" s="320"/>
      <c r="H3376" s="320"/>
      <c r="I3376" s="228"/>
      <c r="J3376" s="228"/>
      <c r="K3376" s="233"/>
      <c r="L3376" s="197"/>
      <c r="M3376" s="197"/>
      <c r="N3376" s="197"/>
      <c r="O3376" s="197"/>
    </row>
    <row r="3377" spans="1:15">
      <c r="A3377" s="274"/>
      <c r="B3377" s="274"/>
      <c r="C3377" s="274"/>
      <c r="D3377" s="274"/>
      <c r="E3377" s="283"/>
      <c r="F3377" s="283"/>
      <c r="G3377" s="320"/>
      <c r="H3377" s="320"/>
      <c r="I3377" s="228"/>
      <c r="J3377" s="228"/>
      <c r="K3377" s="233"/>
      <c r="L3377" s="197"/>
      <c r="M3377" s="197"/>
      <c r="N3377" s="197"/>
      <c r="O3377" s="197"/>
    </row>
    <row r="3378" spans="1:15">
      <c r="A3378" s="274"/>
      <c r="B3378" s="274"/>
      <c r="C3378" s="274"/>
      <c r="D3378" s="274"/>
      <c r="E3378" s="283"/>
      <c r="F3378" s="283"/>
      <c r="G3378" s="320"/>
      <c r="H3378" s="320"/>
      <c r="I3378" s="228"/>
      <c r="J3378" s="228"/>
      <c r="K3378" s="233"/>
      <c r="L3378" s="197"/>
      <c r="M3378" s="197"/>
      <c r="N3378" s="197"/>
      <c r="O3378" s="197"/>
    </row>
    <row r="3379" spans="1:15">
      <c r="A3379" s="274"/>
      <c r="B3379" s="274"/>
      <c r="C3379" s="274"/>
      <c r="D3379" s="274"/>
      <c r="E3379" s="283"/>
      <c r="F3379" s="283"/>
      <c r="G3379" s="320"/>
      <c r="H3379" s="320"/>
      <c r="I3379" s="228"/>
      <c r="J3379" s="228"/>
      <c r="K3379" s="233"/>
      <c r="L3379" s="197"/>
      <c r="M3379" s="197"/>
      <c r="N3379" s="197"/>
      <c r="O3379" s="197"/>
    </row>
    <row r="3380" spans="1:15">
      <c r="A3380" s="274"/>
      <c r="B3380" s="274"/>
      <c r="C3380" s="274"/>
      <c r="D3380" s="274"/>
      <c r="E3380" s="283"/>
      <c r="F3380" s="283"/>
      <c r="G3380" s="320"/>
      <c r="H3380" s="320"/>
      <c r="I3380" s="228"/>
      <c r="J3380" s="228"/>
      <c r="K3380" s="233"/>
      <c r="L3380" s="197"/>
      <c r="M3380" s="197"/>
      <c r="N3380" s="197"/>
      <c r="O3380" s="197"/>
    </row>
    <row r="3381" spans="1:15">
      <c r="A3381" s="274"/>
      <c r="B3381" s="274"/>
      <c r="C3381" s="274"/>
      <c r="D3381" s="274"/>
      <c r="E3381" s="283"/>
      <c r="F3381" s="283"/>
      <c r="G3381" s="320"/>
      <c r="H3381" s="320"/>
      <c r="I3381" s="228"/>
      <c r="J3381" s="228"/>
      <c r="K3381" s="233"/>
      <c r="L3381" s="197"/>
      <c r="M3381" s="197"/>
      <c r="N3381" s="197"/>
      <c r="O3381" s="197"/>
    </row>
    <row r="3382" spans="1:15">
      <c r="A3382" s="274"/>
      <c r="B3382" s="274"/>
      <c r="C3382" s="274"/>
      <c r="D3382" s="274"/>
      <c r="E3382" s="283"/>
      <c r="F3382" s="283"/>
      <c r="G3382" s="320"/>
      <c r="H3382" s="320"/>
      <c r="I3382" s="228"/>
      <c r="J3382" s="228"/>
      <c r="K3382" s="233"/>
      <c r="L3382" s="197"/>
      <c r="M3382" s="197"/>
      <c r="N3382" s="197"/>
      <c r="O3382" s="197"/>
    </row>
    <row r="3383" spans="1:15">
      <c r="A3383" s="274"/>
      <c r="B3383" s="274"/>
      <c r="C3383" s="274"/>
      <c r="D3383" s="274"/>
      <c r="E3383" s="283"/>
      <c r="F3383" s="283"/>
      <c r="G3383" s="320"/>
      <c r="H3383" s="320"/>
      <c r="I3383" s="228"/>
      <c r="J3383" s="228"/>
      <c r="K3383" s="233"/>
      <c r="L3383" s="197"/>
      <c r="M3383" s="197"/>
      <c r="N3383" s="197"/>
      <c r="O3383" s="197"/>
    </row>
    <row r="3384" spans="1:15">
      <c r="A3384" s="274"/>
      <c r="B3384" s="274"/>
      <c r="C3384" s="274"/>
      <c r="D3384" s="274"/>
      <c r="E3384" s="283"/>
      <c r="F3384" s="283"/>
      <c r="G3384" s="320"/>
      <c r="H3384" s="320"/>
      <c r="I3384" s="228"/>
      <c r="J3384" s="228"/>
      <c r="K3384" s="233"/>
      <c r="L3384" s="197"/>
      <c r="M3384" s="197"/>
      <c r="N3384" s="197"/>
      <c r="O3384" s="197"/>
    </row>
    <row r="3385" spans="1:15">
      <c r="A3385" s="274"/>
      <c r="B3385" s="274"/>
      <c r="C3385" s="274"/>
      <c r="D3385" s="274"/>
      <c r="E3385" s="283"/>
      <c r="F3385" s="283"/>
      <c r="G3385" s="320"/>
      <c r="H3385" s="320"/>
      <c r="I3385" s="228"/>
      <c r="J3385" s="228"/>
      <c r="K3385" s="233"/>
      <c r="L3385" s="197"/>
      <c r="M3385" s="197"/>
      <c r="N3385" s="197"/>
      <c r="O3385" s="197"/>
    </row>
    <row r="3386" spans="1:15">
      <c r="A3386" s="274"/>
      <c r="B3386" s="274"/>
      <c r="C3386" s="274"/>
      <c r="D3386" s="274"/>
      <c r="E3386" s="283"/>
      <c r="F3386" s="283"/>
      <c r="G3386" s="320"/>
      <c r="H3386" s="320"/>
      <c r="I3386" s="228"/>
      <c r="J3386" s="228"/>
      <c r="K3386" s="233"/>
      <c r="L3386" s="197"/>
      <c r="M3386" s="197"/>
      <c r="N3386" s="197"/>
      <c r="O3386" s="197"/>
    </row>
    <row r="3387" spans="1:15">
      <c r="A3387" s="274"/>
      <c r="B3387" s="274"/>
      <c r="C3387" s="274"/>
      <c r="D3387" s="274"/>
      <c r="E3387" s="283"/>
      <c r="F3387" s="283"/>
      <c r="G3387" s="320"/>
      <c r="H3387" s="320"/>
      <c r="I3387" s="228"/>
      <c r="J3387" s="228"/>
      <c r="K3387" s="233"/>
      <c r="L3387" s="197"/>
      <c r="M3387" s="197"/>
      <c r="N3387" s="197"/>
      <c r="O3387" s="197"/>
    </row>
    <row r="3388" spans="1:15">
      <c r="A3388" s="274"/>
      <c r="B3388" s="274"/>
      <c r="C3388" s="274"/>
      <c r="D3388" s="274"/>
      <c r="E3388" s="283"/>
      <c r="F3388" s="283"/>
      <c r="G3388" s="320"/>
      <c r="H3388" s="320"/>
      <c r="I3388" s="228"/>
      <c r="J3388" s="228"/>
      <c r="K3388" s="233"/>
      <c r="L3388" s="197"/>
      <c r="M3388" s="197"/>
      <c r="N3388" s="197"/>
      <c r="O3388" s="197"/>
    </row>
    <row r="3389" spans="1:15">
      <c r="A3389" s="274"/>
      <c r="B3389" s="274"/>
      <c r="C3389" s="274"/>
      <c r="D3389" s="274"/>
      <c r="E3389" s="283"/>
      <c r="F3389" s="283"/>
      <c r="G3389" s="320"/>
      <c r="H3389" s="320"/>
      <c r="I3389" s="228"/>
      <c r="J3389" s="228"/>
      <c r="K3389" s="233"/>
      <c r="L3389" s="197"/>
      <c r="M3389" s="197"/>
      <c r="N3389" s="197"/>
      <c r="O3389" s="197"/>
    </row>
    <row r="3390" spans="1:15">
      <c r="A3390" s="274"/>
      <c r="B3390" s="274"/>
      <c r="C3390" s="274"/>
      <c r="D3390" s="274"/>
      <c r="E3390" s="283"/>
      <c r="F3390" s="283"/>
      <c r="G3390" s="320"/>
      <c r="H3390" s="320"/>
      <c r="I3390" s="228"/>
      <c r="J3390" s="228"/>
      <c r="K3390" s="233"/>
      <c r="L3390" s="197"/>
      <c r="M3390" s="197"/>
      <c r="N3390" s="197"/>
      <c r="O3390" s="197"/>
    </row>
    <row r="3391" spans="1:15">
      <c r="A3391" s="274"/>
      <c r="B3391" s="274"/>
      <c r="C3391" s="274"/>
      <c r="D3391" s="274"/>
      <c r="E3391" s="283"/>
      <c r="F3391" s="283"/>
      <c r="G3391" s="320"/>
      <c r="H3391" s="320"/>
      <c r="I3391" s="228"/>
      <c r="J3391" s="228"/>
      <c r="K3391" s="233"/>
      <c r="L3391" s="197"/>
      <c r="M3391" s="197"/>
      <c r="N3391" s="197"/>
      <c r="O3391" s="197"/>
    </row>
    <row r="3392" spans="1:15">
      <c r="A3392" s="274"/>
      <c r="B3392" s="274"/>
      <c r="C3392" s="274"/>
      <c r="D3392" s="274"/>
      <c r="E3392" s="283"/>
      <c r="F3392" s="283"/>
      <c r="G3392" s="320"/>
      <c r="H3392" s="320"/>
      <c r="I3392" s="228"/>
      <c r="J3392" s="228"/>
      <c r="K3392" s="233"/>
      <c r="L3392" s="197"/>
      <c r="M3392" s="197"/>
      <c r="N3392" s="197"/>
      <c r="O3392" s="197"/>
    </row>
    <row r="3393" spans="1:15">
      <c r="A3393" s="274"/>
      <c r="B3393" s="274"/>
      <c r="C3393" s="274"/>
      <c r="D3393" s="274"/>
      <c r="E3393" s="283"/>
      <c r="F3393" s="283"/>
      <c r="G3393" s="320"/>
      <c r="H3393" s="320"/>
      <c r="I3393" s="228"/>
      <c r="J3393" s="228"/>
      <c r="K3393" s="233"/>
      <c r="L3393" s="197"/>
      <c r="M3393" s="197"/>
      <c r="N3393" s="197"/>
      <c r="O3393" s="197"/>
    </row>
    <row r="3394" spans="1:15">
      <c r="A3394" s="274"/>
      <c r="B3394" s="274"/>
      <c r="C3394" s="274"/>
      <c r="D3394" s="274"/>
      <c r="E3394" s="283"/>
      <c r="F3394" s="283"/>
      <c r="G3394" s="320"/>
      <c r="H3394" s="320"/>
      <c r="I3394" s="228"/>
      <c r="J3394" s="228"/>
      <c r="K3394" s="233"/>
      <c r="L3394" s="197"/>
      <c r="M3394" s="197"/>
      <c r="N3394" s="197"/>
      <c r="O3394" s="197"/>
    </row>
    <row r="3395" spans="1:15">
      <c r="A3395" s="274"/>
      <c r="B3395" s="274"/>
      <c r="C3395" s="274"/>
      <c r="D3395" s="274"/>
      <c r="E3395" s="283"/>
      <c r="F3395" s="283"/>
      <c r="G3395" s="320"/>
      <c r="H3395" s="320"/>
      <c r="I3395" s="228"/>
      <c r="J3395" s="228"/>
      <c r="K3395" s="233"/>
      <c r="L3395" s="197"/>
      <c r="M3395" s="197"/>
      <c r="N3395" s="197"/>
      <c r="O3395" s="197"/>
    </row>
    <row r="3396" spans="1:15">
      <c r="A3396" s="274"/>
      <c r="B3396" s="274"/>
      <c r="C3396" s="274"/>
      <c r="D3396" s="274"/>
      <c r="E3396" s="283"/>
      <c r="F3396" s="283"/>
      <c r="G3396" s="320"/>
      <c r="H3396" s="320"/>
      <c r="I3396" s="228"/>
      <c r="J3396" s="228"/>
      <c r="K3396" s="233"/>
      <c r="L3396" s="197"/>
      <c r="M3396" s="197"/>
      <c r="N3396" s="197"/>
      <c r="O3396" s="197"/>
    </row>
    <row r="3397" spans="1:15">
      <c r="A3397" s="274"/>
      <c r="B3397" s="274"/>
      <c r="C3397" s="274"/>
      <c r="D3397" s="274"/>
      <c r="E3397" s="283"/>
      <c r="F3397" s="283"/>
      <c r="G3397" s="320"/>
      <c r="H3397" s="320"/>
      <c r="I3397" s="228"/>
      <c r="J3397" s="228"/>
      <c r="K3397" s="233"/>
      <c r="L3397" s="197"/>
      <c r="M3397" s="197"/>
      <c r="N3397" s="197"/>
      <c r="O3397" s="197"/>
    </row>
    <row r="3398" spans="1:15">
      <c r="A3398" s="274"/>
      <c r="B3398" s="274"/>
      <c r="C3398" s="274"/>
      <c r="D3398" s="274"/>
      <c r="E3398" s="283"/>
      <c r="F3398" s="283"/>
      <c r="G3398" s="320"/>
      <c r="H3398" s="320"/>
      <c r="I3398" s="228"/>
      <c r="J3398" s="228"/>
      <c r="K3398" s="233"/>
      <c r="L3398" s="197"/>
      <c r="M3398" s="197"/>
      <c r="N3398" s="197"/>
      <c r="O3398" s="197"/>
    </row>
    <row r="3399" spans="1:15">
      <c r="A3399" s="274"/>
      <c r="B3399" s="274"/>
      <c r="C3399" s="274"/>
      <c r="D3399" s="274"/>
      <c r="E3399" s="283"/>
      <c r="F3399" s="283"/>
      <c r="G3399" s="320"/>
      <c r="H3399" s="320"/>
      <c r="I3399" s="228"/>
      <c r="J3399" s="228"/>
      <c r="K3399" s="233"/>
      <c r="L3399" s="197"/>
      <c r="M3399" s="197"/>
      <c r="N3399" s="197"/>
      <c r="O3399" s="197"/>
    </row>
    <row r="3400" spans="1:15">
      <c r="A3400" s="274"/>
      <c r="B3400" s="274"/>
      <c r="C3400" s="233"/>
      <c r="D3400" s="274"/>
      <c r="E3400" s="283"/>
      <c r="F3400" s="283"/>
      <c r="G3400" s="320"/>
      <c r="H3400" s="320"/>
      <c r="I3400" s="228"/>
      <c r="J3400" s="283"/>
      <c r="K3400" s="233"/>
      <c r="L3400" s="197"/>
      <c r="M3400" s="197"/>
      <c r="N3400" s="197"/>
      <c r="O3400" s="197"/>
    </row>
    <row r="3401" spans="1:15">
      <c r="A3401" s="274"/>
      <c r="B3401" s="274"/>
      <c r="C3401" s="233"/>
      <c r="D3401" s="274"/>
      <c r="E3401" s="283"/>
      <c r="F3401" s="283"/>
      <c r="G3401" s="320"/>
      <c r="H3401" s="320"/>
      <c r="I3401" s="228"/>
      <c r="J3401" s="283"/>
      <c r="K3401" s="233"/>
      <c r="L3401" s="197"/>
      <c r="M3401" s="197"/>
      <c r="N3401" s="197"/>
      <c r="O3401" s="197"/>
    </row>
    <row r="3402" spans="1:15">
      <c r="A3402" s="274"/>
      <c r="B3402" s="274"/>
      <c r="C3402" s="233"/>
      <c r="D3402" s="274"/>
      <c r="E3402" s="283"/>
      <c r="F3402" s="283"/>
      <c r="G3402" s="320"/>
      <c r="H3402" s="320"/>
      <c r="I3402" s="228"/>
      <c r="J3402" s="283"/>
      <c r="K3402" s="233"/>
      <c r="L3402" s="197"/>
      <c r="M3402" s="197"/>
      <c r="N3402" s="197"/>
      <c r="O3402" s="197"/>
    </row>
    <row r="3403" spans="1:15">
      <c r="A3403" s="274"/>
      <c r="B3403" s="274"/>
      <c r="C3403" s="233"/>
      <c r="D3403" s="274"/>
      <c r="E3403" s="283"/>
      <c r="F3403" s="283"/>
      <c r="G3403" s="320"/>
      <c r="H3403" s="320"/>
      <c r="I3403" s="228"/>
      <c r="J3403" s="283"/>
      <c r="K3403" s="233"/>
      <c r="L3403" s="197"/>
      <c r="M3403" s="197"/>
      <c r="N3403" s="197"/>
      <c r="O3403" s="197"/>
    </row>
    <row r="3404" spans="1:15">
      <c r="A3404" s="274"/>
      <c r="B3404" s="244"/>
      <c r="C3404" s="326"/>
      <c r="D3404" s="326"/>
      <c r="E3404" s="275"/>
      <c r="F3404" s="244"/>
      <c r="G3404" s="305"/>
      <c r="H3404" s="305"/>
      <c r="I3404" s="228"/>
      <c r="J3404" s="228"/>
      <c r="K3404" s="233"/>
      <c r="L3404" s="197"/>
      <c r="M3404" s="197"/>
      <c r="N3404" s="197"/>
      <c r="O3404" s="197"/>
    </row>
    <row r="3405" spans="1:15">
      <c r="A3405" s="274"/>
      <c r="B3405" s="244"/>
      <c r="C3405" s="326"/>
      <c r="D3405" s="326"/>
      <c r="E3405" s="275"/>
      <c r="F3405" s="244"/>
      <c r="G3405" s="305"/>
      <c r="H3405" s="305"/>
      <c r="I3405" s="228"/>
      <c r="J3405" s="228"/>
      <c r="K3405" s="233"/>
      <c r="L3405" s="197"/>
      <c r="M3405" s="197"/>
      <c r="N3405" s="197"/>
      <c r="O3405" s="197"/>
    </row>
    <row r="3406" spans="1:15">
      <c r="A3406" s="274"/>
      <c r="B3406" s="244"/>
      <c r="C3406" s="326"/>
      <c r="D3406" s="326"/>
      <c r="E3406" s="275"/>
      <c r="F3406" s="244"/>
      <c r="G3406" s="305"/>
      <c r="H3406" s="305"/>
      <c r="I3406" s="228"/>
      <c r="J3406" s="228"/>
      <c r="K3406" s="233"/>
      <c r="L3406" s="197"/>
      <c r="M3406" s="197"/>
      <c r="N3406" s="197"/>
      <c r="O3406" s="197"/>
    </row>
    <row r="3407" spans="1:15">
      <c r="A3407" s="274"/>
      <c r="B3407" s="244"/>
      <c r="C3407" s="326"/>
      <c r="D3407" s="326"/>
      <c r="E3407" s="275"/>
      <c r="F3407" s="244"/>
      <c r="G3407" s="305"/>
      <c r="H3407" s="305"/>
      <c r="I3407" s="228"/>
      <c r="J3407" s="228"/>
      <c r="K3407" s="233"/>
      <c r="L3407" s="197"/>
      <c r="M3407" s="197"/>
      <c r="N3407" s="197"/>
      <c r="O3407" s="197"/>
    </row>
    <row r="3408" spans="1:15">
      <c r="A3408" s="274"/>
      <c r="B3408" s="244"/>
      <c r="C3408" s="326"/>
      <c r="D3408" s="326"/>
      <c r="E3408" s="275"/>
      <c r="F3408" s="244"/>
      <c r="G3408" s="305"/>
      <c r="H3408" s="305"/>
      <c r="I3408" s="228"/>
      <c r="J3408" s="228"/>
      <c r="K3408" s="233"/>
      <c r="L3408" s="197"/>
      <c r="M3408" s="197"/>
      <c r="N3408" s="197"/>
      <c r="O3408" s="197"/>
    </row>
    <row r="3409" spans="1:15">
      <c r="A3409" s="274"/>
      <c r="B3409" s="244"/>
      <c r="C3409" s="326"/>
      <c r="D3409" s="326"/>
      <c r="E3409" s="275"/>
      <c r="F3409" s="244"/>
      <c r="G3409" s="305"/>
      <c r="H3409" s="305"/>
      <c r="I3409" s="228"/>
      <c r="J3409" s="228"/>
      <c r="K3409" s="233"/>
      <c r="L3409" s="197"/>
      <c r="M3409" s="197"/>
      <c r="N3409" s="197"/>
      <c r="O3409" s="197"/>
    </row>
    <row r="3410" spans="1:15">
      <c r="A3410" s="274"/>
      <c r="B3410" s="244"/>
      <c r="C3410" s="326"/>
      <c r="D3410" s="326"/>
      <c r="E3410" s="275"/>
      <c r="F3410" s="244"/>
      <c r="G3410" s="305"/>
      <c r="H3410" s="305"/>
      <c r="I3410" s="228"/>
      <c r="J3410" s="228"/>
      <c r="K3410" s="233"/>
      <c r="L3410" s="197"/>
      <c r="M3410" s="197"/>
      <c r="N3410" s="197"/>
      <c r="O3410" s="197"/>
    </row>
    <row r="3411" spans="1:15">
      <c r="A3411" s="274"/>
      <c r="B3411" s="288"/>
      <c r="C3411" s="290"/>
      <c r="D3411" s="288"/>
      <c r="E3411" s="267"/>
      <c r="F3411" s="267"/>
      <c r="G3411" s="289"/>
      <c r="H3411" s="289"/>
      <c r="I3411" s="228"/>
      <c r="J3411" s="283"/>
      <c r="K3411" s="233"/>
      <c r="L3411" s="197"/>
      <c r="M3411" s="197"/>
      <c r="N3411" s="197"/>
      <c r="O3411" s="197"/>
    </row>
    <row r="3412" spans="1:15">
      <c r="A3412" s="274"/>
      <c r="B3412" s="288"/>
      <c r="C3412" s="290"/>
      <c r="D3412" s="288"/>
      <c r="E3412" s="267"/>
      <c r="F3412" s="267"/>
      <c r="G3412" s="289"/>
      <c r="H3412" s="289"/>
      <c r="I3412" s="228"/>
      <c r="J3412" s="283"/>
      <c r="K3412" s="233"/>
      <c r="L3412" s="197"/>
      <c r="M3412" s="197"/>
      <c r="N3412" s="197"/>
      <c r="O3412" s="197"/>
    </row>
    <row r="3413" spans="1:15">
      <c r="A3413" s="274"/>
      <c r="B3413" s="288"/>
      <c r="C3413" s="288"/>
      <c r="D3413" s="288"/>
      <c r="E3413" s="267"/>
      <c r="F3413" s="267"/>
      <c r="G3413" s="289"/>
      <c r="H3413" s="289"/>
      <c r="I3413" s="228"/>
      <c r="J3413" s="228"/>
      <c r="K3413" s="233"/>
      <c r="L3413" s="197"/>
      <c r="M3413" s="197"/>
      <c r="N3413" s="197"/>
      <c r="O3413" s="197"/>
    </row>
    <row r="3414" spans="1:15">
      <c r="A3414" s="274"/>
      <c r="B3414" s="288"/>
      <c r="C3414" s="288"/>
      <c r="D3414" s="288"/>
      <c r="E3414" s="267"/>
      <c r="F3414" s="267"/>
      <c r="G3414" s="289"/>
      <c r="H3414" s="289"/>
      <c r="I3414" s="228"/>
      <c r="J3414" s="228"/>
      <c r="K3414" s="233"/>
      <c r="L3414" s="197"/>
      <c r="M3414" s="197"/>
      <c r="N3414" s="197"/>
      <c r="O3414" s="197"/>
    </row>
    <row r="3415" spans="1:15">
      <c r="A3415" s="274"/>
      <c r="B3415" s="288"/>
      <c r="C3415" s="288"/>
      <c r="D3415" s="288"/>
      <c r="E3415" s="267"/>
      <c r="F3415" s="267"/>
      <c r="G3415" s="289"/>
      <c r="H3415" s="289"/>
      <c r="I3415" s="228"/>
      <c r="J3415" s="228"/>
      <c r="K3415" s="233"/>
      <c r="L3415" s="197"/>
      <c r="M3415" s="197"/>
      <c r="N3415" s="197"/>
      <c r="O3415" s="197"/>
    </row>
    <row r="3416" spans="1:15">
      <c r="A3416" s="274"/>
      <c r="B3416" s="288"/>
      <c r="C3416" s="288"/>
      <c r="D3416" s="288"/>
      <c r="E3416" s="267"/>
      <c r="F3416" s="267"/>
      <c r="G3416" s="289"/>
      <c r="H3416" s="289"/>
      <c r="I3416" s="228"/>
      <c r="J3416" s="228"/>
      <c r="K3416" s="233"/>
      <c r="L3416" s="197"/>
      <c r="M3416" s="197"/>
      <c r="N3416" s="197"/>
      <c r="O3416" s="197"/>
    </row>
    <row r="3417" spans="1:15">
      <c r="A3417" s="274"/>
      <c r="B3417" s="274"/>
      <c r="C3417" s="274"/>
      <c r="D3417" s="274"/>
      <c r="E3417" s="283"/>
      <c r="F3417" s="283"/>
      <c r="G3417" s="320"/>
      <c r="H3417" s="320"/>
      <c r="I3417" s="228"/>
      <c r="J3417" s="228"/>
      <c r="K3417" s="233"/>
      <c r="L3417" s="197"/>
      <c r="M3417" s="197"/>
      <c r="N3417" s="197"/>
      <c r="O3417" s="197"/>
    </row>
    <row r="3418" spans="1:15">
      <c r="A3418" s="274"/>
      <c r="B3418" s="274"/>
      <c r="C3418" s="274"/>
      <c r="D3418" s="274"/>
      <c r="E3418" s="283"/>
      <c r="F3418" s="283"/>
      <c r="G3418" s="320"/>
      <c r="H3418" s="320"/>
      <c r="I3418" s="228"/>
      <c r="J3418" s="228"/>
      <c r="K3418" s="233"/>
      <c r="L3418" s="197"/>
      <c r="M3418" s="197"/>
      <c r="N3418" s="197"/>
      <c r="O3418" s="197"/>
    </row>
    <row r="3419" spans="1:15">
      <c r="A3419" s="274"/>
      <c r="B3419" s="274"/>
      <c r="C3419" s="274"/>
      <c r="D3419" s="274"/>
      <c r="E3419" s="283"/>
      <c r="F3419" s="283"/>
      <c r="G3419" s="320"/>
      <c r="H3419" s="320"/>
      <c r="I3419" s="228"/>
      <c r="J3419" s="228"/>
      <c r="K3419" s="233"/>
      <c r="L3419" s="197"/>
      <c r="M3419" s="197"/>
      <c r="N3419" s="197"/>
      <c r="O3419" s="197"/>
    </row>
    <row r="3420" spans="1:15">
      <c r="A3420" s="274"/>
      <c r="B3420" s="274"/>
      <c r="C3420" s="274"/>
      <c r="D3420" s="274"/>
      <c r="E3420" s="283"/>
      <c r="F3420" s="283"/>
      <c r="G3420" s="320"/>
      <c r="H3420" s="320"/>
      <c r="I3420" s="228"/>
      <c r="J3420" s="228"/>
      <c r="K3420" s="233"/>
      <c r="L3420" s="197"/>
      <c r="M3420" s="197"/>
      <c r="N3420" s="197"/>
      <c r="O3420" s="197"/>
    </row>
    <row r="3421" spans="1:15">
      <c r="A3421" s="274"/>
      <c r="B3421" s="274"/>
      <c r="C3421" s="274"/>
      <c r="D3421" s="274"/>
      <c r="E3421" s="283"/>
      <c r="F3421" s="283"/>
      <c r="G3421" s="320"/>
      <c r="H3421" s="320"/>
      <c r="I3421" s="228"/>
      <c r="J3421" s="228"/>
      <c r="K3421" s="233"/>
      <c r="L3421" s="197"/>
      <c r="M3421" s="197"/>
      <c r="N3421" s="197"/>
      <c r="O3421" s="197"/>
    </row>
    <row r="3422" spans="1:15">
      <c r="A3422" s="274"/>
      <c r="B3422" s="274"/>
      <c r="C3422" s="274"/>
      <c r="D3422" s="274"/>
      <c r="E3422" s="283"/>
      <c r="F3422" s="283"/>
      <c r="G3422" s="320"/>
      <c r="H3422" s="320"/>
      <c r="I3422" s="228"/>
      <c r="J3422" s="228"/>
      <c r="K3422" s="233"/>
      <c r="L3422" s="197"/>
      <c r="M3422" s="197"/>
      <c r="N3422" s="197"/>
      <c r="O3422" s="197"/>
    </row>
    <row r="3423" spans="1:15">
      <c r="A3423" s="274"/>
      <c r="B3423" s="274"/>
      <c r="C3423" s="274"/>
      <c r="D3423" s="274"/>
      <c r="E3423" s="283"/>
      <c r="F3423" s="283"/>
      <c r="G3423" s="320"/>
      <c r="H3423" s="320"/>
      <c r="I3423" s="228"/>
      <c r="J3423" s="228"/>
      <c r="K3423" s="233"/>
      <c r="L3423" s="197"/>
      <c r="M3423" s="197"/>
      <c r="N3423" s="197"/>
      <c r="O3423" s="197"/>
    </row>
    <row r="3424" spans="1:15">
      <c r="A3424" s="274"/>
      <c r="B3424" s="274"/>
      <c r="C3424" s="274"/>
      <c r="D3424" s="274"/>
      <c r="E3424" s="283"/>
      <c r="F3424" s="283"/>
      <c r="G3424" s="320"/>
      <c r="H3424" s="320"/>
      <c r="I3424" s="228"/>
      <c r="J3424" s="228"/>
      <c r="K3424" s="233"/>
      <c r="L3424" s="197"/>
      <c r="M3424" s="197"/>
      <c r="N3424" s="197"/>
      <c r="O3424" s="197"/>
    </row>
    <row r="3425" spans="1:15">
      <c r="A3425" s="274"/>
      <c r="B3425" s="274"/>
      <c r="C3425" s="274"/>
      <c r="D3425" s="274"/>
      <c r="E3425" s="283"/>
      <c r="F3425" s="283"/>
      <c r="G3425" s="320"/>
      <c r="H3425" s="320"/>
      <c r="I3425" s="228"/>
      <c r="J3425" s="228"/>
      <c r="K3425" s="233"/>
      <c r="L3425" s="197"/>
      <c r="M3425" s="197"/>
      <c r="N3425" s="197"/>
      <c r="O3425" s="197"/>
    </row>
    <row r="3426" spans="1:15">
      <c r="A3426" s="274"/>
      <c r="B3426" s="274"/>
      <c r="C3426" s="274"/>
      <c r="D3426" s="274"/>
      <c r="E3426" s="283"/>
      <c r="F3426" s="283"/>
      <c r="G3426" s="320"/>
      <c r="H3426" s="320"/>
      <c r="I3426" s="228"/>
      <c r="J3426" s="228"/>
      <c r="K3426" s="233"/>
      <c r="L3426" s="197"/>
      <c r="M3426" s="197"/>
      <c r="N3426" s="197"/>
      <c r="O3426" s="197"/>
    </row>
    <row r="3427" spans="1:15">
      <c r="A3427" s="274"/>
      <c r="B3427" s="274"/>
      <c r="C3427" s="274"/>
      <c r="D3427" s="274"/>
      <c r="E3427" s="283"/>
      <c r="F3427" s="283"/>
      <c r="G3427" s="320"/>
      <c r="H3427" s="320"/>
      <c r="I3427" s="228"/>
      <c r="J3427" s="228"/>
      <c r="K3427" s="233"/>
      <c r="L3427" s="197"/>
      <c r="M3427" s="197"/>
      <c r="N3427" s="197"/>
      <c r="O3427" s="197"/>
    </row>
    <row r="3428" spans="1:15">
      <c r="A3428" s="274"/>
      <c r="B3428" s="274"/>
      <c r="C3428" s="274"/>
      <c r="D3428" s="274"/>
      <c r="E3428" s="283"/>
      <c r="F3428" s="283"/>
      <c r="G3428" s="320"/>
      <c r="H3428" s="320"/>
      <c r="I3428" s="228"/>
      <c r="J3428" s="228"/>
      <c r="K3428" s="233"/>
      <c r="L3428" s="197"/>
      <c r="M3428" s="197"/>
      <c r="N3428" s="197"/>
      <c r="O3428" s="197"/>
    </row>
    <row r="3429" spans="1:15">
      <c r="A3429" s="274"/>
      <c r="B3429" s="274"/>
      <c r="C3429" s="274"/>
      <c r="D3429" s="274"/>
      <c r="E3429" s="283"/>
      <c r="F3429" s="283"/>
      <c r="G3429" s="320"/>
      <c r="H3429" s="320"/>
      <c r="I3429" s="228"/>
      <c r="J3429" s="228"/>
      <c r="K3429" s="233"/>
      <c r="L3429" s="197"/>
      <c r="M3429" s="197"/>
      <c r="N3429" s="197"/>
      <c r="O3429" s="197"/>
    </row>
    <row r="3430" spans="1:15">
      <c r="A3430" s="274"/>
      <c r="B3430" s="274"/>
      <c r="C3430" s="274"/>
      <c r="D3430" s="274"/>
      <c r="E3430" s="283"/>
      <c r="F3430" s="283"/>
      <c r="G3430" s="320"/>
      <c r="H3430" s="320"/>
      <c r="I3430" s="228"/>
      <c r="J3430" s="228"/>
      <c r="K3430" s="233"/>
      <c r="L3430" s="197"/>
      <c r="M3430" s="197"/>
      <c r="N3430" s="197"/>
      <c r="O3430" s="197"/>
    </row>
    <row r="3431" spans="1:15">
      <c r="A3431" s="274"/>
      <c r="B3431" s="274"/>
      <c r="C3431" s="274"/>
      <c r="D3431" s="274"/>
      <c r="E3431" s="283"/>
      <c r="F3431" s="283"/>
      <c r="G3431" s="320"/>
      <c r="H3431" s="320"/>
      <c r="I3431" s="228"/>
      <c r="J3431" s="228"/>
      <c r="K3431" s="233"/>
      <c r="L3431" s="197"/>
      <c r="M3431" s="197"/>
      <c r="N3431" s="197"/>
      <c r="O3431" s="197"/>
    </row>
    <row r="3432" spans="1:15">
      <c r="A3432" s="274"/>
      <c r="B3432" s="274"/>
      <c r="C3432" s="274"/>
      <c r="D3432" s="274"/>
      <c r="E3432" s="283"/>
      <c r="F3432" s="283"/>
      <c r="G3432" s="320"/>
      <c r="H3432" s="320"/>
      <c r="I3432" s="228"/>
      <c r="J3432" s="228"/>
      <c r="K3432" s="233"/>
      <c r="L3432" s="197"/>
      <c r="M3432" s="197"/>
      <c r="N3432" s="197"/>
      <c r="O3432" s="197"/>
    </row>
    <row r="3433" spans="1:15">
      <c r="A3433" s="274"/>
      <c r="B3433" s="274"/>
      <c r="C3433" s="274"/>
      <c r="D3433" s="274"/>
      <c r="E3433" s="283"/>
      <c r="F3433" s="283"/>
      <c r="G3433" s="320"/>
      <c r="H3433" s="320"/>
      <c r="I3433" s="228"/>
      <c r="J3433" s="228"/>
      <c r="K3433" s="233"/>
      <c r="L3433" s="197"/>
      <c r="M3433" s="197"/>
      <c r="N3433" s="197"/>
      <c r="O3433" s="197"/>
    </row>
    <row r="3434" spans="1:15">
      <c r="A3434" s="274"/>
      <c r="B3434" s="274"/>
      <c r="C3434" s="274"/>
      <c r="D3434" s="274"/>
      <c r="E3434" s="283"/>
      <c r="F3434" s="283"/>
      <c r="G3434" s="320"/>
      <c r="H3434" s="320"/>
      <c r="I3434" s="228"/>
      <c r="J3434" s="228"/>
      <c r="K3434" s="233"/>
      <c r="L3434" s="197"/>
      <c r="M3434" s="197"/>
      <c r="N3434" s="197"/>
      <c r="O3434" s="197"/>
    </row>
    <row r="3435" spans="1:15">
      <c r="A3435" s="274"/>
      <c r="B3435" s="274"/>
      <c r="C3435" s="274"/>
      <c r="D3435" s="274"/>
      <c r="E3435" s="283"/>
      <c r="F3435" s="283"/>
      <c r="G3435" s="320"/>
      <c r="H3435" s="320"/>
      <c r="I3435" s="228"/>
      <c r="J3435" s="228"/>
      <c r="K3435" s="233"/>
      <c r="L3435" s="197"/>
      <c r="M3435" s="197"/>
      <c r="N3435" s="197"/>
      <c r="O3435" s="197"/>
    </row>
    <row r="3436" spans="1:15">
      <c r="A3436" s="274"/>
      <c r="B3436" s="274"/>
      <c r="C3436" s="274"/>
      <c r="D3436" s="274"/>
      <c r="E3436" s="283"/>
      <c r="F3436" s="283"/>
      <c r="G3436" s="320"/>
      <c r="H3436" s="320"/>
      <c r="I3436" s="228"/>
      <c r="J3436" s="228"/>
      <c r="K3436" s="233"/>
      <c r="L3436" s="197"/>
      <c r="M3436" s="197"/>
      <c r="N3436" s="197"/>
      <c r="O3436" s="197"/>
    </row>
    <row r="3437" spans="1:15">
      <c r="A3437" s="274"/>
      <c r="B3437" s="274"/>
      <c r="C3437" s="274"/>
      <c r="D3437" s="274"/>
      <c r="E3437" s="283"/>
      <c r="F3437" s="283"/>
      <c r="G3437" s="320"/>
      <c r="H3437" s="320"/>
      <c r="I3437" s="228"/>
      <c r="J3437" s="228"/>
      <c r="K3437" s="233"/>
      <c r="L3437" s="197"/>
      <c r="M3437" s="197"/>
      <c r="N3437" s="197"/>
      <c r="O3437" s="197"/>
    </row>
    <row r="3438" spans="1:15">
      <c r="A3438" s="274"/>
      <c r="B3438" s="274"/>
      <c r="C3438" s="274"/>
      <c r="D3438" s="274"/>
      <c r="E3438" s="283"/>
      <c r="F3438" s="283"/>
      <c r="G3438" s="320"/>
      <c r="H3438" s="320"/>
      <c r="I3438" s="228"/>
      <c r="J3438" s="228"/>
      <c r="K3438" s="233"/>
      <c r="L3438" s="197"/>
      <c r="M3438" s="197"/>
      <c r="N3438" s="197"/>
      <c r="O3438" s="197"/>
    </row>
    <row r="3439" spans="1:15">
      <c r="A3439" s="274"/>
      <c r="B3439" s="274"/>
      <c r="C3439" s="274"/>
      <c r="D3439" s="274"/>
      <c r="E3439" s="283"/>
      <c r="F3439" s="283"/>
      <c r="G3439" s="320"/>
      <c r="H3439" s="320"/>
      <c r="I3439" s="228"/>
      <c r="J3439" s="228"/>
      <c r="K3439" s="233"/>
      <c r="L3439" s="197"/>
      <c r="M3439" s="197"/>
      <c r="N3439" s="197"/>
      <c r="O3439" s="197"/>
    </row>
    <row r="3440" spans="1:15">
      <c r="A3440" s="274"/>
      <c r="B3440" s="274"/>
      <c r="C3440" s="274"/>
      <c r="D3440" s="274"/>
      <c r="E3440" s="283"/>
      <c r="F3440" s="283"/>
      <c r="G3440" s="320"/>
      <c r="H3440" s="320"/>
      <c r="I3440" s="228"/>
      <c r="J3440" s="228"/>
      <c r="K3440" s="233"/>
      <c r="L3440" s="197"/>
      <c r="M3440" s="197"/>
      <c r="N3440" s="197"/>
      <c r="O3440" s="197"/>
    </row>
    <row r="3441" spans="1:15">
      <c r="A3441" s="274"/>
      <c r="B3441" s="274"/>
      <c r="C3441" s="274"/>
      <c r="D3441" s="274"/>
      <c r="E3441" s="283"/>
      <c r="F3441" s="283"/>
      <c r="G3441" s="320"/>
      <c r="H3441" s="320"/>
      <c r="I3441" s="228"/>
      <c r="J3441" s="228"/>
      <c r="K3441" s="233"/>
      <c r="L3441" s="197"/>
      <c r="M3441" s="197"/>
      <c r="N3441" s="197"/>
      <c r="O3441" s="197"/>
    </row>
    <row r="3442" spans="1:15">
      <c r="A3442" s="274"/>
      <c r="B3442" s="274"/>
      <c r="C3442" s="274"/>
      <c r="D3442" s="274"/>
      <c r="E3442" s="283"/>
      <c r="F3442" s="283"/>
      <c r="G3442" s="320"/>
      <c r="H3442" s="320"/>
      <c r="I3442" s="228"/>
      <c r="J3442" s="228"/>
      <c r="K3442" s="233"/>
      <c r="L3442" s="197"/>
      <c r="M3442" s="197"/>
      <c r="N3442" s="197"/>
      <c r="O3442" s="197"/>
    </row>
    <row r="3443" spans="1:15">
      <c r="A3443" s="274"/>
      <c r="B3443" s="274"/>
      <c r="C3443" s="274"/>
      <c r="D3443" s="274"/>
      <c r="E3443" s="283"/>
      <c r="F3443" s="283"/>
      <c r="G3443" s="320"/>
      <c r="H3443" s="320"/>
      <c r="I3443" s="228"/>
      <c r="J3443" s="228"/>
      <c r="K3443" s="233"/>
      <c r="L3443" s="197"/>
      <c r="M3443" s="197"/>
      <c r="N3443" s="197"/>
      <c r="O3443" s="197"/>
    </row>
    <row r="3444" spans="1:15">
      <c r="A3444" s="274"/>
      <c r="B3444" s="274"/>
      <c r="C3444" s="274"/>
      <c r="D3444" s="274"/>
      <c r="E3444" s="283"/>
      <c r="F3444" s="283"/>
      <c r="G3444" s="320"/>
      <c r="H3444" s="320"/>
      <c r="I3444" s="228"/>
      <c r="J3444" s="228"/>
      <c r="K3444" s="233"/>
      <c r="L3444" s="197"/>
      <c r="M3444" s="197"/>
      <c r="N3444" s="197"/>
      <c r="O3444" s="197"/>
    </row>
    <row r="3445" spans="1:15">
      <c r="A3445" s="274"/>
      <c r="B3445" s="274"/>
      <c r="C3445" s="274"/>
      <c r="D3445" s="274"/>
      <c r="E3445" s="283"/>
      <c r="F3445" s="283"/>
      <c r="G3445" s="320"/>
      <c r="H3445" s="320"/>
      <c r="I3445" s="228"/>
      <c r="J3445" s="228"/>
      <c r="K3445" s="233"/>
      <c r="L3445" s="197"/>
      <c r="M3445" s="197"/>
      <c r="N3445" s="197"/>
      <c r="O3445" s="197"/>
    </row>
    <row r="3446" spans="1:15">
      <c r="A3446" s="274"/>
      <c r="B3446" s="274"/>
      <c r="C3446" s="274"/>
      <c r="D3446" s="274"/>
      <c r="E3446" s="283"/>
      <c r="F3446" s="283"/>
      <c r="G3446" s="320"/>
      <c r="H3446" s="320"/>
      <c r="I3446" s="228"/>
      <c r="J3446" s="228"/>
      <c r="K3446" s="233"/>
      <c r="L3446" s="197"/>
      <c r="M3446" s="197"/>
      <c r="N3446" s="197"/>
      <c r="O3446" s="197"/>
    </row>
    <row r="3447" spans="1:15">
      <c r="A3447" s="274"/>
      <c r="B3447" s="274"/>
      <c r="C3447" s="274"/>
      <c r="D3447" s="274"/>
      <c r="E3447" s="283"/>
      <c r="F3447" s="283"/>
      <c r="G3447" s="320"/>
      <c r="H3447" s="320"/>
      <c r="I3447" s="228"/>
      <c r="J3447" s="228"/>
      <c r="K3447" s="274"/>
      <c r="L3447" s="197"/>
      <c r="M3447" s="197"/>
      <c r="N3447" s="197"/>
      <c r="O3447" s="197"/>
    </row>
    <row r="3448" spans="1:15">
      <c r="A3448" s="274"/>
      <c r="B3448" s="274"/>
      <c r="C3448" s="274"/>
      <c r="D3448" s="274"/>
      <c r="E3448" s="283"/>
      <c r="F3448" s="283"/>
      <c r="G3448" s="320"/>
      <c r="H3448" s="320"/>
      <c r="I3448" s="228"/>
      <c r="J3448" s="228"/>
      <c r="K3448" s="274"/>
      <c r="L3448" s="197"/>
      <c r="M3448" s="197"/>
      <c r="N3448" s="197"/>
      <c r="O3448" s="197"/>
    </row>
    <row r="3449" spans="1:15">
      <c r="A3449" s="274"/>
      <c r="B3449" s="274"/>
      <c r="C3449" s="274"/>
      <c r="D3449" s="274"/>
      <c r="E3449" s="283"/>
      <c r="F3449" s="283"/>
      <c r="G3449" s="320"/>
      <c r="H3449" s="320"/>
      <c r="I3449" s="228"/>
      <c r="J3449" s="228"/>
      <c r="K3449" s="274"/>
      <c r="L3449" s="197"/>
      <c r="M3449" s="197"/>
      <c r="N3449" s="197"/>
      <c r="O3449" s="197"/>
    </row>
    <row r="3450" spans="1:15">
      <c r="A3450" s="274"/>
      <c r="B3450" s="274"/>
      <c r="C3450" s="274"/>
      <c r="D3450" s="274"/>
      <c r="E3450" s="283"/>
      <c r="F3450" s="283"/>
      <c r="G3450" s="320"/>
      <c r="H3450" s="320"/>
      <c r="I3450" s="228"/>
      <c r="J3450" s="228"/>
      <c r="K3450" s="233"/>
      <c r="L3450" s="197"/>
      <c r="M3450" s="197"/>
      <c r="N3450" s="197"/>
      <c r="O3450" s="197"/>
    </row>
    <row r="3451" spans="1:15">
      <c r="A3451" s="274"/>
      <c r="B3451" s="274"/>
      <c r="C3451" s="274"/>
      <c r="D3451" s="274"/>
      <c r="E3451" s="283"/>
      <c r="F3451" s="283"/>
      <c r="G3451" s="320"/>
      <c r="H3451" s="320"/>
      <c r="I3451" s="228"/>
      <c r="J3451" s="228"/>
      <c r="K3451" s="274"/>
      <c r="L3451" s="197"/>
      <c r="M3451" s="197"/>
      <c r="N3451" s="197"/>
      <c r="O3451" s="197"/>
    </row>
    <row r="3452" spans="1:15">
      <c r="A3452" s="274"/>
      <c r="B3452" s="274"/>
      <c r="C3452" s="274"/>
      <c r="D3452" s="274"/>
      <c r="E3452" s="283"/>
      <c r="F3452" s="283"/>
      <c r="G3452" s="320"/>
      <c r="H3452" s="320"/>
      <c r="I3452" s="228"/>
      <c r="J3452" s="228"/>
      <c r="K3452" s="274"/>
      <c r="L3452" s="197"/>
      <c r="M3452" s="197"/>
      <c r="N3452" s="197"/>
      <c r="O3452" s="197"/>
    </row>
    <row r="3453" spans="1:15">
      <c r="A3453" s="274"/>
      <c r="B3453" s="274"/>
      <c r="C3453" s="274"/>
      <c r="D3453" s="274"/>
      <c r="E3453" s="283"/>
      <c r="F3453" s="283"/>
      <c r="G3453" s="320"/>
      <c r="H3453" s="320"/>
      <c r="I3453" s="228"/>
      <c r="J3453" s="228"/>
      <c r="K3453" s="233"/>
      <c r="L3453" s="197"/>
      <c r="M3453" s="197"/>
      <c r="N3453" s="197"/>
      <c r="O3453" s="197"/>
    </row>
    <row r="3454" spans="1:15">
      <c r="A3454" s="274"/>
      <c r="B3454" s="274"/>
      <c r="C3454" s="274"/>
      <c r="D3454" s="274"/>
      <c r="E3454" s="283"/>
      <c r="F3454" s="283"/>
      <c r="G3454" s="320"/>
      <c r="H3454" s="320"/>
      <c r="I3454" s="228"/>
      <c r="J3454" s="228"/>
      <c r="K3454" s="233"/>
      <c r="L3454" s="197"/>
      <c r="M3454" s="197"/>
      <c r="N3454" s="197"/>
      <c r="O3454" s="197"/>
    </row>
    <row r="3455" spans="1:15">
      <c r="A3455" s="274"/>
      <c r="B3455" s="274"/>
      <c r="C3455" s="274"/>
      <c r="D3455" s="274"/>
      <c r="E3455" s="283"/>
      <c r="F3455" s="283"/>
      <c r="G3455" s="320"/>
      <c r="H3455" s="320"/>
      <c r="I3455" s="228"/>
      <c r="J3455" s="228"/>
      <c r="K3455" s="233"/>
      <c r="L3455" s="197"/>
      <c r="M3455" s="197"/>
      <c r="N3455" s="197"/>
      <c r="O3455" s="197"/>
    </row>
    <row r="3456" spans="1:15">
      <c r="A3456" s="274"/>
      <c r="B3456" s="274"/>
      <c r="C3456" s="274"/>
      <c r="D3456" s="274"/>
      <c r="E3456" s="283"/>
      <c r="F3456" s="283"/>
      <c r="G3456" s="320"/>
      <c r="H3456" s="320"/>
      <c r="I3456" s="228"/>
      <c r="J3456" s="228"/>
      <c r="K3456" s="233"/>
      <c r="L3456" s="197"/>
      <c r="M3456" s="197"/>
      <c r="N3456" s="197"/>
      <c r="O3456" s="197"/>
    </row>
    <row r="3457" spans="1:15">
      <c r="A3457" s="274"/>
      <c r="B3457" s="274"/>
      <c r="C3457" s="274"/>
      <c r="D3457" s="274"/>
      <c r="E3457" s="283"/>
      <c r="F3457" s="283"/>
      <c r="G3457" s="320"/>
      <c r="H3457" s="320"/>
      <c r="I3457" s="228"/>
      <c r="J3457" s="228"/>
      <c r="K3457" s="233"/>
      <c r="L3457" s="197"/>
      <c r="M3457" s="197"/>
      <c r="N3457" s="197"/>
      <c r="O3457" s="197"/>
    </row>
    <row r="3458" spans="1:15">
      <c r="A3458" s="274"/>
      <c r="B3458" s="274"/>
      <c r="C3458" s="274"/>
      <c r="D3458" s="274"/>
      <c r="E3458" s="283"/>
      <c r="F3458" s="283"/>
      <c r="G3458" s="320"/>
      <c r="H3458" s="320"/>
      <c r="I3458" s="228"/>
      <c r="J3458" s="228"/>
      <c r="K3458" s="233"/>
      <c r="L3458" s="197"/>
      <c r="M3458" s="197"/>
      <c r="N3458" s="197"/>
      <c r="O3458" s="197"/>
    </row>
    <row r="3459" spans="1:15">
      <c r="A3459" s="274"/>
      <c r="B3459" s="274"/>
      <c r="C3459" s="274"/>
      <c r="D3459" s="274"/>
      <c r="E3459" s="283"/>
      <c r="F3459" s="283"/>
      <c r="G3459" s="320"/>
      <c r="H3459" s="320"/>
      <c r="I3459" s="228"/>
      <c r="J3459" s="228"/>
      <c r="K3459" s="233"/>
      <c r="L3459" s="197"/>
      <c r="M3459" s="197"/>
      <c r="N3459" s="197"/>
      <c r="O3459" s="197"/>
    </row>
    <row r="3460" spans="1:15">
      <c r="A3460" s="274"/>
      <c r="B3460" s="274"/>
      <c r="C3460" s="274"/>
      <c r="D3460" s="274"/>
      <c r="E3460" s="283"/>
      <c r="F3460" s="283"/>
      <c r="G3460" s="320"/>
      <c r="H3460" s="320"/>
      <c r="I3460" s="228"/>
      <c r="J3460" s="228"/>
      <c r="K3460" s="233"/>
      <c r="L3460" s="197"/>
      <c r="M3460" s="197"/>
      <c r="N3460" s="197"/>
      <c r="O3460" s="197"/>
    </row>
    <row r="3461" spans="1:15">
      <c r="A3461" s="274"/>
      <c r="B3461" s="274"/>
      <c r="C3461" s="274"/>
      <c r="D3461" s="274"/>
      <c r="E3461" s="283"/>
      <c r="F3461" s="283"/>
      <c r="G3461" s="320"/>
      <c r="H3461" s="320"/>
      <c r="I3461" s="228"/>
      <c r="J3461" s="228"/>
      <c r="K3461" s="233"/>
      <c r="L3461" s="197"/>
      <c r="M3461" s="197"/>
      <c r="N3461" s="197"/>
      <c r="O3461" s="197"/>
    </row>
    <row r="3462" spans="1:15">
      <c r="A3462" s="274"/>
      <c r="B3462" s="274"/>
      <c r="C3462" s="274"/>
      <c r="D3462" s="274"/>
      <c r="E3462" s="283"/>
      <c r="F3462" s="283"/>
      <c r="G3462" s="320"/>
      <c r="H3462" s="320"/>
      <c r="I3462" s="228"/>
      <c r="J3462" s="228"/>
      <c r="K3462" s="233"/>
      <c r="L3462" s="197"/>
      <c r="M3462" s="197"/>
      <c r="N3462" s="197"/>
      <c r="O3462" s="197"/>
    </row>
    <row r="3463" spans="1:15">
      <c r="A3463" s="274"/>
      <c r="B3463" s="274"/>
      <c r="C3463" s="274"/>
      <c r="D3463" s="274"/>
      <c r="E3463" s="283"/>
      <c r="F3463" s="283"/>
      <c r="G3463" s="320"/>
      <c r="H3463" s="320"/>
      <c r="I3463" s="228"/>
      <c r="J3463" s="228"/>
      <c r="K3463" s="233"/>
      <c r="L3463" s="197"/>
      <c r="M3463" s="197"/>
      <c r="N3463" s="197"/>
      <c r="O3463" s="197"/>
    </row>
    <row r="3464" spans="1:15">
      <c r="A3464" s="274"/>
      <c r="B3464" s="274"/>
      <c r="C3464" s="274"/>
      <c r="D3464" s="274"/>
      <c r="E3464" s="283"/>
      <c r="F3464" s="283"/>
      <c r="G3464" s="320"/>
      <c r="H3464" s="320"/>
      <c r="I3464" s="228"/>
      <c r="J3464" s="228"/>
      <c r="K3464" s="233"/>
      <c r="L3464" s="197"/>
      <c r="M3464" s="197"/>
      <c r="N3464" s="197"/>
      <c r="O3464" s="197"/>
    </row>
    <row r="3465" spans="1:15">
      <c r="A3465" s="274"/>
      <c r="B3465" s="274"/>
      <c r="C3465" s="274"/>
      <c r="D3465" s="274"/>
      <c r="E3465" s="283"/>
      <c r="F3465" s="283"/>
      <c r="G3465" s="320"/>
      <c r="H3465" s="320"/>
      <c r="I3465" s="228"/>
      <c r="J3465" s="228"/>
      <c r="K3465" s="233"/>
      <c r="L3465" s="197"/>
      <c r="M3465" s="197"/>
      <c r="N3465" s="197"/>
      <c r="O3465" s="197"/>
    </row>
    <row r="3466" spans="1:15">
      <c r="A3466" s="274"/>
      <c r="B3466" s="274"/>
      <c r="C3466" s="274"/>
      <c r="D3466" s="274"/>
      <c r="E3466" s="283"/>
      <c r="F3466" s="283"/>
      <c r="G3466" s="320"/>
      <c r="H3466" s="320"/>
      <c r="I3466" s="228"/>
      <c r="J3466" s="228"/>
      <c r="K3466" s="233"/>
      <c r="L3466" s="197"/>
      <c r="M3466" s="197"/>
      <c r="N3466" s="197"/>
      <c r="O3466" s="197"/>
    </row>
    <row r="3467" spans="1:15">
      <c r="A3467" s="274"/>
      <c r="B3467" s="274"/>
      <c r="C3467" s="274"/>
      <c r="D3467" s="274"/>
      <c r="E3467" s="283"/>
      <c r="F3467" s="283"/>
      <c r="G3467" s="320"/>
      <c r="H3467" s="320"/>
      <c r="I3467" s="228"/>
      <c r="J3467" s="228"/>
      <c r="K3467" s="233"/>
      <c r="L3467" s="197"/>
      <c r="M3467" s="197"/>
      <c r="N3467" s="197"/>
      <c r="O3467" s="197"/>
    </row>
    <row r="3468" spans="1:15">
      <c r="A3468" s="274"/>
      <c r="B3468" s="274"/>
      <c r="C3468" s="274"/>
      <c r="D3468" s="274"/>
      <c r="E3468" s="283"/>
      <c r="F3468" s="283"/>
      <c r="G3468" s="320"/>
      <c r="H3468" s="320"/>
      <c r="I3468" s="228"/>
      <c r="J3468" s="228"/>
      <c r="K3468" s="233"/>
      <c r="L3468" s="197"/>
      <c r="M3468" s="197"/>
      <c r="N3468" s="197"/>
      <c r="O3468" s="197"/>
    </row>
    <row r="3469" spans="1:15">
      <c r="A3469" s="274"/>
      <c r="B3469" s="274"/>
      <c r="C3469" s="274"/>
      <c r="D3469" s="274"/>
      <c r="E3469" s="283"/>
      <c r="F3469" s="283"/>
      <c r="G3469" s="320"/>
      <c r="H3469" s="320"/>
      <c r="I3469" s="228"/>
      <c r="J3469" s="228"/>
      <c r="K3469" s="233"/>
      <c r="L3469" s="197"/>
      <c r="M3469" s="197"/>
      <c r="N3469" s="197"/>
      <c r="O3469" s="197"/>
    </row>
    <row r="3470" spans="1:15">
      <c r="A3470" s="274"/>
      <c r="B3470" s="274"/>
      <c r="C3470" s="274"/>
      <c r="D3470" s="274"/>
      <c r="E3470" s="283"/>
      <c r="F3470" s="283"/>
      <c r="G3470" s="320"/>
      <c r="H3470" s="320"/>
      <c r="I3470" s="228"/>
      <c r="J3470" s="228"/>
      <c r="K3470" s="233"/>
      <c r="L3470" s="197"/>
      <c r="M3470" s="197"/>
      <c r="N3470" s="197"/>
      <c r="O3470" s="197"/>
    </row>
    <row r="3471" spans="1:15">
      <c r="A3471" s="274"/>
      <c r="B3471" s="274"/>
      <c r="C3471" s="274"/>
      <c r="D3471" s="274"/>
      <c r="E3471" s="283"/>
      <c r="F3471" s="283"/>
      <c r="G3471" s="320"/>
      <c r="H3471" s="320"/>
      <c r="I3471" s="228"/>
      <c r="J3471" s="228"/>
      <c r="K3471" s="233"/>
      <c r="L3471" s="197"/>
      <c r="M3471" s="197"/>
      <c r="N3471" s="197"/>
      <c r="O3471" s="197"/>
    </row>
    <row r="3472" spans="1:15">
      <c r="A3472" s="274"/>
      <c r="B3472" s="274"/>
      <c r="C3472" s="274"/>
      <c r="D3472" s="274"/>
      <c r="E3472" s="283"/>
      <c r="F3472" s="283"/>
      <c r="G3472" s="320"/>
      <c r="H3472" s="320"/>
      <c r="I3472" s="228"/>
      <c r="J3472" s="228"/>
      <c r="K3472" s="233"/>
      <c r="L3472" s="197"/>
      <c r="M3472" s="197"/>
      <c r="N3472" s="197"/>
      <c r="O3472" s="197"/>
    </row>
    <row r="3473" spans="1:15">
      <c r="A3473" s="274"/>
      <c r="B3473" s="274"/>
      <c r="C3473" s="274"/>
      <c r="D3473" s="274"/>
      <c r="E3473" s="283"/>
      <c r="F3473" s="283"/>
      <c r="G3473" s="320"/>
      <c r="H3473" s="320"/>
      <c r="I3473" s="228"/>
      <c r="J3473" s="228"/>
      <c r="K3473" s="233"/>
      <c r="L3473" s="197"/>
      <c r="M3473" s="197"/>
      <c r="N3473" s="197"/>
      <c r="O3473" s="197"/>
    </row>
    <row r="3474" spans="1:15">
      <c r="A3474" s="274"/>
      <c r="B3474" s="274"/>
      <c r="C3474" s="274"/>
      <c r="D3474" s="274"/>
      <c r="E3474" s="283"/>
      <c r="F3474" s="283"/>
      <c r="G3474" s="320"/>
      <c r="H3474" s="320"/>
      <c r="I3474" s="228"/>
      <c r="J3474" s="228"/>
      <c r="K3474" s="233"/>
      <c r="L3474" s="197"/>
      <c r="M3474" s="197"/>
      <c r="N3474" s="197"/>
      <c r="O3474" s="197"/>
    </row>
    <row r="3475" spans="1:15">
      <c r="A3475" s="274"/>
      <c r="B3475" s="274"/>
      <c r="C3475" s="274"/>
      <c r="D3475" s="274"/>
      <c r="E3475" s="283"/>
      <c r="F3475" s="283"/>
      <c r="G3475" s="320"/>
      <c r="H3475" s="320"/>
      <c r="I3475" s="228"/>
      <c r="J3475" s="228"/>
      <c r="K3475" s="233"/>
      <c r="L3475" s="197"/>
      <c r="M3475" s="197"/>
      <c r="N3475" s="197"/>
      <c r="O3475" s="197"/>
    </row>
    <row r="3476" spans="1:15">
      <c r="A3476" s="274"/>
      <c r="B3476" s="274"/>
      <c r="C3476" s="274"/>
      <c r="D3476" s="274"/>
      <c r="E3476" s="283"/>
      <c r="F3476" s="283"/>
      <c r="G3476" s="320"/>
      <c r="H3476" s="320"/>
      <c r="I3476" s="228"/>
      <c r="J3476" s="228"/>
      <c r="K3476" s="233"/>
      <c r="L3476" s="197"/>
      <c r="M3476" s="197"/>
      <c r="N3476" s="197"/>
      <c r="O3476" s="197"/>
    </row>
    <row r="3477" spans="1:15">
      <c r="A3477" s="274"/>
      <c r="B3477" s="274"/>
      <c r="C3477" s="274"/>
      <c r="D3477" s="274"/>
      <c r="E3477" s="283"/>
      <c r="F3477" s="283"/>
      <c r="G3477" s="320"/>
      <c r="H3477" s="320"/>
      <c r="I3477" s="228"/>
      <c r="J3477" s="228"/>
      <c r="K3477" s="233"/>
      <c r="L3477" s="197"/>
      <c r="M3477" s="197"/>
      <c r="N3477" s="197"/>
      <c r="O3477" s="197"/>
    </row>
    <row r="3478" spans="1:15">
      <c r="A3478" s="274"/>
      <c r="B3478" s="274"/>
      <c r="C3478" s="274"/>
      <c r="D3478" s="274"/>
      <c r="E3478" s="283"/>
      <c r="F3478" s="283"/>
      <c r="G3478" s="320"/>
      <c r="H3478" s="320"/>
      <c r="I3478" s="228"/>
      <c r="J3478" s="228"/>
      <c r="K3478" s="233"/>
      <c r="L3478" s="197"/>
      <c r="M3478" s="197"/>
      <c r="N3478" s="197"/>
      <c r="O3478" s="197"/>
    </row>
    <row r="3479" spans="1:15">
      <c r="A3479" s="274"/>
      <c r="B3479" s="274"/>
      <c r="C3479" s="274"/>
      <c r="D3479" s="274"/>
      <c r="E3479" s="283"/>
      <c r="F3479" s="283"/>
      <c r="G3479" s="320"/>
      <c r="H3479" s="320"/>
      <c r="I3479" s="228"/>
      <c r="J3479" s="228"/>
      <c r="K3479" s="233"/>
      <c r="L3479" s="197"/>
      <c r="M3479" s="197"/>
      <c r="N3479" s="197"/>
      <c r="O3479" s="197"/>
    </row>
    <row r="3480" spans="1:15">
      <c r="A3480" s="274"/>
      <c r="B3480" s="274"/>
      <c r="C3480" s="274"/>
      <c r="D3480" s="274"/>
      <c r="E3480" s="283"/>
      <c r="F3480" s="283"/>
      <c r="G3480" s="320"/>
      <c r="H3480" s="320"/>
      <c r="I3480" s="228"/>
      <c r="J3480" s="228"/>
      <c r="K3480" s="233"/>
      <c r="L3480" s="197"/>
      <c r="M3480" s="197"/>
      <c r="N3480" s="197"/>
      <c r="O3480" s="197"/>
    </row>
    <row r="3481" spans="1:15">
      <c r="A3481" s="274"/>
      <c r="B3481" s="274"/>
      <c r="C3481" s="274"/>
      <c r="D3481" s="274"/>
      <c r="E3481" s="283"/>
      <c r="F3481" s="283"/>
      <c r="G3481" s="320"/>
      <c r="H3481" s="320"/>
      <c r="I3481" s="228"/>
      <c r="J3481" s="228"/>
      <c r="K3481" s="233"/>
      <c r="L3481" s="197"/>
      <c r="M3481" s="197"/>
      <c r="N3481" s="197"/>
      <c r="O3481" s="197"/>
    </row>
    <row r="3482" spans="1:15">
      <c r="A3482" s="274"/>
      <c r="B3482" s="274"/>
      <c r="C3482" s="274"/>
      <c r="D3482" s="274"/>
      <c r="E3482" s="283"/>
      <c r="F3482" s="283"/>
      <c r="G3482" s="320"/>
      <c r="H3482" s="320"/>
      <c r="I3482" s="228"/>
      <c r="J3482" s="228"/>
      <c r="K3482" s="233"/>
      <c r="L3482" s="197"/>
      <c r="M3482" s="197"/>
      <c r="N3482" s="197"/>
      <c r="O3482" s="197"/>
    </row>
    <row r="3483" spans="1:15">
      <c r="A3483" s="274"/>
      <c r="B3483" s="274"/>
      <c r="C3483" s="274"/>
      <c r="D3483" s="274"/>
      <c r="E3483" s="283"/>
      <c r="F3483" s="283"/>
      <c r="G3483" s="320"/>
      <c r="H3483" s="320"/>
      <c r="I3483" s="228"/>
      <c r="J3483" s="228"/>
      <c r="K3483" s="233"/>
      <c r="L3483" s="197"/>
      <c r="M3483" s="197"/>
      <c r="N3483" s="197"/>
      <c r="O3483" s="197"/>
    </row>
    <row r="3484" spans="1:15">
      <c r="A3484" s="274"/>
      <c r="B3484" s="274"/>
      <c r="C3484" s="274"/>
      <c r="D3484" s="274"/>
      <c r="E3484" s="283"/>
      <c r="F3484" s="283"/>
      <c r="G3484" s="320"/>
      <c r="H3484" s="320"/>
      <c r="I3484" s="228"/>
      <c r="J3484" s="228"/>
      <c r="K3484" s="233"/>
      <c r="L3484" s="197"/>
      <c r="M3484" s="197"/>
      <c r="N3484" s="197"/>
      <c r="O3484" s="197"/>
    </row>
    <row r="3485" spans="1:15">
      <c r="A3485" s="274"/>
      <c r="B3485" s="274"/>
      <c r="C3485" s="274"/>
      <c r="D3485" s="274"/>
      <c r="E3485" s="283"/>
      <c r="F3485" s="283"/>
      <c r="G3485" s="320"/>
      <c r="H3485" s="320"/>
      <c r="I3485" s="228"/>
      <c r="J3485" s="228"/>
      <c r="K3485" s="233"/>
      <c r="L3485" s="197"/>
      <c r="M3485" s="197"/>
      <c r="N3485" s="197"/>
      <c r="O3485" s="197"/>
    </row>
    <row r="3486" spans="1:15">
      <c r="A3486" s="274"/>
      <c r="B3486" s="274"/>
      <c r="C3486" s="274"/>
      <c r="D3486" s="274"/>
      <c r="E3486" s="283"/>
      <c r="F3486" s="283"/>
      <c r="G3486" s="320"/>
      <c r="H3486" s="320"/>
      <c r="I3486" s="228"/>
      <c r="J3486" s="228"/>
      <c r="K3486" s="233"/>
      <c r="L3486" s="197"/>
      <c r="M3486" s="197"/>
      <c r="N3486" s="197"/>
      <c r="O3486" s="197"/>
    </row>
    <row r="3487" spans="1:15">
      <c r="A3487" s="274"/>
      <c r="B3487" s="274"/>
      <c r="C3487" s="274"/>
      <c r="D3487" s="274"/>
      <c r="E3487" s="283"/>
      <c r="F3487" s="283"/>
      <c r="G3487" s="320"/>
      <c r="H3487" s="320"/>
      <c r="I3487" s="228"/>
      <c r="J3487" s="228"/>
      <c r="K3487" s="233"/>
      <c r="L3487" s="197"/>
      <c r="M3487" s="197"/>
      <c r="N3487" s="197"/>
      <c r="O3487" s="197"/>
    </row>
    <row r="3488" spans="1:15">
      <c r="A3488" s="274"/>
      <c r="B3488" s="274"/>
      <c r="C3488" s="274"/>
      <c r="D3488" s="274"/>
      <c r="E3488" s="283"/>
      <c r="F3488" s="283"/>
      <c r="G3488" s="320"/>
      <c r="H3488" s="320"/>
      <c r="I3488" s="228"/>
      <c r="J3488" s="228"/>
      <c r="K3488" s="233"/>
      <c r="L3488" s="197"/>
      <c r="M3488" s="197"/>
      <c r="N3488" s="197"/>
      <c r="O3488" s="197"/>
    </row>
    <row r="3489" spans="1:15">
      <c r="A3489" s="274"/>
      <c r="B3489" s="274"/>
      <c r="C3489" s="274"/>
      <c r="D3489" s="274"/>
      <c r="E3489" s="283"/>
      <c r="F3489" s="283"/>
      <c r="G3489" s="320"/>
      <c r="H3489" s="320"/>
      <c r="I3489" s="228"/>
      <c r="J3489" s="228"/>
      <c r="K3489" s="233"/>
      <c r="L3489" s="197"/>
      <c r="M3489" s="197"/>
      <c r="N3489" s="197"/>
      <c r="O3489" s="197"/>
    </row>
    <row r="3490" spans="1:15">
      <c r="A3490" s="274"/>
      <c r="B3490" s="274"/>
      <c r="C3490" s="274"/>
      <c r="D3490" s="274"/>
      <c r="E3490" s="283"/>
      <c r="F3490" s="283"/>
      <c r="G3490" s="320"/>
      <c r="H3490" s="320"/>
      <c r="I3490" s="228"/>
      <c r="J3490" s="228"/>
      <c r="K3490" s="233"/>
      <c r="L3490" s="197"/>
      <c r="M3490" s="197"/>
      <c r="N3490" s="197"/>
      <c r="O3490" s="197"/>
    </row>
    <row r="3491" spans="1:15">
      <c r="A3491" s="274"/>
      <c r="B3491" s="274"/>
      <c r="C3491" s="274"/>
      <c r="D3491" s="274"/>
      <c r="E3491" s="283"/>
      <c r="F3491" s="283"/>
      <c r="G3491" s="320"/>
      <c r="H3491" s="320"/>
      <c r="I3491" s="228"/>
      <c r="J3491" s="228"/>
      <c r="K3491" s="233"/>
      <c r="L3491" s="197"/>
      <c r="M3491" s="197"/>
      <c r="N3491" s="197"/>
      <c r="O3491" s="197"/>
    </row>
    <row r="3492" spans="1:15">
      <c r="A3492" s="274"/>
      <c r="B3492" s="274"/>
      <c r="C3492" s="274"/>
      <c r="D3492" s="274"/>
      <c r="E3492" s="283"/>
      <c r="F3492" s="283"/>
      <c r="G3492" s="320"/>
      <c r="H3492" s="320"/>
      <c r="I3492" s="228"/>
      <c r="J3492" s="228"/>
      <c r="K3492" s="233"/>
      <c r="L3492" s="197"/>
      <c r="M3492" s="197"/>
      <c r="N3492" s="197"/>
      <c r="O3492" s="197"/>
    </row>
    <row r="3493" spans="1:15">
      <c r="A3493" s="274"/>
      <c r="B3493" s="274"/>
      <c r="C3493" s="274"/>
      <c r="D3493" s="274"/>
      <c r="E3493" s="283"/>
      <c r="F3493" s="283"/>
      <c r="G3493" s="320"/>
      <c r="H3493" s="320"/>
      <c r="I3493" s="228"/>
      <c r="J3493" s="228"/>
      <c r="K3493" s="233"/>
      <c r="L3493" s="197"/>
      <c r="M3493" s="197"/>
      <c r="N3493" s="197"/>
      <c r="O3493" s="197"/>
    </row>
    <row r="3494" spans="1:15">
      <c r="A3494" s="274"/>
      <c r="B3494" s="274"/>
      <c r="C3494" s="274"/>
      <c r="D3494" s="274"/>
      <c r="E3494" s="283"/>
      <c r="F3494" s="283"/>
      <c r="G3494" s="320"/>
      <c r="H3494" s="320"/>
      <c r="I3494" s="228"/>
      <c r="J3494" s="228"/>
      <c r="K3494" s="233"/>
      <c r="L3494" s="197"/>
      <c r="M3494" s="197"/>
      <c r="N3494" s="197"/>
      <c r="O3494" s="197"/>
    </row>
    <row r="3495" spans="1:15">
      <c r="A3495" s="274"/>
      <c r="B3495" s="274"/>
      <c r="C3495" s="274"/>
      <c r="D3495" s="274"/>
      <c r="E3495" s="283"/>
      <c r="F3495" s="283"/>
      <c r="G3495" s="320"/>
      <c r="H3495" s="320"/>
      <c r="I3495" s="228"/>
      <c r="J3495" s="228"/>
      <c r="K3495" s="233"/>
      <c r="L3495" s="197"/>
      <c r="M3495" s="197"/>
      <c r="N3495" s="197"/>
      <c r="O3495" s="197"/>
    </row>
    <row r="3496" spans="1:15">
      <c r="A3496" s="274"/>
      <c r="B3496" s="274"/>
      <c r="C3496" s="274"/>
      <c r="D3496" s="274"/>
      <c r="E3496" s="283"/>
      <c r="F3496" s="283"/>
      <c r="G3496" s="320"/>
      <c r="H3496" s="320"/>
      <c r="I3496" s="228"/>
      <c r="J3496" s="228"/>
      <c r="K3496" s="274"/>
      <c r="L3496" s="197"/>
      <c r="M3496" s="197"/>
      <c r="N3496" s="197"/>
      <c r="O3496" s="197"/>
    </row>
    <row r="3497" spans="1:15">
      <c r="A3497" s="274"/>
      <c r="B3497" s="274"/>
      <c r="C3497" s="274"/>
      <c r="D3497" s="274"/>
      <c r="E3497" s="283"/>
      <c r="F3497" s="283"/>
      <c r="G3497" s="320"/>
      <c r="H3497" s="320"/>
      <c r="I3497" s="228"/>
      <c r="J3497" s="228"/>
      <c r="K3497" s="233"/>
      <c r="L3497" s="197"/>
      <c r="M3497" s="197"/>
      <c r="N3497" s="197"/>
      <c r="O3497" s="197"/>
    </row>
    <row r="3498" spans="1:15">
      <c r="A3498" s="274"/>
      <c r="B3498" s="274"/>
      <c r="C3498" s="274"/>
      <c r="D3498" s="274"/>
      <c r="E3498" s="283"/>
      <c r="F3498" s="283"/>
      <c r="G3498" s="320"/>
      <c r="H3498" s="320"/>
      <c r="I3498" s="228"/>
      <c r="J3498" s="228"/>
      <c r="K3498" s="233"/>
      <c r="L3498" s="197"/>
      <c r="M3498" s="197"/>
      <c r="N3498" s="197"/>
      <c r="O3498" s="197"/>
    </row>
    <row r="3499" spans="1:15">
      <c r="A3499" s="274"/>
      <c r="B3499" s="274"/>
      <c r="C3499" s="274"/>
      <c r="D3499" s="274"/>
      <c r="E3499" s="283"/>
      <c r="F3499" s="283"/>
      <c r="G3499" s="320"/>
      <c r="H3499" s="320"/>
      <c r="I3499" s="228"/>
      <c r="J3499" s="228"/>
      <c r="K3499" s="233"/>
      <c r="L3499" s="197"/>
      <c r="M3499" s="197"/>
      <c r="N3499" s="197"/>
      <c r="O3499" s="197"/>
    </row>
    <row r="3500" spans="1:15">
      <c r="A3500" s="274"/>
      <c r="B3500" s="274"/>
      <c r="C3500" s="274"/>
      <c r="D3500" s="274"/>
      <c r="E3500" s="283"/>
      <c r="F3500" s="283"/>
      <c r="G3500" s="320"/>
      <c r="H3500" s="320"/>
      <c r="I3500" s="228"/>
      <c r="J3500" s="228"/>
      <c r="K3500" s="233"/>
      <c r="L3500" s="197"/>
      <c r="M3500" s="197"/>
      <c r="N3500" s="197"/>
      <c r="O3500" s="197"/>
    </row>
    <row r="3501" spans="1:15">
      <c r="A3501" s="274"/>
      <c r="B3501" s="274"/>
      <c r="C3501" s="274"/>
      <c r="D3501" s="274"/>
      <c r="E3501" s="283"/>
      <c r="F3501" s="283"/>
      <c r="G3501" s="320"/>
      <c r="H3501" s="320"/>
      <c r="I3501" s="228"/>
      <c r="J3501" s="228"/>
      <c r="K3501" s="233"/>
      <c r="L3501" s="197"/>
      <c r="M3501" s="197"/>
      <c r="N3501" s="197"/>
      <c r="O3501" s="197"/>
    </row>
    <row r="3502" spans="1:15">
      <c r="A3502" s="274"/>
      <c r="B3502" s="274"/>
      <c r="C3502" s="274"/>
      <c r="D3502" s="274"/>
      <c r="E3502" s="283"/>
      <c r="F3502" s="283"/>
      <c r="G3502" s="320"/>
      <c r="H3502" s="320"/>
      <c r="I3502" s="228"/>
      <c r="J3502" s="228"/>
      <c r="K3502" s="274"/>
      <c r="L3502" s="197"/>
      <c r="M3502" s="197"/>
      <c r="N3502" s="197"/>
      <c r="O3502" s="197"/>
    </row>
    <row r="3503" spans="1:15">
      <c r="A3503" s="274"/>
      <c r="B3503" s="274"/>
      <c r="C3503" s="274"/>
      <c r="D3503" s="274"/>
      <c r="E3503" s="283"/>
      <c r="F3503" s="283"/>
      <c r="G3503" s="320"/>
      <c r="H3503" s="320"/>
      <c r="I3503" s="228"/>
      <c r="J3503" s="228"/>
      <c r="K3503" s="233"/>
      <c r="L3503" s="197"/>
      <c r="M3503" s="197"/>
      <c r="N3503" s="197"/>
      <c r="O3503" s="197"/>
    </row>
    <row r="3504" spans="1:15">
      <c r="A3504" s="274"/>
      <c r="B3504" s="274"/>
      <c r="C3504" s="274"/>
      <c r="D3504" s="274"/>
      <c r="E3504" s="283"/>
      <c r="F3504" s="283"/>
      <c r="G3504" s="320"/>
      <c r="H3504" s="320"/>
      <c r="I3504" s="228"/>
      <c r="J3504" s="228"/>
      <c r="K3504" s="274"/>
      <c r="L3504" s="197"/>
      <c r="M3504" s="197"/>
      <c r="N3504" s="197"/>
      <c r="O3504" s="197"/>
    </row>
    <row r="3505" spans="1:15">
      <c r="A3505" s="274"/>
      <c r="B3505" s="274"/>
      <c r="C3505" s="274"/>
      <c r="D3505" s="274"/>
      <c r="E3505" s="283"/>
      <c r="F3505" s="283"/>
      <c r="G3505" s="320"/>
      <c r="H3505" s="320"/>
      <c r="I3505" s="228"/>
      <c r="J3505" s="228"/>
      <c r="K3505" s="233"/>
      <c r="L3505" s="197"/>
      <c r="M3505" s="197"/>
      <c r="N3505" s="197"/>
      <c r="O3505" s="197"/>
    </row>
    <row r="3506" spans="1:15">
      <c r="A3506" s="274"/>
      <c r="B3506" s="274"/>
      <c r="C3506" s="274"/>
      <c r="D3506" s="274"/>
      <c r="E3506" s="283"/>
      <c r="F3506" s="283"/>
      <c r="G3506" s="320"/>
      <c r="H3506" s="320"/>
      <c r="I3506" s="228"/>
      <c r="J3506" s="228"/>
      <c r="K3506" s="233"/>
      <c r="L3506" s="197"/>
      <c r="M3506" s="197"/>
      <c r="N3506" s="197"/>
      <c r="O3506" s="197"/>
    </row>
    <row r="3507" spans="1:15">
      <c r="A3507" s="274"/>
      <c r="B3507" s="274"/>
      <c r="C3507" s="274"/>
      <c r="D3507" s="274"/>
      <c r="E3507" s="283"/>
      <c r="F3507" s="283"/>
      <c r="G3507" s="320"/>
      <c r="H3507" s="320"/>
      <c r="I3507" s="228"/>
      <c r="J3507" s="228"/>
      <c r="K3507" s="233"/>
      <c r="L3507" s="197"/>
      <c r="M3507" s="197"/>
      <c r="N3507" s="197"/>
      <c r="O3507" s="197"/>
    </row>
    <row r="3508" spans="1:15">
      <c r="A3508" s="274"/>
      <c r="B3508" s="274"/>
      <c r="C3508" s="274"/>
      <c r="D3508" s="274"/>
      <c r="E3508" s="283"/>
      <c r="F3508" s="283"/>
      <c r="G3508" s="320"/>
      <c r="H3508" s="320"/>
      <c r="I3508" s="228"/>
      <c r="J3508" s="228"/>
      <c r="K3508" s="233"/>
      <c r="L3508" s="197"/>
      <c r="M3508" s="197"/>
      <c r="N3508" s="197"/>
      <c r="O3508" s="197"/>
    </row>
    <row r="3509" spans="1:15">
      <c r="A3509" s="274"/>
      <c r="B3509" s="274"/>
      <c r="C3509" s="274"/>
      <c r="D3509" s="274"/>
      <c r="E3509" s="283"/>
      <c r="F3509" s="283"/>
      <c r="G3509" s="320"/>
      <c r="H3509" s="320"/>
      <c r="I3509" s="228"/>
      <c r="J3509" s="228"/>
      <c r="K3509" s="233"/>
      <c r="L3509" s="197"/>
      <c r="M3509" s="197"/>
      <c r="N3509" s="197"/>
      <c r="O3509" s="197"/>
    </row>
    <row r="3510" spans="1:15">
      <c r="A3510" s="274"/>
      <c r="B3510" s="274"/>
      <c r="C3510" s="274"/>
      <c r="D3510" s="274"/>
      <c r="E3510" s="283"/>
      <c r="F3510" s="283"/>
      <c r="G3510" s="320"/>
      <c r="H3510" s="320"/>
      <c r="I3510" s="228"/>
      <c r="J3510" s="228"/>
      <c r="K3510" s="233"/>
      <c r="L3510" s="197"/>
      <c r="M3510" s="197"/>
      <c r="N3510" s="197"/>
      <c r="O3510" s="197"/>
    </row>
    <row r="3511" spans="1:15">
      <c r="A3511" s="274"/>
      <c r="B3511" s="274"/>
      <c r="C3511" s="274"/>
      <c r="D3511" s="274"/>
      <c r="E3511" s="283"/>
      <c r="F3511" s="283"/>
      <c r="G3511" s="320"/>
      <c r="H3511" s="320"/>
      <c r="I3511" s="228"/>
      <c r="J3511" s="228"/>
      <c r="K3511" s="233"/>
      <c r="L3511" s="197"/>
      <c r="M3511" s="197"/>
      <c r="N3511" s="197"/>
      <c r="O3511" s="197"/>
    </row>
    <row r="3512" spans="1:15">
      <c r="A3512" s="274"/>
      <c r="B3512" s="274"/>
      <c r="C3512" s="274"/>
      <c r="D3512" s="274"/>
      <c r="E3512" s="283"/>
      <c r="F3512" s="283"/>
      <c r="G3512" s="320"/>
      <c r="H3512" s="320"/>
      <c r="I3512" s="228"/>
      <c r="J3512" s="228"/>
      <c r="K3512" s="233"/>
      <c r="L3512" s="197"/>
      <c r="M3512" s="197"/>
      <c r="N3512" s="197"/>
      <c r="O3512" s="197"/>
    </row>
    <row r="3513" spans="1:15">
      <c r="A3513" s="274"/>
      <c r="B3513" s="274"/>
      <c r="C3513" s="274"/>
      <c r="D3513" s="274"/>
      <c r="E3513" s="283"/>
      <c r="F3513" s="283"/>
      <c r="G3513" s="320"/>
      <c r="H3513" s="320"/>
      <c r="I3513" s="228"/>
      <c r="J3513" s="228"/>
      <c r="K3513" s="274"/>
      <c r="L3513" s="197"/>
      <c r="M3513" s="197"/>
      <c r="N3513" s="197"/>
      <c r="O3513" s="197"/>
    </row>
    <row r="3514" spans="1:15">
      <c r="A3514" s="274"/>
      <c r="B3514" s="274"/>
      <c r="C3514" s="274"/>
      <c r="D3514" s="274"/>
      <c r="E3514" s="283"/>
      <c r="F3514" s="283"/>
      <c r="G3514" s="320"/>
      <c r="H3514" s="320"/>
      <c r="I3514" s="228"/>
      <c r="J3514" s="228"/>
      <c r="K3514" s="274"/>
      <c r="L3514" s="197"/>
      <c r="M3514" s="197"/>
      <c r="N3514" s="197"/>
      <c r="O3514" s="197"/>
    </row>
    <row r="3515" spans="1:15">
      <c r="A3515" s="274"/>
      <c r="B3515" s="274"/>
      <c r="C3515" s="274"/>
      <c r="D3515" s="274"/>
      <c r="E3515" s="283"/>
      <c r="F3515" s="283"/>
      <c r="G3515" s="320"/>
      <c r="H3515" s="320"/>
      <c r="I3515" s="228"/>
      <c r="J3515" s="228"/>
      <c r="K3515" s="274"/>
      <c r="L3515" s="197"/>
      <c r="M3515" s="197"/>
      <c r="N3515" s="197"/>
      <c r="O3515" s="197"/>
    </row>
    <row r="3516" spans="1:15">
      <c r="A3516" s="274"/>
      <c r="B3516" s="274"/>
      <c r="C3516" s="274"/>
      <c r="D3516" s="274"/>
      <c r="E3516" s="283"/>
      <c r="F3516" s="283"/>
      <c r="G3516" s="320"/>
      <c r="H3516" s="320"/>
      <c r="I3516" s="228"/>
      <c r="J3516" s="228"/>
      <c r="K3516" s="274"/>
      <c r="L3516" s="197"/>
      <c r="M3516" s="197"/>
      <c r="N3516" s="197"/>
      <c r="O3516" s="197"/>
    </row>
    <row r="3517" spans="1:15">
      <c r="A3517" s="274"/>
      <c r="B3517" s="274"/>
      <c r="C3517" s="274"/>
      <c r="D3517" s="274"/>
      <c r="E3517" s="283"/>
      <c r="F3517" s="283"/>
      <c r="G3517" s="320"/>
      <c r="H3517" s="320"/>
      <c r="I3517" s="228"/>
      <c r="J3517" s="228"/>
      <c r="K3517" s="274"/>
      <c r="L3517" s="197"/>
      <c r="M3517" s="197"/>
      <c r="N3517" s="197"/>
      <c r="O3517" s="197"/>
    </row>
    <row r="3518" spans="1:15">
      <c r="A3518" s="274"/>
      <c r="B3518" s="274"/>
      <c r="C3518" s="274"/>
      <c r="D3518" s="274"/>
      <c r="E3518" s="283"/>
      <c r="F3518" s="283"/>
      <c r="G3518" s="320"/>
      <c r="H3518" s="320"/>
      <c r="I3518" s="228"/>
      <c r="J3518" s="228"/>
      <c r="K3518" s="274"/>
      <c r="L3518" s="197"/>
      <c r="M3518" s="197"/>
      <c r="N3518" s="197"/>
      <c r="O3518" s="197"/>
    </row>
    <row r="3519" spans="1:15">
      <c r="A3519" s="274"/>
      <c r="B3519" s="274"/>
      <c r="C3519" s="274"/>
      <c r="D3519" s="274"/>
      <c r="E3519" s="283"/>
      <c r="F3519" s="283"/>
      <c r="G3519" s="320"/>
      <c r="H3519" s="320"/>
      <c r="I3519" s="228"/>
      <c r="J3519" s="228"/>
      <c r="K3519" s="274"/>
      <c r="L3519" s="197"/>
      <c r="M3519" s="197"/>
      <c r="N3519" s="197"/>
      <c r="O3519" s="197"/>
    </row>
    <row r="3520" spans="1:15">
      <c r="A3520" s="274"/>
      <c r="B3520" s="274"/>
      <c r="C3520" s="274"/>
      <c r="D3520" s="274"/>
      <c r="E3520" s="283"/>
      <c r="F3520" s="283"/>
      <c r="G3520" s="320"/>
      <c r="H3520" s="320"/>
      <c r="I3520" s="228"/>
      <c r="J3520" s="228"/>
      <c r="K3520" s="274"/>
      <c r="L3520" s="197"/>
      <c r="M3520" s="197"/>
      <c r="N3520" s="197"/>
      <c r="O3520" s="197"/>
    </row>
    <row r="3521" spans="1:15">
      <c r="A3521" s="274"/>
      <c r="B3521" s="274"/>
      <c r="C3521" s="274"/>
      <c r="D3521" s="274"/>
      <c r="E3521" s="283"/>
      <c r="F3521" s="283"/>
      <c r="G3521" s="320"/>
      <c r="H3521" s="320"/>
      <c r="I3521" s="228"/>
      <c r="J3521" s="228"/>
      <c r="K3521" s="274"/>
      <c r="L3521" s="197"/>
      <c r="M3521" s="197"/>
      <c r="N3521" s="197"/>
      <c r="O3521" s="197"/>
    </row>
    <row r="3522" spans="1:15">
      <c r="A3522" s="274"/>
      <c r="B3522" s="274"/>
      <c r="C3522" s="274"/>
      <c r="D3522" s="274"/>
      <c r="E3522" s="283"/>
      <c r="F3522" s="283"/>
      <c r="G3522" s="320"/>
      <c r="H3522" s="320"/>
      <c r="I3522" s="228"/>
      <c r="J3522" s="228"/>
      <c r="K3522" s="233"/>
      <c r="L3522" s="197"/>
      <c r="M3522" s="197"/>
      <c r="N3522" s="197"/>
      <c r="O3522" s="197"/>
    </row>
    <row r="3523" spans="1:15">
      <c r="A3523" s="274"/>
      <c r="B3523" s="274"/>
      <c r="C3523" s="274"/>
      <c r="D3523" s="274"/>
      <c r="E3523" s="283"/>
      <c r="F3523" s="283"/>
      <c r="G3523" s="320"/>
      <c r="H3523" s="320"/>
      <c r="I3523" s="228"/>
      <c r="J3523" s="228"/>
      <c r="K3523" s="233"/>
      <c r="L3523" s="197"/>
      <c r="M3523" s="197"/>
      <c r="N3523" s="197"/>
      <c r="O3523" s="197"/>
    </row>
    <row r="3524" spans="1:15">
      <c r="A3524" s="274"/>
      <c r="B3524" s="274"/>
      <c r="C3524" s="274"/>
      <c r="D3524" s="274"/>
      <c r="E3524" s="283"/>
      <c r="F3524" s="283"/>
      <c r="G3524" s="320"/>
      <c r="H3524" s="320"/>
      <c r="I3524" s="228"/>
      <c r="J3524" s="228"/>
      <c r="K3524" s="233"/>
      <c r="L3524" s="197"/>
      <c r="M3524" s="197"/>
      <c r="N3524" s="197"/>
      <c r="O3524" s="197"/>
    </row>
    <row r="3525" spans="1:15">
      <c r="A3525" s="274"/>
      <c r="B3525" s="274"/>
      <c r="C3525" s="274"/>
      <c r="D3525" s="274"/>
      <c r="E3525" s="283"/>
      <c r="F3525" s="283"/>
      <c r="G3525" s="320"/>
      <c r="H3525" s="320"/>
      <c r="I3525" s="228"/>
      <c r="J3525" s="228"/>
      <c r="K3525" s="233"/>
      <c r="L3525" s="197"/>
      <c r="M3525" s="197"/>
      <c r="N3525" s="197"/>
      <c r="O3525" s="197"/>
    </row>
    <row r="3526" spans="1:15">
      <c r="A3526" s="274"/>
      <c r="B3526" s="274"/>
      <c r="C3526" s="274"/>
      <c r="D3526" s="274"/>
      <c r="E3526" s="283"/>
      <c r="F3526" s="283"/>
      <c r="G3526" s="320"/>
      <c r="H3526" s="320"/>
      <c r="I3526" s="228"/>
      <c r="J3526" s="228"/>
      <c r="K3526" s="233"/>
      <c r="L3526" s="197"/>
      <c r="M3526" s="197"/>
      <c r="N3526" s="197"/>
      <c r="O3526" s="197"/>
    </row>
    <row r="3527" spans="1:15">
      <c r="A3527" s="274"/>
      <c r="B3527" s="274"/>
      <c r="C3527" s="274"/>
      <c r="D3527" s="274"/>
      <c r="E3527" s="283"/>
      <c r="F3527" s="283"/>
      <c r="G3527" s="320"/>
      <c r="H3527" s="320"/>
      <c r="I3527" s="228"/>
      <c r="J3527" s="228"/>
      <c r="K3527" s="233"/>
      <c r="L3527" s="197"/>
      <c r="M3527" s="197"/>
      <c r="N3527" s="197"/>
      <c r="O3527" s="197"/>
    </row>
    <row r="3528" spans="1:15">
      <c r="A3528" s="274"/>
      <c r="B3528" s="274"/>
      <c r="C3528" s="274"/>
      <c r="D3528" s="274"/>
      <c r="E3528" s="283"/>
      <c r="F3528" s="283"/>
      <c r="G3528" s="320"/>
      <c r="H3528" s="320"/>
      <c r="I3528" s="228"/>
      <c r="J3528" s="228"/>
      <c r="K3528" s="233"/>
      <c r="L3528" s="197"/>
      <c r="M3528" s="197"/>
      <c r="N3528" s="197"/>
      <c r="O3528" s="197"/>
    </row>
    <row r="3529" spans="1:15">
      <c r="A3529" s="274"/>
      <c r="B3529" s="274"/>
      <c r="C3529" s="274"/>
      <c r="D3529" s="274"/>
      <c r="E3529" s="283"/>
      <c r="F3529" s="283"/>
      <c r="G3529" s="320"/>
      <c r="H3529" s="320"/>
      <c r="I3529" s="228"/>
      <c r="J3529" s="228"/>
      <c r="K3529" s="233"/>
      <c r="L3529" s="197"/>
      <c r="M3529" s="197"/>
      <c r="N3529" s="197"/>
      <c r="O3529" s="197"/>
    </row>
    <row r="3530" spans="1:15">
      <c r="A3530" s="274"/>
      <c r="B3530" s="274"/>
      <c r="C3530" s="274"/>
      <c r="D3530" s="274"/>
      <c r="E3530" s="283"/>
      <c r="F3530" s="283"/>
      <c r="G3530" s="320"/>
      <c r="H3530" s="320"/>
      <c r="I3530" s="228"/>
      <c r="J3530" s="228"/>
      <c r="K3530" s="233"/>
      <c r="L3530" s="197"/>
      <c r="M3530" s="197"/>
      <c r="N3530" s="197"/>
      <c r="O3530" s="197"/>
    </row>
    <row r="3531" spans="1:15">
      <c r="A3531" s="274"/>
      <c r="B3531" s="274"/>
      <c r="C3531" s="274"/>
      <c r="D3531" s="274"/>
      <c r="E3531" s="283"/>
      <c r="F3531" s="283"/>
      <c r="G3531" s="320"/>
      <c r="H3531" s="320"/>
      <c r="I3531" s="228"/>
      <c r="J3531" s="228"/>
      <c r="K3531" s="233"/>
      <c r="L3531" s="197"/>
      <c r="M3531" s="197"/>
      <c r="N3531" s="197"/>
      <c r="O3531" s="197"/>
    </row>
    <row r="3532" spans="1:15">
      <c r="A3532" s="274"/>
      <c r="B3532" s="274"/>
      <c r="C3532" s="274"/>
      <c r="D3532" s="274"/>
      <c r="E3532" s="283"/>
      <c r="F3532" s="283"/>
      <c r="G3532" s="320"/>
      <c r="H3532" s="320"/>
      <c r="I3532" s="228"/>
      <c r="J3532" s="228"/>
      <c r="K3532" s="233"/>
      <c r="L3532" s="197"/>
      <c r="M3532" s="197"/>
      <c r="N3532" s="197"/>
      <c r="O3532" s="197"/>
    </row>
    <row r="3533" spans="1:15">
      <c r="A3533" s="274"/>
      <c r="B3533" s="274"/>
      <c r="C3533" s="274"/>
      <c r="D3533" s="274"/>
      <c r="E3533" s="283"/>
      <c r="F3533" s="283"/>
      <c r="G3533" s="320"/>
      <c r="H3533" s="320"/>
      <c r="I3533" s="228"/>
      <c r="J3533" s="228"/>
      <c r="K3533" s="233"/>
      <c r="L3533" s="197"/>
      <c r="M3533" s="197"/>
      <c r="N3533" s="197"/>
      <c r="O3533" s="197"/>
    </row>
    <row r="3534" spans="1:15">
      <c r="A3534" s="274"/>
      <c r="B3534" s="274"/>
      <c r="C3534" s="274"/>
      <c r="D3534" s="274"/>
      <c r="E3534" s="283"/>
      <c r="F3534" s="283"/>
      <c r="G3534" s="320"/>
      <c r="H3534" s="320"/>
      <c r="I3534" s="228"/>
      <c r="J3534" s="228"/>
      <c r="K3534" s="233"/>
      <c r="L3534" s="197"/>
      <c r="M3534" s="197"/>
      <c r="N3534" s="197"/>
      <c r="O3534" s="197"/>
    </row>
    <row r="3535" spans="1:15">
      <c r="A3535" s="274"/>
      <c r="B3535" s="274"/>
      <c r="C3535" s="274"/>
      <c r="D3535" s="274"/>
      <c r="E3535" s="283"/>
      <c r="F3535" s="283"/>
      <c r="G3535" s="320"/>
      <c r="H3535" s="320"/>
      <c r="I3535" s="228"/>
      <c r="J3535" s="228"/>
      <c r="K3535" s="233"/>
      <c r="L3535" s="197"/>
      <c r="M3535" s="197"/>
      <c r="N3535" s="197"/>
      <c r="O3535" s="197"/>
    </row>
    <row r="3536" spans="1:15">
      <c r="A3536" s="274"/>
      <c r="B3536" s="274"/>
      <c r="C3536" s="274"/>
      <c r="D3536" s="274"/>
      <c r="E3536" s="283"/>
      <c r="F3536" s="283"/>
      <c r="G3536" s="320"/>
      <c r="H3536" s="320"/>
      <c r="I3536" s="228"/>
      <c r="J3536" s="228"/>
      <c r="K3536" s="233"/>
      <c r="L3536" s="197"/>
      <c r="M3536" s="197"/>
      <c r="N3536" s="197"/>
      <c r="O3536" s="197"/>
    </row>
    <row r="3537" spans="1:15">
      <c r="A3537" s="274"/>
      <c r="B3537" s="274"/>
      <c r="C3537" s="274"/>
      <c r="D3537" s="274"/>
      <c r="E3537" s="283"/>
      <c r="F3537" s="283"/>
      <c r="G3537" s="320"/>
      <c r="H3537" s="320"/>
      <c r="I3537" s="228"/>
      <c r="J3537" s="228"/>
      <c r="K3537" s="233"/>
      <c r="L3537" s="197"/>
      <c r="M3537" s="197"/>
      <c r="N3537" s="197"/>
      <c r="O3537" s="197"/>
    </row>
    <row r="3538" spans="1:15">
      <c r="A3538" s="274"/>
      <c r="B3538" s="274"/>
      <c r="C3538" s="274"/>
      <c r="D3538" s="274"/>
      <c r="E3538" s="283"/>
      <c r="F3538" s="283"/>
      <c r="G3538" s="320"/>
      <c r="H3538" s="320"/>
      <c r="I3538" s="228"/>
      <c r="J3538" s="228"/>
      <c r="K3538" s="233"/>
      <c r="L3538" s="197"/>
      <c r="M3538" s="197"/>
      <c r="N3538" s="197"/>
      <c r="O3538" s="197"/>
    </row>
    <row r="3539" spans="1:15">
      <c r="A3539" s="274"/>
      <c r="B3539" s="274"/>
      <c r="C3539" s="274"/>
      <c r="D3539" s="274"/>
      <c r="E3539" s="283"/>
      <c r="F3539" s="283"/>
      <c r="G3539" s="320"/>
      <c r="H3539" s="320"/>
      <c r="I3539" s="228"/>
      <c r="J3539" s="228"/>
      <c r="K3539" s="233"/>
      <c r="L3539" s="197"/>
      <c r="M3539" s="197"/>
      <c r="N3539" s="197"/>
      <c r="O3539" s="197"/>
    </row>
    <row r="3540" spans="1:15">
      <c r="A3540" s="274"/>
      <c r="B3540" s="274"/>
      <c r="C3540" s="274"/>
      <c r="D3540" s="274"/>
      <c r="E3540" s="283"/>
      <c r="F3540" s="283"/>
      <c r="G3540" s="320"/>
      <c r="H3540" s="320"/>
      <c r="I3540" s="228"/>
      <c r="J3540" s="228"/>
      <c r="K3540" s="233"/>
      <c r="L3540" s="197"/>
      <c r="M3540" s="197"/>
      <c r="N3540" s="197"/>
      <c r="O3540" s="197"/>
    </row>
    <row r="3541" spans="1:15">
      <c r="A3541" s="274"/>
      <c r="B3541" s="274"/>
      <c r="C3541" s="274"/>
      <c r="D3541" s="274"/>
      <c r="E3541" s="283"/>
      <c r="F3541" s="283"/>
      <c r="G3541" s="320"/>
      <c r="H3541" s="320"/>
      <c r="I3541" s="228"/>
      <c r="J3541" s="228"/>
      <c r="K3541" s="233"/>
      <c r="L3541" s="197"/>
      <c r="M3541" s="197"/>
      <c r="N3541" s="197"/>
      <c r="O3541" s="197"/>
    </row>
    <row r="3542" spans="1:15">
      <c r="A3542" s="274"/>
      <c r="B3542" s="274"/>
      <c r="C3542" s="274"/>
      <c r="D3542" s="274"/>
      <c r="E3542" s="283"/>
      <c r="F3542" s="283"/>
      <c r="G3542" s="320"/>
      <c r="H3542" s="320"/>
      <c r="I3542" s="228"/>
      <c r="J3542" s="228"/>
      <c r="K3542" s="233"/>
      <c r="L3542" s="197"/>
      <c r="M3542" s="197"/>
      <c r="N3542" s="197"/>
      <c r="O3542" s="197"/>
    </row>
    <row r="3543" spans="1:15">
      <c r="A3543" s="274"/>
      <c r="B3543" s="274"/>
      <c r="C3543" s="274"/>
      <c r="D3543" s="274"/>
      <c r="E3543" s="283"/>
      <c r="F3543" s="283"/>
      <c r="G3543" s="320"/>
      <c r="H3543" s="320"/>
      <c r="I3543" s="228"/>
      <c r="J3543" s="228"/>
      <c r="K3543" s="233"/>
      <c r="L3543" s="197"/>
      <c r="M3543" s="197"/>
      <c r="N3543" s="197"/>
      <c r="O3543" s="197"/>
    </row>
    <row r="3544" spans="1:15">
      <c r="A3544" s="274"/>
      <c r="B3544" s="274"/>
      <c r="C3544" s="274"/>
      <c r="D3544" s="274"/>
      <c r="E3544" s="283"/>
      <c r="F3544" s="283"/>
      <c r="G3544" s="320"/>
      <c r="H3544" s="320"/>
      <c r="I3544" s="228"/>
      <c r="J3544" s="228"/>
      <c r="K3544" s="233"/>
      <c r="L3544" s="197"/>
      <c r="M3544" s="197"/>
      <c r="N3544" s="197"/>
      <c r="O3544" s="197"/>
    </row>
    <row r="3545" spans="1:15">
      <c r="A3545" s="274"/>
      <c r="B3545" s="274"/>
      <c r="C3545" s="274"/>
      <c r="D3545" s="274"/>
      <c r="E3545" s="283"/>
      <c r="F3545" s="283"/>
      <c r="G3545" s="320"/>
      <c r="H3545" s="320"/>
      <c r="I3545" s="228"/>
      <c r="J3545" s="228"/>
      <c r="K3545" s="233"/>
      <c r="L3545" s="197"/>
      <c r="M3545" s="197"/>
      <c r="N3545" s="197"/>
      <c r="O3545" s="197"/>
    </row>
    <row r="3546" spans="1:15">
      <c r="A3546" s="274"/>
      <c r="B3546" s="274"/>
      <c r="C3546" s="274"/>
      <c r="D3546" s="274"/>
      <c r="E3546" s="283"/>
      <c r="F3546" s="283"/>
      <c r="G3546" s="320"/>
      <c r="H3546" s="320"/>
      <c r="I3546" s="228"/>
      <c r="J3546" s="228"/>
      <c r="K3546" s="233"/>
      <c r="L3546" s="197"/>
      <c r="M3546" s="197"/>
      <c r="N3546" s="197"/>
      <c r="O3546" s="197"/>
    </row>
    <row r="3547" spans="1:15">
      <c r="A3547" s="274"/>
      <c r="B3547" s="274"/>
      <c r="C3547" s="274"/>
      <c r="D3547" s="274"/>
      <c r="E3547" s="283"/>
      <c r="F3547" s="283"/>
      <c r="G3547" s="320"/>
      <c r="H3547" s="320"/>
      <c r="I3547" s="228"/>
      <c r="J3547" s="228"/>
      <c r="K3547" s="233"/>
      <c r="L3547" s="197"/>
      <c r="M3547" s="197"/>
      <c r="N3547" s="197"/>
      <c r="O3547" s="197"/>
    </row>
    <row r="3548" spans="1:15">
      <c r="A3548" s="274"/>
      <c r="B3548" s="274"/>
      <c r="C3548" s="274"/>
      <c r="D3548" s="274"/>
      <c r="E3548" s="283"/>
      <c r="F3548" s="283"/>
      <c r="G3548" s="320"/>
      <c r="H3548" s="320"/>
      <c r="I3548" s="228"/>
      <c r="J3548" s="228"/>
      <c r="K3548" s="274"/>
      <c r="L3548" s="197"/>
      <c r="M3548" s="197"/>
      <c r="N3548" s="197"/>
      <c r="O3548" s="197"/>
    </row>
    <row r="3549" spans="1:15">
      <c r="A3549" s="274"/>
      <c r="B3549" s="274"/>
      <c r="C3549" s="274"/>
      <c r="D3549" s="274"/>
      <c r="E3549" s="283"/>
      <c r="F3549" s="283"/>
      <c r="G3549" s="320"/>
      <c r="H3549" s="320"/>
      <c r="I3549" s="228"/>
      <c r="J3549" s="228"/>
      <c r="K3549" s="233"/>
      <c r="L3549" s="197"/>
      <c r="M3549" s="197"/>
      <c r="N3549" s="197"/>
      <c r="O3549" s="197"/>
    </row>
    <row r="3550" spans="1:15">
      <c r="A3550" s="274"/>
      <c r="B3550" s="274"/>
      <c r="C3550" s="274"/>
      <c r="D3550" s="274"/>
      <c r="E3550" s="283"/>
      <c r="F3550" s="283"/>
      <c r="G3550" s="320"/>
      <c r="H3550" s="320"/>
      <c r="I3550" s="228"/>
      <c r="J3550" s="228"/>
      <c r="K3550" s="233"/>
      <c r="L3550" s="197"/>
      <c r="M3550" s="197"/>
      <c r="N3550" s="197"/>
      <c r="O3550" s="197"/>
    </row>
    <row r="3551" spans="1:15">
      <c r="A3551" s="274"/>
      <c r="B3551" s="274"/>
      <c r="C3551" s="274"/>
      <c r="D3551" s="274"/>
      <c r="E3551" s="283"/>
      <c r="F3551" s="283"/>
      <c r="G3551" s="320"/>
      <c r="H3551" s="320"/>
      <c r="I3551" s="228"/>
      <c r="J3551" s="228"/>
      <c r="K3551" s="274"/>
      <c r="L3551" s="197"/>
      <c r="M3551" s="197"/>
      <c r="N3551" s="197"/>
      <c r="O3551" s="197"/>
    </row>
    <row r="3552" spans="1:15">
      <c r="A3552" s="274"/>
      <c r="B3552" s="274"/>
      <c r="C3552" s="274"/>
      <c r="D3552" s="274"/>
      <c r="E3552" s="283"/>
      <c r="F3552" s="283"/>
      <c r="G3552" s="320"/>
      <c r="H3552" s="320"/>
      <c r="I3552" s="228"/>
      <c r="J3552" s="228"/>
      <c r="K3552" s="233"/>
      <c r="L3552" s="197"/>
      <c r="M3552" s="197"/>
      <c r="N3552" s="197"/>
      <c r="O3552" s="197"/>
    </row>
    <row r="3553" spans="1:15">
      <c r="A3553" s="274"/>
      <c r="B3553" s="274"/>
      <c r="C3553" s="274"/>
      <c r="D3553" s="274"/>
      <c r="E3553" s="283"/>
      <c r="F3553" s="283"/>
      <c r="G3553" s="320"/>
      <c r="H3553" s="320"/>
      <c r="I3553" s="228"/>
      <c r="J3553" s="228"/>
      <c r="K3553" s="233"/>
      <c r="L3553" s="197"/>
      <c r="M3553" s="197"/>
      <c r="N3553" s="197"/>
      <c r="O3553" s="197"/>
    </row>
    <row r="3554" spans="1:15">
      <c r="A3554" s="274"/>
      <c r="B3554" s="274"/>
      <c r="C3554" s="274"/>
      <c r="D3554" s="274"/>
      <c r="E3554" s="283"/>
      <c r="F3554" s="283"/>
      <c r="G3554" s="320"/>
      <c r="H3554" s="320"/>
      <c r="I3554" s="228"/>
      <c r="J3554" s="228"/>
      <c r="K3554" s="233"/>
      <c r="L3554" s="197"/>
      <c r="M3554" s="197"/>
      <c r="N3554" s="197"/>
      <c r="O3554" s="197"/>
    </row>
    <row r="3555" spans="1:15">
      <c r="A3555" s="274"/>
      <c r="B3555" s="274"/>
      <c r="C3555" s="274"/>
      <c r="D3555" s="274"/>
      <c r="E3555" s="283"/>
      <c r="F3555" s="283"/>
      <c r="G3555" s="320"/>
      <c r="H3555" s="320"/>
      <c r="I3555" s="228"/>
      <c r="J3555" s="228"/>
      <c r="K3555" s="233"/>
      <c r="L3555" s="197"/>
      <c r="M3555" s="197"/>
      <c r="N3555" s="197"/>
      <c r="O3555" s="197"/>
    </row>
    <row r="3556" spans="1:15">
      <c r="A3556" s="274"/>
      <c r="B3556" s="274"/>
      <c r="C3556" s="274"/>
      <c r="D3556" s="274"/>
      <c r="E3556" s="283"/>
      <c r="F3556" s="283"/>
      <c r="G3556" s="320"/>
      <c r="H3556" s="320"/>
      <c r="I3556" s="228"/>
      <c r="J3556" s="228"/>
      <c r="K3556" s="233"/>
      <c r="L3556" s="197"/>
      <c r="M3556" s="197"/>
      <c r="N3556" s="197"/>
      <c r="O3556" s="197"/>
    </row>
    <row r="3557" spans="1:15">
      <c r="A3557" s="274"/>
      <c r="B3557" s="274"/>
      <c r="C3557" s="274"/>
      <c r="D3557" s="274"/>
      <c r="E3557" s="283"/>
      <c r="F3557" s="283"/>
      <c r="G3557" s="320"/>
      <c r="H3557" s="320"/>
      <c r="I3557" s="228"/>
      <c r="J3557" s="228"/>
      <c r="K3557" s="233"/>
      <c r="L3557" s="197"/>
      <c r="M3557" s="197"/>
      <c r="N3557" s="197"/>
      <c r="O3557" s="197"/>
    </row>
    <row r="3558" spans="1:15">
      <c r="A3558" s="274"/>
      <c r="B3558" s="274"/>
      <c r="C3558" s="274"/>
      <c r="D3558" s="274"/>
      <c r="E3558" s="283"/>
      <c r="F3558" s="283"/>
      <c r="G3558" s="320"/>
      <c r="H3558" s="320"/>
      <c r="I3558" s="228"/>
      <c r="J3558" s="228"/>
      <c r="K3558" s="233"/>
      <c r="L3558" s="197"/>
      <c r="M3558" s="197"/>
      <c r="N3558" s="197"/>
      <c r="O3558" s="197"/>
    </row>
    <row r="3559" spans="1:15">
      <c r="A3559" s="274"/>
      <c r="B3559" s="274"/>
      <c r="C3559" s="274"/>
      <c r="D3559" s="274"/>
      <c r="E3559" s="283"/>
      <c r="F3559" s="283"/>
      <c r="G3559" s="320"/>
      <c r="H3559" s="320"/>
      <c r="I3559" s="228"/>
      <c r="J3559" s="228"/>
      <c r="K3559" s="233"/>
      <c r="L3559" s="197"/>
      <c r="M3559" s="197"/>
      <c r="N3559" s="197"/>
      <c r="O3559" s="197"/>
    </row>
    <row r="3560" spans="1:15">
      <c r="A3560" s="274"/>
      <c r="B3560" s="274"/>
      <c r="C3560" s="274"/>
      <c r="D3560" s="274"/>
      <c r="E3560" s="283"/>
      <c r="F3560" s="283"/>
      <c r="G3560" s="320"/>
      <c r="H3560" s="320"/>
      <c r="I3560" s="228"/>
      <c r="J3560" s="228"/>
      <c r="K3560" s="233"/>
      <c r="L3560" s="197"/>
      <c r="M3560" s="197"/>
      <c r="N3560" s="197"/>
      <c r="O3560" s="197"/>
    </row>
    <row r="3561" spans="1:15">
      <c r="A3561" s="274"/>
      <c r="B3561" s="274"/>
      <c r="C3561" s="274"/>
      <c r="D3561" s="274"/>
      <c r="E3561" s="283"/>
      <c r="F3561" s="283"/>
      <c r="G3561" s="320"/>
      <c r="H3561" s="320"/>
      <c r="I3561" s="228"/>
      <c r="J3561" s="228"/>
      <c r="K3561" s="233"/>
      <c r="L3561" s="197"/>
      <c r="M3561" s="197"/>
      <c r="N3561" s="197"/>
      <c r="O3561" s="197"/>
    </row>
    <row r="3562" spans="1:15">
      <c r="A3562" s="274"/>
      <c r="B3562" s="274"/>
      <c r="C3562" s="274"/>
      <c r="D3562" s="274"/>
      <c r="E3562" s="283"/>
      <c r="F3562" s="283"/>
      <c r="G3562" s="320"/>
      <c r="H3562" s="320"/>
      <c r="I3562" s="228"/>
      <c r="J3562" s="228"/>
      <c r="K3562" s="233"/>
      <c r="L3562" s="197"/>
      <c r="M3562" s="197"/>
      <c r="N3562" s="197"/>
      <c r="O3562" s="197"/>
    </row>
    <row r="3563" spans="1:15">
      <c r="A3563" s="274"/>
      <c r="B3563" s="274"/>
      <c r="C3563" s="274"/>
      <c r="D3563" s="274"/>
      <c r="E3563" s="283"/>
      <c r="F3563" s="283"/>
      <c r="G3563" s="320"/>
      <c r="H3563" s="320"/>
      <c r="I3563" s="228"/>
      <c r="J3563" s="228"/>
      <c r="K3563" s="274"/>
      <c r="L3563" s="197"/>
      <c r="M3563" s="197"/>
      <c r="N3563" s="197"/>
      <c r="O3563" s="197"/>
    </row>
    <row r="3564" spans="1:15">
      <c r="A3564" s="274"/>
      <c r="B3564" s="274"/>
      <c r="C3564" s="274"/>
      <c r="D3564" s="274"/>
      <c r="E3564" s="283"/>
      <c r="F3564" s="283"/>
      <c r="G3564" s="320"/>
      <c r="H3564" s="320"/>
      <c r="I3564" s="228"/>
      <c r="J3564" s="228"/>
      <c r="K3564" s="233"/>
      <c r="L3564" s="197"/>
      <c r="M3564" s="197"/>
      <c r="N3564" s="197"/>
      <c r="O3564" s="197"/>
    </row>
    <row r="3565" spans="1:15">
      <c r="A3565" s="274"/>
      <c r="B3565" s="274"/>
      <c r="C3565" s="274"/>
      <c r="D3565" s="274"/>
      <c r="E3565" s="283"/>
      <c r="F3565" s="283"/>
      <c r="G3565" s="320"/>
      <c r="H3565" s="320"/>
      <c r="I3565" s="228"/>
      <c r="J3565" s="228"/>
      <c r="K3565" s="233"/>
      <c r="L3565" s="197"/>
      <c r="M3565" s="197"/>
      <c r="N3565" s="197"/>
      <c r="O3565" s="197"/>
    </row>
    <row r="3566" spans="1:15">
      <c r="A3566" s="274"/>
      <c r="B3566" s="274"/>
      <c r="C3566" s="274"/>
      <c r="D3566" s="274"/>
      <c r="E3566" s="283"/>
      <c r="F3566" s="283"/>
      <c r="G3566" s="320"/>
      <c r="H3566" s="320"/>
      <c r="I3566" s="228"/>
      <c r="J3566" s="228"/>
      <c r="K3566" s="233"/>
      <c r="L3566" s="197"/>
      <c r="M3566" s="197"/>
      <c r="N3566" s="197"/>
      <c r="O3566" s="197"/>
    </row>
    <row r="3567" spans="1:15">
      <c r="A3567" s="274"/>
      <c r="B3567" s="274"/>
      <c r="C3567" s="274"/>
      <c r="D3567" s="274"/>
      <c r="E3567" s="283"/>
      <c r="F3567" s="283"/>
      <c r="G3567" s="320"/>
      <c r="H3567" s="320"/>
      <c r="I3567" s="228"/>
      <c r="J3567" s="228"/>
      <c r="K3567" s="233"/>
      <c r="L3567" s="197"/>
      <c r="M3567" s="197"/>
      <c r="N3567" s="197"/>
      <c r="O3567" s="197"/>
    </row>
    <row r="3568" spans="1:15">
      <c r="A3568" s="274"/>
      <c r="B3568" s="274"/>
      <c r="C3568" s="274"/>
      <c r="D3568" s="274"/>
      <c r="E3568" s="283"/>
      <c r="F3568" s="283"/>
      <c r="G3568" s="320"/>
      <c r="H3568" s="320"/>
      <c r="I3568" s="228"/>
      <c r="J3568" s="228"/>
      <c r="K3568" s="233"/>
      <c r="L3568" s="197"/>
      <c r="M3568" s="197"/>
      <c r="N3568" s="197"/>
      <c r="O3568" s="197"/>
    </row>
    <row r="3569" spans="1:15">
      <c r="A3569" s="274"/>
      <c r="B3569" s="274"/>
      <c r="C3569" s="274"/>
      <c r="D3569" s="274"/>
      <c r="E3569" s="283"/>
      <c r="F3569" s="283"/>
      <c r="G3569" s="320"/>
      <c r="H3569" s="320"/>
      <c r="I3569" s="228"/>
      <c r="J3569" s="228"/>
      <c r="K3569" s="233"/>
      <c r="L3569" s="197"/>
      <c r="M3569" s="197"/>
      <c r="N3569" s="197"/>
      <c r="O3569" s="197"/>
    </row>
    <row r="3570" spans="1:15">
      <c r="A3570" s="274"/>
      <c r="B3570" s="274"/>
      <c r="C3570" s="274"/>
      <c r="D3570" s="274"/>
      <c r="E3570" s="283"/>
      <c r="F3570" s="283"/>
      <c r="G3570" s="320"/>
      <c r="H3570" s="320"/>
      <c r="I3570" s="228"/>
      <c r="J3570" s="228"/>
      <c r="K3570" s="233"/>
      <c r="L3570" s="197"/>
      <c r="M3570" s="197"/>
      <c r="N3570" s="197"/>
      <c r="O3570" s="197"/>
    </row>
    <row r="3571" spans="1:15">
      <c r="A3571" s="274"/>
      <c r="B3571" s="274"/>
      <c r="C3571" s="274"/>
      <c r="D3571" s="274"/>
      <c r="E3571" s="283"/>
      <c r="F3571" s="283"/>
      <c r="G3571" s="320"/>
      <c r="H3571" s="320"/>
      <c r="I3571" s="228"/>
      <c r="J3571" s="228"/>
      <c r="K3571" s="233"/>
      <c r="L3571" s="197"/>
      <c r="M3571" s="197"/>
      <c r="N3571" s="197"/>
      <c r="O3571" s="197"/>
    </row>
    <row r="3572" spans="1:15">
      <c r="A3572" s="274"/>
      <c r="B3572" s="274"/>
      <c r="C3572" s="274"/>
      <c r="D3572" s="274"/>
      <c r="E3572" s="283"/>
      <c r="F3572" s="283"/>
      <c r="G3572" s="320"/>
      <c r="H3572" s="320"/>
      <c r="I3572" s="228"/>
      <c r="J3572" s="228"/>
      <c r="K3572" s="233"/>
      <c r="L3572" s="197"/>
      <c r="M3572" s="197"/>
      <c r="N3572" s="197"/>
      <c r="O3572" s="197"/>
    </row>
    <row r="3573" spans="1:15">
      <c r="A3573" s="274"/>
      <c r="B3573" s="274"/>
      <c r="C3573" s="274"/>
      <c r="D3573" s="274"/>
      <c r="E3573" s="283"/>
      <c r="F3573" s="283"/>
      <c r="G3573" s="320"/>
      <c r="H3573" s="320"/>
      <c r="I3573" s="228"/>
      <c r="J3573" s="228"/>
      <c r="K3573" s="233"/>
      <c r="L3573" s="197"/>
      <c r="M3573" s="197"/>
      <c r="N3573" s="197"/>
      <c r="O3573" s="197"/>
    </row>
    <row r="3574" spans="1:15">
      <c r="A3574" s="274"/>
      <c r="B3574" s="274"/>
      <c r="C3574" s="274"/>
      <c r="D3574" s="274"/>
      <c r="E3574" s="283"/>
      <c r="F3574" s="283"/>
      <c r="G3574" s="320"/>
      <c r="H3574" s="320"/>
      <c r="I3574" s="228"/>
      <c r="J3574" s="228"/>
      <c r="K3574" s="233"/>
      <c r="L3574" s="197"/>
      <c r="M3574" s="197"/>
      <c r="N3574" s="197"/>
      <c r="O3574" s="197"/>
    </row>
    <row r="3575" spans="1:15">
      <c r="A3575" s="274"/>
      <c r="B3575" s="274"/>
      <c r="C3575" s="274"/>
      <c r="D3575" s="274"/>
      <c r="E3575" s="283"/>
      <c r="F3575" s="283"/>
      <c r="G3575" s="320"/>
      <c r="H3575" s="320"/>
      <c r="I3575" s="228"/>
      <c r="J3575" s="228"/>
      <c r="K3575" s="233"/>
      <c r="L3575" s="197"/>
      <c r="M3575" s="197"/>
      <c r="N3575" s="197"/>
      <c r="O3575" s="197"/>
    </row>
    <row r="3576" spans="1:15">
      <c r="A3576" s="274"/>
      <c r="B3576" s="274"/>
      <c r="C3576" s="274"/>
      <c r="D3576" s="274"/>
      <c r="E3576" s="283"/>
      <c r="F3576" s="283"/>
      <c r="G3576" s="320"/>
      <c r="H3576" s="320"/>
      <c r="I3576" s="228"/>
      <c r="J3576" s="228"/>
      <c r="K3576" s="233"/>
      <c r="L3576" s="197"/>
      <c r="M3576" s="197"/>
      <c r="N3576" s="197"/>
      <c r="O3576" s="197"/>
    </row>
    <row r="3577" spans="1:15">
      <c r="A3577" s="274"/>
      <c r="B3577" s="274"/>
      <c r="C3577" s="274"/>
      <c r="D3577" s="274"/>
      <c r="E3577" s="283"/>
      <c r="F3577" s="283"/>
      <c r="G3577" s="320"/>
      <c r="H3577" s="320"/>
      <c r="I3577" s="228"/>
      <c r="J3577" s="228"/>
      <c r="K3577" s="233"/>
      <c r="L3577" s="197"/>
      <c r="M3577" s="197"/>
      <c r="N3577" s="197"/>
      <c r="O3577" s="197"/>
    </row>
    <row r="3578" spans="1:15">
      <c r="A3578" s="274"/>
      <c r="B3578" s="274"/>
      <c r="C3578" s="274"/>
      <c r="D3578" s="274"/>
      <c r="E3578" s="283"/>
      <c r="F3578" s="283"/>
      <c r="G3578" s="320"/>
      <c r="H3578" s="320"/>
      <c r="I3578" s="228"/>
      <c r="J3578" s="228"/>
      <c r="K3578" s="274"/>
      <c r="L3578" s="197"/>
      <c r="M3578" s="197"/>
      <c r="N3578" s="197"/>
      <c r="O3578" s="197"/>
    </row>
    <row r="3579" spans="1:15">
      <c r="A3579" s="274"/>
      <c r="B3579" s="274"/>
      <c r="C3579" s="274"/>
      <c r="D3579" s="274"/>
      <c r="E3579" s="283"/>
      <c r="F3579" s="283"/>
      <c r="G3579" s="320"/>
      <c r="H3579" s="320"/>
      <c r="I3579" s="228"/>
      <c r="J3579" s="228"/>
      <c r="K3579" s="274"/>
      <c r="L3579" s="197"/>
      <c r="M3579" s="197"/>
      <c r="N3579" s="197"/>
      <c r="O3579" s="197"/>
    </row>
    <row r="3580" spans="1:15">
      <c r="A3580" s="274"/>
      <c r="B3580" s="274"/>
      <c r="C3580" s="274"/>
      <c r="D3580" s="274"/>
      <c r="E3580" s="283"/>
      <c r="F3580" s="283"/>
      <c r="G3580" s="320"/>
      <c r="H3580" s="320"/>
      <c r="I3580" s="228"/>
      <c r="J3580" s="228"/>
      <c r="K3580" s="233"/>
      <c r="L3580" s="197"/>
      <c r="M3580" s="197"/>
      <c r="N3580" s="197"/>
      <c r="O3580" s="197"/>
    </row>
    <row r="3581" spans="1:15">
      <c r="A3581" s="274"/>
      <c r="B3581" s="274"/>
      <c r="C3581" s="274"/>
      <c r="D3581" s="274"/>
      <c r="E3581" s="283"/>
      <c r="F3581" s="283"/>
      <c r="G3581" s="320"/>
      <c r="H3581" s="320"/>
      <c r="I3581" s="228"/>
      <c r="J3581" s="228"/>
      <c r="K3581" s="233"/>
      <c r="L3581" s="197"/>
      <c r="M3581" s="197"/>
      <c r="N3581" s="197"/>
      <c r="O3581" s="197"/>
    </row>
    <row r="3582" spans="1:15">
      <c r="A3582" s="274"/>
      <c r="B3582" s="274"/>
      <c r="C3582" s="274"/>
      <c r="D3582" s="274"/>
      <c r="E3582" s="283"/>
      <c r="F3582" s="283"/>
      <c r="G3582" s="320"/>
      <c r="H3582" s="320"/>
      <c r="I3582" s="228"/>
      <c r="J3582" s="228"/>
      <c r="K3582" s="233"/>
      <c r="L3582" s="197"/>
      <c r="M3582" s="197"/>
      <c r="N3582" s="197"/>
      <c r="O3582" s="197"/>
    </row>
    <row r="3583" spans="1:15">
      <c r="A3583" s="274"/>
      <c r="B3583" s="274"/>
      <c r="C3583" s="274"/>
      <c r="D3583" s="274"/>
      <c r="E3583" s="283"/>
      <c r="F3583" s="283"/>
      <c r="G3583" s="320"/>
      <c r="H3583" s="320"/>
      <c r="I3583" s="228"/>
      <c r="J3583" s="228"/>
      <c r="K3583" s="233"/>
      <c r="L3583" s="197"/>
      <c r="M3583" s="197"/>
      <c r="N3583" s="197"/>
      <c r="O3583" s="197"/>
    </row>
    <row r="3584" spans="1:15">
      <c r="A3584" s="274"/>
      <c r="B3584" s="274"/>
      <c r="C3584" s="274"/>
      <c r="D3584" s="274"/>
      <c r="E3584" s="283"/>
      <c r="F3584" s="283"/>
      <c r="G3584" s="320"/>
      <c r="H3584" s="320"/>
      <c r="I3584" s="228"/>
      <c r="J3584" s="228"/>
      <c r="K3584" s="233"/>
      <c r="L3584" s="197"/>
      <c r="M3584" s="197"/>
      <c r="N3584" s="197"/>
      <c r="O3584" s="197"/>
    </row>
    <row r="3585" spans="1:15">
      <c r="A3585" s="274"/>
      <c r="B3585" s="274"/>
      <c r="C3585" s="274"/>
      <c r="D3585" s="274"/>
      <c r="E3585" s="283"/>
      <c r="F3585" s="283"/>
      <c r="G3585" s="320"/>
      <c r="H3585" s="320"/>
      <c r="I3585" s="228"/>
      <c r="J3585" s="228"/>
      <c r="K3585" s="233"/>
      <c r="L3585" s="197"/>
      <c r="M3585" s="197"/>
      <c r="N3585" s="197"/>
      <c r="O3585" s="197"/>
    </row>
    <row r="3586" spans="1:15">
      <c r="A3586" s="274"/>
      <c r="B3586" s="274"/>
      <c r="C3586" s="274"/>
      <c r="D3586" s="274"/>
      <c r="E3586" s="283"/>
      <c r="F3586" s="283"/>
      <c r="G3586" s="320"/>
      <c r="H3586" s="320"/>
      <c r="I3586" s="228"/>
      <c r="J3586" s="228"/>
      <c r="K3586" s="274"/>
      <c r="L3586" s="197"/>
      <c r="M3586" s="197"/>
      <c r="N3586" s="197"/>
      <c r="O3586" s="197"/>
    </row>
    <row r="3587" spans="1:15">
      <c r="A3587" s="274"/>
      <c r="B3587" s="274"/>
      <c r="C3587" s="274"/>
      <c r="D3587" s="274"/>
      <c r="E3587" s="283"/>
      <c r="F3587" s="283"/>
      <c r="G3587" s="320"/>
      <c r="H3587" s="320"/>
      <c r="I3587" s="228"/>
      <c r="J3587" s="228"/>
      <c r="K3587" s="274"/>
      <c r="L3587" s="197"/>
      <c r="M3587" s="197"/>
      <c r="N3587" s="197"/>
      <c r="O3587" s="197"/>
    </row>
    <row r="3588" spans="1:15">
      <c r="A3588" s="274"/>
      <c r="B3588" s="274"/>
      <c r="C3588" s="274"/>
      <c r="D3588" s="274"/>
      <c r="E3588" s="283"/>
      <c r="F3588" s="283"/>
      <c r="G3588" s="320"/>
      <c r="H3588" s="320"/>
      <c r="I3588" s="228"/>
      <c r="J3588" s="228"/>
      <c r="K3588" s="233"/>
      <c r="L3588" s="197"/>
      <c r="M3588" s="197"/>
      <c r="N3588" s="197"/>
      <c r="O3588" s="197"/>
    </row>
    <row r="3589" spans="1:15">
      <c r="A3589" s="274"/>
      <c r="B3589" s="274"/>
      <c r="C3589" s="274"/>
      <c r="D3589" s="274"/>
      <c r="E3589" s="283"/>
      <c r="F3589" s="283"/>
      <c r="G3589" s="320"/>
      <c r="H3589" s="320"/>
      <c r="I3589" s="228"/>
      <c r="J3589" s="228"/>
      <c r="K3589" s="233"/>
      <c r="L3589" s="197"/>
      <c r="M3589" s="197"/>
      <c r="N3589" s="197"/>
      <c r="O3589" s="197"/>
    </row>
    <row r="3590" spans="1:15">
      <c r="A3590" s="274"/>
      <c r="B3590" s="274"/>
      <c r="C3590" s="274"/>
      <c r="D3590" s="274"/>
      <c r="E3590" s="283"/>
      <c r="F3590" s="283"/>
      <c r="G3590" s="320"/>
      <c r="H3590" s="320"/>
      <c r="I3590" s="228"/>
      <c r="J3590" s="228"/>
      <c r="K3590" s="233"/>
      <c r="L3590" s="197"/>
      <c r="M3590" s="197"/>
      <c r="N3590" s="197"/>
      <c r="O3590" s="197"/>
    </row>
    <row r="3591" spans="1:15">
      <c r="A3591" s="274"/>
      <c r="B3591" s="274"/>
      <c r="C3591" s="274"/>
      <c r="D3591" s="274"/>
      <c r="E3591" s="283"/>
      <c r="F3591" s="283"/>
      <c r="G3591" s="320"/>
      <c r="H3591" s="320"/>
      <c r="I3591" s="228"/>
      <c r="J3591" s="228"/>
      <c r="K3591" s="233"/>
      <c r="L3591" s="197"/>
      <c r="M3591" s="197"/>
      <c r="N3591" s="197"/>
      <c r="O3591" s="197"/>
    </row>
    <row r="3592" spans="1:15">
      <c r="A3592" s="274"/>
      <c r="B3592" s="274"/>
      <c r="C3592" s="274"/>
      <c r="D3592" s="274"/>
      <c r="E3592" s="283"/>
      <c r="F3592" s="283"/>
      <c r="G3592" s="320"/>
      <c r="H3592" s="320"/>
      <c r="I3592" s="228"/>
      <c r="J3592" s="228"/>
      <c r="K3592" s="274"/>
      <c r="L3592" s="197"/>
      <c r="M3592" s="197"/>
      <c r="N3592" s="197"/>
      <c r="O3592" s="197"/>
    </row>
    <row r="3593" spans="1:15">
      <c r="A3593" s="274"/>
      <c r="B3593" s="274"/>
      <c r="C3593" s="274"/>
      <c r="D3593" s="274"/>
      <c r="E3593" s="283"/>
      <c r="F3593" s="283"/>
      <c r="G3593" s="320"/>
      <c r="H3593" s="320"/>
      <c r="I3593" s="228"/>
      <c r="J3593" s="228"/>
      <c r="K3593" s="233"/>
      <c r="L3593" s="197"/>
      <c r="M3593" s="197"/>
      <c r="N3593" s="197"/>
      <c r="O3593" s="197"/>
    </row>
    <row r="3594" spans="1:15">
      <c r="A3594" s="274"/>
      <c r="B3594" s="274"/>
      <c r="C3594" s="274"/>
      <c r="D3594" s="274"/>
      <c r="E3594" s="283"/>
      <c r="F3594" s="283"/>
      <c r="G3594" s="320"/>
      <c r="H3594" s="320"/>
      <c r="I3594" s="228"/>
      <c r="J3594" s="228"/>
      <c r="K3594" s="233"/>
      <c r="L3594" s="197"/>
      <c r="M3594" s="197"/>
      <c r="N3594" s="197"/>
      <c r="O3594" s="197"/>
    </row>
    <row r="3595" spans="1:15">
      <c r="A3595" s="274"/>
      <c r="B3595" s="274"/>
      <c r="C3595" s="274"/>
      <c r="D3595" s="274"/>
      <c r="E3595" s="283"/>
      <c r="F3595" s="283"/>
      <c r="G3595" s="320"/>
      <c r="H3595" s="320"/>
      <c r="I3595" s="228"/>
      <c r="J3595" s="228"/>
      <c r="K3595" s="233"/>
      <c r="L3595" s="197"/>
      <c r="M3595" s="197"/>
      <c r="N3595" s="197"/>
      <c r="O3595" s="197"/>
    </row>
    <row r="3596" spans="1:15">
      <c r="A3596" s="274"/>
      <c r="B3596" s="274"/>
      <c r="C3596" s="274"/>
      <c r="D3596" s="274"/>
      <c r="E3596" s="283"/>
      <c r="F3596" s="283"/>
      <c r="G3596" s="320"/>
      <c r="H3596" s="320"/>
      <c r="I3596" s="228"/>
      <c r="J3596" s="228"/>
      <c r="K3596" s="233"/>
      <c r="L3596" s="197"/>
      <c r="M3596" s="197"/>
      <c r="N3596" s="197"/>
      <c r="O3596" s="197"/>
    </row>
    <row r="3597" spans="1:15">
      <c r="A3597" s="274"/>
      <c r="B3597" s="274"/>
      <c r="C3597" s="274"/>
      <c r="D3597" s="274"/>
      <c r="E3597" s="283"/>
      <c r="F3597" s="283"/>
      <c r="G3597" s="320"/>
      <c r="H3597" s="320"/>
      <c r="I3597" s="228"/>
      <c r="J3597" s="228"/>
      <c r="K3597" s="233"/>
      <c r="L3597" s="197"/>
      <c r="M3597" s="197"/>
      <c r="N3597" s="197"/>
      <c r="O3597" s="197"/>
    </row>
    <row r="3598" spans="1:15">
      <c r="A3598" s="274"/>
      <c r="B3598" s="274"/>
      <c r="C3598" s="274"/>
      <c r="D3598" s="274"/>
      <c r="E3598" s="283"/>
      <c r="F3598" s="283"/>
      <c r="G3598" s="320"/>
      <c r="H3598" s="320"/>
      <c r="I3598" s="228"/>
      <c r="J3598" s="228"/>
      <c r="K3598" s="274"/>
      <c r="L3598" s="197"/>
      <c r="M3598" s="197"/>
      <c r="N3598" s="197"/>
      <c r="O3598" s="197"/>
    </row>
    <row r="3599" spans="1:15">
      <c r="A3599" s="274"/>
      <c r="B3599" s="274"/>
      <c r="C3599" s="274"/>
      <c r="D3599" s="274"/>
      <c r="E3599" s="283"/>
      <c r="F3599" s="283"/>
      <c r="G3599" s="320"/>
      <c r="H3599" s="320"/>
      <c r="I3599" s="228"/>
      <c r="J3599" s="228"/>
      <c r="K3599" s="233"/>
      <c r="L3599" s="197"/>
      <c r="M3599" s="197"/>
      <c r="N3599" s="197"/>
      <c r="O3599" s="197"/>
    </row>
    <row r="3600" spans="1:15">
      <c r="A3600" s="274"/>
      <c r="B3600" s="274"/>
      <c r="C3600" s="274"/>
      <c r="D3600" s="274"/>
      <c r="E3600" s="283"/>
      <c r="F3600" s="283"/>
      <c r="G3600" s="320"/>
      <c r="H3600" s="320"/>
      <c r="I3600" s="228"/>
      <c r="J3600" s="228"/>
      <c r="K3600" s="233"/>
      <c r="L3600" s="197"/>
      <c r="M3600" s="197"/>
      <c r="N3600" s="197"/>
      <c r="O3600" s="197"/>
    </row>
    <row r="3601" spans="1:15">
      <c r="A3601" s="274"/>
      <c r="B3601" s="274"/>
      <c r="C3601" s="274"/>
      <c r="D3601" s="274"/>
      <c r="E3601" s="283"/>
      <c r="F3601" s="283"/>
      <c r="G3601" s="320"/>
      <c r="H3601" s="320"/>
      <c r="I3601" s="228"/>
      <c r="J3601" s="228"/>
      <c r="K3601" s="233"/>
      <c r="L3601" s="197"/>
      <c r="M3601" s="197"/>
      <c r="N3601" s="197"/>
      <c r="O3601" s="197"/>
    </row>
    <row r="3602" spans="1:15">
      <c r="A3602" s="274"/>
      <c r="B3602" s="274"/>
      <c r="C3602" s="274"/>
      <c r="D3602" s="274"/>
      <c r="E3602" s="283"/>
      <c r="F3602" s="283"/>
      <c r="G3602" s="320"/>
      <c r="H3602" s="320"/>
      <c r="I3602" s="228"/>
      <c r="J3602" s="228"/>
      <c r="K3602" s="233"/>
      <c r="L3602" s="197"/>
      <c r="M3602" s="197"/>
      <c r="N3602" s="197"/>
      <c r="O3602" s="197"/>
    </row>
    <row r="3603" spans="1:15">
      <c r="A3603" s="274"/>
      <c r="B3603" s="274"/>
      <c r="C3603" s="274"/>
      <c r="D3603" s="274"/>
      <c r="E3603" s="283"/>
      <c r="F3603" s="283"/>
      <c r="G3603" s="320"/>
      <c r="H3603" s="320"/>
      <c r="I3603" s="228"/>
      <c r="J3603" s="228"/>
      <c r="K3603" s="274"/>
      <c r="L3603" s="197"/>
      <c r="M3603" s="197"/>
      <c r="N3603" s="197"/>
      <c r="O3603" s="197"/>
    </row>
    <row r="3604" spans="1:15">
      <c r="A3604" s="274"/>
      <c r="B3604" s="274"/>
      <c r="C3604" s="274"/>
      <c r="D3604" s="274"/>
      <c r="E3604" s="283"/>
      <c r="F3604" s="283"/>
      <c r="G3604" s="320"/>
      <c r="H3604" s="320"/>
      <c r="I3604" s="228"/>
      <c r="J3604" s="228"/>
      <c r="K3604" s="233"/>
      <c r="L3604" s="197"/>
      <c r="M3604" s="197"/>
      <c r="N3604" s="197"/>
      <c r="O3604" s="197"/>
    </row>
    <row r="3605" spans="1:15">
      <c r="A3605" s="274"/>
      <c r="B3605" s="274"/>
      <c r="C3605" s="274"/>
      <c r="D3605" s="274"/>
      <c r="E3605" s="283"/>
      <c r="F3605" s="283"/>
      <c r="G3605" s="320"/>
      <c r="H3605" s="320"/>
      <c r="I3605" s="228"/>
      <c r="J3605" s="228"/>
      <c r="K3605" s="233"/>
      <c r="L3605" s="197"/>
      <c r="M3605" s="197"/>
      <c r="N3605" s="197"/>
      <c r="O3605" s="197"/>
    </row>
    <row r="3606" spans="1:15">
      <c r="A3606" s="274"/>
      <c r="B3606" s="274"/>
      <c r="C3606" s="274"/>
      <c r="D3606" s="274"/>
      <c r="E3606" s="283"/>
      <c r="F3606" s="283"/>
      <c r="G3606" s="320"/>
      <c r="H3606" s="320"/>
      <c r="I3606" s="228"/>
      <c r="J3606" s="228"/>
      <c r="K3606" s="233"/>
      <c r="L3606" s="197"/>
      <c r="M3606" s="197"/>
      <c r="N3606" s="197"/>
      <c r="O3606" s="197"/>
    </row>
    <row r="3607" spans="1:15">
      <c r="A3607" s="274"/>
      <c r="B3607" s="274"/>
      <c r="C3607" s="274"/>
      <c r="D3607" s="274"/>
      <c r="E3607" s="283"/>
      <c r="F3607" s="283"/>
      <c r="G3607" s="320"/>
      <c r="H3607" s="320"/>
      <c r="I3607" s="228"/>
      <c r="J3607" s="228"/>
      <c r="K3607" s="233"/>
      <c r="L3607" s="197"/>
      <c r="M3607" s="197"/>
      <c r="N3607" s="197"/>
      <c r="O3607" s="197"/>
    </row>
    <row r="3608" spans="1:15">
      <c r="A3608" s="274"/>
      <c r="B3608" s="274"/>
      <c r="C3608" s="274"/>
      <c r="D3608" s="274"/>
      <c r="E3608" s="283"/>
      <c r="F3608" s="283"/>
      <c r="G3608" s="320"/>
      <c r="H3608" s="320"/>
      <c r="I3608" s="228"/>
      <c r="J3608" s="228"/>
      <c r="K3608" s="233"/>
      <c r="L3608" s="197"/>
      <c r="M3608" s="197"/>
      <c r="N3608" s="197"/>
      <c r="O3608" s="197"/>
    </row>
    <row r="3609" spans="1:15">
      <c r="A3609" s="274"/>
      <c r="B3609" s="274"/>
      <c r="C3609" s="274"/>
      <c r="D3609" s="274"/>
      <c r="E3609" s="283"/>
      <c r="F3609" s="283"/>
      <c r="G3609" s="320"/>
      <c r="H3609" s="320"/>
      <c r="I3609" s="228"/>
      <c r="J3609" s="228"/>
      <c r="K3609" s="233"/>
      <c r="L3609" s="197"/>
      <c r="M3609" s="197"/>
      <c r="N3609" s="197"/>
      <c r="O3609" s="197"/>
    </row>
    <row r="3610" spans="1:15">
      <c r="A3610" s="274"/>
      <c r="B3610" s="274"/>
      <c r="C3610" s="274"/>
      <c r="D3610" s="274"/>
      <c r="E3610" s="283"/>
      <c r="F3610" s="283"/>
      <c r="G3610" s="320"/>
      <c r="H3610" s="320"/>
      <c r="I3610" s="228"/>
      <c r="J3610" s="228"/>
      <c r="K3610" s="233"/>
      <c r="L3610" s="197"/>
      <c r="M3610" s="197"/>
      <c r="N3610" s="197"/>
      <c r="O3610" s="197"/>
    </row>
    <row r="3611" spans="1:15">
      <c r="A3611" s="274"/>
      <c r="B3611" s="274"/>
      <c r="C3611" s="274"/>
      <c r="D3611" s="274"/>
      <c r="E3611" s="283"/>
      <c r="F3611" s="283"/>
      <c r="G3611" s="320"/>
      <c r="H3611" s="320"/>
      <c r="I3611" s="228"/>
      <c r="J3611" s="228"/>
      <c r="K3611" s="233"/>
      <c r="L3611" s="197"/>
      <c r="M3611" s="197"/>
      <c r="N3611" s="197"/>
      <c r="O3611" s="197"/>
    </row>
    <row r="3612" spans="1:15">
      <c r="A3612" s="274"/>
      <c r="B3612" s="274"/>
      <c r="C3612" s="274"/>
      <c r="D3612" s="274"/>
      <c r="E3612" s="283"/>
      <c r="F3612" s="283"/>
      <c r="G3612" s="320"/>
      <c r="H3612" s="320"/>
      <c r="I3612" s="228"/>
      <c r="J3612" s="228"/>
      <c r="K3612" s="233"/>
      <c r="L3612" s="197"/>
      <c r="M3612" s="197"/>
      <c r="N3612" s="197"/>
      <c r="O3612" s="197"/>
    </row>
    <row r="3613" spans="1:15">
      <c r="A3613" s="274"/>
      <c r="B3613" s="274"/>
      <c r="C3613" s="274"/>
      <c r="D3613" s="274"/>
      <c r="E3613" s="283"/>
      <c r="F3613" s="283"/>
      <c r="G3613" s="320"/>
      <c r="H3613" s="320"/>
      <c r="I3613" s="228"/>
      <c r="J3613" s="228"/>
      <c r="K3613" s="233"/>
      <c r="L3613" s="197"/>
      <c r="M3613" s="197"/>
      <c r="N3613" s="197"/>
      <c r="O3613" s="197"/>
    </row>
    <row r="3614" spans="1:15">
      <c r="A3614" s="274"/>
      <c r="B3614" s="274"/>
      <c r="C3614" s="274"/>
      <c r="D3614" s="274"/>
      <c r="E3614" s="283"/>
      <c r="F3614" s="283"/>
      <c r="G3614" s="320"/>
      <c r="H3614" s="320"/>
      <c r="I3614" s="228"/>
      <c r="J3614" s="228"/>
      <c r="K3614" s="274"/>
      <c r="L3614" s="197"/>
      <c r="M3614" s="197"/>
      <c r="N3614" s="197"/>
      <c r="O3614" s="197"/>
    </row>
    <row r="3615" spans="1:15">
      <c r="A3615" s="274"/>
      <c r="B3615" s="274"/>
      <c r="C3615" s="274"/>
      <c r="D3615" s="274"/>
      <c r="E3615" s="283"/>
      <c r="F3615" s="283"/>
      <c r="G3615" s="320"/>
      <c r="H3615" s="320"/>
      <c r="I3615" s="228"/>
      <c r="J3615" s="228"/>
      <c r="K3615" s="274"/>
      <c r="L3615" s="197"/>
      <c r="M3615" s="197"/>
      <c r="N3615" s="197"/>
      <c r="O3615" s="197"/>
    </row>
    <row r="3616" spans="1:15">
      <c r="A3616" s="274"/>
      <c r="B3616" s="274"/>
      <c r="C3616" s="274"/>
      <c r="D3616" s="274"/>
      <c r="E3616" s="283"/>
      <c r="F3616" s="283"/>
      <c r="G3616" s="320"/>
      <c r="H3616" s="320"/>
      <c r="I3616" s="228"/>
      <c r="J3616" s="228"/>
      <c r="K3616" s="274"/>
      <c r="L3616" s="197"/>
      <c r="M3616" s="197"/>
      <c r="N3616" s="197"/>
      <c r="O3616" s="197"/>
    </row>
    <row r="3617" spans="1:15">
      <c r="A3617" s="274"/>
      <c r="B3617" s="274"/>
      <c r="C3617" s="274"/>
      <c r="D3617" s="274"/>
      <c r="E3617" s="283"/>
      <c r="F3617" s="283"/>
      <c r="G3617" s="320"/>
      <c r="H3617" s="320"/>
      <c r="I3617" s="228"/>
      <c r="J3617" s="228"/>
      <c r="K3617" s="274"/>
      <c r="L3617" s="197"/>
      <c r="M3617" s="197"/>
      <c r="N3617" s="197"/>
      <c r="O3617" s="197"/>
    </row>
    <row r="3618" spans="1:15">
      <c r="A3618" s="274"/>
      <c r="B3618" s="274"/>
      <c r="C3618" s="274"/>
      <c r="D3618" s="274"/>
      <c r="E3618" s="283"/>
      <c r="F3618" s="283"/>
      <c r="G3618" s="320"/>
      <c r="H3618" s="320"/>
      <c r="I3618" s="228"/>
      <c r="J3618" s="228"/>
      <c r="K3618" s="274"/>
      <c r="L3618" s="197"/>
      <c r="M3618" s="197"/>
      <c r="N3618" s="197"/>
      <c r="O3618" s="197"/>
    </row>
    <row r="3619" spans="1:15">
      <c r="A3619" s="274"/>
      <c r="B3619" s="274"/>
      <c r="C3619" s="274"/>
      <c r="D3619" s="274"/>
      <c r="E3619" s="283"/>
      <c r="F3619" s="283"/>
      <c r="G3619" s="320"/>
      <c r="H3619" s="320"/>
      <c r="I3619" s="228"/>
      <c r="J3619" s="228"/>
      <c r="K3619" s="233"/>
      <c r="L3619" s="197"/>
      <c r="M3619" s="197"/>
      <c r="N3619" s="197"/>
      <c r="O3619" s="197"/>
    </row>
    <row r="3620" spans="1:15">
      <c r="A3620" s="274"/>
      <c r="B3620" s="274"/>
      <c r="C3620" s="274"/>
      <c r="D3620" s="274"/>
      <c r="E3620" s="283"/>
      <c r="F3620" s="283"/>
      <c r="G3620" s="320"/>
      <c r="H3620" s="320"/>
      <c r="I3620" s="228"/>
      <c r="J3620" s="228"/>
      <c r="K3620" s="233"/>
      <c r="L3620" s="197"/>
      <c r="M3620" s="197"/>
      <c r="N3620" s="197"/>
      <c r="O3620" s="197"/>
    </row>
    <row r="3621" spans="1:15">
      <c r="A3621" s="274"/>
      <c r="B3621" s="274"/>
      <c r="C3621" s="274"/>
      <c r="D3621" s="274"/>
      <c r="E3621" s="283"/>
      <c r="F3621" s="283"/>
      <c r="G3621" s="320"/>
      <c r="H3621" s="320"/>
      <c r="I3621" s="228"/>
      <c r="J3621" s="228"/>
      <c r="K3621" s="233"/>
      <c r="L3621" s="197"/>
      <c r="M3621" s="197"/>
      <c r="N3621" s="197"/>
      <c r="O3621" s="197"/>
    </row>
    <row r="3622" spans="1:15">
      <c r="A3622" s="274"/>
      <c r="B3622" s="274"/>
      <c r="C3622" s="274"/>
      <c r="D3622" s="274"/>
      <c r="E3622" s="283"/>
      <c r="F3622" s="283"/>
      <c r="G3622" s="320"/>
      <c r="H3622" s="320"/>
      <c r="I3622" s="228"/>
      <c r="J3622" s="228"/>
      <c r="K3622" s="233"/>
      <c r="L3622" s="197"/>
      <c r="M3622" s="197"/>
      <c r="N3622" s="197"/>
      <c r="O3622" s="197"/>
    </row>
    <row r="3623" spans="1:15">
      <c r="A3623" s="274"/>
      <c r="B3623" s="274"/>
      <c r="C3623" s="274"/>
      <c r="D3623" s="274"/>
      <c r="E3623" s="283"/>
      <c r="F3623" s="283"/>
      <c r="G3623" s="320"/>
      <c r="H3623" s="320"/>
      <c r="I3623" s="228"/>
      <c r="J3623" s="228"/>
      <c r="K3623" s="233"/>
      <c r="L3623" s="197"/>
      <c r="M3623" s="197"/>
      <c r="N3623" s="197"/>
      <c r="O3623" s="197"/>
    </row>
    <row r="3624" spans="1:15">
      <c r="A3624" s="274"/>
      <c r="B3624" s="274"/>
      <c r="C3624" s="274"/>
      <c r="D3624" s="274"/>
      <c r="E3624" s="283"/>
      <c r="F3624" s="283"/>
      <c r="G3624" s="320"/>
      <c r="H3624" s="320"/>
      <c r="I3624" s="228"/>
      <c r="J3624" s="228"/>
      <c r="K3624" s="274"/>
      <c r="L3624" s="197"/>
      <c r="M3624" s="197"/>
      <c r="N3624" s="197"/>
      <c r="O3624" s="197"/>
    </row>
    <row r="3625" spans="1:15">
      <c r="A3625" s="274"/>
      <c r="B3625" s="274"/>
      <c r="C3625" s="274"/>
      <c r="D3625" s="274"/>
      <c r="E3625" s="283"/>
      <c r="F3625" s="283"/>
      <c r="G3625" s="320"/>
      <c r="H3625" s="320"/>
      <c r="I3625" s="228"/>
      <c r="J3625" s="228"/>
      <c r="K3625" s="274"/>
      <c r="L3625" s="197"/>
      <c r="M3625" s="197"/>
      <c r="N3625" s="197"/>
      <c r="O3625" s="197"/>
    </row>
    <row r="3626" spans="1:15">
      <c r="A3626" s="274"/>
      <c r="B3626" s="274"/>
      <c r="C3626" s="274"/>
      <c r="D3626" s="274"/>
      <c r="E3626" s="283"/>
      <c r="F3626" s="283"/>
      <c r="G3626" s="320"/>
      <c r="H3626" s="320"/>
      <c r="I3626" s="228"/>
      <c r="J3626" s="228"/>
      <c r="K3626" s="233"/>
      <c r="L3626" s="197"/>
      <c r="M3626" s="197"/>
      <c r="N3626" s="197"/>
      <c r="O3626" s="197"/>
    </row>
    <row r="3627" spans="1:15">
      <c r="A3627" s="274"/>
      <c r="B3627" s="274"/>
      <c r="C3627" s="274"/>
      <c r="D3627" s="274"/>
      <c r="E3627" s="283"/>
      <c r="F3627" s="283"/>
      <c r="G3627" s="320"/>
      <c r="H3627" s="320"/>
      <c r="I3627" s="228"/>
      <c r="J3627" s="228"/>
      <c r="K3627" s="233"/>
      <c r="L3627" s="197"/>
      <c r="M3627" s="197"/>
      <c r="N3627" s="197"/>
      <c r="O3627" s="197"/>
    </row>
    <row r="3628" spans="1:15">
      <c r="A3628" s="274"/>
      <c r="B3628" s="274"/>
      <c r="C3628" s="274"/>
      <c r="D3628" s="274"/>
      <c r="E3628" s="283"/>
      <c r="F3628" s="283"/>
      <c r="G3628" s="320"/>
      <c r="H3628" s="320"/>
      <c r="I3628" s="228"/>
      <c r="J3628" s="228"/>
      <c r="K3628" s="233"/>
      <c r="L3628" s="197"/>
      <c r="M3628" s="197"/>
      <c r="N3628" s="197"/>
      <c r="O3628" s="197"/>
    </row>
    <row r="3629" spans="1:15">
      <c r="A3629" s="274"/>
      <c r="B3629" s="274"/>
      <c r="C3629" s="274"/>
      <c r="D3629" s="274"/>
      <c r="E3629" s="283"/>
      <c r="F3629" s="283"/>
      <c r="G3629" s="320"/>
      <c r="H3629" s="320"/>
      <c r="I3629" s="228"/>
      <c r="J3629" s="228"/>
      <c r="K3629" s="233"/>
      <c r="L3629" s="197"/>
      <c r="M3629" s="197"/>
      <c r="N3629" s="197"/>
      <c r="O3629" s="197"/>
    </row>
    <row r="3630" spans="1:15">
      <c r="A3630" s="274"/>
      <c r="B3630" s="274"/>
      <c r="C3630" s="274"/>
      <c r="D3630" s="274"/>
      <c r="E3630" s="283"/>
      <c r="F3630" s="283"/>
      <c r="G3630" s="320"/>
      <c r="H3630" s="320"/>
      <c r="I3630" s="228"/>
      <c r="J3630" s="228"/>
      <c r="K3630" s="233"/>
      <c r="L3630" s="197"/>
      <c r="M3630" s="197"/>
      <c r="N3630" s="197"/>
      <c r="O3630" s="197"/>
    </row>
    <row r="3631" spans="1:15">
      <c r="A3631" s="274"/>
      <c r="B3631" s="274"/>
      <c r="C3631" s="274"/>
      <c r="D3631" s="274"/>
      <c r="E3631" s="283"/>
      <c r="F3631" s="283"/>
      <c r="G3631" s="320"/>
      <c r="H3631" s="320"/>
      <c r="I3631" s="228"/>
      <c r="J3631" s="228"/>
      <c r="K3631" s="233"/>
      <c r="L3631" s="197"/>
      <c r="M3631" s="197"/>
      <c r="N3631" s="197"/>
      <c r="O3631" s="197"/>
    </row>
    <row r="3632" spans="1:15">
      <c r="A3632" s="274"/>
      <c r="B3632" s="274"/>
      <c r="C3632" s="274"/>
      <c r="D3632" s="274"/>
      <c r="E3632" s="283"/>
      <c r="F3632" s="283"/>
      <c r="G3632" s="320"/>
      <c r="H3632" s="320"/>
      <c r="I3632" s="228"/>
      <c r="J3632" s="228"/>
      <c r="K3632" s="233"/>
      <c r="L3632" s="197"/>
      <c r="M3632" s="197"/>
      <c r="N3632" s="197"/>
      <c r="O3632" s="197"/>
    </row>
    <row r="3633" spans="1:15">
      <c r="A3633" s="274"/>
      <c r="B3633" s="274"/>
      <c r="C3633" s="274"/>
      <c r="D3633" s="274"/>
      <c r="E3633" s="283"/>
      <c r="F3633" s="283"/>
      <c r="G3633" s="320"/>
      <c r="H3633" s="320"/>
      <c r="I3633" s="228"/>
      <c r="J3633" s="228"/>
      <c r="K3633" s="233"/>
      <c r="L3633" s="197"/>
      <c r="M3633" s="197"/>
      <c r="N3633" s="197"/>
      <c r="O3633" s="197"/>
    </row>
    <row r="3634" spans="1:15">
      <c r="A3634" s="274"/>
      <c r="B3634" s="274"/>
      <c r="C3634" s="274"/>
      <c r="D3634" s="274"/>
      <c r="E3634" s="283"/>
      <c r="F3634" s="283"/>
      <c r="G3634" s="320"/>
      <c r="H3634" s="320"/>
      <c r="I3634" s="228"/>
      <c r="J3634" s="228"/>
      <c r="K3634" s="274"/>
      <c r="L3634" s="197"/>
      <c r="M3634" s="197"/>
      <c r="N3634" s="197"/>
      <c r="O3634" s="197"/>
    </row>
    <row r="3635" spans="1:15">
      <c r="A3635" s="274"/>
      <c r="B3635" s="274"/>
      <c r="C3635" s="274"/>
      <c r="D3635" s="274"/>
      <c r="E3635" s="283"/>
      <c r="F3635" s="283"/>
      <c r="G3635" s="320"/>
      <c r="H3635" s="320"/>
      <c r="I3635" s="228"/>
      <c r="J3635" s="228"/>
      <c r="K3635" s="274"/>
      <c r="L3635" s="197"/>
      <c r="M3635" s="197"/>
      <c r="N3635" s="197"/>
      <c r="O3635" s="197"/>
    </row>
    <row r="3636" spans="1:15">
      <c r="A3636" s="274"/>
      <c r="B3636" s="274"/>
      <c r="C3636" s="274"/>
      <c r="D3636" s="274"/>
      <c r="E3636" s="283"/>
      <c r="F3636" s="283"/>
      <c r="G3636" s="320"/>
      <c r="H3636" s="320"/>
      <c r="I3636" s="228"/>
      <c r="J3636" s="228"/>
      <c r="K3636" s="274"/>
      <c r="L3636" s="197"/>
      <c r="M3636" s="197"/>
      <c r="N3636" s="197"/>
      <c r="O3636" s="197"/>
    </row>
    <row r="3637" spans="1:15">
      <c r="A3637" s="274"/>
      <c r="B3637" s="274"/>
      <c r="C3637" s="274"/>
      <c r="D3637" s="274"/>
      <c r="E3637" s="283"/>
      <c r="F3637" s="283"/>
      <c r="G3637" s="320"/>
      <c r="H3637" s="320"/>
      <c r="I3637" s="228"/>
      <c r="J3637" s="228"/>
      <c r="K3637" s="274"/>
      <c r="L3637" s="197"/>
      <c r="M3637" s="197"/>
      <c r="N3637" s="197"/>
      <c r="O3637" s="197"/>
    </row>
    <row r="3638" spans="1:15">
      <c r="A3638" s="274"/>
      <c r="B3638" s="274"/>
      <c r="C3638" s="274"/>
      <c r="D3638" s="274"/>
      <c r="E3638" s="283"/>
      <c r="F3638" s="283"/>
      <c r="G3638" s="320"/>
      <c r="H3638" s="320"/>
      <c r="I3638" s="228"/>
      <c r="J3638" s="228"/>
      <c r="K3638" s="274"/>
      <c r="L3638" s="197"/>
      <c r="M3638" s="197"/>
      <c r="N3638" s="197"/>
      <c r="O3638" s="197"/>
    </row>
    <row r="3639" spans="1:15">
      <c r="A3639" s="274"/>
      <c r="B3639" s="274"/>
      <c r="C3639" s="274"/>
      <c r="D3639" s="274"/>
      <c r="E3639" s="283"/>
      <c r="F3639" s="283"/>
      <c r="G3639" s="320"/>
      <c r="H3639" s="320"/>
      <c r="I3639" s="228"/>
      <c r="J3639" s="228"/>
      <c r="K3639" s="274"/>
      <c r="L3639" s="197"/>
      <c r="M3639" s="197"/>
      <c r="N3639" s="197"/>
      <c r="O3639" s="197"/>
    </row>
    <row r="3640" spans="1:15">
      <c r="A3640" s="274"/>
      <c r="B3640" s="274"/>
      <c r="C3640" s="274"/>
      <c r="D3640" s="274"/>
      <c r="E3640" s="283"/>
      <c r="F3640" s="283"/>
      <c r="G3640" s="320"/>
      <c r="H3640" s="320"/>
      <c r="I3640" s="228"/>
      <c r="J3640" s="228"/>
      <c r="K3640" s="274"/>
      <c r="L3640" s="197"/>
      <c r="M3640" s="197"/>
      <c r="N3640" s="197"/>
      <c r="O3640" s="197"/>
    </row>
    <row r="3641" spans="1:15">
      <c r="A3641" s="274"/>
      <c r="B3641" s="274"/>
      <c r="C3641" s="274"/>
      <c r="D3641" s="274"/>
      <c r="E3641" s="283"/>
      <c r="F3641" s="283"/>
      <c r="G3641" s="320"/>
      <c r="H3641" s="320"/>
      <c r="I3641" s="228"/>
      <c r="J3641" s="228"/>
      <c r="K3641" s="233"/>
      <c r="L3641" s="197"/>
      <c r="M3641" s="197"/>
      <c r="N3641" s="197"/>
      <c r="O3641" s="197"/>
    </row>
    <row r="3642" spans="1:15">
      <c r="A3642" s="274"/>
      <c r="B3642" s="274"/>
      <c r="C3642" s="274"/>
      <c r="D3642" s="274"/>
      <c r="E3642" s="283"/>
      <c r="F3642" s="283"/>
      <c r="G3642" s="320"/>
      <c r="H3642" s="320"/>
      <c r="I3642" s="228"/>
      <c r="J3642" s="228"/>
      <c r="K3642" s="233"/>
      <c r="L3642" s="197"/>
      <c r="M3642" s="197"/>
      <c r="N3642" s="197"/>
      <c r="O3642" s="197"/>
    </row>
    <row r="3643" spans="1:15">
      <c r="A3643" s="274"/>
      <c r="B3643" s="274"/>
      <c r="C3643" s="274"/>
      <c r="D3643" s="274"/>
      <c r="E3643" s="283"/>
      <c r="F3643" s="283"/>
      <c r="G3643" s="320"/>
      <c r="H3643" s="320"/>
      <c r="I3643" s="228"/>
      <c r="J3643" s="228"/>
      <c r="K3643" s="233"/>
      <c r="L3643" s="197"/>
      <c r="M3643" s="197"/>
      <c r="N3643" s="197"/>
      <c r="O3643" s="197"/>
    </row>
    <row r="3644" spans="1:15">
      <c r="A3644" s="274"/>
      <c r="B3644" s="274"/>
      <c r="C3644" s="274"/>
      <c r="D3644" s="274"/>
      <c r="E3644" s="283"/>
      <c r="F3644" s="283"/>
      <c r="G3644" s="320"/>
      <c r="H3644" s="320"/>
      <c r="I3644" s="228"/>
      <c r="J3644" s="228"/>
      <c r="K3644" s="233"/>
      <c r="L3644" s="197"/>
      <c r="M3644" s="197"/>
      <c r="N3644" s="197"/>
      <c r="O3644" s="197"/>
    </row>
    <row r="3645" spans="1:15">
      <c r="A3645" s="274"/>
      <c r="B3645" s="274"/>
      <c r="C3645" s="274"/>
      <c r="D3645" s="274"/>
      <c r="E3645" s="283"/>
      <c r="F3645" s="283"/>
      <c r="G3645" s="320"/>
      <c r="H3645" s="320"/>
      <c r="I3645" s="228"/>
      <c r="J3645" s="228"/>
      <c r="K3645" s="233"/>
      <c r="L3645" s="197"/>
      <c r="M3645" s="197"/>
      <c r="N3645" s="197"/>
      <c r="O3645" s="197"/>
    </row>
    <row r="3646" spans="1:15">
      <c r="A3646" s="274"/>
      <c r="B3646" s="274"/>
      <c r="C3646" s="274"/>
      <c r="D3646" s="274"/>
      <c r="E3646" s="283"/>
      <c r="F3646" s="283"/>
      <c r="G3646" s="320"/>
      <c r="H3646" s="320"/>
      <c r="I3646" s="228"/>
      <c r="J3646" s="228"/>
      <c r="K3646" s="233"/>
      <c r="L3646" s="197"/>
      <c r="M3646" s="197"/>
      <c r="N3646" s="197"/>
      <c r="O3646" s="197"/>
    </row>
    <row r="3647" spans="1:15">
      <c r="A3647" s="274"/>
      <c r="B3647" s="274"/>
      <c r="C3647" s="274"/>
      <c r="D3647" s="274"/>
      <c r="E3647" s="283"/>
      <c r="F3647" s="283"/>
      <c r="G3647" s="320"/>
      <c r="H3647" s="320"/>
      <c r="I3647" s="228"/>
      <c r="J3647" s="228"/>
      <c r="K3647" s="233"/>
      <c r="L3647" s="197"/>
      <c r="M3647" s="197"/>
      <c r="N3647" s="197"/>
      <c r="O3647" s="197"/>
    </row>
    <row r="3648" spans="1:15">
      <c r="A3648" s="274"/>
      <c r="B3648" s="274"/>
      <c r="C3648" s="274"/>
      <c r="D3648" s="274"/>
      <c r="E3648" s="283"/>
      <c r="F3648" s="283"/>
      <c r="G3648" s="320"/>
      <c r="H3648" s="320"/>
      <c r="I3648" s="228"/>
      <c r="J3648" s="228"/>
      <c r="K3648" s="233"/>
      <c r="L3648" s="197"/>
      <c r="M3648" s="197"/>
      <c r="N3648" s="197"/>
      <c r="O3648" s="197"/>
    </row>
    <row r="3649" spans="1:15">
      <c r="A3649" s="274"/>
      <c r="B3649" s="274"/>
      <c r="C3649" s="274"/>
      <c r="D3649" s="274"/>
      <c r="E3649" s="283"/>
      <c r="F3649" s="283"/>
      <c r="G3649" s="320"/>
      <c r="H3649" s="320"/>
      <c r="I3649" s="228"/>
      <c r="J3649" s="228"/>
      <c r="K3649" s="233"/>
      <c r="L3649" s="197"/>
      <c r="M3649" s="197"/>
      <c r="N3649" s="197"/>
      <c r="O3649" s="197"/>
    </row>
    <row r="3650" spans="1:15">
      <c r="A3650" s="274"/>
      <c r="B3650" s="274"/>
      <c r="C3650" s="274"/>
      <c r="D3650" s="274"/>
      <c r="E3650" s="283"/>
      <c r="F3650" s="283"/>
      <c r="G3650" s="320"/>
      <c r="H3650" s="320"/>
      <c r="I3650" s="228"/>
      <c r="J3650" s="228"/>
      <c r="K3650" s="233"/>
      <c r="L3650" s="197"/>
      <c r="M3650" s="197"/>
      <c r="N3650" s="197"/>
      <c r="O3650" s="197"/>
    </row>
    <row r="3651" spans="1:15">
      <c r="A3651" s="274"/>
      <c r="B3651" s="274"/>
      <c r="C3651" s="274"/>
      <c r="D3651" s="274"/>
      <c r="E3651" s="283"/>
      <c r="F3651" s="283"/>
      <c r="G3651" s="320"/>
      <c r="H3651" s="320"/>
      <c r="I3651" s="228"/>
      <c r="J3651" s="228"/>
      <c r="K3651" s="233"/>
      <c r="L3651" s="197"/>
      <c r="M3651" s="197"/>
      <c r="N3651" s="197"/>
      <c r="O3651" s="197"/>
    </row>
    <row r="3652" spans="1:15">
      <c r="A3652" s="274"/>
      <c r="B3652" s="274"/>
      <c r="C3652" s="274"/>
      <c r="D3652" s="274"/>
      <c r="E3652" s="283"/>
      <c r="F3652" s="283"/>
      <c r="G3652" s="320"/>
      <c r="H3652" s="320"/>
      <c r="I3652" s="228"/>
      <c r="J3652" s="228"/>
      <c r="K3652" s="233"/>
      <c r="L3652" s="197"/>
      <c r="M3652" s="197"/>
      <c r="N3652" s="197"/>
      <c r="O3652" s="197"/>
    </row>
    <row r="3653" spans="1:15">
      <c r="A3653" s="274"/>
      <c r="B3653" s="274"/>
      <c r="C3653" s="274"/>
      <c r="D3653" s="274"/>
      <c r="E3653" s="283"/>
      <c r="F3653" s="283"/>
      <c r="G3653" s="320"/>
      <c r="H3653" s="320"/>
      <c r="I3653" s="228"/>
      <c r="J3653" s="228"/>
      <c r="K3653" s="233"/>
      <c r="L3653" s="197"/>
      <c r="M3653" s="197"/>
      <c r="N3653" s="197"/>
      <c r="O3653" s="197"/>
    </row>
    <row r="3654" spans="1:15">
      <c r="A3654" s="274"/>
      <c r="B3654" s="274"/>
      <c r="C3654" s="274"/>
      <c r="D3654" s="274"/>
      <c r="E3654" s="283"/>
      <c r="F3654" s="283"/>
      <c r="G3654" s="320"/>
      <c r="H3654" s="320"/>
      <c r="I3654" s="228"/>
      <c r="J3654" s="228"/>
      <c r="K3654" s="233"/>
      <c r="L3654" s="197"/>
      <c r="M3654" s="197"/>
      <c r="N3654" s="197"/>
      <c r="O3654" s="197"/>
    </row>
    <row r="3655" spans="1:15">
      <c r="A3655" s="274"/>
      <c r="B3655" s="274"/>
      <c r="C3655" s="274"/>
      <c r="D3655" s="274"/>
      <c r="E3655" s="283"/>
      <c r="F3655" s="283"/>
      <c r="G3655" s="320"/>
      <c r="H3655" s="320"/>
      <c r="I3655" s="228"/>
      <c r="J3655" s="228"/>
      <c r="K3655" s="233"/>
      <c r="L3655" s="197"/>
      <c r="M3655" s="197"/>
      <c r="N3655" s="197"/>
      <c r="O3655" s="197"/>
    </row>
    <row r="3656" spans="1:15">
      <c r="A3656" s="274"/>
      <c r="B3656" s="274"/>
      <c r="C3656" s="274"/>
      <c r="D3656" s="274"/>
      <c r="E3656" s="283"/>
      <c r="F3656" s="283"/>
      <c r="G3656" s="320"/>
      <c r="H3656" s="320"/>
      <c r="I3656" s="228"/>
      <c r="J3656" s="228"/>
      <c r="K3656" s="233"/>
      <c r="L3656" s="197"/>
      <c r="M3656" s="197"/>
      <c r="N3656" s="197"/>
      <c r="O3656" s="197"/>
    </row>
    <row r="3657" spans="1:15">
      <c r="A3657" s="274"/>
      <c r="B3657" s="274"/>
      <c r="C3657" s="274"/>
      <c r="D3657" s="274"/>
      <c r="E3657" s="283"/>
      <c r="F3657" s="283"/>
      <c r="G3657" s="320"/>
      <c r="H3657" s="320"/>
      <c r="I3657" s="228"/>
      <c r="J3657" s="228"/>
      <c r="K3657" s="233"/>
      <c r="L3657" s="197"/>
      <c r="M3657" s="197"/>
      <c r="N3657" s="197"/>
      <c r="O3657" s="197"/>
    </row>
    <row r="3658" spans="1:15">
      <c r="A3658" s="274"/>
      <c r="B3658" s="274"/>
      <c r="C3658" s="274"/>
      <c r="D3658" s="274"/>
      <c r="E3658" s="283"/>
      <c r="F3658" s="283"/>
      <c r="G3658" s="320"/>
      <c r="H3658" s="320"/>
      <c r="I3658" s="228"/>
      <c r="J3658" s="228"/>
      <c r="K3658" s="233"/>
      <c r="L3658" s="197"/>
      <c r="M3658" s="197"/>
      <c r="N3658" s="197"/>
      <c r="O3658" s="197"/>
    </row>
    <row r="3659" spans="1:15">
      <c r="A3659" s="274"/>
      <c r="B3659" s="274"/>
      <c r="C3659" s="274"/>
      <c r="D3659" s="274"/>
      <c r="E3659" s="283"/>
      <c r="F3659" s="283"/>
      <c r="G3659" s="320"/>
      <c r="H3659" s="320"/>
      <c r="I3659" s="228"/>
      <c r="J3659" s="228"/>
      <c r="K3659" s="233"/>
      <c r="L3659" s="197"/>
      <c r="M3659" s="197"/>
      <c r="N3659" s="197"/>
      <c r="O3659" s="197"/>
    </row>
    <row r="3660" spans="1:15">
      <c r="A3660" s="274"/>
      <c r="B3660" s="274"/>
      <c r="C3660" s="274"/>
      <c r="D3660" s="274"/>
      <c r="E3660" s="283"/>
      <c r="F3660" s="283"/>
      <c r="G3660" s="320"/>
      <c r="H3660" s="320"/>
      <c r="I3660" s="228"/>
      <c r="J3660" s="228"/>
      <c r="K3660" s="233"/>
      <c r="L3660" s="197"/>
      <c r="M3660" s="197"/>
      <c r="N3660" s="197"/>
      <c r="O3660" s="197"/>
    </row>
    <row r="3661" spans="1:15">
      <c r="A3661" s="274"/>
      <c r="B3661" s="274"/>
      <c r="C3661" s="274"/>
      <c r="D3661" s="274"/>
      <c r="E3661" s="283"/>
      <c r="F3661" s="283"/>
      <c r="G3661" s="320"/>
      <c r="H3661" s="320"/>
      <c r="I3661" s="228"/>
      <c r="J3661" s="228"/>
      <c r="K3661" s="233"/>
      <c r="L3661" s="197"/>
      <c r="M3661" s="197"/>
      <c r="N3661" s="197"/>
      <c r="O3661" s="197"/>
    </row>
    <row r="3662" spans="1:15">
      <c r="A3662" s="274"/>
      <c r="B3662" s="274"/>
      <c r="C3662" s="274"/>
      <c r="D3662" s="274"/>
      <c r="E3662" s="283"/>
      <c r="F3662" s="283"/>
      <c r="G3662" s="320"/>
      <c r="H3662" s="320"/>
      <c r="I3662" s="228"/>
      <c r="J3662" s="228"/>
      <c r="K3662" s="233"/>
      <c r="L3662" s="197"/>
      <c r="M3662" s="197"/>
      <c r="N3662" s="197"/>
      <c r="O3662" s="197"/>
    </row>
    <row r="3663" spans="1:15">
      <c r="A3663" s="274"/>
      <c r="B3663" s="274"/>
      <c r="C3663" s="274"/>
      <c r="D3663" s="274"/>
      <c r="E3663" s="283"/>
      <c r="F3663" s="283"/>
      <c r="G3663" s="320"/>
      <c r="H3663" s="320"/>
      <c r="I3663" s="228"/>
      <c r="J3663" s="228"/>
      <c r="K3663" s="233"/>
      <c r="L3663" s="197"/>
      <c r="M3663" s="197"/>
      <c r="N3663" s="197"/>
      <c r="O3663" s="197"/>
    </row>
    <row r="3664" spans="1:15">
      <c r="A3664" s="274"/>
      <c r="B3664" s="274"/>
      <c r="C3664" s="274"/>
      <c r="D3664" s="274"/>
      <c r="E3664" s="283"/>
      <c r="F3664" s="283"/>
      <c r="G3664" s="320"/>
      <c r="H3664" s="320"/>
      <c r="I3664" s="228"/>
      <c r="J3664" s="228"/>
      <c r="K3664" s="233"/>
      <c r="L3664" s="197"/>
      <c r="M3664" s="197"/>
      <c r="N3664" s="197"/>
      <c r="O3664" s="197"/>
    </row>
    <row r="3665" spans="1:15">
      <c r="A3665" s="274"/>
      <c r="B3665" s="274"/>
      <c r="C3665" s="274"/>
      <c r="D3665" s="274"/>
      <c r="E3665" s="283"/>
      <c r="F3665" s="283"/>
      <c r="G3665" s="320"/>
      <c r="H3665" s="320"/>
      <c r="I3665" s="228"/>
      <c r="J3665" s="228"/>
      <c r="K3665" s="233"/>
      <c r="L3665" s="197"/>
      <c r="M3665" s="197"/>
      <c r="N3665" s="197"/>
      <c r="O3665" s="197"/>
    </row>
    <row r="3666" spans="1:15">
      <c r="A3666" s="274"/>
      <c r="B3666" s="274"/>
      <c r="C3666" s="274"/>
      <c r="D3666" s="274"/>
      <c r="E3666" s="283"/>
      <c r="F3666" s="283"/>
      <c r="G3666" s="320"/>
      <c r="H3666" s="320"/>
      <c r="I3666" s="228"/>
      <c r="J3666" s="228"/>
      <c r="K3666" s="233"/>
      <c r="L3666" s="197"/>
      <c r="M3666" s="197"/>
      <c r="N3666" s="197"/>
      <c r="O3666" s="197"/>
    </row>
    <row r="3667" spans="1:15">
      <c r="A3667" s="274"/>
      <c r="B3667" s="274"/>
      <c r="C3667" s="274"/>
      <c r="D3667" s="274"/>
      <c r="E3667" s="283"/>
      <c r="F3667" s="283"/>
      <c r="G3667" s="320"/>
      <c r="H3667" s="320"/>
      <c r="I3667" s="228"/>
      <c r="J3667" s="228"/>
      <c r="K3667" s="233"/>
      <c r="L3667" s="197"/>
      <c r="M3667" s="197"/>
      <c r="N3667" s="197"/>
      <c r="O3667" s="197"/>
    </row>
    <row r="3668" spans="1:15">
      <c r="A3668" s="274"/>
      <c r="B3668" s="274"/>
      <c r="C3668" s="274"/>
      <c r="D3668" s="274"/>
      <c r="E3668" s="283"/>
      <c r="F3668" s="283"/>
      <c r="G3668" s="320"/>
      <c r="H3668" s="320"/>
      <c r="I3668" s="228"/>
      <c r="J3668" s="228"/>
      <c r="K3668" s="233"/>
      <c r="L3668" s="197"/>
      <c r="M3668" s="197"/>
      <c r="N3668" s="197"/>
      <c r="O3668" s="197"/>
    </row>
    <row r="3669" spans="1:15">
      <c r="A3669" s="274"/>
      <c r="B3669" s="274"/>
      <c r="C3669" s="274"/>
      <c r="D3669" s="274"/>
      <c r="E3669" s="283"/>
      <c r="F3669" s="283"/>
      <c r="G3669" s="320"/>
      <c r="H3669" s="320"/>
      <c r="I3669" s="228"/>
      <c r="J3669" s="228"/>
      <c r="K3669" s="233"/>
      <c r="L3669" s="197"/>
      <c r="M3669" s="197"/>
      <c r="N3669" s="197"/>
      <c r="O3669" s="197"/>
    </row>
    <row r="3670" spans="1:15">
      <c r="A3670" s="274"/>
      <c r="B3670" s="274"/>
      <c r="C3670" s="274"/>
      <c r="D3670" s="274"/>
      <c r="E3670" s="283"/>
      <c r="F3670" s="283"/>
      <c r="G3670" s="320"/>
      <c r="H3670" s="320"/>
      <c r="I3670" s="228"/>
      <c r="J3670" s="228"/>
      <c r="K3670" s="233"/>
      <c r="L3670" s="197"/>
      <c r="M3670" s="197"/>
      <c r="N3670" s="197"/>
      <c r="O3670" s="197"/>
    </row>
    <row r="3671" spans="1:15">
      <c r="A3671" s="274"/>
      <c r="B3671" s="274"/>
      <c r="C3671" s="274"/>
      <c r="D3671" s="274"/>
      <c r="E3671" s="283"/>
      <c r="F3671" s="283"/>
      <c r="G3671" s="320"/>
      <c r="H3671" s="320"/>
      <c r="I3671" s="228"/>
      <c r="J3671" s="228"/>
      <c r="K3671" s="233"/>
      <c r="L3671" s="197"/>
      <c r="M3671" s="197"/>
      <c r="N3671" s="197"/>
      <c r="O3671" s="197"/>
    </row>
    <row r="3672" spans="1:15">
      <c r="A3672" s="274"/>
      <c r="B3672" s="274"/>
      <c r="C3672" s="274"/>
      <c r="D3672" s="274"/>
      <c r="E3672" s="283"/>
      <c r="F3672" s="283"/>
      <c r="G3672" s="320"/>
      <c r="H3672" s="320"/>
      <c r="I3672" s="228"/>
      <c r="J3672" s="228"/>
      <c r="K3672" s="233"/>
      <c r="L3672" s="197"/>
      <c r="M3672" s="197"/>
      <c r="N3672" s="197"/>
      <c r="O3672" s="197"/>
    </row>
    <row r="3673" spans="1:15">
      <c r="A3673" s="274"/>
      <c r="B3673" s="274"/>
      <c r="C3673" s="274"/>
      <c r="D3673" s="274"/>
      <c r="E3673" s="283"/>
      <c r="F3673" s="283"/>
      <c r="G3673" s="320"/>
      <c r="H3673" s="320"/>
      <c r="I3673" s="228"/>
      <c r="J3673" s="228"/>
      <c r="K3673" s="233"/>
      <c r="L3673" s="197"/>
      <c r="M3673" s="197"/>
      <c r="N3673" s="197"/>
      <c r="O3673" s="197"/>
    </row>
    <row r="3674" spans="1:15">
      <c r="A3674" s="274"/>
      <c r="B3674" s="274"/>
      <c r="C3674" s="274"/>
      <c r="D3674" s="274"/>
      <c r="E3674" s="283"/>
      <c r="F3674" s="283"/>
      <c r="G3674" s="320"/>
      <c r="H3674" s="320"/>
      <c r="I3674" s="228"/>
      <c r="J3674" s="228"/>
      <c r="K3674" s="233"/>
      <c r="L3674" s="197"/>
      <c r="M3674" s="197"/>
      <c r="N3674" s="197"/>
      <c r="O3674" s="197"/>
    </row>
    <row r="3675" spans="1:15">
      <c r="A3675" s="274"/>
      <c r="B3675" s="274"/>
      <c r="C3675" s="274"/>
      <c r="D3675" s="274"/>
      <c r="E3675" s="283"/>
      <c r="F3675" s="283"/>
      <c r="G3675" s="320"/>
      <c r="H3675" s="320"/>
      <c r="I3675" s="228"/>
      <c r="J3675" s="228"/>
      <c r="K3675" s="233"/>
      <c r="L3675" s="197"/>
      <c r="M3675" s="197"/>
      <c r="N3675" s="197"/>
      <c r="O3675" s="197"/>
    </row>
    <row r="3676" spans="1:15">
      <c r="A3676" s="274"/>
      <c r="B3676" s="274"/>
      <c r="C3676" s="274"/>
      <c r="D3676" s="274"/>
      <c r="E3676" s="283"/>
      <c r="F3676" s="283"/>
      <c r="G3676" s="320"/>
      <c r="H3676" s="320"/>
      <c r="I3676" s="228"/>
      <c r="J3676" s="228"/>
      <c r="K3676" s="233"/>
      <c r="L3676" s="197"/>
      <c r="M3676" s="197"/>
      <c r="N3676" s="197"/>
      <c r="O3676" s="197"/>
    </row>
    <row r="3677" spans="1:15">
      <c r="A3677" s="274"/>
      <c r="B3677" s="274"/>
      <c r="C3677" s="274"/>
      <c r="D3677" s="274"/>
      <c r="E3677" s="283"/>
      <c r="F3677" s="283"/>
      <c r="G3677" s="320"/>
      <c r="H3677" s="320"/>
      <c r="I3677" s="228"/>
      <c r="J3677" s="228"/>
      <c r="K3677" s="233"/>
      <c r="L3677" s="197"/>
      <c r="M3677" s="197"/>
      <c r="N3677" s="197"/>
      <c r="O3677" s="197"/>
    </row>
    <row r="3678" spans="1:15">
      <c r="A3678" s="274"/>
      <c r="B3678" s="274"/>
      <c r="C3678" s="274"/>
      <c r="D3678" s="274"/>
      <c r="E3678" s="283"/>
      <c r="F3678" s="283"/>
      <c r="G3678" s="320"/>
      <c r="H3678" s="320"/>
      <c r="I3678" s="228"/>
      <c r="J3678" s="228"/>
      <c r="K3678" s="233"/>
      <c r="L3678" s="197"/>
      <c r="M3678" s="197"/>
      <c r="N3678" s="197"/>
      <c r="O3678" s="197"/>
    </row>
    <row r="3679" spans="1:15">
      <c r="A3679" s="274"/>
      <c r="B3679" s="274"/>
      <c r="C3679" s="274"/>
      <c r="D3679" s="274"/>
      <c r="E3679" s="283"/>
      <c r="F3679" s="283"/>
      <c r="G3679" s="320"/>
      <c r="H3679" s="320"/>
      <c r="I3679" s="228"/>
      <c r="J3679" s="228"/>
      <c r="K3679" s="233"/>
      <c r="L3679" s="197"/>
      <c r="M3679" s="197"/>
      <c r="N3679" s="197"/>
      <c r="O3679" s="197"/>
    </row>
    <row r="3680" spans="1:15">
      <c r="A3680" s="274"/>
      <c r="B3680" s="274"/>
      <c r="C3680" s="274"/>
      <c r="D3680" s="274"/>
      <c r="E3680" s="283"/>
      <c r="F3680" s="283"/>
      <c r="G3680" s="320"/>
      <c r="H3680" s="320"/>
      <c r="I3680" s="228"/>
      <c r="J3680" s="228"/>
      <c r="K3680" s="233"/>
      <c r="L3680" s="197"/>
      <c r="M3680" s="197"/>
      <c r="N3680" s="197"/>
      <c r="O3680" s="197"/>
    </row>
    <row r="3681" spans="1:15">
      <c r="A3681" s="274"/>
      <c r="B3681" s="274"/>
      <c r="C3681" s="274"/>
      <c r="D3681" s="274"/>
      <c r="E3681" s="283"/>
      <c r="F3681" s="283"/>
      <c r="G3681" s="320"/>
      <c r="H3681" s="320"/>
      <c r="I3681" s="228"/>
      <c r="J3681" s="228"/>
      <c r="K3681" s="233"/>
      <c r="L3681" s="197"/>
      <c r="M3681" s="197"/>
      <c r="N3681" s="197"/>
      <c r="O3681" s="197"/>
    </row>
    <row r="3682" spans="1:15">
      <c r="A3682" s="274"/>
      <c r="B3682" s="274"/>
      <c r="C3682" s="274"/>
      <c r="D3682" s="274"/>
      <c r="E3682" s="283"/>
      <c r="F3682" s="283"/>
      <c r="G3682" s="320"/>
      <c r="H3682" s="320"/>
      <c r="I3682" s="228"/>
      <c r="J3682" s="228"/>
      <c r="K3682" s="233"/>
      <c r="L3682" s="197"/>
      <c r="M3682" s="197"/>
      <c r="N3682" s="197"/>
      <c r="O3682" s="197"/>
    </row>
    <row r="3683" spans="1:15">
      <c r="A3683" s="274"/>
      <c r="B3683" s="274"/>
      <c r="C3683" s="274"/>
      <c r="D3683" s="274"/>
      <c r="E3683" s="283"/>
      <c r="F3683" s="283"/>
      <c r="G3683" s="320"/>
      <c r="H3683" s="320"/>
      <c r="I3683" s="228"/>
      <c r="J3683" s="228"/>
      <c r="K3683" s="233"/>
      <c r="L3683" s="197"/>
      <c r="M3683" s="197"/>
      <c r="N3683" s="197"/>
      <c r="O3683" s="197"/>
    </row>
    <row r="3684" spans="1:15">
      <c r="A3684" s="274"/>
      <c r="B3684" s="274"/>
      <c r="C3684" s="274"/>
      <c r="D3684" s="274"/>
      <c r="E3684" s="283"/>
      <c r="F3684" s="283"/>
      <c r="G3684" s="320"/>
      <c r="H3684" s="320"/>
      <c r="I3684" s="228"/>
      <c r="J3684" s="228"/>
      <c r="K3684" s="233"/>
      <c r="L3684" s="197"/>
      <c r="M3684" s="197"/>
      <c r="N3684" s="197"/>
      <c r="O3684" s="197"/>
    </row>
    <row r="3685" spans="1:15">
      <c r="A3685" s="274"/>
      <c r="B3685" s="274"/>
      <c r="C3685" s="274"/>
      <c r="D3685" s="274"/>
      <c r="E3685" s="283"/>
      <c r="F3685" s="283"/>
      <c r="G3685" s="320"/>
      <c r="H3685" s="320"/>
      <c r="I3685" s="228"/>
      <c r="J3685" s="228"/>
      <c r="K3685" s="233"/>
      <c r="L3685" s="197"/>
      <c r="M3685" s="197"/>
      <c r="N3685" s="197"/>
      <c r="O3685" s="197"/>
    </row>
    <row r="3686" spans="1:15">
      <c r="A3686" s="274"/>
      <c r="B3686" s="274"/>
      <c r="C3686" s="274"/>
      <c r="D3686" s="274"/>
      <c r="E3686" s="283"/>
      <c r="F3686" s="283"/>
      <c r="G3686" s="320"/>
      <c r="H3686" s="320"/>
      <c r="I3686" s="228"/>
      <c r="J3686" s="228"/>
      <c r="K3686" s="233"/>
      <c r="L3686" s="197"/>
      <c r="M3686" s="197"/>
      <c r="N3686" s="197"/>
      <c r="O3686" s="197"/>
    </row>
    <row r="3687" spans="1:15">
      <c r="A3687" s="274"/>
      <c r="B3687" s="274"/>
      <c r="C3687" s="274"/>
      <c r="D3687" s="274"/>
      <c r="E3687" s="283"/>
      <c r="F3687" s="283"/>
      <c r="G3687" s="320"/>
      <c r="H3687" s="320"/>
      <c r="I3687" s="228"/>
      <c r="J3687" s="228"/>
      <c r="K3687" s="233"/>
      <c r="L3687" s="197"/>
      <c r="M3687" s="197"/>
      <c r="N3687" s="197"/>
      <c r="O3687" s="197"/>
    </row>
    <row r="3688" spans="1:15">
      <c r="A3688" s="274"/>
      <c r="B3688" s="274"/>
      <c r="C3688" s="274"/>
      <c r="D3688" s="274"/>
      <c r="E3688" s="283"/>
      <c r="F3688" s="283"/>
      <c r="G3688" s="320"/>
      <c r="H3688" s="320"/>
      <c r="I3688" s="228"/>
      <c r="J3688" s="228"/>
      <c r="K3688" s="233"/>
      <c r="L3688" s="197"/>
      <c r="M3688" s="197"/>
      <c r="N3688" s="197"/>
      <c r="O3688" s="197"/>
    </row>
    <row r="3689" spans="1:15">
      <c r="A3689" s="274"/>
      <c r="B3689" s="274"/>
      <c r="C3689" s="274"/>
      <c r="D3689" s="274"/>
      <c r="E3689" s="283"/>
      <c r="F3689" s="283"/>
      <c r="G3689" s="320"/>
      <c r="H3689" s="320"/>
      <c r="I3689" s="228"/>
      <c r="J3689" s="228"/>
      <c r="K3689" s="233"/>
      <c r="L3689" s="197"/>
      <c r="M3689" s="197"/>
      <c r="N3689" s="197"/>
      <c r="O3689" s="197"/>
    </row>
    <row r="3690" spans="1:15">
      <c r="A3690" s="274"/>
      <c r="B3690" s="274"/>
      <c r="C3690" s="274"/>
      <c r="D3690" s="274"/>
      <c r="E3690" s="283"/>
      <c r="F3690" s="283"/>
      <c r="G3690" s="320"/>
      <c r="H3690" s="320"/>
      <c r="I3690" s="228"/>
      <c r="J3690" s="228"/>
      <c r="K3690" s="233"/>
      <c r="L3690" s="197"/>
      <c r="M3690" s="197"/>
      <c r="N3690" s="197"/>
      <c r="O3690" s="197"/>
    </row>
    <row r="3691" spans="1:15">
      <c r="A3691" s="274"/>
      <c r="B3691" s="274"/>
      <c r="C3691" s="274"/>
      <c r="D3691" s="274"/>
      <c r="E3691" s="283"/>
      <c r="F3691" s="283"/>
      <c r="G3691" s="320"/>
      <c r="H3691" s="320"/>
      <c r="I3691" s="228"/>
      <c r="J3691" s="228"/>
      <c r="K3691" s="233"/>
      <c r="L3691" s="197"/>
      <c r="M3691" s="197"/>
      <c r="N3691" s="197"/>
      <c r="O3691" s="197"/>
    </row>
    <row r="3692" spans="1:15">
      <c r="A3692" s="274"/>
      <c r="B3692" s="274"/>
      <c r="C3692" s="274"/>
      <c r="D3692" s="274"/>
      <c r="E3692" s="283"/>
      <c r="F3692" s="283"/>
      <c r="G3692" s="320"/>
      <c r="H3692" s="320"/>
      <c r="I3692" s="228"/>
      <c r="J3692" s="228"/>
      <c r="K3692" s="233"/>
      <c r="L3692" s="197"/>
      <c r="M3692" s="197"/>
      <c r="N3692" s="197"/>
      <c r="O3692" s="197"/>
    </row>
    <row r="3693" spans="1:15">
      <c r="A3693" s="274"/>
      <c r="B3693" s="274"/>
      <c r="C3693" s="274"/>
      <c r="D3693" s="274"/>
      <c r="E3693" s="283"/>
      <c r="F3693" s="283"/>
      <c r="G3693" s="320"/>
      <c r="H3693" s="320"/>
      <c r="I3693" s="228"/>
      <c r="J3693" s="228"/>
      <c r="K3693" s="233"/>
      <c r="L3693" s="197"/>
      <c r="M3693" s="197"/>
      <c r="N3693" s="197"/>
      <c r="O3693" s="197"/>
    </row>
    <row r="3694" spans="1:15">
      <c r="A3694" s="274"/>
      <c r="B3694" s="274"/>
      <c r="C3694" s="274"/>
      <c r="D3694" s="274"/>
      <c r="E3694" s="283"/>
      <c r="F3694" s="283"/>
      <c r="G3694" s="320"/>
      <c r="H3694" s="320"/>
      <c r="I3694" s="228"/>
      <c r="J3694" s="228"/>
      <c r="K3694" s="233"/>
      <c r="L3694" s="197"/>
      <c r="M3694" s="197"/>
      <c r="N3694" s="197"/>
      <c r="O3694" s="197"/>
    </row>
    <row r="3695" spans="1:15">
      <c r="A3695" s="274"/>
      <c r="B3695" s="274"/>
      <c r="C3695" s="274"/>
      <c r="D3695" s="274"/>
      <c r="E3695" s="283"/>
      <c r="F3695" s="283"/>
      <c r="G3695" s="320"/>
      <c r="H3695" s="320"/>
      <c r="I3695" s="228"/>
      <c r="J3695" s="228"/>
      <c r="K3695" s="233"/>
      <c r="L3695" s="197"/>
      <c r="M3695" s="197"/>
      <c r="N3695" s="197"/>
      <c r="O3695" s="197"/>
    </row>
    <row r="3696" spans="1:15">
      <c r="A3696" s="274"/>
      <c r="B3696" s="274"/>
      <c r="C3696" s="274"/>
      <c r="D3696" s="274"/>
      <c r="E3696" s="283"/>
      <c r="F3696" s="283"/>
      <c r="G3696" s="320"/>
      <c r="H3696" s="320"/>
      <c r="I3696" s="228"/>
      <c r="J3696" s="228"/>
      <c r="K3696" s="233"/>
      <c r="L3696" s="197"/>
      <c r="M3696" s="197"/>
      <c r="N3696" s="197"/>
      <c r="O3696" s="197"/>
    </row>
    <row r="3697" spans="1:15">
      <c r="A3697" s="274"/>
      <c r="B3697" s="274"/>
      <c r="C3697" s="274"/>
      <c r="D3697" s="274"/>
      <c r="E3697" s="283"/>
      <c r="F3697" s="283"/>
      <c r="G3697" s="320"/>
      <c r="H3697" s="320"/>
      <c r="I3697" s="228"/>
      <c r="J3697" s="228"/>
      <c r="K3697" s="233"/>
      <c r="L3697" s="197"/>
      <c r="M3697" s="197"/>
      <c r="N3697" s="197"/>
      <c r="O3697" s="197"/>
    </row>
    <row r="3698" spans="1:15">
      <c r="A3698" s="274"/>
      <c r="B3698" s="274"/>
      <c r="C3698" s="274"/>
      <c r="D3698" s="274"/>
      <c r="E3698" s="283"/>
      <c r="F3698" s="283"/>
      <c r="G3698" s="320"/>
      <c r="H3698" s="320"/>
      <c r="I3698" s="228"/>
      <c r="J3698" s="228"/>
      <c r="K3698" s="233"/>
      <c r="L3698" s="197"/>
      <c r="M3698" s="197"/>
      <c r="N3698" s="197"/>
      <c r="O3698" s="197"/>
    </row>
    <row r="3699" spans="1:15">
      <c r="A3699" s="274"/>
      <c r="B3699" s="274"/>
      <c r="C3699" s="274"/>
      <c r="D3699" s="274"/>
      <c r="E3699" s="283"/>
      <c r="F3699" s="283"/>
      <c r="G3699" s="320"/>
      <c r="H3699" s="320"/>
      <c r="I3699" s="228"/>
      <c r="J3699" s="228"/>
      <c r="K3699" s="233"/>
      <c r="L3699" s="197"/>
      <c r="M3699" s="197"/>
      <c r="N3699" s="197"/>
      <c r="O3699" s="197"/>
    </row>
    <row r="3700" spans="1:15">
      <c r="A3700" s="274"/>
      <c r="B3700" s="274"/>
      <c r="C3700" s="274"/>
      <c r="D3700" s="274"/>
      <c r="E3700" s="283"/>
      <c r="F3700" s="283"/>
      <c r="G3700" s="320"/>
      <c r="H3700" s="320"/>
      <c r="I3700" s="228"/>
      <c r="J3700" s="228"/>
      <c r="K3700" s="233"/>
      <c r="L3700" s="197"/>
      <c r="M3700" s="197"/>
      <c r="N3700" s="197"/>
      <c r="O3700" s="197"/>
    </row>
    <row r="3701" spans="1:15">
      <c r="A3701" s="274"/>
      <c r="B3701" s="274"/>
      <c r="C3701" s="274"/>
      <c r="D3701" s="274"/>
      <c r="E3701" s="283"/>
      <c r="F3701" s="283"/>
      <c r="G3701" s="320"/>
      <c r="H3701" s="320"/>
      <c r="I3701" s="228"/>
      <c r="J3701" s="228"/>
      <c r="K3701" s="233"/>
      <c r="L3701" s="197"/>
      <c r="M3701" s="197"/>
      <c r="N3701" s="197"/>
      <c r="O3701" s="197"/>
    </row>
    <row r="3702" spans="1:15">
      <c r="A3702" s="274"/>
      <c r="B3702" s="274"/>
      <c r="C3702" s="274"/>
      <c r="D3702" s="274"/>
      <c r="E3702" s="283"/>
      <c r="F3702" s="283"/>
      <c r="G3702" s="320"/>
      <c r="H3702" s="320"/>
      <c r="I3702" s="228"/>
      <c r="J3702" s="228"/>
      <c r="K3702" s="233"/>
      <c r="L3702" s="197"/>
      <c r="M3702" s="197"/>
      <c r="N3702" s="197"/>
      <c r="O3702" s="197"/>
    </row>
    <row r="3703" spans="1:15">
      <c r="A3703" s="274"/>
      <c r="B3703" s="274"/>
      <c r="C3703" s="274"/>
      <c r="D3703" s="274"/>
      <c r="E3703" s="283"/>
      <c r="F3703" s="283"/>
      <c r="G3703" s="320"/>
      <c r="H3703" s="320"/>
      <c r="I3703" s="228"/>
      <c r="J3703" s="228"/>
      <c r="K3703" s="233"/>
      <c r="L3703" s="197"/>
      <c r="M3703" s="197"/>
      <c r="N3703" s="197"/>
      <c r="O3703" s="197"/>
    </row>
    <row r="3704" spans="1:15">
      <c r="A3704" s="274"/>
      <c r="B3704" s="274"/>
      <c r="C3704" s="274"/>
      <c r="D3704" s="274"/>
      <c r="E3704" s="283"/>
      <c r="F3704" s="283"/>
      <c r="G3704" s="320"/>
      <c r="H3704" s="320"/>
      <c r="I3704" s="228"/>
      <c r="J3704" s="228"/>
      <c r="K3704" s="233"/>
      <c r="L3704" s="197"/>
      <c r="M3704" s="197"/>
      <c r="N3704" s="197"/>
      <c r="O3704" s="197"/>
    </row>
    <row r="3705" spans="1:15">
      <c r="A3705" s="274"/>
      <c r="B3705" s="274"/>
      <c r="C3705" s="274"/>
      <c r="D3705" s="274"/>
      <c r="E3705" s="283"/>
      <c r="F3705" s="283"/>
      <c r="G3705" s="320"/>
      <c r="H3705" s="320"/>
      <c r="I3705" s="228"/>
      <c r="J3705" s="228"/>
      <c r="K3705" s="233"/>
      <c r="L3705" s="197"/>
      <c r="M3705" s="197"/>
      <c r="N3705" s="197"/>
      <c r="O3705" s="197"/>
    </row>
    <row r="3706" spans="1:15">
      <c r="A3706" s="274"/>
      <c r="B3706" s="274"/>
      <c r="C3706" s="274"/>
      <c r="D3706" s="274"/>
      <c r="E3706" s="283"/>
      <c r="F3706" s="283"/>
      <c r="G3706" s="320"/>
      <c r="H3706" s="320"/>
      <c r="I3706" s="228"/>
      <c r="J3706" s="228"/>
      <c r="K3706" s="233"/>
      <c r="L3706" s="197"/>
      <c r="M3706" s="197"/>
      <c r="N3706" s="197"/>
      <c r="O3706" s="197"/>
    </row>
    <row r="3707" spans="1:15">
      <c r="A3707" s="274"/>
      <c r="B3707" s="274"/>
      <c r="C3707" s="274"/>
      <c r="D3707" s="274"/>
      <c r="E3707" s="283"/>
      <c r="F3707" s="283"/>
      <c r="G3707" s="320"/>
      <c r="H3707" s="320"/>
      <c r="I3707" s="228"/>
      <c r="J3707" s="228"/>
      <c r="K3707" s="233"/>
      <c r="L3707" s="197"/>
      <c r="M3707" s="197"/>
      <c r="N3707" s="197"/>
      <c r="O3707" s="197"/>
    </row>
    <row r="3708" spans="1:15">
      <c r="A3708" s="274"/>
      <c r="B3708" s="274"/>
      <c r="C3708" s="274"/>
      <c r="D3708" s="274"/>
      <c r="E3708" s="283"/>
      <c r="F3708" s="283"/>
      <c r="G3708" s="320"/>
      <c r="H3708" s="320"/>
      <c r="I3708" s="228"/>
      <c r="J3708" s="228"/>
      <c r="K3708" s="233"/>
      <c r="L3708" s="197"/>
      <c r="M3708" s="197"/>
      <c r="N3708" s="197"/>
      <c r="O3708" s="197"/>
    </row>
    <row r="3709" spans="1:15">
      <c r="A3709" s="274"/>
      <c r="B3709" s="274"/>
      <c r="C3709" s="274"/>
      <c r="D3709" s="274"/>
      <c r="E3709" s="283"/>
      <c r="F3709" s="283"/>
      <c r="G3709" s="320"/>
      <c r="H3709" s="320"/>
      <c r="I3709" s="228"/>
      <c r="J3709" s="228"/>
      <c r="K3709" s="233"/>
      <c r="L3709" s="197"/>
      <c r="M3709" s="197"/>
      <c r="N3709" s="197"/>
      <c r="O3709" s="197"/>
    </row>
    <row r="3710" spans="1:15">
      <c r="A3710" s="274"/>
      <c r="B3710" s="274"/>
      <c r="C3710" s="274"/>
      <c r="D3710" s="274"/>
      <c r="E3710" s="283"/>
      <c r="F3710" s="283"/>
      <c r="G3710" s="320"/>
      <c r="H3710" s="320"/>
      <c r="I3710" s="228"/>
      <c r="J3710" s="228"/>
      <c r="K3710" s="233"/>
      <c r="L3710" s="197"/>
      <c r="M3710" s="197"/>
      <c r="N3710" s="197"/>
      <c r="O3710" s="197"/>
    </row>
    <row r="3711" spans="1:15">
      <c r="A3711" s="274"/>
      <c r="B3711" s="274"/>
      <c r="C3711" s="274"/>
      <c r="D3711" s="274"/>
      <c r="E3711" s="283"/>
      <c r="F3711" s="283"/>
      <c r="G3711" s="320"/>
      <c r="H3711" s="320"/>
      <c r="I3711" s="228"/>
      <c r="J3711" s="228"/>
      <c r="K3711" s="233"/>
      <c r="L3711" s="197"/>
      <c r="M3711" s="197"/>
      <c r="N3711" s="197"/>
      <c r="O3711" s="197"/>
    </row>
    <row r="3712" spans="1:15">
      <c r="A3712" s="274"/>
      <c r="B3712" s="274"/>
      <c r="C3712" s="274"/>
      <c r="D3712" s="274"/>
      <c r="E3712" s="283"/>
      <c r="F3712" s="283"/>
      <c r="G3712" s="320"/>
      <c r="H3712" s="320"/>
      <c r="I3712" s="228"/>
      <c r="J3712" s="228"/>
      <c r="K3712" s="233"/>
      <c r="L3712" s="197"/>
      <c r="M3712" s="197"/>
      <c r="N3712" s="197"/>
      <c r="O3712" s="197"/>
    </row>
    <row r="3713" spans="1:15">
      <c r="A3713" s="274"/>
      <c r="B3713" s="274"/>
      <c r="C3713" s="274"/>
      <c r="D3713" s="274"/>
      <c r="E3713" s="283"/>
      <c r="F3713" s="283"/>
      <c r="G3713" s="320"/>
      <c r="H3713" s="320"/>
      <c r="I3713" s="228"/>
      <c r="J3713" s="228"/>
      <c r="K3713" s="233"/>
      <c r="L3713" s="197"/>
      <c r="M3713" s="197"/>
      <c r="N3713" s="197"/>
      <c r="O3713" s="197"/>
    </row>
    <row r="3714" spans="1:15">
      <c r="A3714" s="274"/>
      <c r="B3714" s="274"/>
      <c r="C3714" s="274"/>
      <c r="D3714" s="274"/>
      <c r="E3714" s="283"/>
      <c r="F3714" s="283"/>
      <c r="G3714" s="320"/>
      <c r="H3714" s="320"/>
      <c r="I3714" s="228"/>
      <c r="J3714" s="228"/>
      <c r="K3714" s="233"/>
      <c r="L3714" s="197"/>
      <c r="M3714" s="197"/>
      <c r="N3714" s="197"/>
      <c r="O3714" s="197"/>
    </row>
    <row r="3715" spans="1:15">
      <c r="A3715" s="274"/>
      <c r="B3715" s="274"/>
      <c r="C3715" s="274"/>
      <c r="D3715" s="274"/>
      <c r="E3715" s="283"/>
      <c r="F3715" s="283"/>
      <c r="G3715" s="320"/>
      <c r="H3715" s="320"/>
      <c r="I3715" s="228"/>
      <c r="J3715" s="228"/>
      <c r="K3715" s="233"/>
      <c r="L3715" s="197"/>
      <c r="M3715" s="197"/>
      <c r="N3715" s="197"/>
      <c r="O3715" s="197"/>
    </row>
    <row r="3716" spans="1:15">
      <c r="A3716" s="274"/>
      <c r="B3716" s="274"/>
      <c r="C3716" s="274"/>
      <c r="D3716" s="274"/>
      <c r="E3716" s="283"/>
      <c r="F3716" s="283"/>
      <c r="G3716" s="320"/>
      <c r="H3716" s="320"/>
      <c r="I3716" s="228"/>
      <c r="J3716" s="228"/>
      <c r="K3716" s="233"/>
      <c r="L3716" s="197"/>
      <c r="M3716" s="197"/>
      <c r="N3716" s="197"/>
      <c r="O3716" s="197"/>
    </row>
    <row r="3717" spans="1:15">
      <c r="A3717" s="274"/>
      <c r="B3717" s="274"/>
      <c r="C3717" s="274"/>
      <c r="D3717" s="274"/>
      <c r="E3717" s="283"/>
      <c r="F3717" s="283"/>
      <c r="G3717" s="320"/>
      <c r="H3717" s="320"/>
      <c r="I3717" s="228"/>
      <c r="J3717" s="228"/>
      <c r="K3717" s="233"/>
      <c r="L3717" s="197"/>
      <c r="M3717" s="197"/>
      <c r="N3717" s="197"/>
      <c r="O3717" s="197"/>
    </row>
    <row r="3718" spans="1:15">
      <c r="A3718" s="274"/>
      <c r="B3718" s="274"/>
      <c r="C3718" s="274"/>
      <c r="D3718" s="274"/>
      <c r="E3718" s="283"/>
      <c r="F3718" s="283"/>
      <c r="G3718" s="320"/>
      <c r="H3718" s="320"/>
      <c r="I3718" s="228"/>
      <c r="J3718" s="228"/>
      <c r="K3718" s="233"/>
      <c r="L3718" s="197"/>
      <c r="M3718" s="197"/>
      <c r="N3718" s="197"/>
      <c r="O3718" s="197"/>
    </row>
    <row r="3719" spans="1:15">
      <c r="A3719" s="274"/>
      <c r="B3719" s="274"/>
      <c r="C3719" s="274"/>
      <c r="D3719" s="274"/>
      <c r="E3719" s="283"/>
      <c r="F3719" s="283"/>
      <c r="G3719" s="320"/>
      <c r="H3719" s="320"/>
      <c r="I3719" s="228"/>
      <c r="J3719" s="228"/>
      <c r="K3719" s="233"/>
      <c r="L3719" s="197"/>
      <c r="M3719" s="197"/>
      <c r="N3719" s="197"/>
      <c r="O3719" s="197"/>
    </row>
    <row r="3720" spans="1:15">
      <c r="A3720" s="274"/>
      <c r="B3720" s="274"/>
      <c r="C3720" s="274"/>
      <c r="D3720" s="274"/>
      <c r="E3720" s="283"/>
      <c r="F3720" s="283"/>
      <c r="G3720" s="320"/>
      <c r="H3720" s="320"/>
      <c r="I3720" s="228"/>
      <c r="J3720" s="228"/>
      <c r="K3720" s="233"/>
      <c r="L3720" s="197"/>
      <c r="M3720" s="197"/>
      <c r="N3720" s="197"/>
      <c r="O3720" s="197"/>
    </row>
    <row r="3721" spans="1:15">
      <c r="A3721" s="274"/>
      <c r="B3721" s="274"/>
      <c r="C3721" s="274"/>
      <c r="D3721" s="274"/>
      <c r="E3721" s="283"/>
      <c r="F3721" s="283"/>
      <c r="G3721" s="320"/>
      <c r="H3721" s="320"/>
      <c r="I3721" s="228"/>
      <c r="J3721" s="228"/>
      <c r="K3721" s="233"/>
      <c r="L3721" s="197"/>
      <c r="M3721" s="197"/>
      <c r="N3721" s="197"/>
      <c r="O3721" s="197"/>
    </row>
    <row r="3722" spans="1:15">
      <c r="A3722" s="274"/>
      <c r="B3722" s="274"/>
      <c r="C3722" s="274"/>
      <c r="D3722" s="274"/>
      <c r="E3722" s="283"/>
      <c r="F3722" s="283"/>
      <c r="G3722" s="320"/>
      <c r="H3722" s="320"/>
      <c r="I3722" s="228"/>
      <c r="J3722" s="228"/>
      <c r="K3722" s="233"/>
      <c r="L3722" s="197"/>
      <c r="M3722" s="197"/>
      <c r="N3722" s="197"/>
      <c r="O3722" s="197"/>
    </row>
    <row r="3723" spans="1:15">
      <c r="A3723" s="274"/>
      <c r="B3723" s="274"/>
      <c r="C3723" s="274"/>
      <c r="D3723" s="274"/>
      <c r="E3723" s="283"/>
      <c r="F3723" s="283"/>
      <c r="G3723" s="320"/>
      <c r="H3723" s="320"/>
      <c r="I3723" s="228"/>
      <c r="J3723" s="228"/>
      <c r="K3723" s="233"/>
      <c r="L3723" s="197"/>
      <c r="M3723" s="197"/>
      <c r="N3723" s="197"/>
      <c r="O3723" s="197"/>
    </row>
    <row r="3724" spans="1:15">
      <c r="A3724" s="274"/>
      <c r="B3724" s="274"/>
      <c r="C3724" s="274"/>
      <c r="D3724" s="274"/>
      <c r="E3724" s="283"/>
      <c r="F3724" s="283"/>
      <c r="G3724" s="320"/>
      <c r="H3724" s="320"/>
      <c r="I3724" s="228"/>
      <c r="J3724" s="228"/>
      <c r="K3724" s="233"/>
      <c r="L3724" s="197"/>
      <c r="M3724" s="197"/>
      <c r="N3724" s="197"/>
      <c r="O3724" s="197"/>
    </row>
    <row r="3725" spans="1:15">
      <c r="A3725" s="274"/>
      <c r="B3725" s="274"/>
      <c r="C3725" s="274"/>
      <c r="D3725" s="274"/>
      <c r="E3725" s="283"/>
      <c r="F3725" s="283"/>
      <c r="G3725" s="320"/>
      <c r="H3725" s="320"/>
      <c r="I3725" s="228"/>
      <c r="J3725" s="228"/>
      <c r="K3725" s="233"/>
      <c r="L3725" s="197"/>
      <c r="M3725" s="197"/>
      <c r="N3725" s="197"/>
      <c r="O3725" s="197"/>
    </row>
    <row r="3726" spans="1:15">
      <c r="A3726" s="274"/>
      <c r="B3726" s="274"/>
      <c r="C3726" s="274"/>
      <c r="D3726" s="274"/>
      <c r="E3726" s="283"/>
      <c r="F3726" s="283"/>
      <c r="G3726" s="320"/>
      <c r="H3726" s="320"/>
      <c r="I3726" s="228"/>
      <c r="J3726" s="228"/>
      <c r="K3726" s="233"/>
      <c r="L3726" s="197"/>
      <c r="M3726" s="197"/>
      <c r="N3726" s="197"/>
      <c r="O3726" s="197"/>
    </row>
    <row r="3727" spans="1:15">
      <c r="A3727" s="274"/>
      <c r="B3727" s="274"/>
      <c r="C3727" s="274"/>
      <c r="D3727" s="274"/>
      <c r="E3727" s="283"/>
      <c r="F3727" s="283"/>
      <c r="G3727" s="320"/>
      <c r="H3727" s="320"/>
      <c r="I3727" s="228"/>
      <c r="J3727" s="228"/>
      <c r="K3727" s="233"/>
      <c r="L3727" s="197"/>
      <c r="M3727" s="197"/>
      <c r="N3727" s="197"/>
      <c r="O3727" s="197"/>
    </row>
    <row r="3728" spans="1:15">
      <c r="A3728" s="274"/>
      <c r="B3728" s="274"/>
      <c r="C3728" s="274"/>
      <c r="D3728" s="274"/>
      <c r="E3728" s="283"/>
      <c r="F3728" s="283"/>
      <c r="G3728" s="320"/>
      <c r="H3728" s="320"/>
      <c r="I3728" s="228"/>
      <c r="J3728" s="228"/>
      <c r="K3728" s="233"/>
      <c r="L3728" s="197"/>
      <c r="M3728" s="197"/>
      <c r="N3728" s="197"/>
      <c r="O3728" s="197"/>
    </row>
    <row r="3729" spans="1:15">
      <c r="A3729" s="274"/>
      <c r="B3729" s="274"/>
      <c r="C3729" s="274"/>
      <c r="D3729" s="274"/>
      <c r="E3729" s="283"/>
      <c r="F3729" s="283"/>
      <c r="G3729" s="320"/>
      <c r="H3729" s="320"/>
      <c r="I3729" s="228"/>
      <c r="J3729" s="228"/>
      <c r="K3729" s="233"/>
      <c r="L3729" s="197"/>
      <c r="M3729" s="197"/>
      <c r="N3729" s="197"/>
      <c r="O3729" s="197"/>
    </row>
    <row r="3730" spans="1:15">
      <c r="A3730" s="274"/>
      <c r="B3730" s="274"/>
      <c r="C3730" s="274"/>
      <c r="D3730" s="274"/>
      <c r="E3730" s="283"/>
      <c r="F3730" s="283"/>
      <c r="G3730" s="320"/>
      <c r="H3730" s="320"/>
      <c r="I3730" s="228"/>
      <c r="J3730" s="228"/>
      <c r="K3730" s="233"/>
      <c r="L3730" s="197"/>
      <c r="M3730" s="197"/>
      <c r="N3730" s="197"/>
      <c r="O3730" s="197"/>
    </row>
    <row r="3731" spans="1:15">
      <c r="A3731" s="274"/>
      <c r="B3731" s="274"/>
      <c r="C3731" s="274"/>
      <c r="D3731" s="274"/>
      <c r="E3731" s="283"/>
      <c r="F3731" s="283"/>
      <c r="G3731" s="320"/>
      <c r="H3731" s="320"/>
      <c r="I3731" s="228"/>
      <c r="J3731" s="228"/>
      <c r="K3731" s="233"/>
      <c r="L3731" s="197"/>
      <c r="M3731" s="197"/>
      <c r="N3731" s="197"/>
      <c r="O3731" s="197"/>
    </row>
    <row r="3732" spans="1:15">
      <c r="A3732" s="274"/>
      <c r="B3732" s="274"/>
      <c r="C3732" s="274"/>
      <c r="D3732" s="274"/>
      <c r="E3732" s="283"/>
      <c r="F3732" s="283"/>
      <c r="G3732" s="320"/>
      <c r="H3732" s="320"/>
      <c r="I3732" s="228"/>
      <c r="J3732" s="228"/>
      <c r="K3732" s="233"/>
      <c r="L3732" s="197"/>
      <c r="M3732" s="197"/>
      <c r="N3732" s="197"/>
      <c r="O3732" s="197"/>
    </row>
    <row r="3733" spans="1:15">
      <c r="A3733" s="274"/>
      <c r="B3733" s="274"/>
      <c r="C3733" s="274"/>
      <c r="D3733" s="274"/>
      <c r="E3733" s="283"/>
      <c r="F3733" s="283"/>
      <c r="G3733" s="320"/>
      <c r="H3733" s="320"/>
      <c r="I3733" s="228"/>
      <c r="J3733" s="228"/>
      <c r="K3733" s="233"/>
      <c r="L3733" s="197"/>
      <c r="M3733" s="197"/>
      <c r="N3733" s="197"/>
      <c r="O3733" s="197"/>
    </row>
    <row r="3734" spans="1:15">
      <c r="A3734" s="274"/>
      <c r="B3734" s="274"/>
      <c r="C3734" s="274"/>
      <c r="D3734" s="274"/>
      <c r="E3734" s="283"/>
      <c r="F3734" s="283"/>
      <c r="G3734" s="320"/>
      <c r="H3734" s="320"/>
      <c r="I3734" s="228"/>
      <c r="J3734" s="228"/>
      <c r="K3734" s="233"/>
      <c r="L3734" s="197"/>
      <c r="M3734" s="197"/>
      <c r="N3734" s="197"/>
      <c r="O3734" s="197"/>
    </row>
    <row r="3735" spans="1:15">
      <c r="A3735" s="274"/>
      <c r="B3735" s="274"/>
      <c r="C3735" s="274"/>
      <c r="D3735" s="274"/>
      <c r="E3735" s="283"/>
      <c r="F3735" s="283"/>
      <c r="G3735" s="320"/>
      <c r="H3735" s="320"/>
      <c r="I3735" s="228"/>
      <c r="J3735" s="228"/>
      <c r="K3735" s="233"/>
      <c r="L3735" s="197"/>
      <c r="M3735" s="197"/>
      <c r="N3735" s="197"/>
      <c r="O3735" s="197"/>
    </row>
    <row r="3736" spans="1:15">
      <c r="A3736" s="274"/>
      <c r="B3736" s="274"/>
      <c r="C3736" s="274"/>
      <c r="D3736" s="274"/>
      <c r="E3736" s="283"/>
      <c r="F3736" s="283"/>
      <c r="G3736" s="320"/>
      <c r="H3736" s="320"/>
      <c r="I3736" s="228"/>
      <c r="J3736" s="228"/>
      <c r="K3736" s="233"/>
      <c r="L3736" s="197"/>
      <c r="M3736" s="197"/>
      <c r="N3736" s="197"/>
      <c r="O3736" s="197"/>
    </row>
    <row r="3737" spans="1:15">
      <c r="A3737" s="274"/>
      <c r="B3737" s="274"/>
      <c r="C3737" s="274"/>
      <c r="D3737" s="274"/>
      <c r="E3737" s="283"/>
      <c r="F3737" s="283"/>
      <c r="G3737" s="320"/>
      <c r="H3737" s="320"/>
      <c r="I3737" s="228"/>
      <c r="J3737" s="228"/>
      <c r="K3737" s="233"/>
      <c r="L3737" s="197"/>
      <c r="M3737" s="197"/>
      <c r="N3737" s="197"/>
      <c r="O3737" s="197"/>
    </row>
    <row r="3738" spans="1:15">
      <c r="A3738" s="274"/>
      <c r="B3738" s="274"/>
      <c r="C3738" s="274"/>
      <c r="D3738" s="274"/>
      <c r="E3738" s="283"/>
      <c r="F3738" s="283"/>
      <c r="G3738" s="320"/>
      <c r="H3738" s="320"/>
      <c r="I3738" s="228"/>
      <c r="J3738" s="228"/>
      <c r="K3738" s="233"/>
      <c r="L3738" s="197"/>
      <c r="M3738" s="197"/>
      <c r="N3738" s="197"/>
      <c r="O3738" s="197"/>
    </row>
    <row r="3739" spans="1:15">
      <c r="A3739" s="274"/>
      <c r="B3739" s="274"/>
      <c r="C3739" s="274"/>
      <c r="D3739" s="274"/>
      <c r="E3739" s="283"/>
      <c r="F3739" s="283"/>
      <c r="G3739" s="320"/>
      <c r="H3739" s="320"/>
      <c r="I3739" s="228"/>
      <c r="J3739" s="228"/>
      <c r="K3739" s="233"/>
      <c r="L3739" s="197"/>
      <c r="M3739" s="197"/>
      <c r="N3739" s="197"/>
      <c r="O3739" s="197"/>
    </row>
    <row r="3740" spans="1:15">
      <c r="A3740" s="274"/>
      <c r="B3740" s="274"/>
      <c r="C3740" s="274"/>
      <c r="D3740" s="274"/>
      <c r="E3740" s="283"/>
      <c r="F3740" s="283"/>
      <c r="G3740" s="320"/>
      <c r="H3740" s="320"/>
      <c r="I3740" s="228"/>
      <c r="J3740" s="228"/>
      <c r="K3740" s="233"/>
      <c r="L3740" s="197"/>
      <c r="M3740" s="197"/>
      <c r="N3740" s="197"/>
      <c r="O3740" s="197"/>
    </row>
    <row r="3741" spans="1:15">
      <c r="A3741" s="274"/>
      <c r="B3741" s="274"/>
      <c r="C3741" s="274"/>
      <c r="D3741" s="274"/>
      <c r="E3741" s="283"/>
      <c r="F3741" s="283"/>
      <c r="G3741" s="320"/>
      <c r="H3741" s="320"/>
      <c r="I3741" s="228"/>
      <c r="J3741" s="228"/>
      <c r="K3741" s="233"/>
      <c r="L3741" s="197"/>
      <c r="M3741" s="197"/>
      <c r="N3741" s="197"/>
      <c r="O3741" s="197"/>
    </row>
    <row r="3742" spans="1:15">
      <c r="A3742" s="274"/>
      <c r="B3742" s="274"/>
      <c r="C3742" s="274"/>
      <c r="D3742" s="274"/>
      <c r="E3742" s="283"/>
      <c r="F3742" s="283"/>
      <c r="G3742" s="320"/>
      <c r="H3742" s="320"/>
      <c r="I3742" s="228"/>
      <c r="J3742" s="228"/>
      <c r="K3742" s="233"/>
      <c r="L3742" s="197"/>
      <c r="M3742" s="197"/>
      <c r="N3742" s="197"/>
      <c r="O3742" s="197"/>
    </row>
    <row r="3743" spans="1:15">
      <c r="A3743" s="274"/>
      <c r="B3743" s="274"/>
      <c r="C3743" s="274"/>
      <c r="D3743" s="274"/>
      <c r="E3743" s="283"/>
      <c r="F3743" s="283"/>
      <c r="G3743" s="320"/>
      <c r="H3743" s="320"/>
      <c r="I3743" s="228"/>
      <c r="J3743" s="228"/>
      <c r="K3743" s="233"/>
      <c r="L3743" s="197"/>
      <c r="M3743" s="197"/>
      <c r="N3743" s="197"/>
      <c r="O3743" s="197"/>
    </row>
    <row r="3744" spans="1:15">
      <c r="A3744" s="274"/>
      <c r="B3744" s="274"/>
      <c r="C3744" s="274"/>
      <c r="D3744" s="274"/>
      <c r="E3744" s="283"/>
      <c r="F3744" s="283"/>
      <c r="G3744" s="320"/>
      <c r="H3744" s="320"/>
      <c r="I3744" s="228"/>
      <c r="J3744" s="228"/>
      <c r="K3744" s="233"/>
      <c r="L3744" s="197"/>
      <c r="M3744" s="197"/>
      <c r="N3744" s="197"/>
      <c r="O3744" s="197"/>
    </row>
    <row r="3745" spans="1:15">
      <c r="A3745" s="274"/>
      <c r="B3745" s="274"/>
      <c r="C3745" s="274"/>
      <c r="D3745" s="274"/>
      <c r="E3745" s="283"/>
      <c r="F3745" s="283"/>
      <c r="G3745" s="320"/>
      <c r="H3745" s="320"/>
      <c r="I3745" s="228"/>
      <c r="J3745" s="228"/>
      <c r="K3745" s="233"/>
      <c r="L3745" s="197"/>
      <c r="M3745" s="197"/>
      <c r="N3745" s="197"/>
      <c r="O3745" s="197"/>
    </row>
    <row r="3746" spans="1:15">
      <c r="A3746" s="274"/>
      <c r="B3746" s="274"/>
      <c r="C3746" s="274"/>
      <c r="D3746" s="274"/>
      <c r="E3746" s="283"/>
      <c r="F3746" s="283"/>
      <c r="G3746" s="320"/>
      <c r="H3746" s="320"/>
      <c r="I3746" s="228"/>
      <c r="J3746" s="228"/>
      <c r="K3746" s="233"/>
      <c r="L3746" s="197"/>
      <c r="M3746" s="197"/>
      <c r="N3746" s="197"/>
      <c r="O3746" s="197"/>
    </row>
    <row r="3747" spans="1:15">
      <c r="A3747" s="274"/>
      <c r="B3747" s="274"/>
      <c r="C3747" s="274"/>
      <c r="D3747" s="274"/>
      <c r="E3747" s="283"/>
      <c r="F3747" s="283"/>
      <c r="G3747" s="320"/>
      <c r="H3747" s="320"/>
      <c r="I3747" s="228"/>
      <c r="J3747" s="228"/>
      <c r="K3747" s="233"/>
      <c r="L3747" s="197"/>
      <c r="M3747" s="197"/>
      <c r="N3747" s="197"/>
      <c r="O3747" s="197"/>
    </row>
    <row r="3748" spans="1:15">
      <c r="A3748" s="274"/>
      <c r="B3748" s="274"/>
      <c r="C3748" s="274"/>
      <c r="D3748" s="274"/>
      <c r="E3748" s="283"/>
      <c r="F3748" s="283"/>
      <c r="G3748" s="320"/>
      <c r="H3748" s="320"/>
      <c r="I3748" s="228"/>
      <c r="J3748" s="228"/>
      <c r="K3748" s="233"/>
      <c r="L3748" s="197"/>
      <c r="M3748" s="197"/>
      <c r="N3748" s="197"/>
      <c r="O3748" s="197"/>
    </row>
    <row r="3749" spans="1:15">
      <c r="A3749" s="274"/>
      <c r="B3749" s="274"/>
      <c r="C3749" s="274"/>
      <c r="D3749" s="274"/>
      <c r="E3749" s="283"/>
      <c r="F3749" s="283"/>
      <c r="G3749" s="320"/>
      <c r="H3749" s="320"/>
      <c r="I3749" s="228"/>
      <c r="J3749" s="228"/>
      <c r="K3749" s="233"/>
      <c r="L3749" s="197"/>
      <c r="M3749" s="197"/>
      <c r="N3749" s="197"/>
      <c r="O3749" s="197"/>
    </row>
    <row r="3750" spans="1:15">
      <c r="A3750" s="274"/>
      <c r="B3750" s="274"/>
      <c r="C3750" s="274"/>
      <c r="D3750" s="274"/>
      <c r="E3750" s="283"/>
      <c r="F3750" s="283"/>
      <c r="G3750" s="320"/>
      <c r="H3750" s="320"/>
      <c r="I3750" s="228"/>
      <c r="J3750" s="228"/>
      <c r="K3750" s="233"/>
      <c r="L3750" s="197"/>
      <c r="M3750" s="197"/>
      <c r="N3750" s="197"/>
      <c r="O3750" s="197"/>
    </row>
    <row r="3751" spans="1:15">
      <c r="A3751" s="274"/>
      <c r="B3751" s="274"/>
      <c r="C3751" s="274"/>
      <c r="D3751" s="274"/>
      <c r="E3751" s="283"/>
      <c r="F3751" s="283"/>
      <c r="G3751" s="320"/>
      <c r="H3751" s="320"/>
      <c r="I3751" s="228"/>
      <c r="J3751" s="228"/>
      <c r="K3751" s="233"/>
      <c r="L3751" s="197"/>
      <c r="M3751" s="197"/>
      <c r="N3751" s="197"/>
      <c r="O3751" s="197"/>
    </row>
    <row r="3752" spans="1:15">
      <c r="A3752" s="274"/>
      <c r="B3752" s="274"/>
      <c r="C3752" s="274"/>
      <c r="D3752" s="274"/>
      <c r="E3752" s="283"/>
      <c r="F3752" s="283"/>
      <c r="G3752" s="320"/>
      <c r="H3752" s="320"/>
      <c r="I3752" s="228"/>
      <c r="J3752" s="228"/>
      <c r="K3752" s="233"/>
      <c r="L3752" s="197"/>
      <c r="M3752" s="197"/>
      <c r="N3752" s="197"/>
      <c r="O3752" s="197"/>
    </row>
    <row r="3753" spans="1:15">
      <c r="A3753" s="274"/>
      <c r="B3753" s="274"/>
      <c r="C3753" s="274"/>
      <c r="D3753" s="274"/>
      <c r="E3753" s="283"/>
      <c r="F3753" s="283"/>
      <c r="G3753" s="320"/>
      <c r="H3753" s="320"/>
      <c r="I3753" s="228"/>
      <c r="J3753" s="228"/>
      <c r="K3753" s="233"/>
      <c r="L3753" s="197"/>
      <c r="M3753" s="197"/>
      <c r="N3753" s="197"/>
      <c r="O3753" s="197"/>
    </row>
    <row r="3754" spans="1:15">
      <c r="A3754" s="274"/>
      <c r="B3754" s="274"/>
      <c r="C3754" s="274"/>
      <c r="D3754" s="274"/>
      <c r="E3754" s="283"/>
      <c r="F3754" s="283"/>
      <c r="G3754" s="320"/>
      <c r="H3754" s="320"/>
      <c r="I3754" s="228"/>
      <c r="J3754" s="228"/>
      <c r="K3754" s="233"/>
      <c r="L3754" s="197"/>
      <c r="M3754" s="197"/>
      <c r="N3754" s="197"/>
      <c r="O3754" s="197"/>
    </row>
    <row r="3755" spans="1:15">
      <c r="A3755" s="274"/>
      <c r="B3755" s="274"/>
      <c r="C3755" s="274"/>
      <c r="D3755" s="274"/>
      <c r="E3755" s="283"/>
      <c r="F3755" s="283"/>
      <c r="G3755" s="320"/>
      <c r="H3755" s="320"/>
      <c r="I3755" s="228"/>
      <c r="J3755" s="228"/>
      <c r="K3755" s="233"/>
      <c r="L3755" s="197"/>
      <c r="M3755" s="197"/>
      <c r="N3755" s="197"/>
      <c r="O3755" s="197"/>
    </row>
    <row r="3756" spans="1:15">
      <c r="A3756" s="274"/>
      <c r="B3756" s="274"/>
      <c r="C3756" s="274"/>
      <c r="D3756" s="274"/>
      <c r="E3756" s="283"/>
      <c r="F3756" s="283"/>
      <c r="G3756" s="320"/>
      <c r="H3756" s="320"/>
      <c r="I3756" s="228"/>
      <c r="J3756" s="228"/>
      <c r="K3756" s="233"/>
      <c r="L3756" s="197"/>
      <c r="M3756" s="197"/>
      <c r="N3756" s="197"/>
      <c r="O3756" s="197"/>
    </row>
    <row r="3757" spans="1:15">
      <c r="A3757" s="274"/>
      <c r="B3757" s="274"/>
      <c r="C3757" s="274"/>
      <c r="D3757" s="274"/>
      <c r="E3757" s="283"/>
      <c r="F3757" s="283"/>
      <c r="G3757" s="320"/>
      <c r="H3757" s="320"/>
      <c r="I3757" s="228"/>
      <c r="J3757" s="228"/>
      <c r="K3757" s="233"/>
      <c r="L3757" s="197"/>
      <c r="M3757" s="197"/>
      <c r="N3757" s="197"/>
      <c r="O3757" s="197"/>
    </row>
    <row r="3758" spans="1:15">
      <c r="A3758" s="274"/>
      <c r="B3758" s="274"/>
      <c r="C3758" s="274"/>
      <c r="D3758" s="274"/>
      <c r="E3758" s="283"/>
      <c r="F3758" s="283"/>
      <c r="G3758" s="320"/>
      <c r="H3758" s="320"/>
      <c r="I3758" s="228"/>
      <c r="J3758" s="228"/>
      <c r="K3758" s="233"/>
      <c r="L3758" s="197"/>
      <c r="M3758" s="197"/>
      <c r="N3758" s="197"/>
      <c r="O3758" s="197"/>
    </row>
    <row r="3759" spans="1:15">
      <c r="A3759" s="274"/>
      <c r="B3759" s="274"/>
      <c r="C3759" s="274"/>
      <c r="D3759" s="274"/>
      <c r="E3759" s="283"/>
      <c r="F3759" s="283"/>
      <c r="G3759" s="320"/>
      <c r="H3759" s="320"/>
      <c r="I3759" s="228"/>
      <c r="J3759" s="228"/>
      <c r="K3759" s="233"/>
      <c r="L3759" s="197"/>
      <c r="M3759" s="197"/>
      <c r="N3759" s="197"/>
      <c r="O3759" s="197"/>
    </row>
    <row r="3760" spans="1:15">
      <c r="A3760" s="274"/>
      <c r="B3760" s="274"/>
      <c r="C3760" s="274"/>
      <c r="D3760" s="274"/>
      <c r="E3760" s="283"/>
      <c r="F3760" s="283"/>
      <c r="G3760" s="320"/>
      <c r="H3760" s="320"/>
      <c r="I3760" s="228"/>
      <c r="J3760" s="228"/>
      <c r="K3760" s="233"/>
      <c r="L3760" s="197"/>
      <c r="M3760" s="197"/>
      <c r="N3760" s="197"/>
      <c r="O3760" s="197"/>
    </row>
    <row r="3761" spans="1:15">
      <c r="A3761" s="274"/>
      <c r="B3761" s="274"/>
      <c r="C3761" s="274"/>
      <c r="D3761" s="274"/>
      <c r="E3761" s="283"/>
      <c r="F3761" s="283"/>
      <c r="G3761" s="320"/>
      <c r="H3761" s="320"/>
      <c r="I3761" s="228"/>
      <c r="J3761" s="228"/>
      <c r="K3761" s="233"/>
      <c r="L3761" s="197"/>
      <c r="M3761" s="197"/>
      <c r="N3761" s="197"/>
      <c r="O3761" s="197"/>
    </row>
    <row r="3762" spans="1:15">
      <c r="A3762" s="274"/>
      <c r="B3762" s="274"/>
      <c r="C3762" s="274"/>
      <c r="D3762" s="274"/>
      <c r="E3762" s="283"/>
      <c r="F3762" s="283"/>
      <c r="G3762" s="320"/>
      <c r="H3762" s="320"/>
      <c r="I3762" s="228"/>
      <c r="J3762" s="228"/>
      <c r="K3762" s="233"/>
      <c r="L3762" s="197"/>
      <c r="M3762" s="197"/>
      <c r="N3762" s="197"/>
      <c r="O3762" s="197"/>
    </row>
    <row r="3763" spans="1:15">
      <c r="A3763" s="274"/>
      <c r="B3763" s="274"/>
      <c r="C3763" s="274"/>
      <c r="D3763" s="274"/>
      <c r="E3763" s="283"/>
      <c r="F3763" s="283"/>
      <c r="G3763" s="320"/>
      <c r="H3763" s="320"/>
      <c r="I3763" s="228"/>
      <c r="J3763" s="228"/>
      <c r="K3763" s="233"/>
      <c r="L3763" s="197"/>
      <c r="M3763" s="197"/>
      <c r="N3763" s="197"/>
      <c r="O3763" s="197"/>
    </row>
    <row r="3764" spans="1:15">
      <c r="A3764" s="274"/>
      <c r="B3764" s="274"/>
      <c r="C3764" s="274"/>
      <c r="D3764" s="274"/>
      <c r="E3764" s="283"/>
      <c r="F3764" s="283"/>
      <c r="G3764" s="320"/>
      <c r="H3764" s="320"/>
      <c r="I3764" s="228"/>
      <c r="J3764" s="228"/>
      <c r="K3764" s="233"/>
      <c r="L3764" s="197"/>
      <c r="M3764" s="197"/>
      <c r="N3764" s="197"/>
      <c r="O3764" s="197"/>
    </row>
    <row r="3765" spans="1:15">
      <c r="A3765" s="274"/>
      <c r="B3765" s="274"/>
      <c r="C3765" s="274"/>
      <c r="D3765" s="274"/>
      <c r="E3765" s="283"/>
      <c r="F3765" s="283"/>
      <c r="G3765" s="320"/>
      <c r="H3765" s="320"/>
      <c r="I3765" s="228"/>
      <c r="J3765" s="228"/>
      <c r="K3765" s="233"/>
      <c r="L3765" s="197"/>
      <c r="M3765" s="197"/>
      <c r="N3765" s="197"/>
      <c r="O3765" s="197"/>
    </row>
    <row r="3766" spans="1:15">
      <c r="A3766" s="274"/>
      <c r="B3766" s="274"/>
      <c r="C3766" s="274"/>
      <c r="D3766" s="274"/>
      <c r="E3766" s="283"/>
      <c r="F3766" s="283"/>
      <c r="G3766" s="320"/>
      <c r="H3766" s="320"/>
      <c r="I3766" s="228"/>
      <c r="J3766" s="228"/>
      <c r="K3766" s="233"/>
      <c r="L3766" s="197"/>
      <c r="M3766" s="197"/>
      <c r="N3766" s="197"/>
      <c r="O3766" s="197"/>
    </row>
    <row r="3767" spans="1:15">
      <c r="A3767" s="274"/>
      <c r="B3767" s="274"/>
      <c r="C3767" s="274"/>
      <c r="D3767" s="274"/>
      <c r="E3767" s="283"/>
      <c r="F3767" s="283"/>
      <c r="G3767" s="320"/>
      <c r="H3767" s="320"/>
      <c r="I3767" s="228"/>
      <c r="J3767" s="228"/>
      <c r="K3767" s="233"/>
      <c r="L3767" s="197"/>
      <c r="M3767" s="197"/>
      <c r="N3767" s="197"/>
      <c r="O3767" s="197"/>
    </row>
    <row r="3768" spans="1:15">
      <c r="A3768" s="274"/>
      <c r="B3768" s="274"/>
      <c r="C3768" s="274"/>
      <c r="D3768" s="274"/>
      <c r="E3768" s="283"/>
      <c r="F3768" s="283"/>
      <c r="G3768" s="320"/>
      <c r="H3768" s="320"/>
      <c r="I3768" s="228"/>
      <c r="J3768" s="228"/>
      <c r="K3768" s="233"/>
      <c r="L3768" s="197"/>
      <c r="M3768" s="197"/>
      <c r="N3768" s="197"/>
      <c r="O3768" s="197"/>
    </row>
    <row r="3769" spans="1:15">
      <c r="A3769" s="274"/>
      <c r="B3769" s="274"/>
      <c r="C3769" s="274"/>
      <c r="D3769" s="274"/>
      <c r="E3769" s="283"/>
      <c r="F3769" s="283"/>
      <c r="G3769" s="320"/>
      <c r="H3769" s="320"/>
      <c r="I3769" s="228"/>
      <c r="J3769" s="228"/>
      <c r="K3769" s="233"/>
      <c r="L3769" s="197"/>
      <c r="M3769" s="197"/>
      <c r="N3769" s="197"/>
      <c r="O3769" s="197"/>
    </row>
    <row r="3770" spans="1:15">
      <c r="A3770" s="274"/>
      <c r="B3770" s="274"/>
      <c r="C3770" s="274"/>
      <c r="D3770" s="274"/>
      <c r="E3770" s="283"/>
      <c r="F3770" s="283"/>
      <c r="G3770" s="320"/>
      <c r="H3770" s="320"/>
      <c r="I3770" s="228"/>
      <c r="J3770" s="228"/>
      <c r="K3770" s="233"/>
      <c r="L3770" s="197"/>
      <c r="M3770" s="197"/>
      <c r="N3770" s="197"/>
      <c r="O3770" s="197"/>
    </row>
    <row r="3771" spans="1:15">
      <c r="A3771" s="274"/>
      <c r="B3771" s="274"/>
      <c r="C3771" s="274"/>
      <c r="D3771" s="274"/>
      <c r="E3771" s="283"/>
      <c r="F3771" s="283"/>
      <c r="G3771" s="320"/>
      <c r="H3771" s="320"/>
      <c r="I3771" s="228"/>
      <c r="J3771" s="228"/>
      <c r="K3771" s="233"/>
      <c r="L3771" s="197"/>
      <c r="M3771" s="197"/>
      <c r="N3771" s="197"/>
      <c r="O3771" s="197"/>
    </row>
    <row r="3772" spans="1:15">
      <c r="A3772" s="274"/>
      <c r="B3772" s="274"/>
      <c r="C3772" s="274"/>
      <c r="D3772" s="274"/>
      <c r="E3772" s="283"/>
      <c r="F3772" s="283"/>
      <c r="G3772" s="320"/>
      <c r="H3772" s="320"/>
      <c r="I3772" s="228"/>
      <c r="J3772" s="228"/>
      <c r="K3772" s="233"/>
      <c r="L3772" s="197"/>
      <c r="M3772" s="197"/>
      <c r="N3772" s="197"/>
      <c r="O3772" s="197"/>
    </row>
    <row r="3773" spans="1:15">
      <c r="A3773" s="274"/>
      <c r="B3773" s="274"/>
      <c r="C3773" s="274"/>
      <c r="D3773" s="274"/>
      <c r="E3773" s="283"/>
      <c r="F3773" s="283"/>
      <c r="G3773" s="320"/>
      <c r="H3773" s="320"/>
      <c r="I3773" s="228"/>
      <c r="J3773" s="228"/>
      <c r="K3773" s="233"/>
      <c r="L3773" s="197"/>
      <c r="M3773" s="197"/>
      <c r="N3773" s="197"/>
      <c r="O3773" s="197"/>
    </row>
    <row r="3774" spans="1:15">
      <c r="A3774" s="274"/>
      <c r="B3774" s="274"/>
      <c r="C3774" s="274"/>
      <c r="D3774" s="274"/>
      <c r="E3774" s="283"/>
      <c r="F3774" s="283"/>
      <c r="G3774" s="320"/>
      <c r="H3774" s="320"/>
      <c r="I3774" s="228"/>
      <c r="J3774" s="228"/>
      <c r="K3774" s="233"/>
      <c r="L3774" s="197"/>
      <c r="M3774" s="197"/>
      <c r="N3774" s="197"/>
      <c r="O3774" s="197"/>
    </row>
    <row r="3775" spans="1:15">
      <c r="A3775" s="274"/>
      <c r="B3775" s="274"/>
      <c r="C3775" s="274"/>
      <c r="D3775" s="274"/>
      <c r="E3775" s="283"/>
      <c r="F3775" s="283"/>
      <c r="G3775" s="320"/>
      <c r="H3775" s="320"/>
      <c r="I3775" s="228"/>
      <c r="J3775" s="228"/>
      <c r="K3775" s="233"/>
      <c r="L3775" s="197"/>
      <c r="M3775" s="197"/>
      <c r="N3775" s="197"/>
      <c r="O3775" s="197"/>
    </row>
    <row r="3776" spans="1:15">
      <c r="A3776" s="274"/>
      <c r="B3776" s="274"/>
      <c r="C3776" s="274"/>
      <c r="D3776" s="274"/>
      <c r="E3776" s="283"/>
      <c r="F3776" s="283"/>
      <c r="G3776" s="320"/>
      <c r="H3776" s="320"/>
      <c r="I3776" s="228"/>
      <c r="J3776" s="228"/>
      <c r="K3776" s="233"/>
      <c r="L3776" s="197"/>
      <c r="M3776" s="197"/>
      <c r="N3776" s="197"/>
      <c r="O3776" s="197"/>
    </row>
    <row r="3777" spans="1:15">
      <c r="A3777" s="274"/>
      <c r="B3777" s="274"/>
      <c r="C3777" s="274"/>
      <c r="D3777" s="274"/>
      <c r="E3777" s="283"/>
      <c r="F3777" s="283"/>
      <c r="G3777" s="320"/>
      <c r="H3777" s="320"/>
      <c r="I3777" s="228"/>
      <c r="J3777" s="228"/>
      <c r="K3777" s="233"/>
      <c r="L3777" s="197"/>
      <c r="M3777" s="197"/>
      <c r="N3777" s="197"/>
      <c r="O3777" s="197"/>
    </row>
    <row r="3778" spans="1:15">
      <c r="A3778" s="274"/>
      <c r="B3778" s="274"/>
      <c r="C3778" s="274"/>
      <c r="D3778" s="274"/>
      <c r="E3778" s="283"/>
      <c r="F3778" s="283"/>
      <c r="G3778" s="320"/>
      <c r="H3778" s="320"/>
      <c r="I3778" s="228"/>
      <c r="J3778" s="228"/>
      <c r="K3778" s="233"/>
      <c r="L3778" s="197"/>
      <c r="M3778" s="197"/>
      <c r="N3778" s="197"/>
      <c r="O3778" s="197"/>
    </row>
    <row r="3779" spans="1:15">
      <c r="A3779" s="274"/>
      <c r="B3779" s="274"/>
      <c r="C3779" s="274"/>
      <c r="D3779" s="274"/>
      <c r="E3779" s="283"/>
      <c r="F3779" s="283"/>
      <c r="G3779" s="320"/>
      <c r="H3779" s="320"/>
      <c r="I3779" s="228"/>
      <c r="J3779" s="228"/>
      <c r="K3779" s="233"/>
      <c r="L3779" s="197"/>
      <c r="M3779" s="197"/>
      <c r="N3779" s="197"/>
      <c r="O3779" s="197"/>
    </row>
    <row r="3780" spans="1:15">
      <c r="A3780" s="274"/>
      <c r="B3780" s="274"/>
      <c r="C3780" s="274"/>
      <c r="D3780" s="274"/>
      <c r="E3780" s="283"/>
      <c r="F3780" s="283"/>
      <c r="G3780" s="320"/>
      <c r="H3780" s="320"/>
      <c r="I3780" s="228"/>
      <c r="J3780" s="228"/>
      <c r="K3780" s="233"/>
      <c r="L3780" s="197"/>
      <c r="M3780" s="197"/>
      <c r="N3780" s="197"/>
      <c r="O3780" s="197"/>
    </row>
    <row r="3781" spans="1:15">
      <c r="A3781" s="274"/>
      <c r="B3781" s="274"/>
      <c r="C3781" s="274"/>
      <c r="D3781" s="274"/>
      <c r="E3781" s="283"/>
      <c r="F3781" s="283"/>
      <c r="G3781" s="320"/>
      <c r="H3781" s="320"/>
      <c r="I3781" s="228"/>
      <c r="J3781" s="228"/>
      <c r="K3781" s="233"/>
      <c r="L3781" s="197"/>
      <c r="M3781" s="197"/>
      <c r="N3781" s="197"/>
      <c r="O3781" s="197"/>
    </row>
    <row r="3782" spans="1:15">
      <c r="A3782" s="274"/>
      <c r="B3782" s="274"/>
      <c r="C3782" s="274"/>
      <c r="D3782" s="274"/>
      <c r="E3782" s="283"/>
      <c r="F3782" s="283"/>
      <c r="G3782" s="320"/>
      <c r="H3782" s="320"/>
      <c r="I3782" s="228"/>
      <c r="J3782" s="228"/>
      <c r="K3782" s="233"/>
      <c r="L3782" s="197"/>
      <c r="M3782" s="197"/>
      <c r="N3782" s="197"/>
      <c r="O3782" s="197"/>
    </row>
    <row r="3783" spans="1:15">
      <c r="A3783" s="274"/>
      <c r="B3783" s="274"/>
      <c r="C3783" s="274"/>
      <c r="D3783" s="274"/>
      <c r="E3783" s="283"/>
      <c r="F3783" s="283"/>
      <c r="G3783" s="320"/>
      <c r="H3783" s="320"/>
      <c r="I3783" s="228"/>
      <c r="J3783" s="228"/>
      <c r="K3783" s="233"/>
      <c r="L3783" s="197"/>
      <c r="M3783" s="197"/>
      <c r="N3783" s="197"/>
      <c r="O3783" s="197"/>
    </row>
    <row r="3784" spans="1:15">
      <c r="A3784" s="274"/>
      <c r="B3784" s="274"/>
      <c r="C3784" s="274"/>
      <c r="D3784" s="274"/>
      <c r="E3784" s="283"/>
      <c r="F3784" s="283"/>
      <c r="G3784" s="320"/>
      <c r="H3784" s="320"/>
      <c r="I3784" s="228"/>
      <c r="J3784" s="228"/>
      <c r="K3784" s="233"/>
      <c r="L3784" s="197"/>
      <c r="M3784" s="197"/>
      <c r="N3784" s="197"/>
      <c r="O3784" s="197"/>
    </row>
    <row r="3785" spans="1:15">
      <c r="A3785" s="274"/>
      <c r="B3785" s="274"/>
      <c r="C3785" s="274"/>
      <c r="D3785" s="274"/>
      <c r="E3785" s="283"/>
      <c r="F3785" s="283"/>
      <c r="G3785" s="320"/>
      <c r="H3785" s="320"/>
      <c r="I3785" s="228"/>
      <c r="J3785" s="228"/>
      <c r="K3785" s="233"/>
      <c r="L3785" s="197"/>
      <c r="M3785" s="197"/>
      <c r="N3785" s="197"/>
      <c r="O3785" s="197"/>
    </row>
    <row r="3786" spans="1:15">
      <c r="A3786" s="274"/>
      <c r="B3786" s="274"/>
      <c r="C3786" s="274"/>
      <c r="D3786" s="274"/>
      <c r="E3786" s="283"/>
      <c r="F3786" s="283"/>
      <c r="G3786" s="320"/>
      <c r="H3786" s="320"/>
      <c r="I3786" s="228"/>
      <c r="J3786" s="228"/>
      <c r="K3786" s="233"/>
      <c r="L3786" s="197"/>
      <c r="M3786" s="197"/>
      <c r="N3786" s="197"/>
      <c r="O3786" s="197"/>
    </row>
    <row r="3787" spans="1:15">
      <c r="A3787" s="274"/>
      <c r="B3787" s="274"/>
      <c r="C3787" s="274"/>
      <c r="D3787" s="274"/>
      <c r="E3787" s="283"/>
      <c r="F3787" s="283"/>
      <c r="G3787" s="320"/>
      <c r="H3787" s="320"/>
      <c r="I3787" s="228"/>
      <c r="J3787" s="228"/>
      <c r="K3787" s="233"/>
      <c r="L3787" s="197"/>
      <c r="M3787" s="197"/>
      <c r="N3787" s="197"/>
      <c r="O3787" s="197"/>
    </row>
    <row r="3788" spans="1:15">
      <c r="A3788" s="274"/>
      <c r="B3788" s="274"/>
      <c r="C3788" s="274"/>
      <c r="D3788" s="274"/>
      <c r="E3788" s="283"/>
      <c r="F3788" s="283"/>
      <c r="G3788" s="320"/>
      <c r="H3788" s="320"/>
      <c r="I3788" s="228"/>
      <c r="J3788" s="228"/>
      <c r="K3788" s="233"/>
      <c r="L3788" s="197"/>
      <c r="M3788" s="197"/>
      <c r="N3788" s="197"/>
      <c r="O3788" s="197"/>
    </row>
    <row r="3789" spans="1:15">
      <c r="A3789" s="274"/>
      <c r="B3789" s="274"/>
      <c r="C3789" s="274"/>
      <c r="D3789" s="274"/>
      <c r="E3789" s="283"/>
      <c r="F3789" s="283"/>
      <c r="G3789" s="320"/>
      <c r="H3789" s="320"/>
      <c r="I3789" s="228"/>
      <c r="J3789" s="228"/>
      <c r="K3789" s="233"/>
      <c r="L3789" s="197"/>
      <c r="M3789" s="197"/>
      <c r="N3789" s="197"/>
      <c r="O3789" s="197"/>
    </row>
    <row r="3790" spans="1:15">
      <c r="A3790" s="274"/>
      <c r="B3790" s="274"/>
      <c r="C3790" s="274"/>
      <c r="D3790" s="274"/>
      <c r="E3790" s="283"/>
      <c r="F3790" s="283"/>
      <c r="G3790" s="320"/>
      <c r="H3790" s="320"/>
      <c r="I3790" s="228"/>
      <c r="J3790" s="228"/>
      <c r="K3790" s="233"/>
      <c r="L3790" s="197"/>
      <c r="M3790" s="197"/>
      <c r="N3790" s="197"/>
      <c r="O3790" s="197"/>
    </row>
    <row r="3791" spans="1:15">
      <c r="A3791" s="274"/>
      <c r="B3791" s="274"/>
      <c r="C3791" s="274"/>
      <c r="D3791" s="274"/>
      <c r="E3791" s="283"/>
      <c r="F3791" s="283"/>
      <c r="G3791" s="320"/>
      <c r="H3791" s="320"/>
      <c r="I3791" s="228"/>
      <c r="J3791" s="228"/>
      <c r="K3791" s="233"/>
      <c r="L3791" s="197"/>
      <c r="M3791" s="197"/>
      <c r="N3791" s="197"/>
      <c r="O3791" s="197"/>
    </row>
    <row r="3792" spans="1:15">
      <c r="A3792" s="274"/>
      <c r="B3792" s="274"/>
      <c r="C3792" s="274"/>
      <c r="D3792" s="274"/>
      <c r="E3792" s="283"/>
      <c r="F3792" s="283"/>
      <c r="G3792" s="320"/>
      <c r="H3792" s="320"/>
      <c r="I3792" s="228"/>
      <c r="J3792" s="228"/>
      <c r="K3792" s="233"/>
      <c r="L3792" s="197"/>
      <c r="M3792" s="197"/>
      <c r="N3792" s="197"/>
      <c r="O3792" s="197"/>
    </row>
    <row r="3793" spans="1:15">
      <c r="A3793" s="274"/>
      <c r="B3793" s="274"/>
      <c r="C3793" s="274"/>
      <c r="D3793" s="274"/>
      <c r="E3793" s="283"/>
      <c r="F3793" s="283"/>
      <c r="G3793" s="320"/>
      <c r="H3793" s="320"/>
      <c r="I3793" s="228"/>
      <c r="J3793" s="228"/>
      <c r="K3793" s="233"/>
      <c r="L3793" s="197"/>
      <c r="M3793" s="197"/>
      <c r="N3793" s="197"/>
      <c r="O3793" s="197"/>
    </row>
    <row r="3794" spans="1:15">
      <c r="A3794" s="274"/>
      <c r="B3794" s="274"/>
      <c r="C3794" s="274"/>
      <c r="D3794" s="274"/>
      <c r="E3794" s="283"/>
      <c r="F3794" s="283"/>
      <c r="G3794" s="320"/>
      <c r="H3794" s="320"/>
      <c r="I3794" s="228"/>
      <c r="J3794" s="228"/>
      <c r="K3794" s="233"/>
      <c r="L3794" s="197"/>
      <c r="M3794" s="197"/>
      <c r="N3794" s="197"/>
      <c r="O3794" s="197"/>
    </row>
    <row r="3795" spans="1:15">
      <c r="A3795" s="274"/>
      <c r="B3795" s="274"/>
      <c r="C3795" s="274"/>
      <c r="D3795" s="274"/>
      <c r="E3795" s="283"/>
      <c r="F3795" s="283"/>
      <c r="G3795" s="320"/>
      <c r="H3795" s="320"/>
      <c r="I3795" s="228"/>
      <c r="J3795" s="228"/>
      <c r="K3795" s="233"/>
      <c r="L3795" s="197"/>
      <c r="M3795" s="197"/>
      <c r="N3795" s="197"/>
      <c r="O3795" s="197"/>
    </row>
    <row r="3796" spans="1:15">
      <c r="A3796" s="274"/>
      <c r="B3796" s="274"/>
      <c r="C3796" s="274"/>
      <c r="D3796" s="274"/>
      <c r="E3796" s="283"/>
      <c r="F3796" s="283"/>
      <c r="G3796" s="320"/>
      <c r="H3796" s="320"/>
      <c r="I3796" s="228"/>
      <c r="J3796" s="228"/>
      <c r="K3796" s="233"/>
      <c r="L3796" s="197"/>
      <c r="M3796" s="197"/>
      <c r="N3796" s="197"/>
      <c r="O3796" s="197"/>
    </row>
    <row r="3797" spans="1:15">
      <c r="A3797" s="274"/>
      <c r="B3797" s="274"/>
      <c r="C3797" s="274"/>
      <c r="D3797" s="274"/>
      <c r="E3797" s="283"/>
      <c r="F3797" s="283"/>
      <c r="G3797" s="320"/>
      <c r="H3797" s="320"/>
      <c r="I3797" s="228"/>
      <c r="J3797" s="228"/>
      <c r="K3797" s="233"/>
      <c r="L3797" s="197"/>
      <c r="M3797" s="197"/>
      <c r="N3797" s="197"/>
      <c r="O3797" s="197"/>
    </row>
    <row r="3798" spans="1:15">
      <c r="A3798" s="274"/>
      <c r="B3798" s="274"/>
      <c r="C3798" s="274"/>
      <c r="D3798" s="274"/>
      <c r="E3798" s="283"/>
      <c r="F3798" s="283"/>
      <c r="G3798" s="320"/>
      <c r="H3798" s="320"/>
      <c r="I3798" s="228"/>
      <c r="J3798" s="228"/>
      <c r="K3798" s="233"/>
      <c r="L3798" s="197"/>
      <c r="M3798" s="197"/>
      <c r="N3798" s="197"/>
      <c r="O3798" s="197"/>
    </row>
    <row r="3799" spans="1:15">
      <c r="A3799" s="274"/>
      <c r="B3799" s="274"/>
      <c r="C3799" s="274"/>
      <c r="D3799" s="274"/>
      <c r="E3799" s="283"/>
      <c r="F3799" s="283"/>
      <c r="G3799" s="320"/>
      <c r="H3799" s="320"/>
      <c r="I3799" s="228"/>
      <c r="J3799" s="228"/>
      <c r="K3799" s="233"/>
      <c r="L3799" s="197"/>
      <c r="M3799" s="197"/>
      <c r="N3799" s="197"/>
      <c r="O3799" s="197"/>
    </row>
    <row r="3800" spans="1:15">
      <c r="A3800" s="274"/>
      <c r="B3800" s="274"/>
      <c r="C3800" s="274"/>
      <c r="D3800" s="274"/>
      <c r="E3800" s="283"/>
      <c r="F3800" s="283"/>
      <c r="G3800" s="320"/>
      <c r="H3800" s="320"/>
      <c r="I3800" s="228"/>
      <c r="J3800" s="228"/>
      <c r="K3800" s="233"/>
      <c r="L3800" s="197"/>
      <c r="M3800" s="197"/>
      <c r="N3800" s="197"/>
      <c r="O3800" s="197"/>
    </row>
    <row r="3801" spans="1:15">
      <c r="A3801" s="274"/>
      <c r="B3801" s="274"/>
      <c r="C3801" s="274"/>
      <c r="D3801" s="274"/>
      <c r="E3801" s="283"/>
      <c r="F3801" s="283"/>
      <c r="G3801" s="320"/>
      <c r="H3801" s="320"/>
      <c r="I3801" s="228"/>
      <c r="J3801" s="228"/>
      <c r="K3801" s="233"/>
      <c r="L3801" s="197"/>
      <c r="M3801" s="197"/>
      <c r="N3801" s="197"/>
      <c r="O3801" s="197"/>
    </row>
    <row r="3802" spans="1:15">
      <c r="A3802" s="274"/>
      <c r="B3802" s="274"/>
      <c r="C3802" s="274"/>
      <c r="D3802" s="274"/>
      <c r="E3802" s="283"/>
      <c r="F3802" s="283"/>
      <c r="G3802" s="320"/>
      <c r="H3802" s="320"/>
      <c r="I3802" s="228"/>
      <c r="J3802" s="228"/>
      <c r="K3802" s="233"/>
      <c r="L3802" s="197"/>
      <c r="M3802" s="197"/>
      <c r="N3802" s="197"/>
      <c r="O3802" s="197"/>
    </row>
    <row r="3803" spans="1:15">
      <c r="A3803" s="274"/>
      <c r="B3803" s="274"/>
      <c r="C3803" s="274"/>
      <c r="D3803" s="274"/>
      <c r="E3803" s="283"/>
      <c r="F3803" s="283"/>
      <c r="G3803" s="320"/>
      <c r="H3803" s="320"/>
      <c r="I3803" s="228"/>
      <c r="J3803" s="228"/>
      <c r="K3803" s="233"/>
      <c r="L3803" s="197"/>
      <c r="M3803" s="197"/>
      <c r="N3803" s="197"/>
      <c r="O3803" s="197"/>
    </row>
    <row r="3804" spans="1:15">
      <c r="A3804" s="274"/>
      <c r="B3804" s="274"/>
      <c r="C3804" s="274"/>
      <c r="D3804" s="274"/>
      <c r="E3804" s="283"/>
      <c r="F3804" s="283"/>
      <c r="G3804" s="320"/>
      <c r="H3804" s="320"/>
      <c r="I3804" s="228"/>
      <c r="J3804" s="228"/>
      <c r="K3804" s="233"/>
      <c r="L3804" s="197"/>
      <c r="M3804" s="197"/>
      <c r="N3804" s="197"/>
      <c r="O3804" s="197"/>
    </row>
    <row r="3805" spans="1:15">
      <c r="A3805" s="274"/>
      <c r="B3805" s="274"/>
      <c r="C3805" s="274"/>
      <c r="D3805" s="274"/>
      <c r="E3805" s="283"/>
      <c r="F3805" s="283"/>
      <c r="G3805" s="320"/>
      <c r="H3805" s="320"/>
      <c r="I3805" s="228"/>
      <c r="J3805" s="228"/>
      <c r="K3805" s="233"/>
      <c r="L3805" s="197"/>
      <c r="M3805" s="197"/>
      <c r="N3805" s="197"/>
      <c r="O3805" s="197"/>
    </row>
    <row r="3806" spans="1:15">
      <c r="A3806" s="274"/>
      <c r="B3806" s="274"/>
      <c r="C3806" s="274"/>
      <c r="D3806" s="274"/>
      <c r="E3806" s="283"/>
      <c r="F3806" s="283"/>
      <c r="G3806" s="320"/>
      <c r="H3806" s="320"/>
      <c r="I3806" s="228"/>
      <c r="J3806" s="228"/>
      <c r="K3806" s="233"/>
      <c r="L3806" s="197"/>
      <c r="M3806" s="197"/>
      <c r="N3806" s="197"/>
      <c r="O3806" s="197"/>
    </row>
    <row r="3807" spans="1:15">
      <c r="A3807" s="274"/>
      <c r="B3807" s="274"/>
      <c r="C3807" s="274"/>
      <c r="D3807" s="274"/>
      <c r="E3807" s="283"/>
      <c r="F3807" s="283"/>
      <c r="G3807" s="320"/>
      <c r="H3807" s="320"/>
      <c r="I3807" s="228"/>
      <c r="J3807" s="228"/>
      <c r="K3807" s="233"/>
      <c r="L3807" s="197"/>
      <c r="M3807" s="197"/>
      <c r="N3807" s="197"/>
      <c r="O3807" s="197"/>
    </row>
    <row r="3808" spans="1:15">
      <c r="A3808" s="274"/>
      <c r="B3808" s="274"/>
      <c r="C3808" s="274"/>
      <c r="D3808" s="274"/>
      <c r="E3808" s="283"/>
      <c r="F3808" s="283"/>
      <c r="G3808" s="320"/>
      <c r="H3808" s="320"/>
      <c r="I3808" s="228"/>
      <c r="J3808" s="228"/>
      <c r="K3808" s="233"/>
      <c r="L3808" s="197"/>
      <c r="M3808" s="197"/>
      <c r="N3808" s="197"/>
      <c r="O3808" s="197"/>
    </row>
    <row r="3809" spans="1:15">
      <c r="A3809" s="274"/>
      <c r="B3809" s="274"/>
      <c r="C3809" s="274"/>
      <c r="D3809" s="274"/>
      <c r="E3809" s="283"/>
      <c r="F3809" s="283"/>
      <c r="G3809" s="320"/>
      <c r="H3809" s="320"/>
      <c r="I3809" s="228"/>
      <c r="J3809" s="228"/>
      <c r="K3809" s="233"/>
      <c r="L3809" s="197"/>
      <c r="M3809" s="197"/>
      <c r="N3809" s="197"/>
      <c r="O3809" s="197"/>
    </row>
    <row r="3810" spans="1:15">
      <c r="A3810" s="274"/>
      <c r="B3810" s="274"/>
      <c r="C3810" s="274"/>
      <c r="D3810" s="274"/>
      <c r="E3810" s="283"/>
      <c r="F3810" s="283"/>
      <c r="G3810" s="320"/>
      <c r="H3810" s="320"/>
      <c r="I3810" s="228"/>
      <c r="J3810" s="228"/>
      <c r="K3810" s="233"/>
      <c r="L3810" s="197"/>
      <c r="M3810" s="197"/>
      <c r="N3810" s="197"/>
      <c r="O3810" s="197"/>
    </row>
    <row r="3811" spans="1:15">
      <c r="A3811" s="274"/>
      <c r="B3811" s="274"/>
      <c r="C3811" s="274"/>
      <c r="D3811" s="274"/>
      <c r="E3811" s="283"/>
      <c r="F3811" s="283"/>
      <c r="G3811" s="320"/>
      <c r="H3811" s="320"/>
      <c r="I3811" s="228"/>
      <c r="J3811" s="228"/>
      <c r="K3811" s="233"/>
      <c r="L3811" s="197"/>
      <c r="M3811" s="197"/>
      <c r="N3811" s="197"/>
      <c r="O3811" s="197"/>
    </row>
    <row r="3812" spans="1:15">
      <c r="A3812" s="274"/>
      <c r="B3812" s="274"/>
      <c r="C3812" s="274"/>
      <c r="D3812" s="274"/>
      <c r="E3812" s="283"/>
      <c r="F3812" s="283"/>
      <c r="G3812" s="320"/>
      <c r="H3812" s="320"/>
      <c r="I3812" s="228"/>
      <c r="J3812" s="228"/>
      <c r="K3812" s="233"/>
      <c r="L3812" s="197"/>
      <c r="M3812" s="197"/>
      <c r="N3812" s="197"/>
      <c r="O3812" s="197"/>
    </row>
    <row r="3813" spans="1:15">
      <c r="A3813" s="274"/>
      <c r="B3813" s="274"/>
      <c r="C3813" s="274"/>
      <c r="D3813" s="274"/>
      <c r="E3813" s="283"/>
      <c r="F3813" s="283"/>
      <c r="G3813" s="320"/>
      <c r="H3813" s="320"/>
      <c r="I3813" s="228"/>
      <c r="J3813" s="228"/>
      <c r="K3813" s="233"/>
      <c r="L3813" s="197"/>
      <c r="M3813" s="197"/>
      <c r="N3813" s="197"/>
      <c r="O3813" s="197"/>
    </row>
    <row r="3814" spans="1:15">
      <c r="A3814" s="274"/>
      <c r="B3814" s="274"/>
      <c r="C3814" s="274"/>
      <c r="D3814" s="274"/>
      <c r="E3814" s="283"/>
      <c r="F3814" s="283"/>
      <c r="G3814" s="320"/>
      <c r="H3814" s="320"/>
      <c r="I3814" s="228"/>
      <c r="J3814" s="228"/>
      <c r="K3814" s="233"/>
      <c r="L3814" s="197"/>
      <c r="M3814" s="197"/>
      <c r="N3814" s="197"/>
      <c r="O3814" s="197"/>
    </row>
    <row r="3815" spans="1:15">
      <c r="A3815" s="274"/>
      <c r="B3815" s="274"/>
      <c r="C3815" s="274"/>
      <c r="D3815" s="274"/>
      <c r="E3815" s="283"/>
      <c r="F3815" s="283"/>
      <c r="G3815" s="320"/>
      <c r="H3815" s="320"/>
      <c r="I3815" s="228"/>
      <c r="J3815" s="228"/>
      <c r="K3815" s="233"/>
      <c r="L3815" s="197"/>
      <c r="M3815" s="197"/>
      <c r="N3815" s="197"/>
      <c r="O3815" s="197"/>
    </row>
    <row r="3816" spans="1:15">
      <c r="A3816" s="274"/>
      <c r="B3816" s="274"/>
      <c r="C3816" s="274"/>
      <c r="D3816" s="274"/>
      <c r="E3816" s="283"/>
      <c r="F3816" s="283"/>
      <c r="G3816" s="320"/>
      <c r="H3816" s="320"/>
      <c r="I3816" s="228"/>
      <c r="J3816" s="228"/>
      <c r="K3816" s="233"/>
      <c r="L3816" s="197"/>
      <c r="M3816" s="197"/>
      <c r="N3816" s="197"/>
      <c r="O3816" s="197"/>
    </row>
    <row r="3817" spans="1:15">
      <c r="A3817" s="274"/>
      <c r="B3817" s="274"/>
      <c r="C3817" s="274"/>
      <c r="D3817" s="274"/>
      <c r="E3817" s="283"/>
      <c r="F3817" s="283"/>
      <c r="G3817" s="320"/>
      <c r="H3817" s="320"/>
      <c r="I3817" s="228"/>
      <c r="J3817" s="228"/>
      <c r="K3817" s="233"/>
      <c r="L3817" s="197"/>
      <c r="M3817" s="197"/>
      <c r="N3817" s="197"/>
      <c r="O3817" s="197"/>
    </row>
    <row r="3818" spans="1:15">
      <c r="A3818" s="274"/>
      <c r="B3818" s="274"/>
      <c r="C3818" s="274"/>
      <c r="D3818" s="274"/>
      <c r="E3818" s="283"/>
      <c r="F3818" s="283"/>
      <c r="G3818" s="320"/>
      <c r="H3818" s="320"/>
      <c r="I3818" s="228"/>
      <c r="J3818" s="228"/>
      <c r="K3818" s="233"/>
      <c r="L3818" s="197"/>
      <c r="M3818" s="197"/>
      <c r="N3818" s="197"/>
      <c r="O3818" s="197"/>
    </row>
    <row r="3819" spans="1:15">
      <c r="A3819" s="274"/>
      <c r="B3819" s="274"/>
      <c r="C3819" s="274"/>
      <c r="D3819" s="274"/>
      <c r="E3819" s="283"/>
      <c r="F3819" s="283"/>
      <c r="G3819" s="320"/>
      <c r="H3819" s="320"/>
      <c r="I3819" s="228"/>
      <c r="J3819" s="228"/>
      <c r="K3819" s="233"/>
      <c r="L3819" s="197"/>
      <c r="M3819" s="197"/>
      <c r="N3819" s="197"/>
      <c r="O3819" s="197"/>
    </row>
    <row r="3820" spans="1:15">
      <c r="A3820" s="274"/>
      <c r="B3820" s="274"/>
      <c r="C3820" s="274"/>
      <c r="D3820" s="274"/>
      <c r="E3820" s="283"/>
      <c r="F3820" s="283"/>
      <c r="G3820" s="320"/>
      <c r="H3820" s="320"/>
      <c r="I3820" s="228"/>
      <c r="J3820" s="228"/>
      <c r="K3820" s="233"/>
      <c r="L3820" s="197"/>
      <c r="M3820" s="197"/>
      <c r="N3820" s="197"/>
      <c r="O3820" s="197"/>
    </row>
    <row r="3821" spans="1:15">
      <c r="A3821" s="274"/>
      <c r="B3821" s="274"/>
      <c r="C3821" s="274"/>
      <c r="D3821" s="274"/>
      <c r="E3821" s="283"/>
      <c r="F3821" s="283"/>
      <c r="G3821" s="320"/>
      <c r="H3821" s="320"/>
      <c r="I3821" s="228"/>
      <c r="J3821" s="228"/>
      <c r="K3821" s="233"/>
      <c r="L3821" s="197"/>
      <c r="M3821" s="197"/>
      <c r="N3821" s="197"/>
      <c r="O3821" s="197"/>
    </row>
    <row r="3822" spans="1:15">
      <c r="A3822" s="274"/>
      <c r="B3822" s="274"/>
      <c r="C3822" s="274"/>
      <c r="D3822" s="274"/>
      <c r="E3822" s="283"/>
      <c r="F3822" s="283"/>
      <c r="G3822" s="320"/>
      <c r="H3822" s="320"/>
      <c r="I3822" s="228"/>
      <c r="J3822" s="228"/>
      <c r="K3822" s="233"/>
      <c r="L3822" s="197"/>
      <c r="M3822" s="197"/>
      <c r="N3822" s="197"/>
      <c r="O3822" s="197"/>
    </row>
    <row r="3823" spans="1:15">
      <c r="A3823" s="274"/>
      <c r="B3823" s="274"/>
      <c r="C3823" s="274"/>
      <c r="D3823" s="274"/>
      <c r="E3823" s="283"/>
      <c r="F3823" s="283"/>
      <c r="G3823" s="320"/>
      <c r="H3823" s="320"/>
      <c r="I3823" s="228"/>
      <c r="J3823" s="228"/>
      <c r="K3823" s="233"/>
      <c r="L3823" s="197"/>
      <c r="M3823" s="197"/>
      <c r="N3823" s="197"/>
      <c r="O3823" s="197"/>
    </row>
    <row r="3824" spans="1:15">
      <c r="A3824" s="274"/>
      <c r="B3824" s="274"/>
      <c r="C3824" s="274"/>
      <c r="D3824" s="274"/>
      <c r="E3824" s="283"/>
      <c r="F3824" s="283"/>
      <c r="G3824" s="320"/>
      <c r="H3824" s="320"/>
      <c r="I3824" s="228"/>
      <c r="J3824" s="228"/>
      <c r="K3824" s="233"/>
      <c r="L3824" s="197"/>
      <c r="M3824" s="197"/>
      <c r="N3824" s="197"/>
      <c r="O3824" s="197"/>
    </row>
    <row r="3825" spans="1:15">
      <c r="A3825" s="274"/>
      <c r="B3825" s="274"/>
      <c r="C3825" s="274"/>
      <c r="D3825" s="274"/>
      <c r="E3825" s="283"/>
      <c r="F3825" s="283"/>
      <c r="G3825" s="320"/>
      <c r="H3825" s="320"/>
      <c r="I3825" s="228"/>
      <c r="J3825" s="228"/>
      <c r="K3825" s="233"/>
      <c r="L3825" s="197"/>
      <c r="M3825" s="197"/>
      <c r="N3825" s="197"/>
      <c r="O3825" s="197"/>
    </row>
    <row r="3826" spans="1:15">
      <c r="A3826" s="274"/>
      <c r="B3826" s="274"/>
      <c r="C3826" s="274"/>
      <c r="D3826" s="274"/>
      <c r="E3826" s="283"/>
      <c r="F3826" s="283"/>
      <c r="G3826" s="320"/>
      <c r="H3826" s="320"/>
      <c r="I3826" s="228"/>
      <c r="J3826" s="228"/>
      <c r="K3826" s="233"/>
      <c r="L3826" s="197"/>
      <c r="M3826" s="197"/>
      <c r="N3826" s="197"/>
      <c r="O3826" s="197"/>
    </row>
    <row r="3827" spans="1:15">
      <c r="A3827" s="274"/>
      <c r="B3827" s="274"/>
      <c r="C3827" s="274"/>
      <c r="D3827" s="274"/>
      <c r="E3827" s="283"/>
      <c r="F3827" s="283"/>
      <c r="G3827" s="320"/>
      <c r="H3827" s="320"/>
      <c r="I3827" s="228"/>
      <c r="J3827" s="228"/>
      <c r="K3827" s="233"/>
      <c r="L3827" s="197"/>
      <c r="M3827" s="197"/>
      <c r="N3827" s="197"/>
      <c r="O3827" s="197"/>
    </row>
    <row r="3828" spans="1:15">
      <c r="A3828" s="274"/>
      <c r="B3828" s="274"/>
      <c r="C3828" s="274"/>
      <c r="D3828" s="274"/>
      <c r="E3828" s="283"/>
      <c r="F3828" s="283"/>
      <c r="G3828" s="320"/>
      <c r="H3828" s="320"/>
      <c r="I3828" s="228"/>
      <c r="J3828" s="228"/>
      <c r="K3828" s="233"/>
      <c r="L3828" s="197"/>
      <c r="M3828" s="197"/>
      <c r="N3828" s="197"/>
      <c r="O3828" s="197"/>
    </row>
    <row r="3829" spans="1:15">
      <c r="A3829" s="274"/>
      <c r="B3829" s="274"/>
      <c r="C3829" s="274"/>
      <c r="D3829" s="274"/>
      <c r="E3829" s="283"/>
      <c r="F3829" s="283"/>
      <c r="G3829" s="320"/>
      <c r="H3829" s="320"/>
      <c r="I3829" s="228"/>
      <c r="J3829" s="228"/>
      <c r="K3829" s="233"/>
      <c r="L3829" s="197"/>
      <c r="M3829" s="197"/>
      <c r="N3829" s="197"/>
      <c r="O3829" s="197"/>
    </row>
    <row r="3830" spans="1:15">
      <c r="A3830" s="274"/>
      <c r="B3830" s="274"/>
      <c r="C3830" s="274"/>
      <c r="D3830" s="274"/>
      <c r="E3830" s="283"/>
      <c r="F3830" s="283"/>
      <c r="G3830" s="320"/>
      <c r="H3830" s="320"/>
      <c r="I3830" s="228"/>
      <c r="J3830" s="228"/>
      <c r="K3830" s="233"/>
      <c r="L3830" s="197"/>
      <c r="M3830" s="197"/>
      <c r="N3830" s="197"/>
      <c r="O3830" s="197"/>
    </row>
    <row r="3831" spans="1:15">
      <c r="A3831" s="274"/>
      <c r="B3831" s="274"/>
      <c r="C3831" s="274"/>
      <c r="D3831" s="274"/>
      <c r="E3831" s="283"/>
      <c r="F3831" s="283"/>
      <c r="G3831" s="320"/>
      <c r="H3831" s="320"/>
      <c r="I3831" s="228"/>
      <c r="J3831" s="228"/>
      <c r="K3831" s="233"/>
      <c r="L3831" s="197"/>
      <c r="M3831" s="197"/>
      <c r="N3831" s="197"/>
      <c r="O3831" s="197"/>
    </row>
    <row r="3832" spans="1:15">
      <c r="A3832" s="274"/>
      <c r="B3832" s="274"/>
      <c r="C3832" s="274"/>
      <c r="D3832" s="274"/>
      <c r="E3832" s="283"/>
      <c r="F3832" s="283"/>
      <c r="G3832" s="320"/>
      <c r="H3832" s="320"/>
      <c r="I3832" s="228"/>
      <c r="J3832" s="228"/>
      <c r="K3832" s="233"/>
      <c r="L3832" s="197"/>
      <c r="M3832" s="197"/>
      <c r="N3832" s="197"/>
      <c r="O3832" s="197"/>
    </row>
    <row r="3833" spans="1:15">
      <c r="A3833" s="274"/>
      <c r="B3833" s="274"/>
      <c r="C3833" s="274"/>
      <c r="D3833" s="274"/>
      <c r="E3833" s="283"/>
      <c r="F3833" s="283"/>
      <c r="G3833" s="320"/>
      <c r="H3833" s="320"/>
      <c r="I3833" s="228"/>
      <c r="J3833" s="228"/>
      <c r="K3833" s="233"/>
      <c r="L3833" s="197"/>
      <c r="M3833" s="197"/>
      <c r="N3833" s="197"/>
      <c r="O3833" s="197"/>
    </row>
    <row r="3834" spans="1:15">
      <c r="A3834" s="274"/>
      <c r="B3834" s="274"/>
      <c r="C3834" s="274"/>
      <c r="D3834" s="274"/>
      <c r="E3834" s="283"/>
      <c r="F3834" s="283"/>
      <c r="G3834" s="320"/>
      <c r="H3834" s="320"/>
      <c r="I3834" s="228"/>
      <c r="J3834" s="228"/>
      <c r="K3834" s="233"/>
      <c r="L3834" s="197"/>
      <c r="M3834" s="197"/>
      <c r="N3834" s="197"/>
      <c r="O3834" s="197"/>
    </row>
    <row r="3835" spans="1:15">
      <c r="A3835" s="274"/>
      <c r="B3835" s="274"/>
      <c r="C3835" s="274"/>
      <c r="D3835" s="274"/>
      <c r="E3835" s="283"/>
      <c r="F3835" s="283"/>
      <c r="G3835" s="320"/>
      <c r="H3835" s="320"/>
      <c r="I3835" s="228"/>
      <c r="J3835" s="228"/>
      <c r="K3835" s="233"/>
      <c r="L3835" s="197"/>
      <c r="M3835" s="197"/>
      <c r="N3835" s="197"/>
      <c r="O3835" s="197"/>
    </row>
    <row r="3836" spans="1:15">
      <c r="A3836" s="274"/>
      <c r="B3836" s="274"/>
      <c r="C3836" s="274"/>
      <c r="D3836" s="274"/>
      <c r="E3836" s="283"/>
      <c r="F3836" s="283"/>
      <c r="G3836" s="320"/>
      <c r="H3836" s="320"/>
      <c r="I3836" s="228"/>
      <c r="J3836" s="228"/>
      <c r="K3836" s="233"/>
      <c r="L3836" s="197"/>
      <c r="M3836" s="197"/>
      <c r="N3836" s="197"/>
      <c r="O3836" s="197"/>
    </row>
    <row r="3837" spans="1:15">
      <c r="A3837" s="274"/>
      <c r="B3837" s="274"/>
      <c r="C3837" s="274"/>
      <c r="D3837" s="274"/>
      <c r="E3837" s="283"/>
      <c r="F3837" s="283"/>
      <c r="G3837" s="320"/>
      <c r="H3837" s="320"/>
      <c r="I3837" s="228"/>
      <c r="J3837" s="228"/>
      <c r="K3837" s="233"/>
      <c r="L3837" s="197"/>
      <c r="M3837" s="197"/>
      <c r="N3837" s="197"/>
      <c r="O3837" s="197"/>
    </row>
    <row r="3838" spans="1:15">
      <c r="A3838" s="274"/>
      <c r="B3838" s="274"/>
      <c r="C3838" s="274"/>
      <c r="D3838" s="274"/>
      <c r="E3838" s="283"/>
      <c r="F3838" s="283"/>
      <c r="G3838" s="320"/>
      <c r="H3838" s="320"/>
      <c r="I3838" s="228"/>
      <c r="J3838" s="228"/>
      <c r="K3838" s="233"/>
      <c r="L3838" s="197"/>
      <c r="M3838" s="197"/>
      <c r="N3838" s="197"/>
      <c r="O3838" s="197"/>
    </row>
    <row r="3839" spans="1:15">
      <c r="A3839" s="274"/>
      <c r="B3839" s="274"/>
      <c r="C3839" s="274"/>
      <c r="D3839" s="274"/>
      <c r="E3839" s="283"/>
      <c r="F3839" s="283"/>
      <c r="G3839" s="320"/>
      <c r="H3839" s="320"/>
      <c r="I3839" s="228"/>
      <c r="J3839" s="228"/>
      <c r="K3839" s="274"/>
      <c r="L3839" s="197"/>
      <c r="M3839" s="197"/>
      <c r="N3839" s="197"/>
      <c r="O3839" s="197"/>
    </row>
    <row r="3840" spans="1:15">
      <c r="A3840" s="274"/>
      <c r="B3840" s="274"/>
      <c r="C3840" s="274"/>
      <c r="D3840" s="274"/>
      <c r="E3840" s="283"/>
      <c r="F3840" s="283"/>
      <c r="G3840" s="320"/>
      <c r="H3840" s="320"/>
      <c r="I3840" s="228"/>
      <c r="J3840" s="228"/>
      <c r="K3840" s="274"/>
      <c r="L3840" s="197"/>
      <c r="M3840" s="197"/>
      <c r="N3840" s="197"/>
      <c r="O3840" s="197"/>
    </row>
    <row r="3841" spans="1:15">
      <c r="A3841" s="274"/>
      <c r="B3841" s="274"/>
      <c r="C3841" s="274"/>
      <c r="D3841" s="274"/>
      <c r="E3841" s="283"/>
      <c r="F3841" s="283"/>
      <c r="G3841" s="320"/>
      <c r="H3841" s="320"/>
      <c r="I3841" s="228"/>
      <c r="J3841" s="228"/>
      <c r="K3841" s="274"/>
      <c r="L3841" s="197"/>
      <c r="M3841" s="197"/>
      <c r="N3841" s="197"/>
      <c r="O3841" s="197"/>
    </row>
    <row r="3842" spans="1:15">
      <c r="A3842" s="274"/>
      <c r="B3842" s="274"/>
      <c r="C3842" s="274"/>
      <c r="D3842" s="274"/>
      <c r="E3842" s="283"/>
      <c r="F3842" s="283"/>
      <c r="G3842" s="320"/>
      <c r="H3842" s="320"/>
      <c r="I3842" s="228"/>
      <c r="J3842" s="228"/>
      <c r="K3842" s="274"/>
      <c r="L3842" s="197"/>
      <c r="M3842" s="197"/>
      <c r="N3842" s="197"/>
      <c r="O3842" s="197"/>
    </row>
    <row r="3843" spans="1:15">
      <c r="A3843" s="274"/>
      <c r="B3843" s="274"/>
      <c r="C3843" s="274"/>
      <c r="D3843" s="274"/>
      <c r="E3843" s="283"/>
      <c r="F3843" s="283"/>
      <c r="G3843" s="320"/>
      <c r="H3843" s="320"/>
      <c r="I3843" s="228"/>
      <c r="J3843" s="228"/>
      <c r="K3843" s="233"/>
      <c r="L3843" s="197"/>
      <c r="M3843" s="197"/>
      <c r="N3843" s="197"/>
      <c r="O3843" s="197"/>
    </row>
    <row r="3844" spans="1:15">
      <c r="A3844" s="274"/>
      <c r="B3844" s="274"/>
      <c r="C3844" s="274"/>
      <c r="D3844" s="274"/>
      <c r="E3844" s="283"/>
      <c r="F3844" s="283"/>
      <c r="G3844" s="320"/>
      <c r="H3844" s="320"/>
      <c r="I3844" s="228"/>
      <c r="J3844" s="228"/>
      <c r="K3844" s="233"/>
      <c r="L3844" s="197"/>
      <c r="M3844" s="197"/>
      <c r="N3844" s="197"/>
      <c r="O3844" s="197"/>
    </row>
    <row r="3845" spans="1:15">
      <c r="A3845" s="274"/>
      <c r="B3845" s="274"/>
      <c r="C3845" s="274"/>
      <c r="D3845" s="274"/>
      <c r="E3845" s="283"/>
      <c r="F3845" s="283"/>
      <c r="G3845" s="320"/>
      <c r="H3845" s="320"/>
      <c r="I3845" s="228"/>
      <c r="J3845" s="228"/>
      <c r="K3845" s="233"/>
      <c r="L3845" s="197"/>
      <c r="M3845" s="197"/>
      <c r="N3845" s="197"/>
      <c r="O3845" s="197"/>
    </row>
    <row r="3846" spans="1:15">
      <c r="A3846" s="274"/>
      <c r="B3846" s="274"/>
      <c r="C3846" s="274"/>
      <c r="D3846" s="274"/>
      <c r="E3846" s="283"/>
      <c r="F3846" s="283"/>
      <c r="G3846" s="320"/>
      <c r="H3846" s="320"/>
      <c r="I3846" s="228"/>
      <c r="J3846" s="228"/>
      <c r="K3846" s="233"/>
      <c r="L3846" s="197"/>
      <c r="M3846" s="197"/>
      <c r="N3846" s="197"/>
      <c r="O3846" s="197"/>
    </row>
    <row r="3847" spans="1:15">
      <c r="A3847" s="274"/>
      <c r="B3847" s="274"/>
      <c r="C3847" s="274"/>
      <c r="D3847" s="274"/>
      <c r="E3847" s="283"/>
      <c r="F3847" s="283"/>
      <c r="G3847" s="320"/>
      <c r="H3847" s="320"/>
      <c r="I3847" s="228"/>
      <c r="J3847" s="228"/>
      <c r="K3847" s="233"/>
      <c r="L3847" s="197"/>
      <c r="M3847" s="197"/>
      <c r="N3847" s="197"/>
      <c r="O3847" s="197"/>
    </row>
    <row r="3848" spans="1:15">
      <c r="A3848" s="274"/>
      <c r="B3848" s="274"/>
      <c r="C3848" s="274"/>
      <c r="D3848" s="274"/>
      <c r="E3848" s="283"/>
      <c r="F3848" s="283"/>
      <c r="G3848" s="320"/>
      <c r="H3848" s="320"/>
      <c r="I3848" s="228"/>
      <c r="J3848" s="228"/>
      <c r="K3848" s="233"/>
      <c r="L3848" s="197"/>
      <c r="M3848" s="197"/>
      <c r="N3848" s="197"/>
      <c r="O3848" s="197"/>
    </row>
    <row r="3849" spans="1:15">
      <c r="A3849" s="274"/>
      <c r="B3849" s="274"/>
      <c r="C3849" s="274"/>
      <c r="D3849" s="274"/>
      <c r="E3849" s="283"/>
      <c r="F3849" s="283"/>
      <c r="G3849" s="320"/>
      <c r="H3849" s="320"/>
      <c r="I3849" s="228"/>
      <c r="J3849" s="228"/>
      <c r="K3849" s="233"/>
      <c r="L3849" s="197"/>
      <c r="M3849" s="197"/>
      <c r="N3849" s="197"/>
      <c r="O3849" s="197"/>
    </row>
    <row r="3850" spans="1:15">
      <c r="A3850" s="274"/>
      <c r="B3850" s="274"/>
      <c r="C3850" s="274"/>
      <c r="D3850" s="274"/>
      <c r="E3850" s="283"/>
      <c r="F3850" s="283"/>
      <c r="G3850" s="320"/>
      <c r="H3850" s="320"/>
      <c r="I3850" s="228"/>
      <c r="J3850" s="228"/>
      <c r="K3850" s="233"/>
      <c r="L3850" s="197"/>
      <c r="M3850" s="197"/>
      <c r="N3850" s="197"/>
      <c r="O3850" s="197"/>
    </row>
    <row r="3851" spans="1:15">
      <c r="A3851" s="274"/>
      <c r="B3851" s="274"/>
      <c r="C3851" s="274"/>
      <c r="D3851" s="274"/>
      <c r="E3851" s="283"/>
      <c r="F3851" s="283"/>
      <c r="G3851" s="320"/>
      <c r="H3851" s="320"/>
      <c r="I3851" s="228"/>
      <c r="J3851" s="228"/>
      <c r="K3851" s="233"/>
      <c r="L3851" s="197"/>
      <c r="M3851" s="197"/>
      <c r="N3851" s="197"/>
      <c r="O3851" s="197"/>
    </row>
    <row r="3852" spans="1:15">
      <c r="A3852" s="274"/>
      <c r="B3852" s="274"/>
      <c r="C3852" s="274"/>
      <c r="D3852" s="274"/>
      <c r="E3852" s="283"/>
      <c r="F3852" s="283"/>
      <c r="G3852" s="320"/>
      <c r="H3852" s="320"/>
      <c r="I3852" s="228"/>
      <c r="J3852" s="228"/>
      <c r="K3852" s="233"/>
      <c r="L3852" s="197"/>
      <c r="M3852" s="197"/>
      <c r="N3852" s="197"/>
      <c r="O3852" s="197"/>
    </row>
    <row r="3853" spans="1:15">
      <c r="A3853" s="274"/>
      <c r="B3853" s="274"/>
      <c r="C3853" s="274"/>
      <c r="D3853" s="274"/>
      <c r="E3853" s="283"/>
      <c r="F3853" s="283"/>
      <c r="G3853" s="320"/>
      <c r="H3853" s="320"/>
      <c r="I3853" s="228"/>
      <c r="J3853" s="228"/>
      <c r="K3853" s="233"/>
      <c r="L3853" s="197"/>
      <c r="M3853" s="197"/>
      <c r="N3853" s="197"/>
      <c r="O3853" s="197"/>
    </row>
    <row r="3854" spans="1:15">
      <c r="A3854" s="274"/>
      <c r="B3854" s="274"/>
      <c r="C3854" s="274"/>
      <c r="D3854" s="274"/>
      <c r="E3854" s="283"/>
      <c r="F3854" s="283"/>
      <c r="G3854" s="320"/>
      <c r="H3854" s="320"/>
      <c r="I3854" s="228"/>
      <c r="J3854" s="228"/>
      <c r="K3854" s="233"/>
      <c r="L3854" s="197"/>
      <c r="M3854" s="197"/>
      <c r="N3854" s="197"/>
      <c r="O3854" s="197"/>
    </row>
    <row r="3855" spans="1:15">
      <c r="A3855" s="274"/>
      <c r="B3855" s="274"/>
      <c r="C3855" s="274"/>
      <c r="D3855" s="274"/>
      <c r="E3855" s="283"/>
      <c r="F3855" s="283"/>
      <c r="G3855" s="320"/>
      <c r="H3855" s="320"/>
      <c r="I3855" s="228"/>
      <c r="J3855" s="228"/>
      <c r="K3855" s="233"/>
      <c r="L3855" s="197"/>
      <c r="M3855" s="197"/>
      <c r="N3855" s="197"/>
      <c r="O3855" s="197"/>
    </row>
    <row r="3856" spans="1:15">
      <c r="A3856" s="274"/>
      <c r="B3856" s="274"/>
      <c r="C3856" s="274"/>
      <c r="D3856" s="274"/>
      <c r="E3856" s="283"/>
      <c r="F3856" s="283"/>
      <c r="G3856" s="320"/>
      <c r="H3856" s="320"/>
      <c r="I3856" s="228"/>
      <c r="J3856" s="228"/>
      <c r="K3856" s="233"/>
      <c r="L3856" s="197"/>
      <c r="M3856" s="197"/>
      <c r="N3856" s="197"/>
      <c r="O3856" s="197"/>
    </row>
    <row r="3857" spans="1:15">
      <c r="A3857" s="274"/>
      <c r="B3857" s="274"/>
      <c r="C3857" s="274"/>
      <c r="D3857" s="274"/>
      <c r="E3857" s="283"/>
      <c r="F3857" s="283"/>
      <c r="G3857" s="320"/>
      <c r="H3857" s="320"/>
      <c r="I3857" s="228"/>
      <c r="J3857" s="228"/>
      <c r="K3857" s="233"/>
      <c r="L3857" s="197"/>
      <c r="M3857" s="197"/>
      <c r="N3857" s="197"/>
      <c r="O3857" s="197"/>
    </row>
    <row r="3858" spans="1:15">
      <c r="A3858" s="274"/>
      <c r="B3858" s="274"/>
      <c r="C3858" s="274"/>
      <c r="D3858" s="274"/>
      <c r="E3858" s="283"/>
      <c r="F3858" s="283"/>
      <c r="G3858" s="320"/>
      <c r="H3858" s="320"/>
      <c r="I3858" s="228"/>
      <c r="J3858" s="228"/>
      <c r="K3858" s="233"/>
      <c r="L3858" s="197"/>
      <c r="M3858" s="197"/>
      <c r="N3858" s="197"/>
      <c r="O3858" s="197"/>
    </row>
    <row r="3859" spans="1:15">
      <c r="A3859" s="274"/>
      <c r="B3859" s="274"/>
      <c r="C3859" s="274"/>
      <c r="D3859" s="274"/>
      <c r="E3859" s="283"/>
      <c r="F3859" s="283"/>
      <c r="G3859" s="320"/>
      <c r="H3859" s="320"/>
      <c r="I3859" s="228"/>
      <c r="J3859" s="228"/>
      <c r="K3859" s="233"/>
      <c r="L3859" s="197"/>
      <c r="M3859" s="197"/>
      <c r="N3859" s="197"/>
      <c r="O3859" s="197"/>
    </row>
    <row r="3860" spans="1:15">
      <c r="A3860" s="274"/>
      <c r="B3860" s="274"/>
      <c r="C3860" s="274"/>
      <c r="D3860" s="274"/>
      <c r="E3860" s="283"/>
      <c r="F3860" s="283"/>
      <c r="G3860" s="320"/>
      <c r="H3860" s="320"/>
      <c r="I3860" s="228"/>
      <c r="J3860" s="228"/>
      <c r="K3860" s="233"/>
      <c r="L3860" s="197"/>
      <c r="M3860" s="197"/>
      <c r="N3860" s="197"/>
      <c r="O3860" s="197"/>
    </row>
    <row r="3861" spans="1:15">
      <c r="A3861" s="274"/>
      <c r="B3861" s="274"/>
      <c r="C3861" s="274"/>
      <c r="D3861" s="274"/>
      <c r="E3861" s="283"/>
      <c r="F3861" s="283"/>
      <c r="G3861" s="320"/>
      <c r="H3861" s="320"/>
      <c r="I3861" s="228"/>
      <c r="J3861" s="228"/>
      <c r="K3861" s="233"/>
      <c r="L3861" s="197"/>
      <c r="M3861" s="197"/>
      <c r="N3861" s="197"/>
      <c r="O3861" s="197"/>
    </row>
    <row r="3862" spans="1:15">
      <c r="A3862" s="274"/>
      <c r="B3862" s="274"/>
      <c r="C3862" s="274"/>
      <c r="D3862" s="274"/>
      <c r="E3862" s="283"/>
      <c r="F3862" s="283"/>
      <c r="G3862" s="320"/>
      <c r="H3862" s="320"/>
      <c r="I3862" s="228"/>
      <c r="J3862" s="228"/>
      <c r="K3862" s="233"/>
      <c r="L3862" s="197"/>
      <c r="M3862" s="197"/>
      <c r="N3862" s="197"/>
      <c r="O3862" s="197"/>
    </row>
    <row r="3863" spans="1:15">
      <c r="A3863" s="274"/>
      <c r="B3863" s="274"/>
      <c r="C3863" s="274"/>
      <c r="D3863" s="274"/>
      <c r="E3863" s="283"/>
      <c r="F3863" s="283"/>
      <c r="G3863" s="320"/>
      <c r="H3863" s="320"/>
      <c r="I3863" s="228"/>
      <c r="J3863" s="228"/>
      <c r="K3863" s="233"/>
      <c r="L3863" s="197"/>
      <c r="M3863" s="197"/>
      <c r="N3863" s="197"/>
      <c r="O3863" s="197"/>
    </row>
    <row r="3864" spans="1:15">
      <c r="A3864" s="274"/>
      <c r="B3864" s="274"/>
      <c r="C3864" s="274"/>
      <c r="D3864" s="274"/>
      <c r="E3864" s="283"/>
      <c r="F3864" s="283"/>
      <c r="G3864" s="320"/>
      <c r="H3864" s="320"/>
      <c r="I3864" s="228"/>
      <c r="J3864" s="228"/>
      <c r="K3864" s="233"/>
      <c r="L3864" s="197"/>
      <c r="M3864" s="197"/>
      <c r="N3864" s="197"/>
      <c r="O3864" s="197"/>
    </row>
    <row r="3865" spans="1:15">
      <c r="A3865" s="274"/>
      <c r="B3865" s="274"/>
      <c r="C3865" s="274"/>
      <c r="D3865" s="274"/>
      <c r="E3865" s="283"/>
      <c r="F3865" s="283"/>
      <c r="G3865" s="320"/>
      <c r="H3865" s="320"/>
      <c r="I3865" s="228"/>
      <c r="J3865" s="228"/>
      <c r="K3865" s="233"/>
      <c r="L3865" s="197"/>
      <c r="M3865" s="197"/>
      <c r="N3865" s="197"/>
      <c r="O3865" s="197"/>
    </row>
    <row r="3866" spans="1:15">
      <c r="A3866" s="274"/>
      <c r="B3866" s="274"/>
      <c r="C3866" s="274"/>
      <c r="D3866" s="274"/>
      <c r="E3866" s="283"/>
      <c r="F3866" s="283"/>
      <c r="G3866" s="320"/>
      <c r="H3866" s="320"/>
      <c r="I3866" s="228"/>
      <c r="J3866" s="228"/>
      <c r="K3866" s="233"/>
      <c r="L3866" s="197"/>
      <c r="M3866" s="197"/>
      <c r="N3866" s="197"/>
      <c r="O3866" s="197"/>
    </row>
    <row r="3867" spans="1:15">
      <c r="A3867" s="274"/>
      <c r="B3867" s="274"/>
      <c r="C3867" s="274"/>
      <c r="D3867" s="274"/>
      <c r="E3867" s="283"/>
      <c r="F3867" s="283"/>
      <c r="G3867" s="320"/>
      <c r="H3867" s="320"/>
      <c r="I3867" s="228"/>
      <c r="J3867" s="228"/>
      <c r="K3867" s="233"/>
      <c r="L3867" s="197"/>
      <c r="M3867" s="197"/>
      <c r="N3867" s="197"/>
      <c r="O3867" s="197"/>
    </row>
    <row r="3868" spans="1:15">
      <c r="A3868" s="274"/>
      <c r="B3868" s="274"/>
      <c r="C3868" s="274"/>
      <c r="D3868" s="274"/>
      <c r="E3868" s="283"/>
      <c r="F3868" s="283"/>
      <c r="G3868" s="320"/>
      <c r="H3868" s="320"/>
      <c r="I3868" s="228"/>
      <c r="J3868" s="228"/>
      <c r="K3868" s="233"/>
      <c r="L3868" s="197"/>
      <c r="M3868" s="197"/>
      <c r="N3868" s="197"/>
      <c r="O3868" s="197"/>
    </row>
    <row r="3869" spans="1:15">
      <c r="A3869" s="274"/>
      <c r="B3869" s="274"/>
      <c r="C3869" s="274"/>
      <c r="D3869" s="274"/>
      <c r="E3869" s="283"/>
      <c r="F3869" s="283"/>
      <c r="G3869" s="320"/>
      <c r="H3869" s="320"/>
      <c r="I3869" s="228"/>
      <c r="J3869" s="228"/>
      <c r="K3869" s="233"/>
      <c r="L3869" s="197"/>
      <c r="M3869" s="197"/>
      <c r="N3869" s="197"/>
      <c r="O3869" s="197"/>
    </row>
    <row r="3870" spans="1:15">
      <c r="A3870" s="274"/>
      <c r="B3870" s="274"/>
      <c r="C3870" s="274"/>
      <c r="D3870" s="274"/>
      <c r="E3870" s="283"/>
      <c r="F3870" s="283"/>
      <c r="G3870" s="320"/>
      <c r="H3870" s="320"/>
      <c r="I3870" s="228"/>
      <c r="J3870" s="228"/>
      <c r="K3870" s="233"/>
      <c r="L3870" s="197"/>
      <c r="M3870" s="197"/>
      <c r="N3870" s="197"/>
      <c r="O3870" s="197"/>
    </row>
    <row r="3871" spans="1:15">
      <c r="A3871" s="274"/>
      <c r="B3871" s="274"/>
      <c r="C3871" s="274"/>
      <c r="D3871" s="274"/>
      <c r="E3871" s="283"/>
      <c r="F3871" s="283"/>
      <c r="G3871" s="320"/>
      <c r="H3871" s="320"/>
      <c r="I3871" s="228"/>
      <c r="J3871" s="228"/>
      <c r="K3871" s="233"/>
      <c r="L3871" s="197"/>
      <c r="M3871" s="197"/>
      <c r="N3871" s="197"/>
      <c r="O3871" s="197"/>
    </row>
    <row r="3872" spans="1:15">
      <c r="A3872" s="274"/>
      <c r="B3872" s="274"/>
      <c r="C3872" s="274"/>
      <c r="D3872" s="274"/>
      <c r="E3872" s="283"/>
      <c r="F3872" s="283"/>
      <c r="G3872" s="320"/>
      <c r="H3872" s="320"/>
      <c r="I3872" s="228"/>
      <c r="J3872" s="228"/>
      <c r="K3872" s="233"/>
      <c r="L3872" s="197"/>
      <c r="M3872" s="197"/>
      <c r="N3872" s="197"/>
      <c r="O3872" s="197"/>
    </row>
    <row r="3873" spans="1:15">
      <c r="A3873" s="274"/>
      <c r="B3873" s="274"/>
      <c r="C3873" s="274"/>
      <c r="D3873" s="274"/>
      <c r="E3873" s="283"/>
      <c r="F3873" s="283"/>
      <c r="G3873" s="320"/>
      <c r="H3873" s="320"/>
      <c r="I3873" s="228"/>
      <c r="J3873" s="228"/>
      <c r="K3873" s="233"/>
      <c r="L3873" s="197"/>
      <c r="M3873" s="197"/>
      <c r="N3873" s="197"/>
      <c r="O3873" s="197"/>
    </row>
    <row r="3874" spans="1:15">
      <c r="A3874" s="274"/>
      <c r="B3874" s="274"/>
      <c r="C3874" s="274"/>
      <c r="D3874" s="274"/>
      <c r="E3874" s="283"/>
      <c r="F3874" s="283"/>
      <c r="G3874" s="320"/>
      <c r="H3874" s="320"/>
      <c r="I3874" s="228"/>
      <c r="J3874" s="228"/>
      <c r="K3874" s="233"/>
      <c r="L3874" s="197"/>
      <c r="M3874" s="197"/>
      <c r="N3874" s="197"/>
      <c r="O3874" s="197"/>
    </row>
    <row r="3875" spans="1:15">
      <c r="A3875" s="274"/>
      <c r="B3875" s="274"/>
      <c r="C3875" s="274"/>
      <c r="D3875" s="274"/>
      <c r="E3875" s="283"/>
      <c r="F3875" s="283"/>
      <c r="G3875" s="320"/>
      <c r="H3875" s="320"/>
      <c r="I3875" s="228"/>
      <c r="J3875" s="228"/>
      <c r="K3875" s="233"/>
      <c r="L3875" s="197"/>
      <c r="M3875" s="197"/>
      <c r="N3875" s="197"/>
      <c r="O3875" s="197"/>
    </row>
    <row r="3876" spans="1:15">
      <c r="A3876" s="274"/>
      <c r="B3876" s="274"/>
      <c r="C3876" s="274"/>
      <c r="D3876" s="274"/>
      <c r="E3876" s="283"/>
      <c r="F3876" s="283"/>
      <c r="G3876" s="320"/>
      <c r="H3876" s="320"/>
      <c r="I3876" s="228"/>
      <c r="J3876" s="228"/>
      <c r="K3876" s="233"/>
      <c r="L3876" s="197"/>
      <c r="M3876" s="197"/>
      <c r="N3876" s="197"/>
      <c r="O3876" s="197"/>
    </row>
    <row r="3877" spans="1:15">
      <c r="A3877" s="274"/>
      <c r="B3877" s="274"/>
      <c r="C3877" s="274"/>
      <c r="D3877" s="274"/>
      <c r="E3877" s="283"/>
      <c r="F3877" s="283"/>
      <c r="G3877" s="320"/>
      <c r="H3877" s="320"/>
      <c r="I3877" s="228"/>
      <c r="J3877" s="228"/>
      <c r="K3877" s="233"/>
      <c r="L3877" s="197"/>
      <c r="M3877" s="197"/>
      <c r="N3877" s="197"/>
      <c r="O3877" s="197"/>
    </row>
    <row r="3878" spans="1:15">
      <c r="A3878" s="274"/>
      <c r="B3878" s="274"/>
      <c r="C3878" s="274"/>
      <c r="D3878" s="274"/>
      <c r="E3878" s="283"/>
      <c r="F3878" s="283"/>
      <c r="G3878" s="320"/>
      <c r="H3878" s="320"/>
      <c r="I3878" s="228"/>
      <c r="J3878" s="228"/>
      <c r="K3878" s="233"/>
      <c r="L3878" s="197"/>
      <c r="M3878" s="197"/>
      <c r="N3878" s="197"/>
      <c r="O3878" s="197"/>
    </row>
    <row r="3879" spans="1:15">
      <c r="A3879" s="274"/>
      <c r="B3879" s="274"/>
      <c r="C3879" s="274"/>
      <c r="D3879" s="274"/>
      <c r="E3879" s="283"/>
      <c r="F3879" s="283"/>
      <c r="G3879" s="320"/>
      <c r="H3879" s="320"/>
      <c r="I3879" s="228"/>
      <c r="J3879" s="228"/>
      <c r="K3879" s="233"/>
      <c r="L3879" s="197"/>
      <c r="M3879" s="197"/>
      <c r="N3879" s="197"/>
      <c r="O3879" s="197"/>
    </row>
    <row r="3880" spans="1:15">
      <c r="A3880" s="274"/>
      <c r="B3880" s="274"/>
      <c r="C3880" s="274"/>
      <c r="D3880" s="274"/>
      <c r="E3880" s="283"/>
      <c r="F3880" s="283"/>
      <c r="G3880" s="320"/>
      <c r="H3880" s="320"/>
      <c r="I3880" s="228"/>
      <c r="J3880" s="228"/>
      <c r="K3880" s="233"/>
      <c r="L3880" s="197"/>
      <c r="M3880" s="197"/>
      <c r="N3880" s="197"/>
      <c r="O3880" s="197"/>
    </row>
    <row r="3881" spans="1:15">
      <c r="A3881" s="274"/>
      <c r="B3881" s="274"/>
      <c r="C3881" s="274"/>
      <c r="D3881" s="274"/>
      <c r="E3881" s="283"/>
      <c r="F3881" s="283"/>
      <c r="G3881" s="320"/>
      <c r="H3881" s="320"/>
      <c r="I3881" s="228"/>
      <c r="J3881" s="228"/>
      <c r="K3881" s="233"/>
      <c r="L3881" s="197"/>
      <c r="M3881" s="197"/>
      <c r="N3881" s="197"/>
      <c r="O3881" s="197"/>
    </row>
    <row r="3882" spans="1:15">
      <c r="A3882" s="274"/>
      <c r="B3882" s="274"/>
      <c r="C3882" s="274"/>
      <c r="D3882" s="274"/>
      <c r="E3882" s="283"/>
      <c r="F3882" s="283"/>
      <c r="G3882" s="320"/>
      <c r="H3882" s="320"/>
      <c r="I3882" s="228"/>
      <c r="J3882" s="228"/>
      <c r="K3882" s="233"/>
      <c r="L3882" s="197"/>
      <c r="M3882" s="197"/>
      <c r="N3882" s="197"/>
      <c r="O3882" s="197"/>
    </row>
    <row r="3883" spans="1:15">
      <c r="A3883" s="274"/>
      <c r="B3883" s="274"/>
      <c r="C3883" s="274"/>
      <c r="D3883" s="274"/>
      <c r="E3883" s="283"/>
      <c r="F3883" s="283"/>
      <c r="G3883" s="320"/>
      <c r="H3883" s="320"/>
      <c r="I3883" s="228"/>
      <c r="J3883" s="228"/>
      <c r="K3883" s="233"/>
      <c r="L3883" s="197"/>
      <c r="M3883" s="197"/>
      <c r="N3883" s="197"/>
      <c r="O3883" s="197"/>
    </row>
    <row r="3884" spans="1:15">
      <c r="A3884" s="274"/>
      <c r="B3884" s="274"/>
      <c r="C3884" s="274"/>
      <c r="D3884" s="274"/>
      <c r="E3884" s="283"/>
      <c r="F3884" s="283"/>
      <c r="G3884" s="320"/>
      <c r="H3884" s="320"/>
      <c r="I3884" s="228"/>
      <c r="J3884" s="228"/>
      <c r="K3884" s="233"/>
      <c r="L3884" s="197"/>
      <c r="M3884" s="197"/>
      <c r="N3884" s="197"/>
      <c r="O3884" s="197"/>
    </row>
    <row r="3885" spans="1:15">
      <c r="A3885" s="274"/>
      <c r="B3885" s="274"/>
      <c r="C3885" s="274"/>
      <c r="D3885" s="274"/>
      <c r="E3885" s="283"/>
      <c r="F3885" s="283"/>
      <c r="G3885" s="320"/>
      <c r="H3885" s="320"/>
      <c r="I3885" s="228"/>
      <c r="J3885" s="228"/>
      <c r="K3885" s="233"/>
      <c r="L3885" s="197"/>
      <c r="M3885" s="197"/>
      <c r="N3885" s="197"/>
      <c r="O3885" s="197"/>
    </row>
    <row r="3886" spans="1:15">
      <c r="A3886" s="274"/>
      <c r="B3886" s="274"/>
      <c r="C3886" s="274"/>
      <c r="D3886" s="274"/>
      <c r="E3886" s="283"/>
      <c r="F3886" s="283"/>
      <c r="G3886" s="320"/>
      <c r="H3886" s="320"/>
      <c r="I3886" s="228"/>
      <c r="J3886" s="228"/>
      <c r="K3886" s="233"/>
      <c r="L3886" s="197"/>
      <c r="M3886" s="197"/>
      <c r="N3886" s="197"/>
      <c r="O3886" s="197"/>
    </row>
    <row r="3887" spans="1:15">
      <c r="A3887" s="274"/>
      <c r="B3887" s="274"/>
      <c r="C3887" s="274"/>
      <c r="D3887" s="274"/>
      <c r="E3887" s="283"/>
      <c r="F3887" s="283"/>
      <c r="G3887" s="320"/>
      <c r="H3887" s="320"/>
      <c r="I3887" s="228"/>
      <c r="J3887" s="228"/>
      <c r="K3887" s="233"/>
      <c r="L3887" s="197"/>
      <c r="M3887" s="197"/>
      <c r="N3887" s="197"/>
      <c r="O3887" s="197"/>
    </row>
    <row r="3888" spans="1:15">
      <c r="A3888" s="274"/>
      <c r="B3888" s="274"/>
      <c r="C3888" s="274"/>
      <c r="D3888" s="274"/>
      <c r="E3888" s="283"/>
      <c r="F3888" s="283"/>
      <c r="G3888" s="320"/>
      <c r="H3888" s="320"/>
      <c r="I3888" s="228"/>
      <c r="J3888" s="228"/>
      <c r="K3888" s="233"/>
      <c r="L3888" s="197"/>
      <c r="M3888" s="197"/>
      <c r="N3888" s="197"/>
      <c r="O3888" s="197"/>
    </row>
    <row r="3889" spans="1:15">
      <c r="A3889" s="274"/>
      <c r="B3889" s="274"/>
      <c r="C3889" s="274"/>
      <c r="D3889" s="274"/>
      <c r="E3889" s="283"/>
      <c r="F3889" s="283"/>
      <c r="G3889" s="320"/>
      <c r="H3889" s="320"/>
      <c r="I3889" s="228"/>
      <c r="J3889" s="228"/>
      <c r="K3889" s="233"/>
      <c r="L3889" s="197"/>
      <c r="M3889" s="197"/>
      <c r="N3889" s="197"/>
      <c r="O3889" s="197"/>
    </row>
    <row r="3890" spans="1:15">
      <c r="A3890" s="274"/>
      <c r="B3890" s="274"/>
      <c r="C3890" s="274"/>
      <c r="D3890" s="274"/>
      <c r="E3890" s="283"/>
      <c r="F3890" s="283"/>
      <c r="G3890" s="320"/>
      <c r="H3890" s="320"/>
      <c r="I3890" s="228"/>
      <c r="J3890" s="228"/>
      <c r="K3890" s="233"/>
      <c r="L3890" s="197"/>
      <c r="M3890" s="197"/>
      <c r="N3890" s="197"/>
      <c r="O3890" s="197"/>
    </row>
    <row r="3891" spans="1:15">
      <c r="A3891" s="274"/>
      <c r="B3891" s="274"/>
      <c r="C3891" s="274"/>
      <c r="D3891" s="274"/>
      <c r="E3891" s="283"/>
      <c r="F3891" s="283"/>
      <c r="G3891" s="320"/>
      <c r="H3891" s="320"/>
      <c r="I3891" s="228"/>
      <c r="J3891" s="228"/>
      <c r="K3891" s="233"/>
      <c r="L3891" s="197"/>
      <c r="M3891" s="197"/>
      <c r="N3891" s="197"/>
      <c r="O3891" s="197"/>
    </row>
    <row r="3892" spans="1:15">
      <c r="A3892" s="274"/>
      <c r="B3892" s="274"/>
      <c r="C3892" s="274"/>
      <c r="D3892" s="274"/>
      <c r="E3892" s="283"/>
      <c r="F3892" s="283"/>
      <c r="G3892" s="320"/>
      <c r="H3892" s="320"/>
      <c r="I3892" s="228"/>
      <c r="J3892" s="228"/>
      <c r="K3892" s="233"/>
      <c r="L3892" s="197"/>
      <c r="M3892" s="197"/>
      <c r="N3892" s="197"/>
      <c r="O3892" s="197"/>
    </row>
    <row r="3893" spans="1:15">
      <c r="A3893" s="274"/>
      <c r="B3893" s="274"/>
      <c r="C3893" s="274"/>
      <c r="D3893" s="274"/>
      <c r="E3893" s="283"/>
      <c r="F3893" s="283"/>
      <c r="G3893" s="320"/>
      <c r="H3893" s="320"/>
      <c r="I3893" s="228"/>
      <c r="J3893" s="228"/>
      <c r="K3893" s="233"/>
      <c r="L3893" s="197"/>
      <c r="M3893" s="197"/>
      <c r="N3893" s="197"/>
      <c r="O3893" s="197"/>
    </row>
    <row r="3894" spans="1:15">
      <c r="A3894" s="274"/>
      <c r="B3894" s="274"/>
      <c r="C3894" s="274"/>
      <c r="D3894" s="274"/>
      <c r="E3894" s="283"/>
      <c r="F3894" s="283"/>
      <c r="G3894" s="320"/>
      <c r="H3894" s="320"/>
      <c r="I3894" s="228"/>
      <c r="J3894" s="228"/>
      <c r="K3894" s="233"/>
      <c r="L3894" s="197"/>
      <c r="M3894" s="197"/>
      <c r="N3894" s="197"/>
      <c r="O3894" s="197"/>
    </row>
    <row r="3895" spans="1:15">
      <c r="A3895" s="274"/>
      <c r="B3895" s="274"/>
      <c r="C3895" s="274"/>
      <c r="D3895" s="274"/>
      <c r="E3895" s="283"/>
      <c r="F3895" s="283"/>
      <c r="G3895" s="320"/>
      <c r="H3895" s="320"/>
      <c r="I3895" s="228"/>
      <c r="J3895" s="228"/>
      <c r="K3895" s="233"/>
      <c r="L3895" s="197"/>
      <c r="M3895" s="197"/>
      <c r="N3895" s="197"/>
      <c r="O3895" s="197"/>
    </row>
    <row r="3896" spans="1:15">
      <c r="A3896" s="274"/>
      <c r="B3896" s="274"/>
      <c r="C3896" s="274"/>
      <c r="D3896" s="274"/>
      <c r="E3896" s="283"/>
      <c r="F3896" s="283"/>
      <c r="G3896" s="320"/>
      <c r="H3896" s="320"/>
      <c r="I3896" s="228"/>
      <c r="J3896" s="228"/>
      <c r="K3896" s="233"/>
      <c r="L3896" s="197"/>
      <c r="M3896" s="197"/>
      <c r="N3896" s="197"/>
      <c r="O3896" s="197"/>
    </row>
    <row r="3897" spans="1:15">
      <c r="A3897" s="274"/>
      <c r="B3897" s="274"/>
      <c r="C3897" s="274"/>
      <c r="D3897" s="274"/>
      <c r="E3897" s="283"/>
      <c r="F3897" s="283"/>
      <c r="G3897" s="320"/>
      <c r="H3897" s="320"/>
      <c r="I3897" s="228"/>
      <c r="J3897" s="228"/>
      <c r="K3897" s="233"/>
      <c r="L3897" s="197"/>
      <c r="M3897" s="197"/>
      <c r="N3897" s="197"/>
      <c r="O3897" s="197"/>
    </row>
    <row r="3898" spans="1:15">
      <c r="A3898" s="274"/>
      <c r="B3898" s="274"/>
      <c r="C3898" s="274"/>
      <c r="D3898" s="274"/>
      <c r="E3898" s="283"/>
      <c r="F3898" s="283"/>
      <c r="G3898" s="320"/>
      <c r="H3898" s="320"/>
      <c r="I3898" s="228"/>
      <c r="J3898" s="228"/>
      <c r="K3898" s="233"/>
      <c r="L3898" s="197"/>
      <c r="M3898" s="197"/>
      <c r="N3898" s="197"/>
      <c r="O3898" s="197"/>
    </row>
    <row r="3899" spans="1:15">
      <c r="A3899" s="274"/>
      <c r="B3899" s="274"/>
      <c r="C3899" s="274"/>
      <c r="D3899" s="274"/>
      <c r="E3899" s="283"/>
      <c r="F3899" s="283"/>
      <c r="G3899" s="320"/>
      <c r="H3899" s="320"/>
      <c r="I3899" s="228"/>
      <c r="J3899" s="228"/>
      <c r="K3899" s="233"/>
      <c r="L3899" s="197"/>
      <c r="M3899" s="197"/>
      <c r="N3899" s="197"/>
      <c r="O3899" s="197"/>
    </row>
    <row r="3900" spans="1:15">
      <c r="A3900" s="274"/>
      <c r="B3900" s="274"/>
      <c r="C3900" s="274"/>
      <c r="D3900" s="274"/>
      <c r="E3900" s="283"/>
      <c r="F3900" s="283"/>
      <c r="G3900" s="320"/>
      <c r="H3900" s="320"/>
      <c r="I3900" s="228"/>
      <c r="J3900" s="228"/>
      <c r="K3900" s="233"/>
      <c r="L3900" s="197"/>
      <c r="M3900" s="197"/>
      <c r="N3900" s="197"/>
      <c r="O3900" s="197"/>
    </row>
    <row r="3901" spans="1:15">
      <c r="A3901" s="274"/>
      <c r="B3901" s="274"/>
      <c r="C3901" s="274"/>
      <c r="D3901" s="274"/>
      <c r="E3901" s="283"/>
      <c r="F3901" s="283"/>
      <c r="G3901" s="320"/>
      <c r="H3901" s="320"/>
      <c r="I3901" s="228"/>
      <c r="J3901" s="228"/>
      <c r="K3901" s="233"/>
      <c r="L3901" s="197"/>
      <c r="M3901" s="197"/>
      <c r="N3901" s="197"/>
      <c r="O3901" s="197"/>
    </row>
    <row r="3902" spans="1:15">
      <c r="A3902" s="274"/>
      <c r="B3902" s="274"/>
      <c r="C3902" s="274"/>
      <c r="D3902" s="274"/>
      <c r="E3902" s="283"/>
      <c r="F3902" s="283"/>
      <c r="G3902" s="320"/>
      <c r="H3902" s="320"/>
      <c r="I3902" s="228"/>
      <c r="J3902" s="228"/>
      <c r="K3902" s="233"/>
      <c r="L3902" s="197"/>
      <c r="M3902" s="197"/>
      <c r="N3902" s="197"/>
      <c r="O3902" s="197"/>
    </row>
    <row r="3903" spans="1:15">
      <c r="A3903" s="274"/>
      <c r="B3903" s="274"/>
      <c r="C3903" s="274"/>
      <c r="D3903" s="274"/>
      <c r="E3903" s="283"/>
      <c r="F3903" s="283"/>
      <c r="G3903" s="320"/>
      <c r="H3903" s="320"/>
      <c r="I3903" s="228"/>
      <c r="J3903" s="228"/>
      <c r="K3903" s="233"/>
      <c r="L3903" s="197"/>
      <c r="M3903" s="197"/>
      <c r="N3903" s="197"/>
      <c r="O3903" s="197"/>
    </row>
    <row r="3904" spans="1:15">
      <c r="A3904" s="274"/>
      <c r="B3904" s="274"/>
      <c r="C3904" s="274"/>
      <c r="D3904" s="274"/>
      <c r="E3904" s="283"/>
      <c r="F3904" s="283"/>
      <c r="G3904" s="320"/>
      <c r="H3904" s="320"/>
      <c r="I3904" s="228"/>
      <c r="J3904" s="228"/>
      <c r="K3904" s="233"/>
      <c r="L3904" s="197"/>
      <c r="M3904" s="197"/>
      <c r="N3904" s="197"/>
      <c r="O3904" s="197"/>
    </row>
    <row r="3905" spans="1:15">
      <c r="A3905" s="274"/>
      <c r="B3905" s="274"/>
      <c r="C3905" s="274"/>
      <c r="D3905" s="274"/>
      <c r="E3905" s="283"/>
      <c r="F3905" s="283"/>
      <c r="G3905" s="320"/>
      <c r="H3905" s="320"/>
      <c r="I3905" s="228"/>
      <c r="J3905" s="228"/>
      <c r="K3905" s="233"/>
      <c r="L3905" s="197"/>
      <c r="M3905" s="197"/>
      <c r="N3905" s="197"/>
      <c r="O3905" s="197"/>
    </row>
    <row r="3906" spans="1:15">
      <c r="A3906" s="274"/>
      <c r="B3906" s="274"/>
      <c r="C3906" s="274"/>
      <c r="D3906" s="274"/>
      <c r="E3906" s="283"/>
      <c r="F3906" s="283"/>
      <c r="G3906" s="320"/>
      <c r="H3906" s="320"/>
      <c r="I3906" s="228"/>
      <c r="J3906" s="228"/>
      <c r="K3906" s="233"/>
      <c r="L3906" s="197"/>
      <c r="M3906" s="197"/>
      <c r="N3906" s="197"/>
      <c r="O3906" s="197"/>
    </row>
    <row r="3907" spans="1:15">
      <c r="A3907" s="274"/>
      <c r="B3907" s="274"/>
      <c r="C3907" s="274"/>
      <c r="D3907" s="274"/>
      <c r="E3907" s="283"/>
      <c r="F3907" s="283"/>
      <c r="G3907" s="320"/>
      <c r="H3907" s="320"/>
      <c r="I3907" s="228"/>
      <c r="J3907" s="228"/>
      <c r="K3907" s="233"/>
      <c r="L3907" s="197"/>
      <c r="M3907" s="197"/>
      <c r="N3907" s="197"/>
      <c r="O3907" s="197"/>
    </row>
    <row r="3908" spans="1:15">
      <c r="A3908" s="274"/>
      <c r="B3908" s="274"/>
      <c r="C3908" s="274"/>
      <c r="D3908" s="274"/>
      <c r="E3908" s="283"/>
      <c r="F3908" s="283"/>
      <c r="G3908" s="320"/>
      <c r="H3908" s="320"/>
      <c r="I3908" s="228"/>
      <c r="J3908" s="228"/>
      <c r="K3908" s="233"/>
      <c r="L3908" s="197"/>
      <c r="M3908" s="197"/>
      <c r="N3908" s="197"/>
      <c r="O3908" s="197"/>
    </row>
    <row r="3909" spans="1:15">
      <c r="A3909" s="274"/>
      <c r="B3909" s="274"/>
      <c r="C3909" s="274"/>
      <c r="D3909" s="274"/>
      <c r="E3909" s="283"/>
      <c r="F3909" s="283"/>
      <c r="G3909" s="320"/>
      <c r="H3909" s="320"/>
      <c r="I3909" s="228"/>
      <c r="J3909" s="228"/>
      <c r="K3909" s="233"/>
      <c r="L3909" s="197"/>
      <c r="M3909" s="197"/>
      <c r="N3909" s="197"/>
      <c r="O3909" s="197"/>
    </row>
    <row r="3910" spans="1:15">
      <c r="A3910" s="274"/>
      <c r="B3910" s="274"/>
      <c r="C3910" s="274"/>
      <c r="D3910" s="274"/>
      <c r="E3910" s="283"/>
      <c r="F3910" s="283"/>
      <c r="G3910" s="320"/>
      <c r="H3910" s="320"/>
      <c r="I3910" s="228"/>
      <c r="J3910" s="228"/>
      <c r="K3910" s="233"/>
      <c r="L3910" s="197"/>
      <c r="M3910" s="197"/>
      <c r="N3910" s="197"/>
      <c r="O3910" s="197"/>
    </row>
    <row r="3911" spans="1:15">
      <c r="A3911" s="274"/>
      <c r="B3911" s="274"/>
      <c r="C3911" s="274"/>
      <c r="D3911" s="274"/>
      <c r="E3911" s="283"/>
      <c r="F3911" s="283"/>
      <c r="G3911" s="320"/>
      <c r="H3911" s="320"/>
      <c r="I3911" s="228"/>
      <c r="J3911" s="228"/>
      <c r="K3911" s="233"/>
      <c r="L3911" s="197"/>
      <c r="M3911" s="197"/>
      <c r="N3911" s="197"/>
      <c r="O3911" s="197"/>
    </row>
    <row r="3912" spans="1:15">
      <c r="A3912" s="274"/>
      <c r="B3912" s="274"/>
      <c r="C3912" s="274"/>
      <c r="D3912" s="274"/>
      <c r="E3912" s="283"/>
      <c r="F3912" s="283"/>
      <c r="G3912" s="320"/>
      <c r="H3912" s="320"/>
      <c r="I3912" s="228"/>
      <c r="J3912" s="228"/>
      <c r="K3912" s="233"/>
      <c r="L3912" s="197"/>
      <c r="M3912" s="197"/>
      <c r="N3912" s="197"/>
      <c r="O3912" s="197"/>
    </row>
    <row r="3913" spans="1:15">
      <c r="A3913" s="274"/>
      <c r="B3913" s="274"/>
      <c r="C3913" s="274"/>
      <c r="D3913" s="274"/>
      <c r="E3913" s="283"/>
      <c r="F3913" s="283"/>
      <c r="G3913" s="320"/>
      <c r="H3913" s="320"/>
      <c r="I3913" s="228"/>
      <c r="J3913" s="228"/>
      <c r="K3913" s="233"/>
      <c r="L3913" s="197"/>
      <c r="M3913" s="197"/>
      <c r="N3913" s="197"/>
      <c r="O3913" s="197"/>
    </row>
    <row r="3914" spans="1:15">
      <c r="A3914" s="274"/>
      <c r="B3914" s="189"/>
      <c r="C3914" s="332"/>
      <c r="D3914" s="332"/>
      <c r="E3914" s="223"/>
      <c r="F3914" s="282"/>
      <c r="G3914" s="266"/>
      <c r="H3914" s="266"/>
      <c r="I3914" s="228"/>
      <c r="J3914" s="228"/>
      <c r="K3914" s="233"/>
      <c r="L3914" s="197"/>
      <c r="M3914" s="197"/>
      <c r="N3914" s="197"/>
      <c r="O3914" s="197"/>
    </row>
    <row r="3915" spans="1:15">
      <c r="A3915" s="274"/>
      <c r="B3915" s="189"/>
      <c r="C3915" s="332"/>
      <c r="D3915" s="332"/>
      <c r="E3915" s="223"/>
      <c r="F3915" s="282"/>
      <c r="G3915" s="266"/>
      <c r="H3915" s="266"/>
      <c r="I3915" s="228"/>
      <c r="J3915" s="228"/>
      <c r="K3915" s="233"/>
      <c r="L3915" s="197"/>
      <c r="M3915" s="197"/>
      <c r="N3915" s="197"/>
      <c r="O3915" s="197"/>
    </row>
    <row r="3916" spans="1:15">
      <c r="A3916" s="274"/>
      <c r="B3916" s="189"/>
      <c r="C3916" s="332"/>
      <c r="D3916" s="332"/>
      <c r="E3916" s="223"/>
      <c r="F3916" s="282"/>
      <c r="G3916" s="266"/>
      <c r="H3916" s="266"/>
      <c r="I3916" s="228"/>
      <c r="J3916" s="228"/>
      <c r="K3916" s="233"/>
      <c r="L3916" s="197"/>
      <c r="M3916" s="197"/>
      <c r="N3916" s="197"/>
      <c r="O3916" s="197"/>
    </row>
    <row r="3917" spans="1:15">
      <c r="A3917" s="274"/>
      <c r="B3917" s="189"/>
      <c r="C3917" s="332"/>
      <c r="D3917" s="332"/>
      <c r="E3917" s="223"/>
      <c r="F3917" s="282"/>
      <c r="G3917" s="266"/>
      <c r="H3917" s="266"/>
      <c r="I3917" s="228"/>
      <c r="J3917" s="228"/>
      <c r="K3917" s="233"/>
      <c r="L3917" s="197"/>
      <c r="M3917" s="197"/>
      <c r="N3917" s="197"/>
      <c r="O3917" s="197"/>
    </row>
    <row r="3918" spans="1:15">
      <c r="A3918" s="274"/>
      <c r="B3918" s="189"/>
      <c r="C3918" s="332"/>
      <c r="D3918" s="332"/>
      <c r="E3918" s="223"/>
      <c r="F3918" s="282"/>
      <c r="G3918" s="266"/>
      <c r="H3918" s="266"/>
      <c r="I3918" s="228"/>
      <c r="J3918" s="228"/>
      <c r="K3918" s="233"/>
      <c r="L3918" s="197"/>
      <c r="M3918" s="197"/>
      <c r="N3918" s="197"/>
      <c r="O3918" s="197"/>
    </row>
    <row r="3919" spans="1:15">
      <c r="A3919" s="274"/>
      <c r="B3919" s="189"/>
      <c r="C3919" s="332"/>
      <c r="D3919" s="332"/>
      <c r="E3919" s="223"/>
      <c r="F3919" s="282"/>
      <c r="G3919" s="266"/>
      <c r="H3919" s="266"/>
      <c r="I3919" s="228"/>
      <c r="J3919" s="228"/>
      <c r="K3919" s="233"/>
      <c r="L3919" s="197"/>
      <c r="M3919" s="197"/>
      <c r="N3919" s="197"/>
      <c r="O3919" s="197"/>
    </row>
    <row r="3920" spans="1:15">
      <c r="A3920" s="274"/>
      <c r="B3920" s="189"/>
      <c r="C3920" s="332"/>
      <c r="D3920" s="332"/>
      <c r="E3920" s="223"/>
      <c r="F3920" s="282"/>
      <c r="G3920" s="266"/>
      <c r="H3920" s="266"/>
      <c r="I3920" s="228"/>
      <c r="J3920" s="228"/>
      <c r="K3920" s="233"/>
      <c r="L3920" s="197"/>
      <c r="M3920" s="197"/>
      <c r="N3920" s="197"/>
      <c r="O3920" s="197"/>
    </row>
    <row r="3921" spans="1:15">
      <c r="A3921" s="274"/>
      <c r="B3921" s="189"/>
      <c r="C3921" s="332"/>
      <c r="D3921" s="332"/>
      <c r="E3921" s="223"/>
      <c r="F3921" s="282"/>
      <c r="G3921" s="266"/>
      <c r="H3921" s="266"/>
      <c r="I3921" s="228"/>
      <c r="J3921" s="228"/>
      <c r="K3921" s="233"/>
      <c r="L3921" s="197"/>
      <c r="M3921" s="197"/>
      <c r="N3921" s="197"/>
      <c r="O3921" s="197"/>
    </row>
    <row r="3922" spans="1:15">
      <c r="A3922" s="274"/>
      <c r="B3922" s="189"/>
      <c r="C3922" s="332"/>
      <c r="D3922" s="332"/>
      <c r="E3922" s="223"/>
      <c r="F3922" s="282"/>
      <c r="G3922" s="266"/>
      <c r="H3922" s="266"/>
      <c r="I3922" s="228"/>
      <c r="J3922" s="228"/>
      <c r="K3922" s="233"/>
      <c r="L3922" s="197"/>
      <c r="M3922" s="197"/>
      <c r="N3922" s="197"/>
      <c r="O3922" s="197"/>
    </row>
    <row r="3923" spans="1:15">
      <c r="A3923" s="274"/>
      <c r="B3923" s="189"/>
      <c r="C3923" s="332"/>
      <c r="D3923" s="332"/>
      <c r="E3923" s="223"/>
      <c r="F3923" s="282"/>
      <c r="G3923" s="266"/>
      <c r="H3923" s="266"/>
      <c r="I3923" s="228"/>
      <c r="J3923" s="228"/>
      <c r="K3923" s="233"/>
      <c r="L3923" s="197"/>
      <c r="M3923" s="197"/>
      <c r="N3923" s="197"/>
      <c r="O3923" s="197"/>
    </row>
    <row r="3924" spans="1:15">
      <c r="A3924" s="274"/>
      <c r="B3924" s="189"/>
      <c r="C3924" s="332"/>
      <c r="D3924" s="332"/>
      <c r="E3924" s="223"/>
      <c r="F3924" s="282"/>
      <c r="G3924" s="266"/>
      <c r="H3924" s="266"/>
      <c r="I3924" s="228"/>
      <c r="J3924" s="228"/>
      <c r="K3924" s="233"/>
      <c r="L3924" s="197"/>
      <c r="M3924" s="197"/>
      <c r="N3924" s="197"/>
      <c r="O3924" s="197"/>
    </row>
    <row r="3925" spans="1:15">
      <c r="A3925" s="274"/>
      <c r="B3925" s="189"/>
      <c r="C3925" s="332"/>
      <c r="D3925" s="332"/>
      <c r="E3925" s="223"/>
      <c r="F3925" s="282"/>
      <c r="G3925" s="266"/>
      <c r="H3925" s="266"/>
      <c r="I3925" s="228"/>
      <c r="J3925" s="228"/>
      <c r="K3925" s="233"/>
      <c r="L3925" s="197"/>
      <c r="M3925" s="197"/>
      <c r="N3925" s="197"/>
      <c r="O3925" s="197"/>
    </row>
    <row r="3926" spans="1:15">
      <c r="A3926" s="274"/>
      <c r="B3926" s="274"/>
      <c r="C3926" s="274"/>
      <c r="D3926" s="274"/>
      <c r="E3926" s="283"/>
      <c r="F3926" s="283"/>
      <c r="G3926" s="320"/>
      <c r="H3926" s="320"/>
      <c r="I3926" s="228"/>
      <c r="J3926" s="228"/>
      <c r="K3926" s="233"/>
      <c r="L3926" s="197"/>
      <c r="M3926" s="197"/>
      <c r="N3926" s="197"/>
      <c r="O3926" s="197"/>
    </row>
    <row r="3927" spans="1:15">
      <c r="A3927" s="274"/>
      <c r="B3927" s="274"/>
      <c r="C3927" s="274"/>
      <c r="D3927" s="274"/>
      <c r="E3927" s="283"/>
      <c r="F3927" s="283"/>
      <c r="G3927" s="320"/>
      <c r="H3927" s="320"/>
      <c r="I3927" s="228"/>
      <c r="J3927" s="228"/>
      <c r="K3927" s="233"/>
      <c r="L3927" s="197"/>
      <c r="M3927" s="197"/>
      <c r="N3927" s="197"/>
      <c r="O3927" s="197"/>
    </row>
    <row r="3928" spans="1:15">
      <c r="A3928" s="274"/>
      <c r="B3928" s="274"/>
      <c r="C3928" s="274"/>
      <c r="D3928" s="274"/>
      <c r="E3928" s="283"/>
      <c r="F3928" s="283"/>
      <c r="G3928" s="320"/>
      <c r="H3928" s="320"/>
      <c r="I3928" s="228"/>
      <c r="J3928" s="228"/>
      <c r="K3928" s="233"/>
      <c r="L3928" s="197"/>
      <c r="M3928" s="197"/>
      <c r="N3928" s="197"/>
      <c r="O3928" s="197"/>
    </row>
    <row r="3929" spans="1:15">
      <c r="A3929" s="274"/>
      <c r="B3929" s="274"/>
      <c r="C3929" s="274"/>
      <c r="D3929" s="274"/>
      <c r="E3929" s="283"/>
      <c r="F3929" s="283"/>
      <c r="G3929" s="320"/>
      <c r="H3929" s="320"/>
      <c r="I3929" s="228"/>
      <c r="J3929" s="228"/>
      <c r="K3929" s="233"/>
      <c r="L3929" s="197"/>
      <c r="M3929" s="197"/>
      <c r="N3929" s="197"/>
      <c r="O3929" s="197"/>
    </row>
    <row r="3930" spans="1:15">
      <c r="A3930" s="274"/>
      <c r="B3930" s="274"/>
      <c r="C3930" s="274"/>
      <c r="D3930" s="274"/>
      <c r="E3930" s="283"/>
      <c r="F3930" s="283"/>
      <c r="G3930" s="320"/>
      <c r="H3930" s="320"/>
      <c r="I3930" s="228"/>
      <c r="J3930" s="228"/>
      <c r="K3930" s="233"/>
      <c r="L3930" s="197"/>
      <c r="M3930" s="197"/>
      <c r="N3930" s="197"/>
      <c r="O3930" s="197"/>
    </row>
    <row r="3931" spans="1:15">
      <c r="A3931" s="274"/>
      <c r="B3931" s="274"/>
      <c r="C3931" s="274"/>
      <c r="D3931" s="274"/>
      <c r="E3931" s="283"/>
      <c r="F3931" s="283"/>
      <c r="G3931" s="320"/>
      <c r="H3931" s="320"/>
      <c r="I3931" s="228"/>
      <c r="J3931" s="228"/>
      <c r="K3931" s="233"/>
      <c r="L3931" s="197"/>
      <c r="M3931" s="197"/>
      <c r="N3931" s="197"/>
      <c r="O3931" s="197"/>
    </row>
    <row r="3932" spans="1:15">
      <c r="A3932" s="274"/>
      <c r="B3932" s="274"/>
      <c r="C3932" s="274"/>
      <c r="D3932" s="274"/>
      <c r="E3932" s="283"/>
      <c r="F3932" s="283"/>
      <c r="G3932" s="320"/>
      <c r="H3932" s="320"/>
      <c r="I3932" s="228"/>
      <c r="J3932" s="228"/>
      <c r="K3932" s="233"/>
      <c r="L3932" s="197"/>
      <c r="M3932" s="197"/>
      <c r="N3932" s="197"/>
      <c r="O3932" s="197"/>
    </row>
    <row r="3933" spans="1:15">
      <c r="A3933" s="274"/>
      <c r="B3933" s="274"/>
      <c r="C3933" s="274"/>
      <c r="D3933" s="274"/>
      <c r="E3933" s="283"/>
      <c r="F3933" s="283"/>
      <c r="G3933" s="320"/>
      <c r="H3933" s="320"/>
      <c r="I3933" s="228"/>
      <c r="J3933" s="228"/>
      <c r="K3933" s="233"/>
      <c r="L3933" s="197"/>
      <c r="M3933" s="197"/>
      <c r="N3933" s="197"/>
      <c r="O3933" s="197"/>
    </row>
    <row r="3934" spans="1:15">
      <c r="A3934" s="274"/>
      <c r="B3934" s="274"/>
      <c r="C3934" s="274"/>
      <c r="D3934" s="274"/>
      <c r="E3934" s="283"/>
      <c r="F3934" s="283"/>
      <c r="G3934" s="320"/>
      <c r="H3934" s="320"/>
      <c r="I3934" s="228"/>
      <c r="J3934" s="228"/>
      <c r="K3934" s="233"/>
      <c r="L3934" s="197"/>
      <c r="M3934" s="197"/>
      <c r="N3934" s="197"/>
      <c r="O3934" s="197"/>
    </row>
    <row r="3935" spans="1:15">
      <c r="A3935" s="274"/>
      <c r="B3935" s="274"/>
      <c r="C3935" s="274"/>
      <c r="D3935" s="274"/>
      <c r="E3935" s="283"/>
      <c r="F3935" s="283"/>
      <c r="G3935" s="320"/>
      <c r="H3935" s="320"/>
      <c r="I3935" s="228"/>
      <c r="J3935" s="228"/>
      <c r="K3935" s="233"/>
      <c r="L3935" s="197"/>
      <c r="M3935" s="197"/>
      <c r="N3935" s="197"/>
      <c r="O3935" s="197"/>
    </row>
    <row r="3936" spans="1:15">
      <c r="A3936" s="274"/>
      <c r="B3936" s="274"/>
      <c r="C3936" s="274"/>
      <c r="D3936" s="274"/>
      <c r="E3936" s="283"/>
      <c r="F3936" s="283"/>
      <c r="G3936" s="320"/>
      <c r="H3936" s="320"/>
      <c r="I3936" s="228"/>
      <c r="J3936" s="228"/>
      <c r="K3936" s="233"/>
      <c r="L3936" s="197"/>
      <c r="M3936" s="197"/>
      <c r="N3936" s="197"/>
      <c r="O3936" s="197"/>
    </row>
    <row r="3937" spans="1:15">
      <c r="A3937" s="274"/>
      <c r="B3937" s="274"/>
      <c r="C3937" s="274"/>
      <c r="D3937" s="274"/>
      <c r="E3937" s="283"/>
      <c r="F3937" s="283"/>
      <c r="G3937" s="320"/>
      <c r="H3937" s="320"/>
      <c r="I3937" s="228"/>
      <c r="J3937" s="228"/>
      <c r="K3937" s="233"/>
      <c r="L3937" s="197"/>
      <c r="M3937" s="197"/>
      <c r="N3937" s="197"/>
      <c r="O3937" s="197"/>
    </row>
    <row r="3938" spans="1:15">
      <c r="A3938" s="274"/>
      <c r="B3938" s="274"/>
      <c r="C3938" s="274"/>
      <c r="D3938" s="274"/>
      <c r="E3938" s="283"/>
      <c r="F3938" s="283"/>
      <c r="G3938" s="320"/>
      <c r="H3938" s="320"/>
      <c r="I3938" s="228"/>
      <c r="J3938" s="228"/>
      <c r="K3938" s="233"/>
      <c r="L3938" s="197"/>
      <c r="M3938" s="197"/>
      <c r="N3938" s="197"/>
      <c r="O3938" s="197"/>
    </row>
    <row r="3939" spans="1:15">
      <c r="A3939" s="274"/>
      <c r="B3939" s="274"/>
      <c r="C3939" s="274"/>
      <c r="D3939" s="274"/>
      <c r="E3939" s="283"/>
      <c r="F3939" s="283"/>
      <c r="G3939" s="320"/>
      <c r="H3939" s="320"/>
      <c r="I3939" s="228"/>
      <c r="J3939" s="228"/>
      <c r="K3939" s="233"/>
      <c r="L3939" s="197"/>
      <c r="M3939" s="197"/>
      <c r="N3939" s="197"/>
      <c r="O3939" s="197"/>
    </row>
    <row r="3940" spans="1:15">
      <c r="A3940" s="274"/>
      <c r="B3940" s="274"/>
      <c r="C3940" s="274"/>
      <c r="D3940" s="274"/>
      <c r="E3940" s="283"/>
      <c r="F3940" s="283"/>
      <c r="G3940" s="320"/>
      <c r="H3940" s="320"/>
      <c r="I3940" s="228"/>
      <c r="J3940" s="228"/>
      <c r="K3940" s="233"/>
      <c r="L3940" s="197"/>
      <c r="M3940" s="197"/>
      <c r="N3940" s="197"/>
      <c r="O3940" s="197"/>
    </row>
    <row r="3941" spans="1:15">
      <c r="A3941" s="274"/>
      <c r="B3941" s="274"/>
      <c r="C3941" s="274"/>
      <c r="D3941" s="274"/>
      <c r="E3941" s="283"/>
      <c r="F3941" s="283"/>
      <c r="G3941" s="320"/>
      <c r="H3941" s="320"/>
      <c r="I3941" s="228"/>
      <c r="J3941" s="228"/>
      <c r="K3941" s="233"/>
      <c r="L3941" s="197"/>
      <c r="M3941" s="197"/>
      <c r="N3941" s="197"/>
      <c r="O3941" s="197"/>
    </row>
    <row r="3942" spans="1:15">
      <c r="A3942" s="274"/>
      <c r="B3942" s="274"/>
      <c r="C3942" s="274"/>
      <c r="D3942" s="274"/>
      <c r="E3942" s="283"/>
      <c r="F3942" s="283"/>
      <c r="G3942" s="320"/>
      <c r="H3942" s="320"/>
      <c r="I3942" s="228"/>
      <c r="J3942" s="228"/>
      <c r="K3942" s="233"/>
      <c r="L3942" s="197"/>
      <c r="M3942" s="197"/>
      <c r="N3942" s="197"/>
      <c r="O3942" s="197"/>
    </row>
    <row r="3943" spans="1:15">
      <c r="A3943" s="274"/>
      <c r="B3943" s="274"/>
      <c r="C3943" s="274"/>
      <c r="D3943" s="274"/>
      <c r="E3943" s="283"/>
      <c r="F3943" s="283"/>
      <c r="G3943" s="320"/>
      <c r="H3943" s="320"/>
      <c r="I3943" s="228"/>
      <c r="J3943" s="228"/>
      <c r="K3943" s="233"/>
      <c r="L3943" s="197"/>
      <c r="M3943" s="197"/>
      <c r="N3943" s="197"/>
      <c r="O3943" s="197"/>
    </row>
    <row r="3944" spans="1:15">
      <c r="A3944" s="274"/>
      <c r="B3944" s="274"/>
      <c r="C3944" s="274"/>
      <c r="D3944" s="274"/>
      <c r="E3944" s="283"/>
      <c r="F3944" s="283"/>
      <c r="G3944" s="320"/>
      <c r="H3944" s="320"/>
      <c r="I3944" s="228"/>
      <c r="J3944" s="228"/>
      <c r="K3944" s="233"/>
      <c r="L3944" s="197"/>
      <c r="M3944" s="197"/>
      <c r="N3944" s="197"/>
      <c r="O3944" s="197"/>
    </row>
    <row r="3945" spans="1:15">
      <c r="A3945" s="274"/>
      <c r="B3945" s="274"/>
      <c r="C3945" s="274"/>
      <c r="D3945" s="274"/>
      <c r="E3945" s="283"/>
      <c r="F3945" s="283"/>
      <c r="G3945" s="320"/>
      <c r="H3945" s="320"/>
      <c r="I3945" s="228"/>
      <c r="J3945" s="228"/>
      <c r="K3945" s="233"/>
      <c r="L3945" s="197"/>
      <c r="M3945" s="197"/>
      <c r="N3945" s="197"/>
      <c r="O3945" s="197"/>
    </row>
    <row r="3946" spans="1:15">
      <c r="A3946" s="274"/>
      <c r="B3946" s="274"/>
      <c r="C3946" s="274"/>
      <c r="D3946" s="274"/>
      <c r="E3946" s="283"/>
      <c r="F3946" s="283"/>
      <c r="G3946" s="320"/>
      <c r="H3946" s="320"/>
      <c r="I3946" s="228"/>
      <c r="J3946" s="228"/>
      <c r="K3946" s="233"/>
      <c r="L3946" s="197"/>
      <c r="M3946" s="197"/>
      <c r="N3946" s="197"/>
      <c r="O3946" s="197"/>
    </row>
    <row r="3947" spans="1:15">
      <c r="A3947" s="274"/>
      <c r="B3947" s="274"/>
      <c r="C3947" s="274"/>
      <c r="D3947" s="274"/>
      <c r="E3947" s="283"/>
      <c r="F3947" s="283"/>
      <c r="G3947" s="320"/>
      <c r="H3947" s="320"/>
      <c r="I3947" s="228"/>
      <c r="J3947" s="228"/>
      <c r="K3947" s="233"/>
      <c r="L3947" s="197"/>
      <c r="M3947" s="197"/>
      <c r="N3947" s="197"/>
      <c r="O3947" s="197"/>
    </row>
    <row r="3948" spans="1:15">
      <c r="A3948" s="274"/>
      <c r="B3948" s="274"/>
      <c r="C3948" s="274"/>
      <c r="D3948" s="274"/>
      <c r="E3948" s="283"/>
      <c r="F3948" s="283"/>
      <c r="G3948" s="320"/>
      <c r="H3948" s="320"/>
      <c r="I3948" s="228"/>
      <c r="J3948" s="228"/>
      <c r="K3948" s="233"/>
      <c r="L3948" s="197"/>
      <c r="M3948" s="197"/>
      <c r="N3948" s="197"/>
      <c r="O3948" s="197"/>
    </row>
    <row r="3949" spans="1:15">
      <c r="A3949" s="274"/>
      <c r="B3949" s="274"/>
      <c r="C3949" s="274"/>
      <c r="D3949" s="274"/>
      <c r="E3949" s="283"/>
      <c r="F3949" s="283"/>
      <c r="G3949" s="320"/>
      <c r="H3949" s="320"/>
      <c r="I3949" s="228"/>
      <c r="J3949" s="228"/>
      <c r="K3949" s="233"/>
      <c r="L3949" s="197"/>
      <c r="M3949" s="197"/>
      <c r="N3949" s="197"/>
      <c r="O3949" s="197"/>
    </row>
    <row r="3950" spans="1:15">
      <c r="A3950" s="274"/>
      <c r="B3950" s="274"/>
      <c r="C3950" s="274"/>
      <c r="D3950" s="274"/>
      <c r="E3950" s="283"/>
      <c r="F3950" s="283"/>
      <c r="G3950" s="320"/>
      <c r="H3950" s="320"/>
      <c r="I3950" s="228"/>
      <c r="J3950" s="228"/>
      <c r="K3950" s="233"/>
      <c r="L3950" s="197"/>
      <c r="M3950" s="197"/>
      <c r="N3950" s="197"/>
      <c r="O3950" s="197"/>
    </row>
    <row r="3951" spans="1:15">
      <c r="A3951" s="274"/>
      <c r="B3951" s="274"/>
      <c r="C3951" s="274"/>
      <c r="D3951" s="274"/>
      <c r="E3951" s="283"/>
      <c r="F3951" s="283"/>
      <c r="G3951" s="320"/>
      <c r="H3951" s="320"/>
      <c r="I3951" s="228"/>
      <c r="J3951" s="228"/>
      <c r="K3951" s="233"/>
      <c r="L3951" s="197"/>
      <c r="M3951" s="197"/>
      <c r="N3951" s="197"/>
      <c r="O3951" s="197"/>
    </row>
    <row r="3952" spans="1:15">
      <c r="A3952" s="274"/>
      <c r="B3952" s="274"/>
      <c r="C3952" s="274"/>
      <c r="D3952" s="274"/>
      <c r="E3952" s="283"/>
      <c r="F3952" s="283"/>
      <c r="G3952" s="320"/>
      <c r="H3952" s="320"/>
      <c r="I3952" s="228"/>
      <c r="J3952" s="228"/>
      <c r="K3952" s="233"/>
      <c r="L3952" s="197"/>
      <c r="M3952" s="197"/>
      <c r="N3952" s="197"/>
      <c r="O3952" s="197"/>
    </row>
    <row r="3953" spans="1:15">
      <c r="A3953" s="274"/>
      <c r="B3953" s="274"/>
      <c r="C3953" s="274"/>
      <c r="D3953" s="274"/>
      <c r="E3953" s="283"/>
      <c r="F3953" s="283"/>
      <c r="G3953" s="320"/>
      <c r="H3953" s="320"/>
      <c r="I3953" s="228"/>
      <c r="J3953" s="228"/>
      <c r="K3953" s="233"/>
      <c r="L3953" s="197"/>
      <c r="M3953" s="197"/>
      <c r="N3953" s="197"/>
      <c r="O3953" s="197"/>
    </row>
    <row r="3954" spans="1:15">
      <c r="A3954" s="274"/>
      <c r="B3954" s="274"/>
      <c r="C3954" s="274"/>
      <c r="D3954" s="274"/>
      <c r="E3954" s="283"/>
      <c r="F3954" s="283"/>
      <c r="G3954" s="320"/>
      <c r="H3954" s="320"/>
      <c r="I3954" s="228"/>
      <c r="J3954" s="228"/>
      <c r="K3954" s="233"/>
      <c r="L3954" s="197"/>
      <c r="M3954" s="197"/>
      <c r="N3954" s="197"/>
      <c r="O3954" s="197"/>
    </row>
    <row r="3955" spans="1:15">
      <c r="A3955" s="274"/>
      <c r="B3955" s="274"/>
      <c r="C3955" s="274"/>
      <c r="D3955" s="274"/>
      <c r="E3955" s="283"/>
      <c r="F3955" s="283"/>
      <c r="G3955" s="320"/>
      <c r="H3955" s="320"/>
      <c r="I3955" s="228"/>
      <c r="J3955" s="228"/>
      <c r="K3955" s="233"/>
      <c r="L3955" s="197"/>
      <c r="M3955" s="197"/>
      <c r="N3955" s="197"/>
      <c r="O3955" s="197"/>
    </row>
    <row r="3956" spans="1:15">
      <c r="A3956" s="274"/>
      <c r="B3956" s="274"/>
      <c r="C3956" s="274"/>
      <c r="D3956" s="274"/>
      <c r="E3956" s="283"/>
      <c r="F3956" s="283"/>
      <c r="G3956" s="320"/>
      <c r="H3956" s="320"/>
      <c r="I3956" s="228"/>
      <c r="J3956" s="228"/>
      <c r="K3956" s="233"/>
      <c r="L3956" s="197"/>
      <c r="M3956" s="197"/>
      <c r="N3956" s="197"/>
      <c r="O3956" s="197"/>
    </row>
    <row r="3957" spans="1:15">
      <c r="A3957" s="274"/>
      <c r="B3957" s="274"/>
      <c r="C3957" s="274"/>
      <c r="D3957" s="274"/>
      <c r="E3957" s="283"/>
      <c r="F3957" s="283"/>
      <c r="G3957" s="320"/>
      <c r="H3957" s="320"/>
      <c r="I3957" s="228"/>
      <c r="J3957" s="228"/>
      <c r="K3957" s="233"/>
      <c r="L3957" s="197"/>
      <c r="M3957" s="197"/>
      <c r="N3957" s="197"/>
      <c r="O3957" s="197"/>
    </row>
    <row r="3958" spans="1:15">
      <c r="A3958" s="274"/>
      <c r="B3958" s="274"/>
      <c r="C3958" s="274"/>
      <c r="D3958" s="274"/>
      <c r="E3958" s="283"/>
      <c r="F3958" s="283"/>
      <c r="G3958" s="320"/>
      <c r="H3958" s="320"/>
      <c r="I3958" s="228"/>
      <c r="J3958" s="228"/>
      <c r="K3958" s="233"/>
      <c r="L3958" s="197"/>
      <c r="M3958" s="197"/>
      <c r="N3958" s="197"/>
      <c r="O3958" s="197"/>
    </row>
    <row r="3959" spans="1:15">
      <c r="A3959" s="274"/>
      <c r="B3959" s="274"/>
      <c r="C3959" s="274"/>
      <c r="D3959" s="274"/>
      <c r="E3959" s="283"/>
      <c r="F3959" s="283"/>
      <c r="G3959" s="320"/>
      <c r="H3959" s="320"/>
      <c r="I3959" s="228"/>
      <c r="J3959" s="228"/>
      <c r="K3959" s="233"/>
      <c r="L3959" s="197"/>
      <c r="M3959" s="197"/>
      <c r="N3959" s="197"/>
      <c r="O3959" s="197"/>
    </row>
    <row r="3960" spans="1:15">
      <c r="A3960" s="274"/>
      <c r="B3960" s="274"/>
      <c r="C3960" s="274"/>
      <c r="D3960" s="274"/>
      <c r="E3960" s="283"/>
      <c r="F3960" s="283"/>
      <c r="G3960" s="320"/>
      <c r="H3960" s="320"/>
      <c r="I3960" s="228"/>
      <c r="J3960" s="228"/>
      <c r="K3960" s="233"/>
      <c r="L3960" s="197"/>
      <c r="M3960" s="197"/>
      <c r="N3960" s="197"/>
      <c r="O3960" s="197"/>
    </row>
    <row r="3961" spans="1:15">
      <c r="A3961" s="274"/>
      <c r="B3961" s="274"/>
      <c r="C3961" s="274"/>
      <c r="D3961" s="274"/>
      <c r="E3961" s="283"/>
      <c r="F3961" s="283"/>
      <c r="G3961" s="320"/>
      <c r="H3961" s="320"/>
      <c r="I3961" s="228"/>
      <c r="J3961" s="228"/>
      <c r="K3961" s="233"/>
      <c r="L3961" s="197"/>
      <c r="M3961" s="197"/>
      <c r="N3961" s="197"/>
      <c r="O3961" s="197"/>
    </row>
    <row r="3962" spans="1:15">
      <c r="A3962" s="274"/>
      <c r="B3962" s="274"/>
      <c r="C3962" s="274"/>
      <c r="D3962" s="274"/>
      <c r="E3962" s="283"/>
      <c r="F3962" s="283"/>
      <c r="G3962" s="320"/>
      <c r="H3962" s="320"/>
      <c r="I3962" s="228"/>
      <c r="J3962" s="228"/>
      <c r="K3962" s="233"/>
      <c r="L3962" s="197"/>
      <c r="M3962" s="197"/>
      <c r="N3962" s="197"/>
      <c r="O3962" s="197"/>
    </row>
    <row r="3963" spans="1:15">
      <c r="A3963" s="274"/>
      <c r="B3963" s="274"/>
      <c r="C3963" s="274"/>
      <c r="D3963" s="274"/>
      <c r="E3963" s="283"/>
      <c r="F3963" s="283"/>
      <c r="G3963" s="320"/>
      <c r="H3963" s="320"/>
      <c r="I3963" s="228"/>
      <c r="J3963" s="228"/>
      <c r="K3963" s="233"/>
      <c r="L3963" s="197"/>
      <c r="M3963" s="197"/>
      <c r="N3963" s="197"/>
      <c r="O3963" s="197"/>
    </row>
    <row r="3964" spans="1:15">
      <c r="A3964" s="274"/>
      <c r="B3964" s="274"/>
      <c r="C3964" s="274"/>
      <c r="D3964" s="274"/>
      <c r="E3964" s="283"/>
      <c r="F3964" s="283"/>
      <c r="G3964" s="320"/>
      <c r="H3964" s="320"/>
      <c r="I3964" s="228"/>
      <c r="J3964" s="228"/>
      <c r="K3964" s="233"/>
      <c r="L3964" s="197"/>
      <c r="M3964" s="197"/>
      <c r="N3964" s="197"/>
      <c r="O3964" s="197"/>
    </row>
    <row r="3965" spans="1:15">
      <c r="A3965" s="274"/>
      <c r="B3965" s="274"/>
      <c r="C3965" s="274"/>
      <c r="D3965" s="274"/>
      <c r="E3965" s="283"/>
      <c r="F3965" s="283"/>
      <c r="G3965" s="320"/>
      <c r="H3965" s="320"/>
      <c r="I3965" s="228"/>
      <c r="J3965" s="228"/>
      <c r="K3965" s="233"/>
      <c r="L3965" s="197"/>
      <c r="M3965" s="197"/>
      <c r="N3965" s="197"/>
      <c r="O3965" s="197"/>
    </row>
    <row r="3966" spans="1:15">
      <c r="A3966" s="274"/>
      <c r="B3966" s="274"/>
      <c r="C3966" s="274"/>
      <c r="D3966" s="274"/>
      <c r="E3966" s="283"/>
      <c r="F3966" s="283"/>
      <c r="G3966" s="320"/>
      <c r="H3966" s="320"/>
      <c r="I3966" s="228"/>
      <c r="J3966" s="228"/>
      <c r="K3966" s="233"/>
      <c r="L3966" s="197"/>
      <c r="M3966" s="197"/>
      <c r="N3966" s="197"/>
      <c r="O3966" s="197"/>
    </row>
    <row r="3967" spans="1:15">
      <c r="A3967" s="274"/>
      <c r="B3967" s="274"/>
      <c r="C3967" s="274"/>
      <c r="D3967" s="274"/>
      <c r="E3967" s="283"/>
      <c r="F3967" s="283"/>
      <c r="G3967" s="320"/>
      <c r="H3967" s="320"/>
      <c r="I3967" s="228"/>
      <c r="J3967" s="228"/>
      <c r="K3967" s="233"/>
      <c r="L3967" s="197"/>
      <c r="M3967" s="197"/>
      <c r="N3967" s="197"/>
      <c r="O3967" s="197"/>
    </row>
    <row r="3968" spans="1:15">
      <c r="A3968" s="274"/>
      <c r="B3968" s="274"/>
      <c r="C3968" s="274"/>
      <c r="D3968" s="274"/>
      <c r="E3968" s="283"/>
      <c r="F3968" s="283"/>
      <c r="G3968" s="320"/>
      <c r="H3968" s="320"/>
      <c r="I3968" s="228"/>
      <c r="J3968" s="228"/>
      <c r="K3968" s="233"/>
      <c r="L3968" s="197"/>
      <c r="M3968" s="197"/>
      <c r="N3968" s="197"/>
      <c r="O3968" s="197"/>
    </row>
    <row r="3969" spans="1:15">
      <c r="A3969" s="274"/>
      <c r="B3969" s="274"/>
      <c r="C3969" s="274"/>
      <c r="D3969" s="274"/>
      <c r="E3969" s="283"/>
      <c r="F3969" s="283"/>
      <c r="G3969" s="320"/>
      <c r="H3969" s="320"/>
      <c r="I3969" s="228"/>
      <c r="J3969" s="228"/>
      <c r="K3969" s="233"/>
      <c r="L3969" s="197"/>
      <c r="M3969" s="197"/>
      <c r="N3969" s="197"/>
      <c r="O3969" s="197"/>
    </row>
    <row r="3970" spans="1:15">
      <c r="A3970" s="274"/>
      <c r="B3970" s="274"/>
      <c r="C3970" s="274"/>
      <c r="D3970" s="274"/>
      <c r="E3970" s="283"/>
      <c r="F3970" s="283"/>
      <c r="G3970" s="320"/>
      <c r="H3970" s="320"/>
      <c r="I3970" s="228"/>
      <c r="J3970" s="228"/>
      <c r="K3970" s="233"/>
      <c r="L3970" s="197"/>
      <c r="M3970" s="197"/>
      <c r="N3970" s="197"/>
      <c r="O3970" s="197"/>
    </row>
    <row r="3971" spans="1:15">
      <c r="A3971" s="274"/>
      <c r="B3971" s="274"/>
      <c r="C3971" s="274"/>
      <c r="D3971" s="274"/>
      <c r="E3971" s="283"/>
      <c r="F3971" s="283"/>
      <c r="G3971" s="320"/>
      <c r="H3971" s="320"/>
      <c r="I3971" s="228"/>
      <c r="J3971" s="228"/>
      <c r="K3971" s="233"/>
      <c r="L3971" s="197"/>
      <c r="M3971" s="197"/>
      <c r="N3971" s="197"/>
      <c r="O3971" s="197"/>
    </row>
    <row r="3972" spans="1:15">
      <c r="A3972" s="274"/>
      <c r="B3972" s="274"/>
      <c r="C3972" s="274"/>
      <c r="D3972" s="274"/>
      <c r="E3972" s="283"/>
      <c r="F3972" s="283"/>
      <c r="G3972" s="320"/>
      <c r="H3972" s="320"/>
      <c r="I3972" s="228"/>
      <c r="J3972" s="228"/>
      <c r="K3972" s="233"/>
      <c r="L3972" s="197"/>
      <c r="M3972" s="197"/>
      <c r="N3972" s="197"/>
      <c r="O3972" s="197"/>
    </row>
    <row r="3973" spans="1:15">
      <c r="A3973" s="274"/>
      <c r="B3973" s="274"/>
      <c r="C3973" s="274"/>
      <c r="D3973" s="274"/>
      <c r="E3973" s="283"/>
      <c r="F3973" s="283"/>
      <c r="G3973" s="320"/>
      <c r="H3973" s="320"/>
      <c r="I3973" s="228"/>
      <c r="J3973" s="228"/>
      <c r="K3973" s="233"/>
      <c r="L3973" s="197"/>
      <c r="M3973" s="197"/>
      <c r="N3973" s="197"/>
      <c r="O3973" s="197"/>
    </row>
    <row r="3974" spans="1:15">
      <c r="A3974" s="274"/>
      <c r="B3974" s="274"/>
      <c r="C3974" s="274"/>
      <c r="D3974" s="274"/>
      <c r="E3974" s="283"/>
      <c r="F3974" s="283"/>
      <c r="G3974" s="320"/>
      <c r="H3974" s="320"/>
      <c r="I3974" s="228"/>
      <c r="J3974" s="228"/>
      <c r="K3974" s="233"/>
      <c r="L3974" s="197"/>
      <c r="M3974" s="197"/>
      <c r="N3974" s="197"/>
      <c r="O3974" s="197"/>
    </row>
    <row r="3975" spans="1:15">
      <c r="A3975" s="274"/>
      <c r="B3975" s="274"/>
      <c r="C3975" s="274"/>
      <c r="D3975" s="274"/>
      <c r="E3975" s="283"/>
      <c r="F3975" s="283"/>
      <c r="G3975" s="320"/>
      <c r="H3975" s="320"/>
      <c r="I3975" s="228"/>
      <c r="J3975" s="228"/>
      <c r="K3975" s="233"/>
      <c r="L3975" s="197"/>
      <c r="M3975" s="197"/>
      <c r="N3975" s="197"/>
      <c r="O3975" s="197"/>
    </row>
    <row r="3976" spans="1:15">
      <c r="A3976" s="274"/>
      <c r="B3976" s="274"/>
      <c r="C3976" s="274"/>
      <c r="D3976" s="274"/>
      <c r="E3976" s="283"/>
      <c r="F3976" s="283"/>
      <c r="G3976" s="320"/>
      <c r="H3976" s="320"/>
      <c r="I3976" s="228"/>
      <c r="J3976" s="228"/>
      <c r="K3976" s="233"/>
      <c r="L3976" s="197"/>
      <c r="M3976" s="197"/>
      <c r="N3976" s="197"/>
      <c r="O3976" s="197"/>
    </row>
    <row r="3977" spans="1:15">
      <c r="A3977" s="274"/>
      <c r="B3977" s="274"/>
      <c r="C3977" s="274"/>
      <c r="D3977" s="274"/>
      <c r="E3977" s="283"/>
      <c r="F3977" s="283"/>
      <c r="G3977" s="320"/>
      <c r="H3977" s="320"/>
      <c r="I3977" s="228"/>
      <c r="J3977" s="228"/>
      <c r="K3977" s="233"/>
      <c r="L3977" s="197"/>
      <c r="M3977" s="197"/>
      <c r="N3977" s="197"/>
      <c r="O3977" s="197"/>
    </row>
    <row r="3978" spans="1:15">
      <c r="A3978" s="274"/>
      <c r="B3978" s="274"/>
      <c r="C3978" s="274"/>
      <c r="D3978" s="274"/>
      <c r="E3978" s="283"/>
      <c r="F3978" s="283"/>
      <c r="G3978" s="320"/>
      <c r="H3978" s="320"/>
      <c r="I3978" s="228"/>
      <c r="J3978" s="228"/>
      <c r="K3978" s="233"/>
      <c r="L3978" s="197"/>
      <c r="M3978" s="197"/>
      <c r="N3978" s="197"/>
      <c r="O3978" s="197"/>
    </row>
    <row r="3979" spans="1:15">
      <c r="A3979" s="274"/>
      <c r="B3979" s="274"/>
      <c r="C3979" s="274"/>
      <c r="D3979" s="274"/>
      <c r="E3979" s="283"/>
      <c r="F3979" s="283"/>
      <c r="G3979" s="320"/>
      <c r="H3979" s="320"/>
      <c r="I3979" s="228"/>
      <c r="J3979" s="228"/>
      <c r="K3979" s="233"/>
      <c r="L3979" s="197"/>
      <c r="M3979" s="197"/>
      <c r="N3979" s="197"/>
      <c r="O3979" s="197"/>
    </row>
    <row r="3980" spans="1:15">
      <c r="A3980" s="274"/>
      <c r="B3980" s="274"/>
      <c r="C3980" s="274"/>
      <c r="D3980" s="274"/>
      <c r="E3980" s="283"/>
      <c r="F3980" s="283"/>
      <c r="G3980" s="320"/>
      <c r="H3980" s="320"/>
      <c r="I3980" s="228"/>
      <c r="J3980" s="228"/>
      <c r="K3980" s="233"/>
      <c r="L3980" s="197"/>
      <c r="M3980" s="197"/>
      <c r="N3980" s="197"/>
      <c r="O3980" s="197"/>
    </row>
    <row r="3981" spans="1:15">
      <c r="A3981" s="274"/>
      <c r="B3981" s="274"/>
      <c r="C3981" s="274"/>
      <c r="D3981" s="274"/>
      <c r="E3981" s="283"/>
      <c r="F3981" s="283"/>
      <c r="G3981" s="320"/>
      <c r="H3981" s="320"/>
      <c r="I3981" s="228"/>
      <c r="J3981" s="228"/>
      <c r="K3981" s="233"/>
      <c r="L3981" s="197"/>
      <c r="M3981" s="197"/>
      <c r="N3981" s="197"/>
      <c r="O3981" s="197"/>
    </row>
    <row r="3982" spans="1:15">
      <c r="A3982" s="274"/>
      <c r="B3982" s="274"/>
      <c r="C3982" s="274"/>
      <c r="D3982" s="274"/>
      <c r="E3982" s="283"/>
      <c r="F3982" s="283"/>
      <c r="G3982" s="320"/>
      <c r="H3982" s="320"/>
      <c r="I3982" s="228"/>
      <c r="J3982" s="228"/>
      <c r="K3982" s="233"/>
      <c r="L3982" s="197"/>
      <c r="M3982" s="197"/>
      <c r="N3982" s="197"/>
      <c r="O3982" s="197"/>
    </row>
    <row r="3983" spans="1:15">
      <c r="A3983" s="274"/>
      <c r="B3983" s="274"/>
      <c r="C3983" s="274"/>
      <c r="D3983" s="274"/>
      <c r="E3983" s="283"/>
      <c r="F3983" s="283"/>
      <c r="G3983" s="320"/>
      <c r="H3983" s="320"/>
      <c r="I3983" s="228"/>
      <c r="J3983" s="228"/>
      <c r="K3983" s="233"/>
      <c r="L3983" s="197"/>
      <c r="M3983" s="197"/>
      <c r="N3983" s="197"/>
      <c r="O3983" s="197"/>
    </row>
    <row r="3984" spans="1:15">
      <c r="A3984" s="274"/>
      <c r="B3984" s="274"/>
      <c r="C3984" s="274"/>
      <c r="D3984" s="274"/>
      <c r="E3984" s="283"/>
      <c r="F3984" s="283"/>
      <c r="G3984" s="320"/>
      <c r="H3984" s="320"/>
      <c r="I3984" s="228"/>
      <c r="J3984" s="228"/>
      <c r="K3984" s="233"/>
      <c r="L3984" s="197"/>
      <c r="M3984" s="197"/>
      <c r="N3984" s="197"/>
      <c r="O3984" s="197"/>
    </row>
    <row r="3985" spans="1:15">
      <c r="A3985" s="274"/>
      <c r="B3985" s="274"/>
      <c r="C3985" s="274"/>
      <c r="D3985" s="274"/>
      <c r="E3985" s="283"/>
      <c r="F3985" s="283"/>
      <c r="G3985" s="320"/>
      <c r="H3985" s="320"/>
      <c r="I3985" s="228"/>
      <c r="J3985" s="228"/>
      <c r="K3985" s="233"/>
      <c r="L3985" s="197"/>
      <c r="M3985" s="197"/>
      <c r="N3985" s="197"/>
      <c r="O3985" s="197"/>
    </row>
    <row r="3986" spans="1:15">
      <c r="A3986" s="274"/>
      <c r="B3986" s="274"/>
      <c r="C3986" s="274"/>
      <c r="D3986" s="274"/>
      <c r="E3986" s="283"/>
      <c r="F3986" s="283"/>
      <c r="G3986" s="320"/>
      <c r="H3986" s="320"/>
      <c r="I3986" s="228"/>
      <c r="J3986" s="228"/>
      <c r="K3986" s="233"/>
      <c r="L3986" s="197"/>
      <c r="M3986" s="197"/>
      <c r="N3986" s="197"/>
      <c r="O3986" s="197"/>
    </row>
    <row r="3987" spans="1:15">
      <c r="A3987" s="274"/>
      <c r="B3987" s="274"/>
      <c r="C3987" s="274"/>
      <c r="D3987" s="274"/>
      <c r="E3987" s="283"/>
      <c r="F3987" s="283"/>
      <c r="G3987" s="320"/>
      <c r="H3987" s="320"/>
      <c r="I3987" s="228"/>
      <c r="J3987" s="228"/>
      <c r="K3987" s="233"/>
      <c r="L3987" s="197"/>
      <c r="M3987" s="197"/>
      <c r="N3987" s="197"/>
      <c r="O3987" s="197"/>
    </row>
    <row r="3988" spans="1:15">
      <c r="A3988" s="274"/>
      <c r="B3988" s="274"/>
      <c r="C3988" s="274"/>
      <c r="D3988" s="274"/>
      <c r="E3988" s="283"/>
      <c r="F3988" s="283"/>
      <c r="G3988" s="320"/>
      <c r="H3988" s="320"/>
      <c r="I3988" s="228"/>
      <c r="J3988" s="228"/>
      <c r="K3988" s="233"/>
      <c r="L3988" s="197"/>
      <c r="M3988" s="197"/>
      <c r="N3988" s="197"/>
      <c r="O3988" s="197"/>
    </row>
    <row r="3989" spans="1:15">
      <c r="A3989" s="274"/>
      <c r="B3989" s="274"/>
      <c r="C3989" s="274"/>
      <c r="D3989" s="274"/>
      <c r="E3989" s="283"/>
      <c r="F3989" s="283"/>
      <c r="G3989" s="320"/>
      <c r="H3989" s="320"/>
      <c r="I3989" s="228"/>
      <c r="J3989" s="228"/>
      <c r="K3989" s="233"/>
      <c r="L3989" s="197"/>
      <c r="M3989" s="197"/>
      <c r="N3989" s="197"/>
      <c r="O3989" s="197"/>
    </row>
    <row r="3990" spans="1:15">
      <c r="A3990" s="274"/>
      <c r="B3990" s="274"/>
      <c r="C3990" s="274"/>
      <c r="D3990" s="274"/>
      <c r="E3990" s="283"/>
      <c r="F3990" s="283"/>
      <c r="G3990" s="320"/>
      <c r="H3990" s="320"/>
      <c r="I3990" s="228"/>
      <c r="J3990" s="228"/>
      <c r="K3990" s="233"/>
      <c r="L3990" s="197"/>
      <c r="M3990" s="197"/>
      <c r="N3990" s="197"/>
      <c r="O3990" s="197"/>
    </row>
    <row r="3991" spans="1:15">
      <c r="A3991" s="274"/>
      <c r="B3991" s="274"/>
      <c r="C3991" s="274"/>
      <c r="D3991" s="274"/>
      <c r="E3991" s="283"/>
      <c r="F3991" s="283"/>
      <c r="G3991" s="320"/>
      <c r="H3991" s="320"/>
      <c r="I3991" s="228"/>
      <c r="J3991" s="228"/>
      <c r="K3991" s="233"/>
      <c r="L3991" s="197"/>
      <c r="M3991" s="197"/>
      <c r="N3991" s="197"/>
      <c r="O3991" s="197"/>
    </row>
    <row r="3992" spans="1:15">
      <c r="A3992" s="274"/>
      <c r="B3992" s="274"/>
      <c r="C3992" s="274"/>
      <c r="D3992" s="274"/>
      <c r="E3992" s="283"/>
      <c r="F3992" s="283"/>
      <c r="G3992" s="320"/>
      <c r="H3992" s="320"/>
      <c r="I3992" s="228"/>
      <c r="J3992" s="228"/>
      <c r="K3992" s="233"/>
      <c r="L3992" s="197"/>
      <c r="M3992" s="197"/>
      <c r="N3992" s="197"/>
      <c r="O3992" s="197"/>
    </row>
    <row r="3993" spans="1:15">
      <c r="A3993" s="274"/>
      <c r="B3993" s="274"/>
      <c r="C3993" s="274"/>
      <c r="D3993" s="274"/>
      <c r="E3993" s="283"/>
      <c r="F3993" s="283"/>
      <c r="G3993" s="320"/>
      <c r="H3993" s="320"/>
      <c r="I3993" s="228"/>
      <c r="J3993" s="228"/>
      <c r="K3993" s="233"/>
      <c r="L3993" s="197"/>
      <c r="M3993" s="197"/>
      <c r="N3993" s="197"/>
      <c r="O3993" s="197"/>
    </row>
    <row r="3994" spans="1:15">
      <c r="A3994" s="274"/>
      <c r="B3994" s="274"/>
      <c r="C3994" s="274"/>
      <c r="D3994" s="274"/>
      <c r="E3994" s="283"/>
      <c r="F3994" s="283"/>
      <c r="G3994" s="320"/>
      <c r="H3994" s="320"/>
      <c r="I3994" s="228"/>
      <c r="J3994" s="228"/>
      <c r="K3994" s="233"/>
      <c r="L3994" s="197"/>
      <c r="M3994" s="197"/>
      <c r="N3994" s="197"/>
      <c r="O3994" s="197"/>
    </row>
    <row r="3995" spans="1:15">
      <c r="A3995" s="274"/>
      <c r="B3995" s="274"/>
      <c r="C3995" s="274"/>
      <c r="D3995" s="274"/>
      <c r="E3995" s="283"/>
      <c r="F3995" s="283"/>
      <c r="G3995" s="320"/>
      <c r="H3995" s="320"/>
      <c r="I3995" s="228"/>
      <c r="J3995" s="228"/>
      <c r="K3995" s="233"/>
      <c r="L3995" s="197"/>
      <c r="M3995" s="197"/>
      <c r="N3995" s="197"/>
      <c r="O3995" s="197"/>
    </row>
    <row r="3996" spans="1:15">
      <c r="A3996" s="274"/>
      <c r="B3996" s="274"/>
      <c r="C3996" s="274"/>
      <c r="D3996" s="274"/>
      <c r="E3996" s="283"/>
      <c r="F3996" s="283"/>
      <c r="G3996" s="320"/>
      <c r="H3996" s="320"/>
      <c r="I3996" s="228"/>
      <c r="J3996" s="228"/>
      <c r="K3996" s="233"/>
      <c r="L3996" s="197"/>
      <c r="M3996" s="197"/>
      <c r="N3996" s="197"/>
      <c r="O3996" s="197"/>
    </row>
    <row r="3997" spans="1:15">
      <c r="A3997" s="274"/>
      <c r="B3997" s="274"/>
      <c r="C3997" s="274"/>
      <c r="D3997" s="274"/>
      <c r="E3997" s="283"/>
      <c r="F3997" s="283"/>
      <c r="G3997" s="320"/>
      <c r="H3997" s="320"/>
      <c r="I3997" s="228"/>
      <c r="J3997" s="228"/>
      <c r="K3997" s="233"/>
      <c r="L3997" s="197"/>
      <c r="M3997" s="197"/>
      <c r="N3997" s="197"/>
      <c r="O3997" s="197"/>
    </row>
    <row r="3998" spans="1:15">
      <c r="A3998" s="274"/>
      <c r="B3998" s="274"/>
      <c r="C3998" s="274"/>
      <c r="D3998" s="274"/>
      <c r="E3998" s="283"/>
      <c r="F3998" s="283"/>
      <c r="G3998" s="320"/>
      <c r="H3998" s="320"/>
      <c r="I3998" s="228"/>
      <c r="J3998" s="228"/>
      <c r="K3998" s="233"/>
      <c r="L3998" s="197"/>
      <c r="M3998" s="197"/>
      <c r="N3998" s="197"/>
      <c r="O3998" s="197"/>
    </row>
    <row r="3999" spans="1:15">
      <c r="A3999" s="274"/>
      <c r="B3999" s="274"/>
      <c r="C3999" s="274"/>
      <c r="D3999" s="274"/>
      <c r="E3999" s="283"/>
      <c r="F3999" s="283"/>
      <c r="G3999" s="320"/>
      <c r="H3999" s="320"/>
      <c r="I3999" s="228"/>
      <c r="J3999" s="228"/>
      <c r="K3999" s="233"/>
      <c r="L3999" s="197"/>
      <c r="M3999" s="197"/>
      <c r="N3999" s="197"/>
      <c r="O3999" s="197"/>
    </row>
    <row r="4000" spans="1:15">
      <c r="A4000" s="274"/>
      <c r="B4000" s="274"/>
      <c r="C4000" s="274"/>
      <c r="D4000" s="274"/>
      <c r="E4000" s="283"/>
      <c r="F4000" s="283"/>
      <c r="G4000" s="320"/>
      <c r="H4000" s="320"/>
      <c r="I4000" s="228"/>
      <c r="J4000" s="228"/>
      <c r="K4000" s="233"/>
      <c r="L4000" s="197"/>
      <c r="M4000" s="197"/>
      <c r="N4000" s="197"/>
      <c r="O4000" s="197"/>
    </row>
    <row r="4001" spans="1:15">
      <c r="A4001" s="274"/>
      <c r="B4001" s="274"/>
      <c r="C4001" s="274"/>
      <c r="D4001" s="274"/>
      <c r="E4001" s="283"/>
      <c r="F4001" s="283"/>
      <c r="G4001" s="320"/>
      <c r="H4001" s="320"/>
      <c r="I4001" s="228"/>
      <c r="J4001" s="228"/>
      <c r="K4001" s="233"/>
      <c r="L4001" s="197"/>
      <c r="M4001" s="197"/>
      <c r="N4001" s="197"/>
      <c r="O4001" s="197"/>
    </row>
    <row r="4002" spans="1:15">
      <c r="A4002" s="274"/>
      <c r="B4002" s="274"/>
      <c r="C4002" s="274"/>
      <c r="D4002" s="274"/>
      <c r="E4002" s="283"/>
      <c r="F4002" s="283"/>
      <c r="G4002" s="320"/>
      <c r="H4002" s="320"/>
      <c r="I4002" s="228"/>
      <c r="J4002" s="228"/>
      <c r="K4002" s="233"/>
      <c r="L4002" s="197"/>
      <c r="M4002" s="197"/>
      <c r="N4002" s="197"/>
      <c r="O4002" s="197"/>
    </row>
    <row r="4003" spans="1:15">
      <c r="A4003" s="274"/>
      <c r="B4003" s="274"/>
      <c r="C4003" s="274"/>
      <c r="D4003" s="274"/>
      <c r="E4003" s="283"/>
      <c r="F4003" s="283"/>
      <c r="G4003" s="320"/>
      <c r="H4003" s="320"/>
      <c r="I4003" s="228"/>
      <c r="J4003" s="228"/>
      <c r="K4003" s="233"/>
      <c r="L4003" s="197"/>
      <c r="M4003" s="197"/>
      <c r="N4003" s="197"/>
      <c r="O4003" s="197"/>
    </row>
    <row r="4004" spans="1:15">
      <c r="A4004" s="274"/>
      <c r="B4004" s="274"/>
      <c r="C4004" s="274"/>
      <c r="D4004" s="274"/>
      <c r="E4004" s="283"/>
      <c r="F4004" s="283"/>
      <c r="G4004" s="320"/>
      <c r="H4004" s="320"/>
      <c r="I4004" s="228"/>
      <c r="J4004" s="228"/>
      <c r="K4004" s="233"/>
      <c r="L4004" s="197"/>
      <c r="M4004" s="197"/>
      <c r="N4004" s="197"/>
      <c r="O4004" s="197"/>
    </row>
    <row r="4005" spans="1:15">
      <c r="A4005" s="274"/>
      <c r="B4005" s="274"/>
      <c r="C4005" s="274"/>
      <c r="D4005" s="274"/>
      <c r="E4005" s="283"/>
      <c r="F4005" s="283"/>
      <c r="G4005" s="320"/>
      <c r="H4005" s="320"/>
      <c r="I4005" s="228"/>
      <c r="J4005" s="228"/>
      <c r="K4005" s="233"/>
      <c r="L4005" s="197"/>
      <c r="M4005" s="197"/>
      <c r="N4005" s="197"/>
      <c r="O4005" s="197"/>
    </row>
    <row r="4006" spans="1:15">
      <c r="A4006" s="274"/>
      <c r="B4006" s="274"/>
      <c r="C4006" s="274"/>
      <c r="D4006" s="274"/>
      <c r="E4006" s="283"/>
      <c r="F4006" s="283"/>
      <c r="G4006" s="320"/>
      <c r="H4006" s="320"/>
      <c r="I4006" s="228"/>
      <c r="J4006" s="228"/>
      <c r="K4006" s="233"/>
      <c r="L4006" s="197"/>
      <c r="M4006" s="197"/>
      <c r="N4006" s="197"/>
      <c r="O4006" s="197"/>
    </row>
    <row r="4007" spans="1:15">
      <c r="A4007" s="274"/>
      <c r="B4007" s="274"/>
      <c r="C4007" s="274"/>
      <c r="D4007" s="274"/>
      <c r="E4007" s="283"/>
      <c r="F4007" s="283"/>
      <c r="G4007" s="320"/>
      <c r="H4007" s="320"/>
      <c r="I4007" s="228"/>
      <c r="J4007" s="228"/>
      <c r="K4007" s="233"/>
      <c r="L4007" s="197"/>
      <c r="M4007" s="197"/>
      <c r="N4007" s="197"/>
      <c r="O4007" s="197"/>
    </row>
    <row r="4008" spans="1:15">
      <c r="A4008" s="274"/>
      <c r="B4008" s="274"/>
      <c r="C4008" s="274"/>
      <c r="D4008" s="274"/>
      <c r="E4008" s="283"/>
      <c r="F4008" s="283"/>
      <c r="G4008" s="320"/>
      <c r="H4008" s="320"/>
      <c r="I4008" s="228"/>
      <c r="J4008" s="228"/>
      <c r="K4008" s="233"/>
      <c r="L4008" s="197"/>
      <c r="M4008" s="197"/>
      <c r="N4008" s="197"/>
      <c r="O4008" s="197"/>
    </row>
    <row r="4009" spans="1:15">
      <c r="A4009" s="274"/>
      <c r="B4009" s="274"/>
      <c r="C4009" s="274"/>
      <c r="D4009" s="274"/>
      <c r="E4009" s="283"/>
      <c r="F4009" s="283"/>
      <c r="G4009" s="320"/>
      <c r="H4009" s="320"/>
      <c r="I4009" s="228"/>
      <c r="J4009" s="228"/>
      <c r="K4009" s="233"/>
      <c r="L4009" s="197"/>
      <c r="M4009" s="197"/>
      <c r="N4009" s="197"/>
      <c r="O4009" s="197"/>
    </row>
    <row r="4010" spans="1:15">
      <c r="A4010" s="274"/>
      <c r="B4010" s="274"/>
      <c r="C4010" s="274"/>
      <c r="D4010" s="274"/>
      <c r="E4010" s="283"/>
      <c r="F4010" s="283"/>
      <c r="G4010" s="320"/>
      <c r="H4010" s="320"/>
      <c r="I4010" s="228"/>
      <c r="J4010" s="228"/>
      <c r="K4010" s="233"/>
      <c r="L4010" s="197"/>
      <c r="M4010" s="197"/>
      <c r="N4010" s="197"/>
      <c r="O4010" s="197"/>
    </row>
    <row r="4011" spans="1:15">
      <c r="A4011" s="274"/>
      <c r="B4011" s="274"/>
      <c r="C4011" s="274"/>
      <c r="D4011" s="274"/>
      <c r="E4011" s="283"/>
      <c r="F4011" s="283"/>
      <c r="G4011" s="320"/>
      <c r="H4011" s="320"/>
      <c r="I4011" s="228"/>
      <c r="J4011" s="228"/>
      <c r="K4011" s="233"/>
      <c r="L4011" s="197"/>
      <c r="M4011" s="197"/>
      <c r="N4011" s="197"/>
      <c r="O4011" s="197"/>
    </row>
    <row r="4012" spans="1:15">
      <c r="A4012" s="274"/>
      <c r="B4012" s="274"/>
      <c r="C4012" s="274"/>
      <c r="D4012" s="274"/>
      <c r="E4012" s="283"/>
      <c r="F4012" s="283"/>
      <c r="G4012" s="320"/>
      <c r="H4012" s="320"/>
      <c r="I4012" s="228"/>
      <c r="J4012" s="228"/>
      <c r="K4012" s="233"/>
      <c r="L4012" s="197"/>
      <c r="M4012" s="197"/>
      <c r="N4012" s="197"/>
      <c r="O4012" s="197"/>
    </row>
    <row r="4013" spans="1:15">
      <c r="A4013" s="274"/>
      <c r="B4013" s="274"/>
      <c r="C4013" s="274"/>
      <c r="D4013" s="274"/>
      <c r="E4013" s="283"/>
      <c r="F4013" s="283"/>
      <c r="G4013" s="320"/>
      <c r="H4013" s="320"/>
      <c r="I4013" s="228"/>
      <c r="J4013" s="228"/>
      <c r="K4013" s="233"/>
      <c r="L4013" s="197"/>
      <c r="M4013" s="197"/>
      <c r="N4013" s="197"/>
      <c r="O4013" s="197"/>
    </row>
    <row r="4014" spans="1:15">
      <c r="A4014" s="274"/>
      <c r="B4014" s="274"/>
      <c r="C4014" s="274"/>
      <c r="D4014" s="274"/>
      <c r="E4014" s="283"/>
      <c r="F4014" s="283"/>
      <c r="G4014" s="320"/>
      <c r="H4014" s="320"/>
      <c r="I4014" s="228"/>
      <c r="J4014" s="228"/>
      <c r="K4014" s="233"/>
      <c r="L4014" s="197"/>
      <c r="M4014" s="197"/>
      <c r="N4014" s="197"/>
      <c r="O4014" s="197"/>
    </row>
    <row r="4015" spans="1:15">
      <c r="A4015" s="274"/>
      <c r="B4015" s="274"/>
      <c r="C4015" s="274"/>
      <c r="D4015" s="274"/>
      <c r="E4015" s="283"/>
      <c r="F4015" s="283"/>
      <c r="G4015" s="320"/>
      <c r="H4015" s="320"/>
      <c r="I4015" s="228"/>
      <c r="J4015" s="228"/>
      <c r="K4015" s="233"/>
      <c r="L4015" s="197"/>
      <c r="M4015" s="197"/>
      <c r="N4015" s="197"/>
      <c r="O4015" s="197"/>
    </row>
    <row r="4016" spans="1:15">
      <c r="A4016" s="274"/>
      <c r="B4016" s="274"/>
      <c r="C4016" s="274"/>
      <c r="D4016" s="274"/>
      <c r="E4016" s="283"/>
      <c r="F4016" s="283"/>
      <c r="G4016" s="320"/>
      <c r="H4016" s="320"/>
      <c r="I4016" s="228"/>
      <c r="J4016" s="228"/>
      <c r="K4016" s="233"/>
      <c r="L4016" s="197"/>
      <c r="M4016" s="197"/>
      <c r="N4016" s="197"/>
      <c r="O4016" s="197"/>
    </row>
    <row r="4017" spans="1:15">
      <c r="A4017" s="274"/>
      <c r="B4017" s="274"/>
      <c r="C4017" s="274"/>
      <c r="D4017" s="274"/>
      <c r="E4017" s="283"/>
      <c r="F4017" s="283"/>
      <c r="G4017" s="320"/>
      <c r="H4017" s="320"/>
      <c r="I4017" s="228"/>
      <c r="J4017" s="228"/>
      <c r="K4017" s="233"/>
      <c r="L4017" s="197"/>
      <c r="M4017" s="197"/>
      <c r="N4017" s="197"/>
      <c r="O4017" s="197"/>
    </row>
    <row r="4018" spans="1:15">
      <c r="A4018" s="274"/>
      <c r="B4018" s="274"/>
      <c r="C4018" s="274"/>
      <c r="D4018" s="274"/>
      <c r="E4018" s="283"/>
      <c r="F4018" s="283"/>
      <c r="G4018" s="320"/>
      <c r="H4018" s="320"/>
      <c r="I4018" s="228"/>
      <c r="J4018" s="228"/>
      <c r="K4018" s="233"/>
      <c r="L4018" s="197"/>
      <c r="M4018" s="197"/>
      <c r="N4018" s="197"/>
      <c r="O4018" s="197"/>
    </row>
    <row r="4019" spans="1:15">
      <c r="A4019" s="274"/>
      <c r="B4019" s="274"/>
      <c r="C4019" s="274"/>
      <c r="D4019" s="274"/>
      <c r="E4019" s="283"/>
      <c r="F4019" s="283"/>
      <c r="G4019" s="320"/>
      <c r="H4019" s="320"/>
      <c r="I4019" s="228"/>
      <c r="J4019" s="228"/>
      <c r="K4019" s="233"/>
      <c r="L4019" s="197"/>
      <c r="M4019" s="197"/>
      <c r="N4019" s="197"/>
      <c r="O4019" s="197"/>
    </row>
    <row r="4020" spans="1:15">
      <c r="A4020" s="274"/>
      <c r="B4020" s="274"/>
      <c r="C4020" s="274"/>
      <c r="D4020" s="274"/>
      <c r="E4020" s="283"/>
      <c r="F4020" s="283"/>
      <c r="G4020" s="320"/>
      <c r="H4020" s="320"/>
      <c r="I4020" s="228"/>
      <c r="J4020" s="228"/>
      <c r="K4020" s="233"/>
      <c r="L4020" s="197"/>
      <c r="M4020" s="197"/>
      <c r="N4020" s="197"/>
      <c r="O4020" s="197"/>
    </row>
    <row r="4021" spans="1:15">
      <c r="A4021" s="274"/>
      <c r="B4021" s="274"/>
      <c r="C4021" s="274"/>
      <c r="D4021" s="274"/>
      <c r="E4021" s="283"/>
      <c r="F4021" s="283"/>
      <c r="G4021" s="320"/>
      <c r="H4021" s="320"/>
      <c r="I4021" s="228"/>
      <c r="J4021" s="228"/>
      <c r="K4021" s="233"/>
      <c r="L4021" s="197"/>
      <c r="M4021" s="197"/>
      <c r="N4021" s="197"/>
      <c r="O4021" s="197"/>
    </row>
    <row r="4022" spans="1:15">
      <c r="A4022" s="274"/>
      <c r="B4022" s="274"/>
      <c r="C4022" s="274"/>
      <c r="D4022" s="274"/>
      <c r="E4022" s="283"/>
      <c r="F4022" s="283"/>
      <c r="G4022" s="320"/>
      <c r="H4022" s="320"/>
      <c r="I4022" s="228"/>
      <c r="J4022" s="228"/>
      <c r="K4022" s="233"/>
      <c r="L4022" s="197"/>
      <c r="M4022" s="197"/>
      <c r="N4022" s="197"/>
      <c r="O4022" s="197"/>
    </row>
    <row r="4023" spans="1:15">
      <c r="A4023" s="274"/>
      <c r="B4023" s="274"/>
      <c r="C4023" s="274"/>
      <c r="D4023" s="274"/>
      <c r="E4023" s="283"/>
      <c r="F4023" s="283"/>
      <c r="G4023" s="320"/>
      <c r="H4023" s="320"/>
      <c r="I4023" s="228"/>
      <c r="J4023" s="228"/>
      <c r="K4023" s="233"/>
      <c r="L4023" s="197"/>
      <c r="M4023" s="197"/>
      <c r="N4023" s="197"/>
      <c r="O4023" s="197"/>
    </row>
    <row r="4024" spans="1:15">
      <c r="A4024" s="274"/>
      <c r="B4024" s="274"/>
      <c r="C4024" s="274"/>
      <c r="D4024" s="274"/>
      <c r="E4024" s="283"/>
      <c r="F4024" s="283"/>
      <c r="G4024" s="320"/>
      <c r="H4024" s="320"/>
      <c r="I4024" s="228"/>
      <c r="J4024" s="228"/>
      <c r="K4024" s="233"/>
      <c r="L4024" s="197"/>
      <c r="M4024" s="197"/>
      <c r="N4024" s="197"/>
      <c r="O4024" s="197"/>
    </row>
    <row r="4025" spans="1:15">
      <c r="A4025" s="274"/>
      <c r="B4025" s="274"/>
      <c r="C4025" s="274"/>
      <c r="D4025" s="274"/>
      <c r="E4025" s="283"/>
      <c r="F4025" s="283"/>
      <c r="G4025" s="320"/>
      <c r="H4025" s="320"/>
      <c r="I4025" s="228"/>
      <c r="J4025" s="228"/>
      <c r="K4025" s="233"/>
      <c r="L4025" s="197"/>
      <c r="M4025" s="197"/>
      <c r="N4025" s="197"/>
      <c r="O4025" s="197"/>
    </row>
    <row r="4026" spans="1:15">
      <c r="A4026" s="274"/>
      <c r="B4026" s="274"/>
      <c r="C4026" s="274"/>
      <c r="D4026" s="274"/>
      <c r="E4026" s="283"/>
      <c r="F4026" s="283"/>
      <c r="G4026" s="320"/>
      <c r="H4026" s="320"/>
      <c r="I4026" s="228"/>
      <c r="J4026" s="228"/>
      <c r="K4026" s="233"/>
      <c r="L4026" s="197"/>
      <c r="M4026" s="197"/>
      <c r="N4026" s="197"/>
      <c r="O4026" s="197"/>
    </row>
    <row r="4027" spans="1:15">
      <c r="A4027" s="274"/>
      <c r="B4027" s="274"/>
      <c r="C4027" s="274"/>
      <c r="D4027" s="274"/>
      <c r="E4027" s="283"/>
      <c r="F4027" s="283"/>
      <c r="G4027" s="320"/>
      <c r="H4027" s="320"/>
      <c r="I4027" s="228"/>
      <c r="J4027" s="228"/>
      <c r="K4027" s="233"/>
      <c r="L4027" s="197"/>
      <c r="M4027" s="197"/>
      <c r="N4027" s="197"/>
      <c r="O4027" s="197"/>
    </row>
    <row r="4028" spans="1:15">
      <c r="A4028" s="274"/>
      <c r="B4028" s="274"/>
      <c r="C4028" s="274"/>
      <c r="D4028" s="274"/>
      <c r="E4028" s="283"/>
      <c r="F4028" s="283"/>
      <c r="G4028" s="320"/>
      <c r="H4028" s="320"/>
      <c r="I4028" s="228"/>
      <c r="J4028" s="228"/>
      <c r="K4028" s="233"/>
      <c r="L4028" s="197"/>
      <c r="M4028" s="197"/>
      <c r="N4028" s="197"/>
      <c r="O4028" s="197"/>
    </row>
    <row r="4029" spans="1:15">
      <c r="A4029" s="274"/>
      <c r="B4029" s="274"/>
      <c r="C4029" s="274"/>
      <c r="D4029" s="274"/>
      <c r="E4029" s="283"/>
      <c r="F4029" s="283"/>
      <c r="G4029" s="320"/>
      <c r="H4029" s="320"/>
      <c r="I4029" s="228"/>
      <c r="J4029" s="228"/>
      <c r="K4029" s="233"/>
      <c r="L4029" s="197"/>
      <c r="M4029" s="197"/>
      <c r="N4029" s="197"/>
      <c r="O4029" s="197"/>
    </row>
    <row r="4030" spans="1:15">
      <c r="A4030" s="274"/>
      <c r="B4030" s="274"/>
      <c r="C4030" s="274"/>
      <c r="D4030" s="274"/>
      <c r="E4030" s="283"/>
      <c r="F4030" s="283"/>
      <c r="G4030" s="320"/>
      <c r="H4030" s="320"/>
      <c r="I4030" s="228"/>
      <c r="J4030" s="228"/>
      <c r="K4030" s="233"/>
      <c r="L4030" s="197"/>
      <c r="M4030" s="197"/>
      <c r="N4030" s="197"/>
      <c r="O4030" s="197"/>
    </row>
    <row r="4031" spans="1:15">
      <c r="A4031" s="274"/>
      <c r="B4031" s="274"/>
      <c r="C4031" s="274"/>
      <c r="D4031" s="274"/>
      <c r="E4031" s="283"/>
      <c r="F4031" s="283"/>
      <c r="G4031" s="320"/>
      <c r="H4031" s="320"/>
      <c r="I4031" s="228"/>
      <c r="J4031" s="228"/>
      <c r="K4031" s="233"/>
      <c r="L4031" s="197"/>
      <c r="M4031" s="197"/>
      <c r="N4031" s="197"/>
      <c r="O4031" s="197"/>
    </row>
    <row r="4032" spans="1:15">
      <c r="A4032" s="274"/>
      <c r="B4032" s="274"/>
      <c r="C4032" s="274"/>
      <c r="D4032" s="274"/>
      <c r="E4032" s="283"/>
      <c r="F4032" s="283"/>
      <c r="G4032" s="320"/>
      <c r="H4032" s="320"/>
      <c r="I4032" s="228"/>
      <c r="J4032" s="228"/>
      <c r="K4032" s="233"/>
      <c r="L4032" s="197"/>
      <c r="M4032" s="197"/>
      <c r="N4032" s="197"/>
      <c r="O4032" s="197"/>
    </row>
    <row r="4033" spans="1:15">
      <c r="A4033" s="274"/>
      <c r="B4033" s="274"/>
      <c r="C4033" s="274"/>
      <c r="D4033" s="274"/>
      <c r="E4033" s="283"/>
      <c r="F4033" s="283"/>
      <c r="G4033" s="320"/>
      <c r="H4033" s="320"/>
      <c r="I4033" s="228"/>
      <c r="J4033" s="228"/>
      <c r="K4033" s="233"/>
      <c r="L4033" s="197"/>
      <c r="M4033" s="197"/>
      <c r="N4033" s="197"/>
      <c r="O4033" s="197"/>
    </row>
    <row r="4034" spans="1:15">
      <c r="A4034" s="274"/>
      <c r="B4034" s="274"/>
      <c r="C4034" s="274"/>
      <c r="D4034" s="274"/>
      <c r="E4034" s="283"/>
      <c r="F4034" s="283"/>
      <c r="G4034" s="320"/>
      <c r="H4034" s="320"/>
      <c r="I4034" s="228"/>
      <c r="J4034" s="228"/>
      <c r="K4034" s="233"/>
      <c r="L4034" s="197"/>
      <c r="M4034" s="197"/>
      <c r="N4034" s="197"/>
      <c r="O4034" s="197"/>
    </row>
    <row r="4035" spans="1:15">
      <c r="A4035" s="274"/>
      <c r="B4035" s="274"/>
      <c r="C4035" s="274"/>
      <c r="D4035" s="274"/>
      <c r="E4035" s="283"/>
      <c r="F4035" s="283"/>
      <c r="G4035" s="320"/>
      <c r="H4035" s="320"/>
      <c r="I4035" s="228"/>
      <c r="J4035" s="228"/>
      <c r="K4035" s="233"/>
      <c r="L4035" s="197"/>
      <c r="M4035" s="197"/>
      <c r="N4035" s="197"/>
      <c r="O4035" s="197"/>
    </row>
    <row r="4036" spans="1:15">
      <c r="A4036" s="274"/>
      <c r="B4036" s="274"/>
      <c r="C4036" s="274"/>
      <c r="D4036" s="274"/>
      <c r="E4036" s="283"/>
      <c r="F4036" s="283"/>
      <c r="G4036" s="320"/>
      <c r="H4036" s="320"/>
      <c r="I4036" s="228"/>
      <c r="J4036" s="228"/>
      <c r="K4036" s="233"/>
      <c r="L4036" s="197"/>
      <c r="M4036" s="197"/>
      <c r="N4036" s="197"/>
      <c r="O4036" s="197"/>
    </row>
    <row r="4037" spans="1:15">
      <c r="A4037" s="274"/>
      <c r="B4037" s="274"/>
      <c r="C4037" s="274"/>
      <c r="D4037" s="274"/>
      <c r="E4037" s="283"/>
      <c r="F4037" s="283"/>
      <c r="G4037" s="320"/>
      <c r="H4037" s="320"/>
      <c r="I4037" s="228"/>
      <c r="J4037" s="228"/>
      <c r="K4037" s="233"/>
      <c r="L4037" s="197"/>
      <c r="M4037" s="197"/>
      <c r="N4037" s="197"/>
      <c r="O4037" s="197"/>
    </row>
    <row r="4038" spans="1:15">
      <c r="A4038" s="274"/>
      <c r="B4038" s="274"/>
      <c r="C4038" s="274"/>
      <c r="D4038" s="274"/>
      <c r="E4038" s="283"/>
      <c r="F4038" s="283"/>
      <c r="G4038" s="320"/>
      <c r="H4038" s="320"/>
      <c r="I4038" s="228"/>
      <c r="J4038" s="228"/>
      <c r="K4038" s="233"/>
      <c r="L4038" s="197"/>
      <c r="M4038" s="197"/>
      <c r="N4038" s="197"/>
      <c r="O4038" s="197"/>
    </row>
    <row r="4039" spans="1:15">
      <c r="A4039" s="274"/>
      <c r="B4039" s="274"/>
      <c r="C4039" s="274"/>
      <c r="D4039" s="274"/>
      <c r="E4039" s="283"/>
      <c r="F4039" s="283"/>
      <c r="G4039" s="320"/>
      <c r="H4039" s="320"/>
      <c r="I4039" s="228"/>
      <c r="J4039" s="228"/>
      <c r="K4039" s="233"/>
      <c r="L4039" s="197"/>
      <c r="M4039" s="197"/>
      <c r="N4039" s="197"/>
      <c r="O4039" s="197"/>
    </row>
    <row r="4040" spans="1:15">
      <c r="A4040" s="274"/>
      <c r="B4040" s="274"/>
      <c r="C4040" s="274"/>
      <c r="D4040" s="274"/>
      <c r="E4040" s="283"/>
      <c r="F4040" s="283"/>
      <c r="G4040" s="320"/>
      <c r="H4040" s="320"/>
      <c r="I4040" s="228"/>
      <c r="J4040" s="228"/>
      <c r="K4040" s="233"/>
      <c r="L4040" s="197"/>
      <c r="M4040" s="197"/>
      <c r="N4040" s="197"/>
      <c r="O4040" s="197"/>
    </row>
    <row r="4041" spans="1:15">
      <c r="A4041" s="274"/>
      <c r="B4041" s="274"/>
      <c r="C4041" s="274"/>
      <c r="D4041" s="274"/>
      <c r="E4041" s="283"/>
      <c r="F4041" s="283"/>
      <c r="G4041" s="320"/>
      <c r="H4041" s="320"/>
      <c r="I4041" s="228"/>
      <c r="J4041" s="228"/>
      <c r="K4041" s="233"/>
      <c r="L4041" s="197"/>
      <c r="M4041" s="197"/>
      <c r="N4041" s="197"/>
      <c r="O4041" s="197"/>
    </row>
    <row r="4042" spans="1:15">
      <c r="A4042" s="274"/>
      <c r="B4042" s="274"/>
      <c r="C4042" s="274"/>
      <c r="D4042" s="274"/>
      <c r="E4042" s="283"/>
      <c r="F4042" s="283"/>
      <c r="G4042" s="320"/>
      <c r="H4042" s="320"/>
      <c r="I4042" s="228"/>
      <c r="J4042" s="228"/>
      <c r="K4042" s="233"/>
      <c r="L4042" s="197"/>
      <c r="M4042" s="197"/>
      <c r="N4042" s="197"/>
      <c r="O4042" s="197"/>
    </row>
    <row r="4043" spans="1:15">
      <c r="A4043" s="274"/>
      <c r="B4043" s="274"/>
      <c r="C4043" s="274"/>
      <c r="D4043" s="274"/>
      <c r="E4043" s="283"/>
      <c r="F4043" s="283"/>
      <c r="G4043" s="320"/>
      <c r="H4043" s="320"/>
      <c r="I4043" s="228"/>
      <c r="J4043" s="228"/>
      <c r="K4043" s="233"/>
      <c r="L4043" s="197"/>
      <c r="M4043" s="197"/>
      <c r="N4043" s="197"/>
      <c r="O4043" s="197"/>
    </row>
    <row r="4044" spans="1:15">
      <c r="A4044" s="274"/>
      <c r="B4044" s="274"/>
      <c r="C4044" s="274"/>
      <c r="D4044" s="274"/>
      <c r="E4044" s="283"/>
      <c r="F4044" s="283"/>
      <c r="G4044" s="320"/>
      <c r="H4044" s="320"/>
      <c r="I4044" s="228"/>
      <c r="J4044" s="228"/>
      <c r="K4044" s="233"/>
      <c r="L4044" s="197"/>
      <c r="M4044" s="197"/>
      <c r="N4044" s="197"/>
      <c r="O4044" s="197"/>
    </row>
    <row r="4045" spans="1:15">
      <c r="A4045" s="274"/>
      <c r="B4045" s="274"/>
      <c r="C4045" s="274"/>
      <c r="D4045" s="274"/>
      <c r="E4045" s="283"/>
      <c r="F4045" s="283"/>
      <c r="G4045" s="320"/>
      <c r="H4045" s="320"/>
      <c r="I4045" s="228"/>
      <c r="J4045" s="228"/>
      <c r="K4045" s="233"/>
      <c r="L4045" s="197"/>
      <c r="M4045" s="197"/>
      <c r="N4045" s="197"/>
      <c r="O4045" s="197"/>
    </row>
    <row r="4046" spans="1:15">
      <c r="A4046" s="274"/>
      <c r="B4046" s="274"/>
      <c r="C4046" s="274"/>
      <c r="D4046" s="274"/>
      <c r="E4046" s="283"/>
      <c r="F4046" s="283"/>
      <c r="G4046" s="320"/>
      <c r="H4046" s="320"/>
      <c r="I4046" s="228"/>
      <c r="J4046" s="228"/>
      <c r="K4046" s="233"/>
      <c r="L4046" s="197"/>
      <c r="M4046" s="197"/>
      <c r="N4046" s="197"/>
      <c r="O4046" s="197"/>
    </row>
    <row r="4047" spans="1:15">
      <c r="A4047" s="274"/>
      <c r="B4047" s="274"/>
      <c r="C4047" s="274"/>
      <c r="D4047" s="274"/>
      <c r="E4047" s="283"/>
      <c r="F4047" s="283"/>
      <c r="G4047" s="320"/>
      <c r="H4047" s="320"/>
      <c r="I4047" s="228"/>
      <c r="J4047" s="228"/>
      <c r="K4047" s="233"/>
      <c r="L4047" s="197"/>
      <c r="M4047" s="197"/>
      <c r="N4047" s="197"/>
      <c r="O4047" s="197"/>
    </row>
    <row r="4048" spans="1:15">
      <c r="A4048" s="274"/>
      <c r="B4048" s="274"/>
      <c r="C4048" s="274"/>
      <c r="D4048" s="274"/>
      <c r="E4048" s="283"/>
      <c r="F4048" s="283"/>
      <c r="G4048" s="320"/>
      <c r="H4048" s="320"/>
      <c r="I4048" s="228"/>
      <c r="J4048" s="228"/>
      <c r="K4048" s="233"/>
      <c r="L4048" s="197"/>
      <c r="M4048" s="197"/>
      <c r="N4048" s="197"/>
      <c r="O4048" s="197"/>
    </row>
    <row r="4049" spans="1:15">
      <c r="A4049" s="274"/>
      <c r="B4049" s="274"/>
      <c r="C4049" s="274"/>
      <c r="D4049" s="274"/>
      <c r="E4049" s="283"/>
      <c r="F4049" s="283"/>
      <c r="G4049" s="320"/>
      <c r="H4049" s="320"/>
      <c r="I4049" s="228"/>
      <c r="J4049" s="228"/>
      <c r="K4049" s="233"/>
      <c r="L4049" s="197"/>
      <c r="M4049" s="197"/>
      <c r="N4049" s="197"/>
      <c r="O4049" s="197"/>
    </row>
    <row r="4050" spans="1:15">
      <c r="A4050" s="274"/>
      <c r="B4050" s="274"/>
      <c r="C4050" s="274"/>
      <c r="D4050" s="274"/>
      <c r="E4050" s="283"/>
      <c r="F4050" s="283"/>
      <c r="G4050" s="320"/>
      <c r="H4050" s="320"/>
      <c r="I4050" s="228"/>
      <c r="J4050" s="228"/>
      <c r="K4050" s="233"/>
      <c r="L4050" s="197"/>
      <c r="M4050" s="197"/>
      <c r="N4050" s="197"/>
      <c r="O4050" s="197"/>
    </row>
    <row r="4051" spans="1:15">
      <c r="A4051" s="274"/>
      <c r="B4051" s="274"/>
      <c r="C4051" s="274"/>
      <c r="D4051" s="274"/>
      <c r="E4051" s="283"/>
      <c r="F4051" s="283"/>
      <c r="G4051" s="320"/>
      <c r="H4051" s="320"/>
      <c r="I4051" s="228"/>
      <c r="J4051" s="228"/>
      <c r="K4051" s="233"/>
      <c r="L4051" s="197"/>
      <c r="M4051" s="197"/>
      <c r="N4051" s="197"/>
      <c r="O4051" s="197"/>
    </row>
    <row r="4052" spans="1:15">
      <c r="A4052" s="274"/>
      <c r="B4052" s="274"/>
      <c r="C4052" s="274"/>
      <c r="D4052" s="274"/>
      <c r="E4052" s="283"/>
      <c r="F4052" s="283"/>
      <c r="G4052" s="320"/>
      <c r="H4052" s="320"/>
      <c r="I4052" s="228"/>
      <c r="J4052" s="228"/>
      <c r="K4052" s="233"/>
      <c r="L4052" s="197"/>
      <c r="M4052" s="197"/>
      <c r="N4052" s="197"/>
      <c r="O4052" s="197"/>
    </row>
    <row r="4053" spans="1:15">
      <c r="A4053" s="274"/>
      <c r="B4053" s="274"/>
      <c r="C4053" s="274"/>
      <c r="D4053" s="274"/>
      <c r="E4053" s="283"/>
      <c r="F4053" s="283"/>
      <c r="G4053" s="320"/>
      <c r="H4053" s="320"/>
      <c r="I4053" s="228"/>
      <c r="J4053" s="228"/>
      <c r="K4053" s="233"/>
      <c r="L4053" s="197"/>
      <c r="M4053" s="197"/>
      <c r="N4053" s="197"/>
      <c r="O4053" s="197"/>
    </row>
    <row r="4054" spans="1:15">
      <c r="A4054" s="274"/>
      <c r="B4054" s="274"/>
      <c r="C4054" s="274"/>
      <c r="D4054" s="274"/>
      <c r="E4054" s="283"/>
      <c r="F4054" s="283"/>
      <c r="G4054" s="320"/>
      <c r="H4054" s="320"/>
      <c r="I4054" s="228"/>
      <c r="J4054" s="228"/>
      <c r="K4054" s="233"/>
      <c r="L4054" s="197"/>
      <c r="M4054" s="197"/>
      <c r="N4054" s="197"/>
      <c r="O4054" s="197"/>
    </row>
    <row r="4055" spans="1:15">
      <c r="A4055" s="274"/>
      <c r="B4055" s="274"/>
      <c r="C4055" s="274"/>
      <c r="D4055" s="274"/>
      <c r="E4055" s="283"/>
      <c r="F4055" s="283"/>
      <c r="G4055" s="320"/>
      <c r="H4055" s="320"/>
      <c r="I4055" s="228"/>
      <c r="J4055" s="228"/>
      <c r="K4055" s="233"/>
      <c r="L4055" s="197"/>
      <c r="M4055" s="197"/>
      <c r="N4055" s="197"/>
      <c r="O4055" s="197"/>
    </row>
    <row r="4056" spans="1:15">
      <c r="A4056" s="274"/>
      <c r="B4056" s="274"/>
      <c r="C4056" s="274"/>
      <c r="D4056" s="274"/>
      <c r="E4056" s="283"/>
      <c r="F4056" s="283"/>
      <c r="G4056" s="320"/>
      <c r="H4056" s="320"/>
      <c r="I4056" s="228"/>
      <c r="J4056" s="228"/>
      <c r="K4056" s="233"/>
      <c r="L4056" s="197"/>
      <c r="M4056" s="197"/>
      <c r="N4056" s="197"/>
      <c r="O4056" s="197"/>
    </row>
    <row r="4057" spans="1:15">
      <c r="A4057" s="274"/>
      <c r="B4057" s="274"/>
      <c r="C4057" s="274"/>
      <c r="D4057" s="274"/>
      <c r="E4057" s="283"/>
      <c r="F4057" s="283"/>
      <c r="G4057" s="320"/>
      <c r="H4057" s="320"/>
      <c r="I4057" s="228"/>
      <c r="J4057" s="228"/>
      <c r="K4057" s="233"/>
      <c r="L4057" s="197"/>
      <c r="M4057" s="197"/>
      <c r="N4057" s="197"/>
      <c r="O4057" s="197"/>
    </row>
    <row r="4058" spans="1:15">
      <c r="A4058" s="274"/>
      <c r="B4058" s="274"/>
      <c r="C4058" s="274"/>
      <c r="D4058" s="274"/>
      <c r="E4058" s="283"/>
      <c r="F4058" s="283"/>
      <c r="G4058" s="320"/>
      <c r="H4058" s="320"/>
      <c r="I4058" s="228"/>
      <c r="J4058" s="228"/>
      <c r="K4058" s="233"/>
      <c r="L4058" s="197"/>
      <c r="M4058" s="197"/>
      <c r="N4058" s="197"/>
      <c r="O4058" s="197"/>
    </row>
    <row r="4059" spans="1:15">
      <c r="A4059" s="274"/>
      <c r="B4059" s="274"/>
      <c r="C4059" s="274"/>
      <c r="D4059" s="274"/>
      <c r="E4059" s="283"/>
      <c r="F4059" s="283"/>
      <c r="G4059" s="320"/>
      <c r="H4059" s="320"/>
      <c r="I4059" s="228"/>
      <c r="J4059" s="228"/>
      <c r="K4059" s="233"/>
      <c r="L4059" s="197"/>
      <c r="M4059" s="197"/>
      <c r="N4059" s="197"/>
      <c r="O4059" s="197"/>
    </row>
    <row r="4060" spans="1:15">
      <c r="A4060" s="274"/>
      <c r="B4060" s="274"/>
      <c r="C4060" s="274"/>
      <c r="D4060" s="274"/>
      <c r="E4060" s="283"/>
      <c r="F4060" s="283"/>
      <c r="G4060" s="320"/>
      <c r="H4060" s="320"/>
      <c r="I4060" s="228"/>
      <c r="J4060" s="228"/>
      <c r="K4060" s="233"/>
      <c r="L4060" s="197"/>
      <c r="M4060" s="197"/>
      <c r="N4060" s="197"/>
      <c r="O4060" s="197"/>
    </row>
    <row r="4061" spans="1:15">
      <c r="A4061" s="274"/>
      <c r="B4061" s="274"/>
      <c r="C4061" s="274"/>
      <c r="D4061" s="274"/>
      <c r="E4061" s="283"/>
      <c r="F4061" s="283"/>
      <c r="G4061" s="320"/>
      <c r="H4061" s="320"/>
      <c r="I4061" s="228"/>
      <c r="J4061" s="228"/>
      <c r="K4061" s="233"/>
      <c r="L4061" s="197"/>
      <c r="M4061" s="197"/>
      <c r="N4061" s="197"/>
      <c r="O4061" s="197"/>
    </row>
    <row r="4062" spans="1:15">
      <c r="A4062" s="274"/>
      <c r="B4062" s="274"/>
      <c r="C4062" s="274"/>
      <c r="D4062" s="274"/>
      <c r="E4062" s="283"/>
      <c r="F4062" s="283"/>
      <c r="G4062" s="320"/>
      <c r="H4062" s="320"/>
      <c r="I4062" s="228"/>
      <c r="J4062" s="228"/>
      <c r="K4062" s="233"/>
      <c r="L4062" s="197"/>
      <c r="M4062" s="197"/>
      <c r="N4062" s="197"/>
      <c r="O4062" s="197"/>
    </row>
    <row r="4063" spans="1:15">
      <c r="A4063" s="274"/>
      <c r="B4063" s="274"/>
      <c r="C4063" s="274"/>
      <c r="D4063" s="274"/>
      <c r="E4063" s="283"/>
      <c r="F4063" s="283"/>
      <c r="G4063" s="320"/>
      <c r="H4063" s="320"/>
      <c r="I4063" s="228"/>
      <c r="J4063" s="228"/>
      <c r="K4063" s="233"/>
      <c r="L4063" s="197"/>
      <c r="M4063" s="197"/>
      <c r="N4063" s="197"/>
      <c r="O4063" s="197"/>
    </row>
    <row r="4064" spans="1:15">
      <c r="A4064" s="274"/>
      <c r="B4064" s="274"/>
      <c r="C4064" s="274"/>
      <c r="D4064" s="274"/>
      <c r="E4064" s="283"/>
      <c r="F4064" s="283"/>
      <c r="G4064" s="320"/>
      <c r="H4064" s="320"/>
      <c r="I4064" s="228"/>
      <c r="J4064" s="228"/>
      <c r="K4064" s="233"/>
      <c r="L4064" s="197"/>
      <c r="M4064" s="197"/>
      <c r="N4064" s="197"/>
      <c r="O4064" s="197"/>
    </row>
    <row r="4065" spans="1:15">
      <c r="A4065" s="274"/>
      <c r="B4065" s="274"/>
      <c r="C4065" s="274"/>
      <c r="D4065" s="274"/>
      <c r="E4065" s="283"/>
      <c r="F4065" s="283"/>
      <c r="G4065" s="320"/>
      <c r="H4065" s="320"/>
      <c r="I4065" s="228"/>
      <c r="J4065" s="228"/>
      <c r="K4065" s="233"/>
      <c r="L4065" s="197"/>
      <c r="M4065" s="197"/>
      <c r="N4065" s="197"/>
      <c r="O4065" s="197"/>
    </row>
    <row r="4066" spans="1:15">
      <c r="A4066" s="274"/>
      <c r="B4066" s="274"/>
      <c r="C4066" s="274"/>
      <c r="D4066" s="274"/>
      <c r="E4066" s="283"/>
      <c r="F4066" s="283"/>
      <c r="G4066" s="320"/>
      <c r="H4066" s="320"/>
      <c r="I4066" s="228"/>
      <c r="J4066" s="228"/>
      <c r="K4066" s="233"/>
      <c r="L4066" s="197"/>
      <c r="M4066" s="197"/>
      <c r="N4066" s="197"/>
      <c r="O4066" s="197"/>
    </row>
    <row r="4067" spans="1:15">
      <c r="A4067" s="274"/>
      <c r="B4067" s="274"/>
      <c r="C4067" s="274"/>
      <c r="D4067" s="274"/>
      <c r="E4067" s="283"/>
      <c r="F4067" s="283"/>
      <c r="G4067" s="320"/>
      <c r="H4067" s="320"/>
      <c r="I4067" s="228"/>
      <c r="J4067" s="228"/>
      <c r="K4067" s="233"/>
      <c r="L4067" s="197"/>
      <c r="M4067" s="197"/>
      <c r="N4067" s="197"/>
      <c r="O4067" s="197"/>
    </row>
    <row r="4068" spans="1:15">
      <c r="A4068" s="274"/>
      <c r="B4068" s="274"/>
      <c r="C4068" s="274"/>
      <c r="D4068" s="274"/>
      <c r="E4068" s="283"/>
      <c r="F4068" s="283"/>
      <c r="G4068" s="320"/>
      <c r="H4068" s="320"/>
      <c r="I4068" s="228"/>
      <c r="J4068" s="228"/>
      <c r="K4068" s="233"/>
      <c r="L4068" s="197"/>
      <c r="M4068" s="197"/>
      <c r="N4068" s="197"/>
      <c r="O4068" s="197"/>
    </row>
    <row r="4069" spans="1:15">
      <c r="A4069" s="274"/>
      <c r="B4069" s="274"/>
      <c r="C4069" s="274"/>
      <c r="D4069" s="274"/>
      <c r="E4069" s="283"/>
      <c r="F4069" s="283"/>
      <c r="G4069" s="320"/>
      <c r="H4069" s="320"/>
      <c r="I4069" s="228"/>
      <c r="J4069" s="228"/>
      <c r="K4069" s="233"/>
      <c r="L4069" s="197"/>
      <c r="M4069" s="197"/>
      <c r="N4069" s="197"/>
      <c r="O4069" s="197"/>
    </row>
    <row r="4070" spans="1:15">
      <c r="A4070" s="274"/>
      <c r="B4070" s="274"/>
      <c r="C4070" s="274"/>
      <c r="D4070" s="274"/>
      <c r="E4070" s="283"/>
      <c r="F4070" s="283"/>
      <c r="G4070" s="320"/>
      <c r="H4070" s="320"/>
      <c r="I4070" s="228"/>
      <c r="J4070" s="228"/>
      <c r="K4070" s="233"/>
      <c r="L4070" s="197"/>
      <c r="M4070" s="197"/>
      <c r="N4070" s="197"/>
      <c r="O4070" s="197"/>
    </row>
    <row r="4071" spans="1:15">
      <c r="A4071" s="274"/>
      <c r="B4071" s="274"/>
      <c r="C4071" s="274"/>
      <c r="D4071" s="274"/>
      <c r="E4071" s="283"/>
      <c r="F4071" s="283"/>
      <c r="G4071" s="320"/>
      <c r="H4071" s="320"/>
      <c r="I4071" s="228"/>
      <c r="J4071" s="228"/>
      <c r="K4071" s="233"/>
      <c r="L4071" s="197"/>
      <c r="M4071" s="197"/>
      <c r="N4071" s="197"/>
      <c r="O4071" s="197"/>
    </row>
    <row r="4072" spans="1:15">
      <c r="A4072" s="274"/>
      <c r="B4072" s="274"/>
      <c r="C4072" s="274"/>
      <c r="D4072" s="274"/>
      <c r="E4072" s="283"/>
      <c r="F4072" s="283"/>
      <c r="G4072" s="320"/>
      <c r="H4072" s="320"/>
      <c r="I4072" s="228"/>
      <c r="J4072" s="228"/>
      <c r="K4072" s="233"/>
      <c r="L4072" s="197"/>
      <c r="M4072" s="197"/>
      <c r="N4072" s="197"/>
      <c r="O4072" s="197"/>
    </row>
    <row r="4073" spans="1:15">
      <c r="A4073" s="274"/>
      <c r="B4073" s="274"/>
      <c r="C4073" s="274"/>
      <c r="D4073" s="274"/>
      <c r="E4073" s="283"/>
      <c r="F4073" s="283"/>
      <c r="G4073" s="320"/>
      <c r="H4073" s="320"/>
      <c r="I4073" s="228"/>
      <c r="J4073" s="228"/>
      <c r="K4073" s="233"/>
      <c r="L4073" s="197"/>
      <c r="M4073" s="197"/>
      <c r="N4073" s="197"/>
      <c r="O4073" s="197"/>
    </row>
    <row r="4074" spans="1:15">
      <c r="A4074" s="274"/>
      <c r="B4074" s="274"/>
      <c r="C4074" s="274"/>
      <c r="D4074" s="274"/>
      <c r="E4074" s="283"/>
      <c r="F4074" s="283"/>
      <c r="G4074" s="320"/>
      <c r="H4074" s="320"/>
      <c r="I4074" s="228"/>
      <c r="J4074" s="228"/>
      <c r="K4074" s="233"/>
      <c r="L4074" s="197"/>
      <c r="M4074" s="197"/>
      <c r="N4074" s="197"/>
      <c r="O4074" s="197"/>
    </row>
    <row r="4075" spans="1:15">
      <c r="A4075" s="274"/>
      <c r="B4075" s="274"/>
      <c r="C4075" s="274"/>
      <c r="D4075" s="274"/>
      <c r="E4075" s="283"/>
      <c r="F4075" s="283"/>
      <c r="G4075" s="320"/>
      <c r="H4075" s="320"/>
      <c r="I4075" s="228"/>
      <c r="J4075" s="228"/>
      <c r="K4075" s="233"/>
      <c r="L4075" s="197"/>
      <c r="M4075" s="197"/>
      <c r="N4075" s="197"/>
      <c r="O4075" s="197"/>
    </row>
    <row r="4076" spans="1:15">
      <c r="A4076" s="274"/>
      <c r="B4076" s="274"/>
      <c r="C4076" s="274"/>
      <c r="D4076" s="274"/>
      <c r="E4076" s="283"/>
      <c r="F4076" s="283"/>
      <c r="G4076" s="320"/>
      <c r="H4076" s="320"/>
      <c r="I4076" s="228"/>
      <c r="J4076" s="228"/>
      <c r="K4076" s="233"/>
      <c r="L4076" s="197"/>
      <c r="M4076" s="197"/>
      <c r="N4076" s="197"/>
      <c r="O4076" s="197"/>
    </row>
    <row r="4077" spans="1:15">
      <c r="A4077" s="274"/>
      <c r="B4077" s="274"/>
      <c r="C4077" s="274"/>
      <c r="D4077" s="274"/>
      <c r="E4077" s="283"/>
      <c r="F4077" s="283"/>
      <c r="G4077" s="320"/>
      <c r="H4077" s="320"/>
      <c r="I4077" s="228"/>
      <c r="J4077" s="228"/>
      <c r="K4077" s="233"/>
      <c r="L4077" s="197"/>
      <c r="M4077" s="197"/>
      <c r="N4077" s="197"/>
      <c r="O4077" s="197"/>
    </row>
    <row r="4078" spans="1:15">
      <c r="A4078" s="274"/>
      <c r="B4078" s="274"/>
      <c r="C4078" s="274"/>
      <c r="D4078" s="274"/>
      <c r="E4078" s="283"/>
      <c r="F4078" s="283"/>
      <c r="G4078" s="320"/>
      <c r="H4078" s="320"/>
      <c r="I4078" s="228"/>
      <c r="J4078" s="228"/>
      <c r="K4078" s="233"/>
      <c r="L4078" s="197"/>
      <c r="M4078" s="197"/>
      <c r="N4078" s="197"/>
      <c r="O4078" s="197"/>
    </row>
    <row r="4079" spans="1:15">
      <c r="A4079" s="274"/>
      <c r="B4079" s="274"/>
      <c r="C4079" s="274"/>
      <c r="D4079" s="274"/>
      <c r="E4079" s="283"/>
      <c r="F4079" s="283"/>
      <c r="G4079" s="320"/>
      <c r="H4079" s="320"/>
      <c r="I4079" s="228"/>
      <c r="J4079" s="228"/>
      <c r="K4079" s="233"/>
      <c r="L4079" s="197"/>
      <c r="M4079" s="197"/>
      <c r="N4079" s="197"/>
      <c r="O4079" s="197"/>
    </row>
    <row r="4080" spans="1:15">
      <c r="A4080" s="274"/>
      <c r="B4080" s="274"/>
      <c r="C4080" s="274"/>
      <c r="D4080" s="274"/>
      <c r="E4080" s="283"/>
      <c r="F4080" s="283"/>
      <c r="G4080" s="320"/>
      <c r="H4080" s="320"/>
      <c r="I4080" s="228"/>
      <c r="J4080" s="228"/>
      <c r="K4080" s="233"/>
      <c r="L4080" s="197"/>
      <c r="M4080" s="197"/>
      <c r="N4080" s="197"/>
      <c r="O4080" s="197"/>
    </row>
    <row r="4081" spans="1:15">
      <c r="A4081" s="274"/>
      <c r="B4081" s="274"/>
      <c r="C4081" s="274"/>
      <c r="D4081" s="274"/>
      <c r="E4081" s="283"/>
      <c r="F4081" s="283"/>
      <c r="G4081" s="320"/>
      <c r="H4081" s="320"/>
      <c r="I4081" s="228"/>
      <c r="J4081" s="228"/>
      <c r="K4081" s="233"/>
      <c r="L4081" s="197"/>
      <c r="M4081" s="197"/>
      <c r="N4081" s="197"/>
      <c r="O4081" s="197"/>
    </row>
    <row r="4082" spans="1:15">
      <c r="A4082" s="274"/>
      <c r="B4082" s="274"/>
      <c r="C4082" s="274"/>
      <c r="D4082" s="274"/>
      <c r="E4082" s="283"/>
      <c r="F4082" s="283"/>
      <c r="G4082" s="320"/>
      <c r="H4082" s="320"/>
      <c r="I4082" s="228"/>
      <c r="J4082" s="228"/>
      <c r="K4082" s="233"/>
      <c r="L4082" s="197"/>
      <c r="M4082" s="197"/>
      <c r="N4082" s="197"/>
      <c r="O4082" s="197"/>
    </row>
    <row r="4083" spans="1:15">
      <c r="A4083" s="274"/>
      <c r="B4083" s="274"/>
      <c r="C4083" s="274"/>
      <c r="D4083" s="274"/>
      <c r="E4083" s="283"/>
      <c r="F4083" s="283"/>
      <c r="G4083" s="320"/>
      <c r="H4083" s="320"/>
      <c r="I4083" s="228"/>
      <c r="J4083" s="228"/>
      <c r="K4083" s="233"/>
      <c r="L4083" s="197"/>
      <c r="M4083" s="197"/>
      <c r="N4083" s="197"/>
      <c r="O4083" s="197"/>
    </row>
    <row r="4084" spans="1:15">
      <c r="A4084" s="274"/>
      <c r="B4084" s="274"/>
      <c r="C4084" s="274"/>
      <c r="D4084" s="274"/>
      <c r="E4084" s="283"/>
      <c r="F4084" s="283"/>
      <c r="G4084" s="320"/>
      <c r="H4084" s="320"/>
      <c r="I4084" s="228"/>
      <c r="J4084" s="228"/>
      <c r="K4084" s="233"/>
      <c r="L4084" s="197"/>
      <c r="M4084" s="197"/>
      <c r="N4084" s="197"/>
      <c r="O4084" s="197"/>
    </row>
    <row r="4085" spans="1:15">
      <c r="A4085" s="274"/>
      <c r="B4085" s="274"/>
      <c r="C4085" s="274"/>
      <c r="D4085" s="274"/>
      <c r="E4085" s="283"/>
      <c r="F4085" s="283"/>
      <c r="G4085" s="320"/>
      <c r="H4085" s="320"/>
      <c r="I4085" s="228"/>
      <c r="J4085" s="228"/>
      <c r="K4085" s="233"/>
      <c r="L4085" s="197"/>
      <c r="M4085" s="197"/>
      <c r="N4085" s="197"/>
      <c r="O4085" s="197"/>
    </row>
    <row r="4086" spans="1:15">
      <c r="A4086" s="274"/>
      <c r="B4086" s="274"/>
      <c r="C4086" s="274"/>
      <c r="D4086" s="274"/>
      <c r="E4086" s="283"/>
      <c r="F4086" s="283"/>
      <c r="G4086" s="320"/>
      <c r="H4086" s="320"/>
      <c r="I4086" s="228"/>
      <c r="J4086" s="228"/>
      <c r="K4086" s="233"/>
      <c r="L4086" s="197"/>
      <c r="M4086" s="197"/>
      <c r="N4086" s="197"/>
      <c r="O4086" s="197"/>
    </row>
    <row r="4087" spans="1:15">
      <c r="A4087" s="274"/>
      <c r="B4087" s="274"/>
      <c r="C4087" s="274"/>
      <c r="D4087" s="274"/>
      <c r="E4087" s="283"/>
      <c r="F4087" s="283"/>
      <c r="G4087" s="320"/>
      <c r="H4087" s="320"/>
      <c r="I4087" s="228"/>
      <c r="J4087" s="228"/>
      <c r="K4087" s="233"/>
      <c r="L4087" s="197"/>
      <c r="M4087" s="197"/>
      <c r="N4087" s="197"/>
      <c r="O4087" s="197"/>
    </row>
    <row r="4088" spans="1:15">
      <c r="A4088" s="274"/>
      <c r="B4088" s="274"/>
      <c r="C4088" s="274"/>
      <c r="D4088" s="274"/>
      <c r="E4088" s="283"/>
      <c r="F4088" s="283"/>
      <c r="G4088" s="320"/>
      <c r="H4088" s="320"/>
      <c r="I4088" s="228"/>
      <c r="J4088" s="228"/>
      <c r="K4088" s="233"/>
      <c r="L4088" s="197"/>
      <c r="M4088" s="197"/>
      <c r="N4088" s="197"/>
      <c r="O4088" s="197"/>
    </row>
    <row r="4089" spans="1:15">
      <c r="A4089" s="274"/>
      <c r="B4089" s="274"/>
      <c r="C4089" s="274"/>
      <c r="D4089" s="274"/>
      <c r="E4089" s="283"/>
      <c r="F4089" s="283"/>
      <c r="G4089" s="320"/>
      <c r="H4089" s="320"/>
      <c r="I4089" s="228"/>
      <c r="J4089" s="228"/>
      <c r="K4089" s="233"/>
      <c r="L4089" s="197"/>
      <c r="M4089" s="197"/>
      <c r="N4089" s="197"/>
      <c r="O4089" s="197"/>
    </row>
    <row r="4090" spans="1:15">
      <c r="A4090" s="274"/>
      <c r="B4090" s="274"/>
      <c r="C4090" s="274"/>
      <c r="D4090" s="274"/>
      <c r="E4090" s="283"/>
      <c r="F4090" s="283"/>
      <c r="G4090" s="320"/>
      <c r="H4090" s="320"/>
      <c r="I4090" s="228"/>
      <c r="J4090" s="228"/>
      <c r="K4090" s="233"/>
      <c r="L4090" s="197"/>
      <c r="M4090" s="197"/>
      <c r="N4090" s="197"/>
      <c r="O4090" s="197"/>
    </row>
    <row r="4091" spans="1:15">
      <c r="A4091" s="274"/>
      <c r="B4091" s="274"/>
      <c r="C4091" s="274"/>
      <c r="D4091" s="274"/>
      <c r="E4091" s="283"/>
      <c r="F4091" s="283"/>
      <c r="G4091" s="320"/>
      <c r="H4091" s="320"/>
      <c r="I4091" s="228"/>
      <c r="J4091" s="228"/>
      <c r="K4091" s="233"/>
      <c r="L4091" s="197"/>
      <c r="M4091" s="197"/>
      <c r="N4091" s="197"/>
      <c r="O4091" s="197"/>
    </row>
    <row r="4092" spans="1:15">
      <c r="A4092" s="274"/>
      <c r="B4092" s="274"/>
      <c r="C4092" s="274"/>
      <c r="D4092" s="274"/>
      <c r="E4092" s="283"/>
      <c r="F4092" s="283"/>
      <c r="G4092" s="320"/>
      <c r="H4092" s="320"/>
      <c r="I4092" s="228"/>
      <c r="J4092" s="228"/>
      <c r="K4092" s="233"/>
      <c r="L4092" s="197"/>
      <c r="M4092" s="197"/>
      <c r="N4092" s="197"/>
      <c r="O4092" s="197"/>
    </row>
    <row r="4093" spans="1:15">
      <c r="A4093" s="274"/>
      <c r="B4093" s="274"/>
      <c r="C4093" s="274"/>
      <c r="D4093" s="274"/>
      <c r="E4093" s="283"/>
      <c r="F4093" s="283"/>
      <c r="G4093" s="320"/>
      <c r="H4093" s="320"/>
      <c r="I4093" s="228"/>
      <c r="J4093" s="228"/>
      <c r="K4093" s="233"/>
      <c r="L4093" s="197"/>
      <c r="M4093" s="197"/>
      <c r="N4093" s="197"/>
      <c r="O4093" s="197"/>
    </row>
    <row r="4094" spans="1:15">
      <c r="A4094" s="274"/>
      <c r="B4094" s="274"/>
      <c r="C4094" s="274"/>
      <c r="D4094" s="274"/>
      <c r="E4094" s="283"/>
      <c r="F4094" s="283"/>
      <c r="G4094" s="320"/>
      <c r="H4094" s="320"/>
      <c r="I4094" s="228"/>
      <c r="J4094" s="228"/>
      <c r="K4094" s="233"/>
      <c r="L4094" s="197"/>
      <c r="M4094" s="197"/>
      <c r="N4094" s="197"/>
      <c r="O4094" s="197"/>
    </row>
    <row r="4095" spans="1:15">
      <c r="A4095" s="274"/>
      <c r="B4095" s="274"/>
      <c r="C4095" s="274"/>
      <c r="D4095" s="274"/>
      <c r="E4095" s="283"/>
      <c r="F4095" s="283"/>
      <c r="G4095" s="320"/>
      <c r="H4095" s="320"/>
      <c r="I4095" s="228"/>
      <c r="J4095" s="228"/>
      <c r="K4095" s="233"/>
      <c r="L4095" s="197"/>
      <c r="M4095" s="197"/>
      <c r="N4095" s="197"/>
      <c r="O4095" s="197"/>
    </row>
    <row r="4096" spans="1:15">
      <c r="A4096" s="274"/>
      <c r="B4096" s="274"/>
      <c r="C4096" s="274"/>
      <c r="D4096" s="274"/>
      <c r="E4096" s="283"/>
      <c r="F4096" s="283"/>
      <c r="G4096" s="320"/>
      <c r="H4096" s="320"/>
      <c r="I4096" s="228"/>
      <c r="J4096" s="228"/>
      <c r="K4096" s="233"/>
      <c r="L4096" s="197"/>
      <c r="M4096" s="197"/>
      <c r="N4096" s="197"/>
      <c r="O4096" s="197"/>
    </row>
    <row r="4097" spans="1:15">
      <c r="A4097" s="274"/>
      <c r="B4097" s="274"/>
      <c r="C4097" s="274"/>
      <c r="D4097" s="274"/>
      <c r="E4097" s="283"/>
      <c r="F4097" s="283"/>
      <c r="G4097" s="320"/>
      <c r="H4097" s="320"/>
      <c r="I4097" s="228"/>
      <c r="J4097" s="228"/>
      <c r="K4097" s="233"/>
      <c r="L4097" s="197"/>
      <c r="M4097" s="197"/>
      <c r="N4097" s="197"/>
      <c r="O4097" s="197"/>
    </row>
    <row r="4098" spans="1:15">
      <c r="A4098" s="274"/>
      <c r="B4098" s="274"/>
      <c r="C4098" s="274"/>
      <c r="D4098" s="274"/>
      <c r="E4098" s="283"/>
      <c r="F4098" s="283"/>
      <c r="G4098" s="320"/>
      <c r="H4098" s="320"/>
      <c r="I4098" s="228"/>
      <c r="J4098" s="228"/>
      <c r="K4098" s="233"/>
      <c r="L4098" s="197"/>
      <c r="M4098" s="197"/>
      <c r="N4098" s="197"/>
      <c r="O4098" s="197"/>
    </row>
    <row r="4099" spans="1:15">
      <c r="A4099" s="274"/>
      <c r="B4099" s="274"/>
      <c r="C4099" s="274"/>
      <c r="D4099" s="274"/>
      <c r="E4099" s="283"/>
      <c r="F4099" s="283"/>
      <c r="G4099" s="320"/>
      <c r="H4099" s="320"/>
      <c r="I4099" s="228"/>
      <c r="J4099" s="228"/>
      <c r="K4099" s="233"/>
      <c r="L4099" s="197"/>
      <c r="M4099" s="197"/>
      <c r="N4099" s="197"/>
      <c r="O4099" s="197"/>
    </row>
    <row r="4100" spans="1:15">
      <c r="A4100" s="274"/>
      <c r="B4100" s="274"/>
      <c r="C4100" s="274"/>
      <c r="D4100" s="274"/>
      <c r="E4100" s="283"/>
      <c r="F4100" s="283"/>
      <c r="G4100" s="320"/>
      <c r="H4100" s="320"/>
      <c r="I4100" s="228"/>
      <c r="J4100" s="228"/>
      <c r="K4100" s="233"/>
      <c r="L4100" s="197"/>
      <c r="M4100" s="197"/>
      <c r="N4100" s="197"/>
      <c r="O4100" s="197"/>
    </row>
    <row r="4101" spans="1:15">
      <c r="A4101" s="274"/>
      <c r="B4101" s="274"/>
      <c r="C4101" s="274"/>
      <c r="D4101" s="274"/>
      <c r="E4101" s="283"/>
      <c r="F4101" s="283"/>
      <c r="G4101" s="320"/>
      <c r="H4101" s="320"/>
      <c r="I4101" s="228"/>
      <c r="J4101" s="228"/>
      <c r="K4101" s="233"/>
      <c r="L4101" s="197"/>
      <c r="M4101" s="197"/>
      <c r="N4101" s="197"/>
      <c r="O4101" s="197"/>
    </row>
    <row r="4102" spans="1:15">
      <c r="A4102" s="274"/>
      <c r="B4102" s="274"/>
      <c r="C4102" s="274"/>
      <c r="D4102" s="274"/>
      <c r="E4102" s="283"/>
      <c r="F4102" s="283"/>
      <c r="G4102" s="320"/>
      <c r="H4102" s="320"/>
      <c r="I4102" s="228"/>
      <c r="J4102" s="228"/>
      <c r="K4102" s="233"/>
      <c r="L4102" s="197"/>
      <c r="M4102" s="197"/>
      <c r="N4102" s="197"/>
      <c r="O4102" s="197"/>
    </row>
    <row r="4103" spans="1:15">
      <c r="A4103" s="274"/>
      <c r="B4103" s="274"/>
      <c r="C4103" s="274"/>
      <c r="D4103" s="274"/>
      <c r="E4103" s="283"/>
      <c r="F4103" s="283"/>
      <c r="G4103" s="320"/>
      <c r="H4103" s="320"/>
      <c r="I4103" s="228"/>
      <c r="J4103" s="228"/>
      <c r="K4103" s="233"/>
      <c r="L4103" s="197"/>
      <c r="M4103" s="197"/>
      <c r="N4103" s="197"/>
      <c r="O4103" s="197"/>
    </row>
    <row r="4104" spans="1:15">
      <c r="A4104" s="274"/>
      <c r="B4104" s="274"/>
      <c r="C4104" s="274"/>
      <c r="D4104" s="274"/>
      <c r="E4104" s="283"/>
      <c r="F4104" s="283"/>
      <c r="G4104" s="320"/>
      <c r="H4104" s="320"/>
      <c r="I4104" s="228"/>
      <c r="J4104" s="228"/>
      <c r="K4104" s="233"/>
      <c r="L4104" s="197"/>
      <c r="M4104" s="197"/>
      <c r="N4104" s="197"/>
      <c r="O4104" s="197"/>
    </row>
    <row r="4105" spans="1:15">
      <c r="A4105" s="274"/>
      <c r="B4105" s="274"/>
      <c r="C4105" s="274"/>
      <c r="D4105" s="274"/>
      <c r="E4105" s="283"/>
      <c r="F4105" s="283"/>
      <c r="G4105" s="320"/>
      <c r="H4105" s="320"/>
      <c r="I4105" s="228"/>
      <c r="J4105" s="228"/>
      <c r="K4105" s="233"/>
      <c r="L4105" s="197"/>
      <c r="M4105" s="197"/>
      <c r="N4105" s="197"/>
      <c r="O4105" s="197"/>
    </row>
    <row r="4106" spans="1:15">
      <c r="A4106" s="274"/>
      <c r="B4106" s="274"/>
      <c r="C4106" s="274"/>
      <c r="D4106" s="274"/>
      <c r="E4106" s="283"/>
      <c r="F4106" s="283"/>
      <c r="G4106" s="320"/>
      <c r="H4106" s="320"/>
      <c r="I4106" s="228"/>
      <c r="J4106" s="228"/>
      <c r="K4106" s="233"/>
      <c r="L4106" s="197"/>
      <c r="M4106" s="197"/>
      <c r="N4106" s="197"/>
      <c r="O4106" s="197"/>
    </row>
    <row r="4107" spans="1:15">
      <c r="A4107" s="274"/>
      <c r="B4107" s="274"/>
      <c r="C4107" s="274"/>
      <c r="D4107" s="274"/>
      <c r="E4107" s="283"/>
      <c r="F4107" s="283"/>
      <c r="G4107" s="320"/>
      <c r="H4107" s="320"/>
      <c r="I4107" s="228"/>
      <c r="J4107" s="228"/>
      <c r="K4107" s="233"/>
      <c r="L4107" s="197"/>
      <c r="M4107" s="197"/>
      <c r="N4107" s="197"/>
      <c r="O4107" s="197"/>
    </row>
    <row r="4108" spans="1:15">
      <c r="A4108" s="274"/>
      <c r="B4108" s="274"/>
      <c r="C4108" s="274"/>
      <c r="D4108" s="274"/>
      <c r="E4108" s="283"/>
      <c r="F4108" s="283"/>
      <c r="G4108" s="320"/>
      <c r="H4108" s="320"/>
      <c r="I4108" s="228"/>
      <c r="J4108" s="228"/>
      <c r="K4108" s="233"/>
      <c r="L4108" s="197"/>
      <c r="M4108" s="197"/>
      <c r="N4108" s="197"/>
      <c r="O4108" s="197"/>
    </row>
    <row r="4109" spans="1:15">
      <c r="A4109" s="274"/>
      <c r="B4109" s="274"/>
      <c r="C4109" s="274"/>
      <c r="D4109" s="274"/>
      <c r="E4109" s="283"/>
      <c r="F4109" s="283"/>
      <c r="G4109" s="320"/>
      <c r="H4109" s="320"/>
      <c r="I4109" s="228"/>
      <c r="J4109" s="228"/>
      <c r="K4109" s="233"/>
      <c r="L4109" s="197"/>
      <c r="M4109" s="197"/>
      <c r="N4109" s="197"/>
      <c r="O4109" s="197"/>
    </row>
    <row r="4110" spans="1:15">
      <c r="A4110" s="274"/>
      <c r="B4110" s="274"/>
      <c r="C4110" s="274"/>
      <c r="D4110" s="274"/>
      <c r="E4110" s="283"/>
      <c r="F4110" s="283"/>
      <c r="G4110" s="320"/>
      <c r="H4110" s="320"/>
      <c r="I4110" s="228"/>
      <c r="J4110" s="228"/>
      <c r="K4110" s="233"/>
      <c r="L4110" s="197"/>
      <c r="M4110" s="197"/>
      <c r="N4110" s="197"/>
      <c r="O4110" s="197"/>
    </row>
  </sheetData>
  <autoFilter ref="A1:K2786" xr:uid="{00000000-0009-0000-0000-000002000000}">
    <filterColumn colId="5">
      <filters>
        <filter val="Agosto"/>
        <filter val="fevereiro"/>
        <filter val="Julho"/>
        <filter val="março"/>
      </filters>
    </filterColumn>
  </autoFilter>
  <hyperlinks>
    <hyperlink ref="D210" r:id="rId1" xr:uid="{00000000-0004-0000-0200-000000000000}"/>
    <hyperlink ref="D664" r:id="rId2" xr:uid="{00000000-0004-0000-0200-000001000000}"/>
    <hyperlink ref="K677" r:id="rId3" location="gid=675069016" xr:uid="{00000000-0004-0000-0200-000002000000}"/>
    <hyperlink ref="K678" r:id="rId4" location="gid=675069016" xr:uid="{00000000-0004-0000-0200-000003000000}"/>
    <hyperlink ref="K679" r:id="rId5" location="gid=675069016" xr:uid="{00000000-0004-0000-0200-000004000000}"/>
    <hyperlink ref="K680" r:id="rId6" location="gid=675069016" xr:uid="{00000000-0004-0000-0200-000005000000}"/>
    <hyperlink ref="D730" r:id="rId7" xr:uid="{00000000-0004-0000-0200-000006000000}"/>
    <hyperlink ref="D731" r:id="rId8" xr:uid="{00000000-0004-0000-0200-000007000000}"/>
    <hyperlink ref="K734" r:id="rId9" location="gid=675069016" xr:uid="{00000000-0004-0000-0200-000008000000}"/>
    <hyperlink ref="K738" r:id="rId10" location="gid=675069016" xr:uid="{00000000-0004-0000-0200-000009000000}"/>
    <hyperlink ref="K766" r:id="rId11" location="gid=675069016" xr:uid="{00000000-0004-0000-0200-00000A000000}"/>
    <hyperlink ref="D810" r:id="rId12" xr:uid="{00000000-0004-0000-0200-00000B000000}"/>
    <hyperlink ref="D811" r:id="rId13" xr:uid="{00000000-0004-0000-0200-00000C000000}"/>
    <hyperlink ref="D1563" r:id="rId14" xr:uid="{00000000-0004-0000-0200-00000D000000}"/>
    <hyperlink ref="D1564" r:id="rId15" xr:uid="{00000000-0004-0000-0200-00000E000000}"/>
    <hyperlink ref="D1896" r:id="rId16" xr:uid="{00000000-0004-0000-0200-00000F000000}"/>
    <hyperlink ref="D1897" r:id="rId17" xr:uid="{00000000-0004-0000-0200-000010000000}"/>
    <hyperlink ref="D1898" r:id="rId18" xr:uid="{00000000-0004-0000-0200-000011000000}"/>
    <hyperlink ref="D1899" r:id="rId19" xr:uid="{00000000-0004-0000-0200-000012000000}"/>
    <hyperlink ref="D2268" r:id="rId20" xr:uid="{00000000-0004-0000-0200-000013000000}"/>
    <hyperlink ref="D2287" r:id="rId21" xr:uid="{00000000-0004-0000-0200-000014000000}"/>
    <hyperlink ref="D2289" r:id="rId22" xr:uid="{00000000-0004-0000-0200-000015000000}"/>
    <hyperlink ref="D2665" r:id="rId23" xr:uid="{00000000-0004-0000-0200-000016000000}"/>
    <hyperlink ref="D2671" r:id="rId24" xr:uid="{00000000-0004-0000-0200-000017000000}"/>
  </hyperlinks>
  <pageMargins left="0.511811024" right="0.511811024" top="0.78740157499999996" bottom="0.78740157499999996" header="0.31496062000000002" footer="0.31496062000000002"/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708"/>
  <sheetViews>
    <sheetView workbookViewId="0"/>
  </sheetViews>
  <sheetFormatPr defaultColWidth="14.42578125" defaultRowHeight="15" customHeight="1"/>
  <sheetData>
    <row r="1" spans="1:13">
      <c r="A1" s="184" t="s">
        <v>131</v>
      </c>
      <c r="B1" s="185" t="s">
        <v>132</v>
      </c>
      <c r="C1" s="186" t="s">
        <v>135</v>
      </c>
      <c r="E1" s="754" t="s">
        <v>3330</v>
      </c>
      <c r="F1" s="754" t="s">
        <v>131</v>
      </c>
      <c r="G1" s="755"/>
      <c r="H1" s="756"/>
    </row>
    <row r="2" spans="1:13">
      <c r="A2" s="231" t="s">
        <v>268</v>
      </c>
      <c r="B2" s="204">
        <v>150</v>
      </c>
      <c r="C2" s="228" t="s">
        <v>206</v>
      </c>
      <c r="E2" s="754" t="s">
        <v>135</v>
      </c>
      <c r="F2" s="757" t="s">
        <v>268</v>
      </c>
      <c r="G2" s="758" t="s">
        <v>407</v>
      </c>
      <c r="H2" s="759" t="s">
        <v>3331</v>
      </c>
    </row>
    <row r="3" spans="1:13">
      <c r="A3" s="231" t="s">
        <v>268</v>
      </c>
      <c r="B3" s="204">
        <v>3385.05</v>
      </c>
      <c r="C3" s="228" t="s">
        <v>143</v>
      </c>
      <c r="E3" s="757" t="s">
        <v>192</v>
      </c>
      <c r="F3" s="760">
        <v>2745.92</v>
      </c>
      <c r="G3" s="761">
        <v>4455.2700000000004</v>
      </c>
      <c r="H3" s="762">
        <v>7201.1900000000005</v>
      </c>
      <c r="I3" s="334">
        <f t="shared" ref="I3:I17" si="0">G3</f>
        <v>4455.2700000000004</v>
      </c>
      <c r="J3" s="334">
        <f t="shared" ref="J3:J17" si="1">F3</f>
        <v>2745.92</v>
      </c>
    </row>
    <row r="4" spans="1:13">
      <c r="A4" s="247" t="s">
        <v>407</v>
      </c>
      <c r="B4" s="194">
        <v>214.44</v>
      </c>
      <c r="C4" s="227" t="s">
        <v>169</v>
      </c>
      <c r="E4" s="763" t="s">
        <v>476</v>
      </c>
      <c r="F4" s="764">
        <v>20817.190000000002</v>
      </c>
      <c r="G4" s="765">
        <v>7245.32</v>
      </c>
      <c r="H4" s="766">
        <v>28062.510000000002</v>
      </c>
      <c r="I4" s="334">
        <f t="shared" si="0"/>
        <v>7245.32</v>
      </c>
      <c r="J4" s="334">
        <f t="shared" si="1"/>
        <v>20817.190000000002</v>
      </c>
    </row>
    <row r="5" spans="1:13">
      <c r="A5" s="247" t="s">
        <v>407</v>
      </c>
      <c r="B5" s="194">
        <v>117.95</v>
      </c>
      <c r="C5" s="195" t="s">
        <v>316</v>
      </c>
      <c r="E5" s="763" t="s">
        <v>246</v>
      </c>
      <c r="F5" s="764">
        <v>9113.8599999999988</v>
      </c>
      <c r="G5" s="765">
        <v>11514.259999999998</v>
      </c>
      <c r="H5" s="766">
        <v>20628.119999999995</v>
      </c>
      <c r="I5" s="334">
        <f t="shared" si="0"/>
        <v>11514.259999999998</v>
      </c>
      <c r="J5" s="334">
        <f t="shared" si="1"/>
        <v>9113.8599999999988</v>
      </c>
    </row>
    <row r="6" spans="1:13">
      <c r="A6" s="247" t="s">
        <v>407</v>
      </c>
      <c r="B6" s="194">
        <v>1845.2</v>
      </c>
      <c r="C6" s="244" t="s">
        <v>169</v>
      </c>
      <c r="E6" s="763" t="s">
        <v>206</v>
      </c>
      <c r="F6" s="764">
        <v>13991.4</v>
      </c>
      <c r="G6" s="765">
        <v>22420.870000000003</v>
      </c>
      <c r="H6" s="766">
        <v>36412.270000000004</v>
      </c>
      <c r="I6" s="334">
        <f t="shared" si="0"/>
        <v>22420.870000000003</v>
      </c>
      <c r="J6" s="334">
        <f t="shared" si="1"/>
        <v>13991.4</v>
      </c>
      <c r="L6" s="334">
        <f t="shared" ref="L6:M6" si="2">I6+I5</f>
        <v>33935.130000000005</v>
      </c>
      <c r="M6" s="334">
        <f t="shared" si="2"/>
        <v>23105.26</v>
      </c>
    </row>
    <row r="7" spans="1:13">
      <c r="A7" s="205" t="s">
        <v>268</v>
      </c>
      <c r="B7" s="226">
        <v>38</v>
      </c>
      <c r="C7" s="269" t="s">
        <v>164</v>
      </c>
      <c r="E7" s="763" t="s">
        <v>2621</v>
      </c>
      <c r="F7" s="764">
        <v>17585.980000000003</v>
      </c>
      <c r="G7" s="765"/>
      <c r="H7" s="766">
        <v>17585.980000000003</v>
      </c>
      <c r="I7" s="334">
        <f t="shared" si="0"/>
        <v>0</v>
      </c>
      <c r="J7" s="333">
        <f t="shared" si="1"/>
        <v>17585.980000000003</v>
      </c>
    </row>
    <row r="8" spans="1:13">
      <c r="A8" s="267" t="s">
        <v>268</v>
      </c>
      <c r="B8" s="226">
        <v>1485.2</v>
      </c>
      <c r="C8" s="250" t="s">
        <v>164</v>
      </c>
      <c r="E8" s="763" t="s">
        <v>422</v>
      </c>
      <c r="F8" s="764">
        <v>4732.1099999999997</v>
      </c>
      <c r="G8" s="765">
        <v>1757.0200000000002</v>
      </c>
      <c r="H8" s="766">
        <v>6489.13</v>
      </c>
      <c r="I8" s="334">
        <f t="shared" si="0"/>
        <v>1757.0200000000002</v>
      </c>
      <c r="J8" s="334">
        <f t="shared" si="1"/>
        <v>4732.1099999999997</v>
      </c>
    </row>
    <row r="9" spans="1:13">
      <c r="A9" s="205" t="s">
        <v>268</v>
      </c>
      <c r="B9" s="226">
        <v>120</v>
      </c>
      <c r="C9" s="227" t="s">
        <v>246</v>
      </c>
      <c r="E9" s="763" t="s">
        <v>169</v>
      </c>
      <c r="F9" s="764">
        <v>11.98</v>
      </c>
      <c r="G9" s="765">
        <v>3611.16</v>
      </c>
      <c r="H9" s="766">
        <v>3623.14</v>
      </c>
      <c r="I9" s="334">
        <f t="shared" si="0"/>
        <v>3611.16</v>
      </c>
      <c r="J9" s="334">
        <f t="shared" si="1"/>
        <v>11.98</v>
      </c>
    </row>
    <row r="10" spans="1:13">
      <c r="A10" s="267" t="s">
        <v>268</v>
      </c>
      <c r="B10" s="292">
        <v>-8344.2199999999993</v>
      </c>
      <c r="C10" s="227" t="s">
        <v>206</v>
      </c>
      <c r="E10" s="763" t="s">
        <v>164</v>
      </c>
      <c r="F10" s="764">
        <v>13701.699999999999</v>
      </c>
      <c r="G10" s="765">
        <v>14987.979999999998</v>
      </c>
      <c r="H10" s="766">
        <v>28689.679999999997</v>
      </c>
      <c r="I10" s="334">
        <f t="shared" si="0"/>
        <v>14987.979999999998</v>
      </c>
      <c r="J10" s="334">
        <f t="shared" si="1"/>
        <v>13701.699999999999</v>
      </c>
    </row>
    <row r="11" spans="1:13">
      <c r="A11" s="205" t="s">
        <v>268</v>
      </c>
      <c r="B11" s="292">
        <v>-6703.22</v>
      </c>
      <c r="C11" s="227" t="s">
        <v>206</v>
      </c>
      <c r="E11" s="763" t="s">
        <v>316</v>
      </c>
      <c r="F11" s="764">
        <v>121.63</v>
      </c>
      <c r="G11" s="765">
        <v>723.56</v>
      </c>
      <c r="H11" s="766">
        <v>845.18999999999994</v>
      </c>
      <c r="I11" s="334">
        <f t="shared" si="0"/>
        <v>723.56</v>
      </c>
      <c r="J11" s="334">
        <f t="shared" si="1"/>
        <v>121.63</v>
      </c>
    </row>
    <row r="12" spans="1:13">
      <c r="A12" s="267" t="s">
        <v>268</v>
      </c>
      <c r="B12" s="226">
        <v>60.49</v>
      </c>
      <c r="C12" s="269" t="s">
        <v>143</v>
      </c>
      <c r="E12" s="763" t="s">
        <v>162</v>
      </c>
      <c r="F12" s="764">
        <v>3484.17</v>
      </c>
      <c r="G12" s="765">
        <v>3673.9300000000003</v>
      </c>
      <c r="H12" s="766">
        <v>7158.1</v>
      </c>
      <c r="I12" s="334">
        <f t="shared" si="0"/>
        <v>3673.9300000000003</v>
      </c>
      <c r="J12" s="334">
        <f t="shared" si="1"/>
        <v>3484.17</v>
      </c>
    </row>
    <row r="13" spans="1:13">
      <c r="A13" s="244" t="s">
        <v>268</v>
      </c>
      <c r="B13" s="260">
        <v>-1738</v>
      </c>
      <c r="C13" s="189" t="s">
        <v>422</v>
      </c>
      <c r="E13" s="763" t="s">
        <v>143</v>
      </c>
      <c r="F13" s="764">
        <v>36887.949999999997</v>
      </c>
      <c r="G13" s="765">
        <v>30632.459999999988</v>
      </c>
      <c r="H13" s="766">
        <v>67520.409999999989</v>
      </c>
      <c r="I13" s="334">
        <f t="shared" si="0"/>
        <v>30632.459999999988</v>
      </c>
      <c r="J13" s="334">
        <f t="shared" si="1"/>
        <v>36887.949999999997</v>
      </c>
    </row>
    <row r="14" spans="1:13">
      <c r="A14" s="267" t="s">
        <v>268</v>
      </c>
      <c r="B14" s="258">
        <v>814.42</v>
      </c>
      <c r="C14" s="198" t="s">
        <v>164</v>
      </c>
      <c r="E14" s="763" t="s">
        <v>159</v>
      </c>
      <c r="F14" s="764">
        <v>8863.9399999999987</v>
      </c>
      <c r="G14" s="765">
        <v>14265.5</v>
      </c>
      <c r="H14" s="766">
        <v>23129.439999999999</v>
      </c>
      <c r="I14" s="334">
        <f t="shared" si="0"/>
        <v>14265.5</v>
      </c>
      <c r="J14" s="334">
        <f t="shared" si="1"/>
        <v>8863.9399999999987</v>
      </c>
    </row>
    <row r="15" spans="1:13">
      <c r="A15" s="205" t="s">
        <v>268</v>
      </c>
      <c r="B15" s="292">
        <v>-0.01</v>
      </c>
      <c r="C15" s="227" t="s">
        <v>206</v>
      </c>
      <c r="E15" s="763" t="s">
        <v>2109</v>
      </c>
      <c r="F15" s="764">
        <v>5463.6900000000005</v>
      </c>
      <c r="G15" s="765">
        <v>2085.8200000000002</v>
      </c>
      <c r="H15" s="766">
        <v>7549.51</v>
      </c>
      <c r="I15" s="334">
        <f t="shared" si="0"/>
        <v>2085.8200000000002</v>
      </c>
      <c r="J15" s="334">
        <f t="shared" si="1"/>
        <v>5463.6900000000005</v>
      </c>
    </row>
    <row r="16" spans="1:13">
      <c r="A16" s="267" t="s">
        <v>268</v>
      </c>
      <c r="B16" s="226">
        <v>93.1</v>
      </c>
      <c r="C16" s="250" t="s">
        <v>164</v>
      </c>
      <c r="E16" s="763" t="s">
        <v>964</v>
      </c>
      <c r="F16" s="764">
        <v>6613.34</v>
      </c>
      <c r="G16" s="765">
        <v>5066.1600000000008</v>
      </c>
      <c r="H16" s="766">
        <v>11679.5</v>
      </c>
      <c r="I16" s="334">
        <f t="shared" si="0"/>
        <v>5066.1600000000008</v>
      </c>
      <c r="J16" s="334">
        <f t="shared" si="1"/>
        <v>6613.34</v>
      </c>
    </row>
    <row r="17" spans="1:10">
      <c r="A17" s="267" t="s">
        <v>268</v>
      </c>
      <c r="B17" s="226">
        <v>1.99</v>
      </c>
      <c r="C17" s="198" t="s">
        <v>164</v>
      </c>
      <c r="E17" s="767" t="s">
        <v>3331</v>
      </c>
      <c r="F17" s="768">
        <v>144134.85999999999</v>
      </c>
      <c r="G17" s="769">
        <v>122439.31</v>
      </c>
      <c r="H17" s="770">
        <v>266574.17000000004</v>
      </c>
      <c r="I17" s="334">
        <f t="shared" si="0"/>
        <v>122439.31</v>
      </c>
      <c r="J17" s="334">
        <f t="shared" si="1"/>
        <v>144134.85999999999</v>
      </c>
    </row>
    <row r="18" spans="1:10">
      <c r="A18" s="189" t="s">
        <v>6</v>
      </c>
      <c r="B18" s="264">
        <v>427.34</v>
      </c>
      <c r="C18" s="189" t="s">
        <v>143</v>
      </c>
    </row>
    <row r="19" spans="1:10">
      <c r="A19" s="227" t="s">
        <v>407</v>
      </c>
      <c r="B19" s="264">
        <v>252.82</v>
      </c>
      <c r="C19" s="189" t="s">
        <v>143</v>
      </c>
    </row>
    <row r="20" spans="1:10">
      <c r="A20" s="267" t="s">
        <v>268</v>
      </c>
      <c r="B20" s="226">
        <v>0.5</v>
      </c>
      <c r="C20" s="250" t="s">
        <v>164</v>
      </c>
    </row>
    <row r="21" spans="1:10">
      <c r="A21" s="267" t="s">
        <v>268</v>
      </c>
      <c r="B21" s="226">
        <v>0.5</v>
      </c>
      <c r="C21" s="250" t="s">
        <v>164</v>
      </c>
    </row>
    <row r="22" spans="1:10">
      <c r="A22" s="267" t="s">
        <v>268</v>
      </c>
      <c r="B22" s="226">
        <v>0.5</v>
      </c>
      <c r="C22" s="198" t="s">
        <v>164</v>
      </c>
    </row>
    <row r="23" spans="1:10">
      <c r="A23" s="267" t="s">
        <v>268</v>
      </c>
      <c r="B23" s="226">
        <v>0.5</v>
      </c>
      <c r="C23" s="250" t="s">
        <v>164</v>
      </c>
    </row>
    <row r="24" spans="1:10">
      <c r="A24" s="205" t="s">
        <v>268</v>
      </c>
      <c r="B24" s="226">
        <v>205.11</v>
      </c>
      <c r="C24" s="250" t="s">
        <v>143</v>
      </c>
    </row>
    <row r="25" spans="1:10">
      <c r="A25" s="283" t="s">
        <v>268</v>
      </c>
      <c r="B25" s="253">
        <v>0.5</v>
      </c>
      <c r="C25" s="250" t="s">
        <v>164</v>
      </c>
    </row>
    <row r="26" spans="1:10">
      <c r="A26" s="283" t="s">
        <v>268</v>
      </c>
      <c r="B26" s="253">
        <v>0.5</v>
      </c>
      <c r="C26" s="250" t="s">
        <v>164</v>
      </c>
    </row>
    <row r="27" spans="1:10">
      <c r="A27" s="283" t="s">
        <v>268</v>
      </c>
      <c r="B27" s="253">
        <v>0.5</v>
      </c>
      <c r="C27" s="250" t="s">
        <v>164</v>
      </c>
    </row>
    <row r="28" spans="1:10">
      <c r="A28" s="234" t="s">
        <v>268</v>
      </c>
      <c r="B28" s="253">
        <v>162.54</v>
      </c>
      <c r="C28" s="198" t="s">
        <v>143</v>
      </c>
    </row>
    <row r="29" spans="1:10">
      <c r="A29" s="234" t="s">
        <v>268</v>
      </c>
      <c r="B29" s="253">
        <v>36.590000000000003</v>
      </c>
      <c r="C29" s="198" t="s">
        <v>143</v>
      </c>
    </row>
    <row r="30" spans="1:10">
      <c r="A30" s="234" t="s">
        <v>268</v>
      </c>
      <c r="B30" s="253">
        <v>100</v>
      </c>
      <c r="C30" s="198" t="s">
        <v>143</v>
      </c>
    </row>
    <row r="31" spans="1:10">
      <c r="A31" s="234" t="s">
        <v>268</v>
      </c>
      <c r="B31" s="253">
        <v>700</v>
      </c>
      <c r="C31" s="198" t="s">
        <v>162</v>
      </c>
    </row>
    <row r="32" spans="1:10">
      <c r="A32" s="234" t="s">
        <v>268</v>
      </c>
      <c r="B32" s="253">
        <v>11.98</v>
      </c>
      <c r="C32" s="198" t="s">
        <v>164</v>
      </c>
    </row>
    <row r="33" spans="1:3">
      <c r="A33" s="234" t="s">
        <v>268</v>
      </c>
      <c r="B33" s="253">
        <v>11.98</v>
      </c>
      <c r="C33" s="198" t="s">
        <v>1848</v>
      </c>
    </row>
    <row r="34" spans="1:3">
      <c r="A34" s="234" t="s">
        <v>268</v>
      </c>
      <c r="B34" s="253">
        <v>1051.8599999999999</v>
      </c>
      <c r="C34" s="198" t="s">
        <v>143</v>
      </c>
    </row>
    <row r="35" spans="1:3">
      <c r="A35" s="234" t="s">
        <v>268</v>
      </c>
      <c r="B35" s="253">
        <v>896.19</v>
      </c>
      <c r="C35" s="198" t="s">
        <v>143</v>
      </c>
    </row>
    <row r="36" spans="1:3">
      <c r="A36" s="234" t="s">
        <v>268</v>
      </c>
      <c r="B36" s="253">
        <v>50</v>
      </c>
      <c r="C36" s="198" t="s">
        <v>143</v>
      </c>
    </row>
    <row r="37" spans="1:3">
      <c r="A37" s="234" t="s">
        <v>268</v>
      </c>
      <c r="B37" s="253">
        <v>50</v>
      </c>
      <c r="C37" s="198" t="s">
        <v>143</v>
      </c>
    </row>
    <row r="38" spans="1:3">
      <c r="A38" s="234" t="s">
        <v>268</v>
      </c>
      <c r="B38" s="253">
        <v>120</v>
      </c>
      <c r="C38" s="198" t="s">
        <v>143</v>
      </c>
    </row>
    <row r="39" spans="1:3">
      <c r="A39" s="234" t="s">
        <v>268</v>
      </c>
      <c r="B39" s="253">
        <v>70</v>
      </c>
      <c r="C39" s="198" t="s">
        <v>164</v>
      </c>
    </row>
    <row r="40" spans="1:3">
      <c r="A40" s="234" t="s">
        <v>268</v>
      </c>
      <c r="B40" s="253">
        <v>200</v>
      </c>
      <c r="C40" s="198" t="s">
        <v>192</v>
      </c>
    </row>
    <row r="41" spans="1:3">
      <c r="A41" s="234" t="s">
        <v>268</v>
      </c>
      <c r="B41" s="253">
        <v>39.85</v>
      </c>
      <c r="C41" s="198" t="s">
        <v>143</v>
      </c>
    </row>
    <row r="42" spans="1:3">
      <c r="A42" s="234" t="s">
        <v>268</v>
      </c>
      <c r="B42" s="253">
        <v>24.93</v>
      </c>
      <c r="C42" s="198" t="s">
        <v>143</v>
      </c>
    </row>
    <row r="43" spans="1:3">
      <c r="A43" s="234" t="s">
        <v>268</v>
      </c>
      <c r="B43" s="253">
        <v>200</v>
      </c>
      <c r="C43" s="198" t="s">
        <v>143</v>
      </c>
    </row>
    <row r="44" spans="1:3">
      <c r="A44" s="234" t="s">
        <v>268</v>
      </c>
      <c r="B44" s="253">
        <v>15</v>
      </c>
      <c r="C44" s="198" t="s">
        <v>143</v>
      </c>
    </row>
    <row r="45" spans="1:3">
      <c r="A45" s="234" t="s">
        <v>268</v>
      </c>
      <c r="B45" s="253">
        <v>13.5</v>
      </c>
      <c r="C45" s="198" t="s">
        <v>143</v>
      </c>
    </row>
    <row r="46" spans="1:3">
      <c r="A46" s="234" t="s">
        <v>268</v>
      </c>
      <c r="B46" s="253">
        <v>118.53</v>
      </c>
      <c r="C46" s="198" t="s">
        <v>143</v>
      </c>
    </row>
    <row r="47" spans="1:3">
      <c r="A47" s="234" t="s">
        <v>268</v>
      </c>
      <c r="B47" s="253">
        <v>19.98</v>
      </c>
      <c r="C47" s="198" t="s">
        <v>164</v>
      </c>
    </row>
    <row r="48" spans="1:3">
      <c r="A48" s="257" t="s">
        <v>268</v>
      </c>
      <c r="B48" s="335">
        <v>135.91999999999999</v>
      </c>
      <c r="C48" s="228" t="s">
        <v>143</v>
      </c>
    </row>
    <row r="49" spans="1:3">
      <c r="A49" s="234" t="s">
        <v>268</v>
      </c>
      <c r="B49" s="253">
        <v>184</v>
      </c>
      <c r="C49" s="198" t="s">
        <v>277</v>
      </c>
    </row>
    <row r="50" spans="1:3">
      <c r="A50" s="234" t="s">
        <v>268</v>
      </c>
      <c r="B50" s="253">
        <v>1032.7</v>
      </c>
      <c r="C50" s="198" t="s">
        <v>143</v>
      </c>
    </row>
    <row r="51" spans="1:3">
      <c r="A51" s="234" t="s">
        <v>268</v>
      </c>
      <c r="B51" s="253">
        <v>373.1</v>
      </c>
      <c r="C51" s="198" t="s">
        <v>143</v>
      </c>
    </row>
    <row r="52" spans="1:3">
      <c r="A52" s="234" t="s">
        <v>268</v>
      </c>
      <c r="B52" s="253">
        <v>1621</v>
      </c>
      <c r="C52" s="198" t="s">
        <v>277</v>
      </c>
    </row>
    <row r="53" spans="1:3">
      <c r="A53" s="234" t="s">
        <v>268</v>
      </c>
      <c r="B53" s="253">
        <v>5664.66</v>
      </c>
      <c r="C53" s="198" t="s">
        <v>277</v>
      </c>
    </row>
    <row r="54" spans="1:3">
      <c r="A54" s="234" t="s">
        <v>268</v>
      </c>
      <c r="B54" s="253">
        <v>276.68</v>
      </c>
      <c r="C54" s="198" t="s">
        <v>277</v>
      </c>
    </row>
    <row r="55" spans="1:3">
      <c r="A55" s="234" t="s">
        <v>268</v>
      </c>
      <c r="B55" s="253">
        <v>16000</v>
      </c>
      <c r="C55" s="198" t="s">
        <v>277</v>
      </c>
    </row>
    <row r="56" spans="1:3">
      <c r="A56" s="234" t="s">
        <v>268</v>
      </c>
      <c r="B56" s="253">
        <v>2000</v>
      </c>
      <c r="C56" s="198" t="s">
        <v>277</v>
      </c>
    </row>
    <row r="57" spans="1:3">
      <c r="A57" s="234" t="s">
        <v>268</v>
      </c>
      <c r="B57" s="253">
        <v>400</v>
      </c>
      <c r="C57" s="198" t="s">
        <v>277</v>
      </c>
    </row>
    <row r="58" spans="1:3">
      <c r="A58" s="234" t="s">
        <v>268</v>
      </c>
      <c r="B58" s="253">
        <v>694</v>
      </c>
      <c r="C58" s="198" t="s">
        <v>277</v>
      </c>
    </row>
    <row r="59" spans="1:3">
      <c r="A59" s="234" t="s">
        <v>268</v>
      </c>
      <c r="B59" s="253">
        <v>168</v>
      </c>
      <c r="C59" s="198" t="s">
        <v>246</v>
      </c>
    </row>
    <row r="60" spans="1:3">
      <c r="A60" s="257" t="s">
        <v>268</v>
      </c>
      <c r="B60" s="335">
        <v>27.65</v>
      </c>
      <c r="C60" s="228" t="s">
        <v>206</v>
      </c>
    </row>
    <row r="61" spans="1:3">
      <c r="A61" s="234" t="s">
        <v>268</v>
      </c>
      <c r="B61" s="253">
        <v>26.5</v>
      </c>
      <c r="C61" s="189" t="s">
        <v>316</v>
      </c>
    </row>
    <row r="62" spans="1:3">
      <c r="A62" s="234" t="s">
        <v>268</v>
      </c>
      <c r="B62" s="253">
        <v>587.77</v>
      </c>
      <c r="C62" s="198" t="s">
        <v>277</v>
      </c>
    </row>
    <row r="63" spans="1:3">
      <c r="A63" s="234" t="s">
        <v>268</v>
      </c>
      <c r="B63" s="253">
        <v>5000</v>
      </c>
      <c r="C63" s="198" t="s">
        <v>422</v>
      </c>
    </row>
    <row r="64" spans="1:3">
      <c r="A64" s="234" t="s">
        <v>268</v>
      </c>
      <c r="B64" s="253">
        <v>394</v>
      </c>
      <c r="C64" s="198" t="s">
        <v>162</v>
      </c>
    </row>
    <row r="65" spans="1:3">
      <c r="A65" s="234" t="s">
        <v>268</v>
      </c>
      <c r="B65" s="253">
        <v>92.65</v>
      </c>
      <c r="C65" s="198" t="s">
        <v>143</v>
      </c>
    </row>
    <row r="66" spans="1:3">
      <c r="A66" s="234" t="s">
        <v>268</v>
      </c>
      <c r="B66" s="253">
        <v>600</v>
      </c>
      <c r="C66" s="198" t="s">
        <v>2109</v>
      </c>
    </row>
    <row r="67" spans="1:3">
      <c r="A67" s="234" t="s">
        <v>268</v>
      </c>
      <c r="B67" s="253">
        <v>119</v>
      </c>
      <c r="C67" s="198" t="s">
        <v>143</v>
      </c>
    </row>
    <row r="68" spans="1:3">
      <c r="A68" s="234" t="s">
        <v>268</v>
      </c>
      <c r="B68" s="253">
        <v>1028.1600000000001</v>
      </c>
      <c r="C68" s="198" t="s">
        <v>164</v>
      </c>
    </row>
    <row r="69" spans="1:3">
      <c r="A69" s="234" t="s">
        <v>268</v>
      </c>
      <c r="B69" s="253">
        <v>146.88</v>
      </c>
      <c r="C69" s="198" t="s">
        <v>164</v>
      </c>
    </row>
    <row r="70" spans="1:3">
      <c r="A70" s="234" t="s">
        <v>268</v>
      </c>
      <c r="B70" s="253">
        <v>2647.76</v>
      </c>
      <c r="C70" s="198" t="s">
        <v>164</v>
      </c>
    </row>
    <row r="71" spans="1:3">
      <c r="A71" s="234" t="s">
        <v>268</v>
      </c>
      <c r="B71" s="253">
        <v>2144.65</v>
      </c>
      <c r="C71" s="198" t="s">
        <v>164</v>
      </c>
    </row>
    <row r="72" spans="1:3">
      <c r="A72" s="234" t="s">
        <v>268</v>
      </c>
      <c r="B72" s="253">
        <v>800</v>
      </c>
      <c r="C72" s="198" t="s">
        <v>164</v>
      </c>
    </row>
    <row r="73" spans="1:3">
      <c r="A73" s="234" t="s">
        <v>268</v>
      </c>
      <c r="B73" s="253">
        <v>130</v>
      </c>
      <c r="C73" s="198" t="s">
        <v>164</v>
      </c>
    </row>
    <row r="74" spans="1:3">
      <c r="A74" s="234" t="s">
        <v>268</v>
      </c>
      <c r="B74" s="253">
        <v>6750</v>
      </c>
      <c r="C74" s="189" t="s">
        <v>159</v>
      </c>
    </row>
    <row r="75" spans="1:3">
      <c r="A75" s="234" t="s">
        <v>268</v>
      </c>
      <c r="B75" s="253">
        <v>1250</v>
      </c>
      <c r="C75" s="198" t="s">
        <v>164</v>
      </c>
    </row>
    <row r="76" spans="1:3">
      <c r="A76" s="234" t="s">
        <v>268</v>
      </c>
      <c r="B76" s="253">
        <v>1000</v>
      </c>
      <c r="C76" s="228" t="s">
        <v>476</v>
      </c>
    </row>
    <row r="77" spans="1:3">
      <c r="A77" s="234" t="s">
        <v>268</v>
      </c>
      <c r="B77" s="253">
        <v>500</v>
      </c>
      <c r="C77" s="198" t="s">
        <v>476</v>
      </c>
    </row>
    <row r="78" spans="1:3">
      <c r="A78" s="234" t="s">
        <v>268</v>
      </c>
      <c r="B78" s="253">
        <v>250</v>
      </c>
      <c r="C78" s="198" t="s">
        <v>2109</v>
      </c>
    </row>
    <row r="79" spans="1:3">
      <c r="A79" s="234" t="s">
        <v>268</v>
      </c>
      <c r="B79" s="253">
        <v>400</v>
      </c>
      <c r="C79" s="198" t="s">
        <v>2109</v>
      </c>
    </row>
    <row r="80" spans="1:3">
      <c r="A80" s="234" t="s">
        <v>268</v>
      </c>
      <c r="B80" s="253">
        <v>100</v>
      </c>
      <c r="C80" s="198" t="s">
        <v>476</v>
      </c>
    </row>
    <row r="81" spans="1:3">
      <c r="A81" s="234" t="s">
        <v>268</v>
      </c>
      <c r="B81" s="253">
        <v>1000</v>
      </c>
      <c r="C81" s="198" t="s">
        <v>2109</v>
      </c>
    </row>
    <row r="82" spans="1:3">
      <c r="A82" s="234" t="s">
        <v>268</v>
      </c>
      <c r="B82" s="253">
        <v>250</v>
      </c>
      <c r="C82" s="198" t="s">
        <v>476</v>
      </c>
    </row>
    <row r="83" spans="1:3">
      <c r="A83" s="234" t="s">
        <v>268</v>
      </c>
      <c r="B83" s="253">
        <v>124.7</v>
      </c>
      <c r="C83" s="198" t="s">
        <v>277</v>
      </c>
    </row>
    <row r="84" spans="1:3">
      <c r="A84" s="234" t="s">
        <v>268</v>
      </c>
      <c r="B84" s="253">
        <v>254</v>
      </c>
      <c r="C84" s="244" t="s">
        <v>143</v>
      </c>
    </row>
    <row r="85" spans="1:3">
      <c r="A85" s="234" t="s">
        <v>268</v>
      </c>
      <c r="B85" s="253">
        <v>1011</v>
      </c>
      <c r="C85" s="228" t="s">
        <v>143</v>
      </c>
    </row>
    <row r="86" spans="1:3">
      <c r="A86" s="234" t="s">
        <v>268</v>
      </c>
      <c r="B86" s="253">
        <v>2517.6</v>
      </c>
      <c r="C86" s="198" t="s">
        <v>246</v>
      </c>
    </row>
    <row r="87" spans="1:3">
      <c r="A87" s="257" t="s">
        <v>268</v>
      </c>
      <c r="B87" s="335">
        <v>574.9</v>
      </c>
      <c r="C87" s="228" t="s">
        <v>206</v>
      </c>
    </row>
    <row r="88" spans="1:3">
      <c r="A88" s="234" t="s">
        <v>268</v>
      </c>
      <c r="B88" s="253">
        <v>371.6</v>
      </c>
      <c r="C88" s="198" t="s">
        <v>246</v>
      </c>
    </row>
    <row r="89" spans="1:3">
      <c r="A89" s="234" t="s">
        <v>268</v>
      </c>
      <c r="B89" s="253">
        <v>31</v>
      </c>
      <c r="C89" s="198" t="s">
        <v>164</v>
      </c>
    </row>
    <row r="90" spans="1:3">
      <c r="A90" s="323" t="s">
        <v>268</v>
      </c>
      <c r="B90" s="319">
        <v>529.35</v>
      </c>
      <c r="C90" s="228" t="s">
        <v>164</v>
      </c>
    </row>
    <row r="91" spans="1:3">
      <c r="A91" s="323" t="s">
        <v>268</v>
      </c>
      <c r="B91" s="319">
        <v>121.06</v>
      </c>
      <c r="C91" s="228" t="s">
        <v>143</v>
      </c>
    </row>
    <row r="92" spans="1:3">
      <c r="A92" s="234" t="s">
        <v>268</v>
      </c>
      <c r="B92" s="253">
        <v>57.8</v>
      </c>
      <c r="C92" s="198" t="s">
        <v>164</v>
      </c>
    </row>
    <row r="93" spans="1:3">
      <c r="A93" s="283" t="s">
        <v>268</v>
      </c>
      <c r="B93" s="253">
        <v>25.61</v>
      </c>
      <c r="C93" s="228" t="s">
        <v>164</v>
      </c>
    </row>
    <row r="94" spans="1:3">
      <c r="A94" s="283" t="s">
        <v>268</v>
      </c>
      <c r="B94" s="253">
        <v>4.5999999999999996</v>
      </c>
      <c r="C94" s="228" t="s">
        <v>164</v>
      </c>
    </row>
    <row r="95" spans="1:3">
      <c r="A95" s="234" t="s">
        <v>268</v>
      </c>
      <c r="B95" s="253">
        <v>96.58</v>
      </c>
      <c r="C95" s="198" t="s">
        <v>246</v>
      </c>
    </row>
    <row r="96" spans="1:3">
      <c r="A96" s="234" t="s">
        <v>268</v>
      </c>
      <c r="B96" s="253">
        <v>520</v>
      </c>
      <c r="C96" s="198" t="s">
        <v>964</v>
      </c>
    </row>
    <row r="97" spans="1:3">
      <c r="A97" s="234" t="s">
        <v>268</v>
      </c>
      <c r="B97" s="253">
        <v>215.58</v>
      </c>
      <c r="C97" s="189" t="s">
        <v>159</v>
      </c>
    </row>
    <row r="98" spans="1:3">
      <c r="A98" s="234" t="s">
        <v>268</v>
      </c>
      <c r="B98" s="253">
        <v>94.5</v>
      </c>
      <c r="C98" s="198" t="s">
        <v>246</v>
      </c>
    </row>
    <row r="99" spans="1:3">
      <c r="A99" s="234" t="s">
        <v>268</v>
      </c>
      <c r="B99" s="253">
        <v>659</v>
      </c>
      <c r="C99" s="198" t="s">
        <v>964</v>
      </c>
    </row>
    <row r="100" spans="1:3">
      <c r="A100" s="234" t="s">
        <v>268</v>
      </c>
      <c r="B100" s="253">
        <v>180.9</v>
      </c>
      <c r="C100" s="198" t="s">
        <v>246</v>
      </c>
    </row>
    <row r="101" spans="1:3">
      <c r="A101" s="323" t="s">
        <v>268</v>
      </c>
      <c r="B101" s="319">
        <v>126</v>
      </c>
      <c r="C101" s="228" t="s">
        <v>2456</v>
      </c>
    </row>
    <row r="102" spans="1:3">
      <c r="A102" s="234" t="s">
        <v>268</v>
      </c>
      <c r="B102" s="253">
        <v>200</v>
      </c>
      <c r="C102" s="198" t="s">
        <v>143</v>
      </c>
    </row>
    <row r="103" spans="1:3">
      <c r="A103" s="234" t="s">
        <v>268</v>
      </c>
      <c r="B103" s="253">
        <v>5500</v>
      </c>
      <c r="C103" s="257" t="s">
        <v>206</v>
      </c>
    </row>
    <row r="104" spans="1:3">
      <c r="A104" s="323" t="s">
        <v>268</v>
      </c>
      <c r="B104" s="319">
        <v>683.99</v>
      </c>
      <c r="C104" s="228" t="s">
        <v>422</v>
      </c>
    </row>
    <row r="105" spans="1:3">
      <c r="A105" s="234" t="s">
        <v>268</v>
      </c>
      <c r="B105" s="253">
        <v>1593.15</v>
      </c>
      <c r="C105" s="198" t="s">
        <v>2109</v>
      </c>
    </row>
    <row r="106" spans="1:3">
      <c r="A106" s="189" t="s">
        <v>268</v>
      </c>
      <c r="B106" s="260">
        <v>584.28</v>
      </c>
      <c r="C106" s="198" t="s">
        <v>143</v>
      </c>
    </row>
    <row r="107" spans="1:3">
      <c r="A107" s="234" t="s">
        <v>268</v>
      </c>
      <c r="B107" s="253">
        <v>120.9</v>
      </c>
      <c r="C107" s="189" t="s">
        <v>159</v>
      </c>
    </row>
    <row r="108" spans="1:3">
      <c r="A108" s="234" t="s">
        <v>268</v>
      </c>
      <c r="B108" s="253">
        <v>638.48</v>
      </c>
      <c r="C108" s="189" t="s">
        <v>159</v>
      </c>
    </row>
    <row r="109" spans="1:3">
      <c r="A109" s="323" t="s">
        <v>268</v>
      </c>
      <c r="B109" s="319">
        <v>454.08</v>
      </c>
      <c r="C109" s="189" t="s">
        <v>159</v>
      </c>
    </row>
    <row r="110" spans="1:3">
      <c r="A110" s="234" t="s">
        <v>268</v>
      </c>
      <c r="B110" s="253">
        <v>100</v>
      </c>
      <c r="C110" s="198" t="s">
        <v>422</v>
      </c>
    </row>
    <row r="111" spans="1:3">
      <c r="A111" s="234" t="s">
        <v>268</v>
      </c>
      <c r="B111" s="253">
        <v>90</v>
      </c>
      <c r="C111" s="198" t="s">
        <v>422</v>
      </c>
    </row>
    <row r="112" spans="1:3">
      <c r="A112" s="234" t="s">
        <v>268</v>
      </c>
      <c r="B112" s="253">
        <v>119.5</v>
      </c>
      <c r="C112" s="198" t="s">
        <v>422</v>
      </c>
    </row>
    <row r="113" spans="1:3">
      <c r="A113" s="234" t="s">
        <v>268</v>
      </c>
      <c r="B113" s="253">
        <v>45.93</v>
      </c>
      <c r="C113" s="198" t="s">
        <v>422</v>
      </c>
    </row>
    <row r="114" spans="1:3">
      <c r="A114" s="323" t="s">
        <v>268</v>
      </c>
      <c r="B114" s="319">
        <v>0</v>
      </c>
      <c r="C114" s="189" t="s">
        <v>159</v>
      </c>
    </row>
    <row r="115" spans="1:3">
      <c r="A115" s="323" t="s">
        <v>268</v>
      </c>
      <c r="B115" s="319">
        <v>56.42</v>
      </c>
      <c r="C115" s="228" t="s">
        <v>422</v>
      </c>
    </row>
    <row r="116" spans="1:3">
      <c r="A116" s="323" t="s">
        <v>268</v>
      </c>
      <c r="B116" s="319">
        <v>35.67</v>
      </c>
      <c r="C116" s="228" t="s">
        <v>422</v>
      </c>
    </row>
    <row r="117" spans="1:3">
      <c r="A117" s="234" t="s">
        <v>268</v>
      </c>
      <c r="B117" s="253">
        <v>32</v>
      </c>
      <c r="C117" s="198" t="s">
        <v>246</v>
      </c>
    </row>
    <row r="118" spans="1:3">
      <c r="A118" s="234" t="s">
        <v>268</v>
      </c>
      <c r="B118" s="253">
        <v>62.65</v>
      </c>
      <c r="C118" s="198" t="s">
        <v>246</v>
      </c>
    </row>
    <row r="119" spans="1:3">
      <c r="A119" s="234" t="s">
        <v>268</v>
      </c>
      <c r="B119" s="253">
        <v>87.22</v>
      </c>
      <c r="C119" s="198" t="s">
        <v>246</v>
      </c>
    </row>
    <row r="120" spans="1:3">
      <c r="A120" s="234" t="s">
        <v>268</v>
      </c>
      <c r="B120" s="253">
        <v>1514</v>
      </c>
      <c r="C120" s="198" t="s">
        <v>246</v>
      </c>
    </row>
    <row r="121" spans="1:3">
      <c r="A121" s="234" t="s">
        <v>268</v>
      </c>
      <c r="B121" s="253">
        <v>682.5</v>
      </c>
      <c r="C121" s="198" t="s">
        <v>246</v>
      </c>
    </row>
    <row r="122" spans="1:3">
      <c r="A122" s="234" t="s">
        <v>268</v>
      </c>
      <c r="B122" s="253">
        <v>189</v>
      </c>
      <c r="C122" s="198" t="s">
        <v>246</v>
      </c>
    </row>
    <row r="123" spans="1:3">
      <c r="A123" s="234" t="s">
        <v>268</v>
      </c>
      <c r="B123" s="253">
        <v>200</v>
      </c>
      <c r="C123" s="244" t="s">
        <v>246</v>
      </c>
    </row>
    <row r="124" spans="1:3">
      <c r="A124" s="234" t="s">
        <v>268</v>
      </c>
      <c r="B124" s="253">
        <v>89.9</v>
      </c>
      <c r="C124" s="198" t="s">
        <v>246</v>
      </c>
    </row>
    <row r="125" spans="1:3">
      <c r="A125" s="234" t="s">
        <v>268</v>
      </c>
      <c r="B125" s="253">
        <v>89.9</v>
      </c>
      <c r="C125" s="198" t="s">
        <v>246</v>
      </c>
    </row>
    <row r="126" spans="1:3">
      <c r="A126" s="234" t="s">
        <v>268</v>
      </c>
      <c r="B126" s="253">
        <v>295.47000000000003</v>
      </c>
      <c r="C126" s="198" t="s">
        <v>143</v>
      </c>
    </row>
    <row r="127" spans="1:3">
      <c r="A127" s="234" t="s">
        <v>268</v>
      </c>
      <c r="B127" s="253">
        <v>120</v>
      </c>
      <c r="C127" s="198" t="s">
        <v>246</v>
      </c>
    </row>
    <row r="128" spans="1:3">
      <c r="A128" s="234" t="s">
        <v>268</v>
      </c>
      <c r="B128" s="253">
        <v>120</v>
      </c>
      <c r="C128" s="198" t="s">
        <v>246</v>
      </c>
    </row>
    <row r="129" spans="1:3">
      <c r="A129" s="234" t="s">
        <v>268</v>
      </c>
      <c r="B129" s="253">
        <v>120</v>
      </c>
      <c r="C129" s="198" t="s">
        <v>246</v>
      </c>
    </row>
    <row r="130" spans="1:3">
      <c r="A130" s="234" t="s">
        <v>268</v>
      </c>
      <c r="B130" s="253">
        <v>120</v>
      </c>
      <c r="C130" s="198" t="s">
        <v>246</v>
      </c>
    </row>
    <row r="131" spans="1:3">
      <c r="A131" s="234" t="s">
        <v>268</v>
      </c>
      <c r="B131" s="253">
        <v>120</v>
      </c>
      <c r="C131" s="198" t="s">
        <v>246</v>
      </c>
    </row>
    <row r="132" spans="1:3">
      <c r="A132" s="234" t="s">
        <v>268</v>
      </c>
      <c r="B132" s="253">
        <v>120</v>
      </c>
      <c r="C132" s="198" t="s">
        <v>246</v>
      </c>
    </row>
    <row r="133" spans="1:3">
      <c r="A133" s="234" t="s">
        <v>268</v>
      </c>
      <c r="B133" s="253">
        <v>120</v>
      </c>
      <c r="C133" s="198" t="s">
        <v>246</v>
      </c>
    </row>
    <row r="134" spans="1:3">
      <c r="A134" s="234" t="s">
        <v>268</v>
      </c>
      <c r="B134" s="253">
        <v>120</v>
      </c>
      <c r="C134" s="198" t="s">
        <v>246</v>
      </c>
    </row>
    <row r="135" spans="1:3">
      <c r="A135" s="234" t="s">
        <v>268</v>
      </c>
      <c r="B135" s="253">
        <v>120</v>
      </c>
      <c r="C135" s="198" t="s">
        <v>246</v>
      </c>
    </row>
    <row r="136" spans="1:3">
      <c r="A136" s="234" t="s">
        <v>268</v>
      </c>
      <c r="B136" s="253">
        <v>120</v>
      </c>
      <c r="C136" s="198" t="s">
        <v>246</v>
      </c>
    </row>
    <row r="137" spans="1:3">
      <c r="A137" s="234" t="s">
        <v>268</v>
      </c>
      <c r="B137" s="253">
        <v>120</v>
      </c>
      <c r="C137" s="198" t="s">
        <v>246</v>
      </c>
    </row>
    <row r="138" spans="1:3">
      <c r="A138" s="234" t="s">
        <v>268</v>
      </c>
      <c r="B138" s="316">
        <v>-44.22</v>
      </c>
      <c r="C138" s="250" t="s">
        <v>143</v>
      </c>
    </row>
    <row r="139" spans="1:3">
      <c r="A139" s="234" t="s">
        <v>268</v>
      </c>
      <c r="B139" s="316">
        <v>-110.55</v>
      </c>
      <c r="C139" s="250" t="s">
        <v>143</v>
      </c>
    </row>
    <row r="140" spans="1:3">
      <c r="A140" s="234" t="s">
        <v>268</v>
      </c>
      <c r="B140" s="316">
        <v>-7.37</v>
      </c>
      <c r="C140" s="250" t="s">
        <v>143</v>
      </c>
    </row>
    <row r="141" spans="1:3">
      <c r="A141" s="234" t="s">
        <v>268</v>
      </c>
      <c r="B141" s="316">
        <v>-66.33</v>
      </c>
      <c r="C141" s="250" t="s">
        <v>143</v>
      </c>
    </row>
    <row r="142" spans="1:3">
      <c r="A142" s="234" t="s">
        <v>268</v>
      </c>
      <c r="B142" s="316">
        <v>-22.11</v>
      </c>
      <c r="C142" s="250" t="s">
        <v>143</v>
      </c>
    </row>
    <row r="143" spans="1:3">
      <c r="A143" s="234" t="s">
        <v>268</v>
      </c>
      <c r="B143" s="316">
        <v>-22.11</v>
      </c>
      <c r="C143" s="250" t="s">
        <v>143</v>
      </c>
    </row>
    <row r="144" spans="1:3">
      <c r="A144" s="234" t="s">
        <v>268</v>
      </c>
      <c r="B144" s="316">
        <v>-101.59</v>
      </c>
      <c r="C144" s="250" t="s">
        <v>143</v>
      </c>
    </row>
    <row r="145" spans="1:3">
      <c r="A145" s="234" t="s">
        <v>268</v>
      </c>
      <c r="B145" s="316">
        <v>-14.74</v>
      </c>
      <c r="C145" s="250" t="s">
        <v>143</v>
      </c>
    </row>
    <row r="146" spans="1:3">
      <c r="A146" s="234" t="s">
        <v>268</v>
      </c>
      <c r="B146" s="316">
        <v>-64.739999999999995</v>
      </c>
      <c r="C146" s="250" t="s">
        <v>143</v>
      </c>
    </row>
    <row r="147" spans="1:3">
      <c r="A147" s="234" t="s">
        <v>268</v>
      </c>
      <c r="B147" s="316">
        <v>-94.22</v>
      </c>
      <c r="C147" s="250" t="s">
        <v>143</v>
      </c>
    </row>
    <row r="148" spans="1:3">
      <c r="A148" s="234" t="s">
        <v>268</v>
      </c>
      <c r="B148" s="316">
        <v>-22.11</v>
      </c>
      <c r="C148" s="250" t="s">
        <v>143</v>
      </c>
    </row>
    <row r="149" spans="1:3">
      <c r="A149" s="234" t="s">
        <v>268</v>
      </c>
      <c r="B149" s="316">
        <v>-44.22</v>
      </c>
      <c r="C149" s="250" t="s">
        <v>143</v>
      </c>
    </row>
    <row r="150" spans="1:3">
      <c r="A150" s="234" t="s">
        <v>268</v>
      </c>
      <c r="B150" s="316">
        <v>-14.74</v>
      </c>
      <c r="C150" s="250" t="s">
        <v>143</v>
      </c>
    </row>
    <row r="151" spans="1:3">
      <c r="A151" s="234" t="s">
        <v>268</v>
      </c>
      <c r="B151" s="316">
        <v>-66.33</v>
      </c>
      <c r="C151" s="250" t="s">
        <v>143</v>
      </c>
    </row>
    <row r="152" spans="1:3">
      <c r="A152" s="234" t="s">
        <v>268</v>
      </c>
      <c r="B152" s="316">
        <v>-22.11</v>
      </c>
      <c r="C152" s="250" t="s">
        <v>143</v>
      </c>
    </row>
    <row r="153" spans="1:3">
      <c r="A153" s="234" t="s">
        <v>268</v>
      </c>
      <c r="B153" s="316">
        <v>-22.11</v>
      </c>
      <c r="C153" s="250" t="s">
        <v>143</v>
      </c>
    </row>
    <row r="154" spans="1:3">
      <c r="A154" s="234" t="s">
        <v>268</v>
      </c>
      <c r="B154" s="316">
        <v>-117.92</v>
      </c>
      <c r="C154" s="250" t="s">
        <v>143</v>
      </c>
    </row>
    <row r="155" spans="1:3">
      <c r="A155" s="234" t="s">
        <v>268</v>
      </c>
      <c r="B155" s="316">
        <v>-44.22</v>
      </c>
      <c r="C155" s="250" t="s">
        <v>143</v>
      </c>
    </row>
    <row r="156" spans="1:3">
      <c r="A156" s="234" t="s">
        <v>268</v>
      </c>
      <c r="B156" s="316">
        <v>-36.85</v>
      </c>
      <c r="C156" s="250" t="s">
        <v>143</v>
      </c>
    </row>
    <row r="157" spans="1:3">
      <c r="A157" s="234" t="s">
        <v>268</v>
      </c>
      <c r="B157" s="316">
        <v>-36.85</v>
      </c>
      <c r="C157" s="250" t="s">
        <v>143</v>
      </c>
    </row>
    <row r="158" spans="1:3">
      <c r="A158" s="234" t="s">
        <v>268</v>
      </c>
      <c r="B158" s="316">
        <v>-7.37</v>
      </c>
      <c r="C158" s="250" t="s">
        <v>143</v>
      </c>
    </row>
    <row r="159" spans="1:3">
      <c r="A159" s="234" t="s">
        <v>268</v>
      </c>
      <c r="B159" s="316">
        <v>-22.11</v>
      </c>
      <c r="C159" s="250" t="s">
        <v>143</v>
      </c>
    </row>
    <row r="160" spans="1:3">
      <c r="A160" s="234" t="s">
        <v>268</v>
      </c>
      <c r="B160" s="316">
        <v>-66.33</v>
      </c>
      <c r="C160" s="250" t="s">
        <v>143</v>
      </c>
    </row>
    <row r="161" spans="1:3">
      <c r="A161" s="234" t="s">
        <v>268</v>
      </c>
      <c r="B161" s="316">
        <v>-110.55</v>
      </c>
      <c r="C161" s="250" t="s">
        <v>143</v>
      </c>
    </row>
    <row r="162" spans="1:3">
      <c r="A162" s="234" t="s">
        <v>268</v>
      </c>
      <c r="B162" s="316">
        <v>-140.03</v>
      </c>
      <c r="C162" s="250" t="s">
        <v>143</v>
      </c>
    </row>
    <row r="163" spans="1:3">
      <c r="A163" s="234" t="s">
        <v>268</v>
      </c>
      <c r="B163" s="316">
        <v>-58.96</v>
      </c>
      <c r="C163" s="250" t="s">
        <v>143</v>
      </c>
    </row>
    <row r="164" spans="1:3">
      <c r="A164" s="234" t="s">
        <v>268</v>
      </c>
      <c r="B164" s="316">
        <v>-36.85</v>
      </c>
      <c r="C164" s="250" t="s">
        <v>143</v>
      </c>
    </row>
    <row r="165" spans="1:3">
      <c r="A165" s="234" t="s">
        <v>268</v>
      </c>
      <c r="B165" s="316">
        <v>-22.11</v>
      </c>
      <c r="C165" s="250" t="s">
        <v>143</v>
      </c>
    </row>
    <row r="166" spans="1:3">
      <c r="A166" s="234" t="s">
        <v>268</v>
      </c>
      <c r="B166" s="316">
        <v>-29.48</v>
      </c>
      <c r="C166" s="250" t="s">
        <v>143</v>
      </c>
    </row>
    <row r="167" spans="1:3">
      <c r="A167" s="234" t="s">
        <v>268</v>
      </c>
      <c r="B167" s="316">
        <v>-44.22</v>
      </c>
      <c r="C167" s="250" t="s">
        <v>143</v>
      </c>
    </row>
    <row r="168" spans="1:3">
      <c r="A168" s="234" t="s">
        <v>268</v>
      </c>
      <c r="B168" s="316">
        <v>-129.47999999999999</v>
      </c>
      <c r="C168" s="250" t="s">
        <v>143</v>
      </c>
    </row>
    <row r="169" spans="1:3">
      <c r="A169" s="234" t="s">
        <v>268</v>
      </c>
      <c r="B169" s="316">
        <v>-29.48</v>
      </c>
      <c r="C169" s="250" t="s">
        <v>143</v>
      </c>
    </row>
    <row r="170" spans="1:3">
      <c r="A170" s="234" t="s">
        <v>268</v>
      </c>
      <c r="B170" s="316">
        <v>-108.96</v>
      </c>
      <c r="C170" s="250" t="s">
        <v>143</v>
      </c>
    </row>
    <row r="171" spans="1:3">
      <c r="A171" s="234" t="s">
        <v>268</v>
      </c>
      <c r="B171" s="316">
        <v>-136.85</v>
      </c>
      <c r="C171" s="250" t="s">
        <v>143</v>
      </c>
    </row>
    <row r="172" spans="1:3">
      <c r="A172" s="234" t="s">
        <v>268</v>
      </c>
      <c r="B172" s="316">
        <v>-51.59</v>
      </c>
      <c r="C172" s="250" t="s">
        <v>143</v>
      </c>
    </row>
    <row r="173" spans="1:3">
      <c r="A173" s="234" t="s">
        <v>268</v>
      </c>
      <c r="B173" s="316">
        <v>-44.22</v>
      </c>
      <c r="C173" s="250" t="s">
        <v>143</v>
      </c>
    </row>
    <row r="174" spans="1:3">
      <c r="A174" s="234" t="s">
        <v>268</v>
      </c>
      <c r="B174" s="316">
        <v>-7.37</v>
      </c>
      <c r="C174" s="250" t="s">
        <v>143</v>
      </c>
    </row>
    <row r="175" spans="1:3">
      <c r="A175" s="234" t="s">
        <v>268</v>
      </c>
      <c r="B175" s="316">
        <v>-22.11</v>
      </c>
      <c r="C175" s="250" t="s">
        <v>143</v>
      </c>
    </row>
    <row r="176" spans="1:3">
      <c r="A176" s="234" t="s">
        <v>268</v>
      </c>
      <c r="B176" s="316">
        <v>-44.22</v>
      </c>
      <c r="C176" s="250" t="s">
        <v>143</v>
      </c>
    </row>
    <row r="177" spans="1:3">
      <c r="A177" s="234" t="s">
        <v>268</v>
      </c>
      <c r="B177" s="316">
        <v>-36.85</v>
      </c>
      <c r="C177" s="250" t="s">
        <v>143</v>
      </c>
    </row>
    <row r="178" spans="1:3">
      <c r="A178" s="234" t="s">
        <v>268</v>
      </c>
      <c r="B178" s="316">
        <v>-88.44</v>
      </c>
      <c r="C178" s="250" t="s">
        <v>143</v>
      </c>
    </row>
    <row r="179" spans="1:3">
      <c r="A179" s="234" t="s">
        <v>268</v>
      </c>
      <c r="B179" s="316">
        <v>-176.88</v>
      </c>
      <c r="C179" s="250" t="s">
        <v>143</v>
      </c>
    </row>
    <row r="180" spans="1:3">
      <c r="A180" s="283" t="s">
        <v>268</v>
      </c>
      <c r="B180" s="253">
        <v>328.25</v>
      </c>
      <c r="C180" s="244" t="s">
        <v>143</v>
      </c>
    </row>
    <row r="181" spans="1:3">
      <c r="A181" s="283" t="s">
        <v>268</v>
      </c>
      <c r="B181" s="253">
        <v>112.99</v>
      </c>
      <c r="C181" s="244" t="s">
        <v>143</v>
      </c>
    </row>
    <row r="182" spans="1:3">
      <c r="A182" s="234" t="s">
        <v>268</v>
      </c>
      <c r="B182" s="253">
        <v>0</v>
      </c>
      <c r="C182" s="198" t="s">
        <v>277</v>
      </c>
    </row>
    <row r="183" spans="1:3">
      <c r="A183" s="234" t="s">
        <v>268</v>
      </c>
      <c r="B183" s="253">
        <v>0</v>
      </c>
      <c r="C183" s="198" t="s">
        <v>277</v>
      </c>
    </row>
    <row r="184" spans="1:3">
      <c r="A184" s="234" t="s">
        <v>268</v>
      </c>
      <c r="B184" s="253">
        <v>0</v>
      </c>
      <c r="C184" s="198" t="s">
        <v>277</v>
      </c>
    </row>
    <row r="185" spans="1:3">
      <c r="A185" s="227" t="s">
        <v>268</v>
      </c>
      <c r="B185" s="243">
        <v>237</v>
      </c>
      <c r="C185" s="244" t="s">
        <v>164</v>
      </c>
    </row>
    <row r="186" spans="1:3">
      <c r="A186" s="283" t="s">
        <v>268</v>
      </c>
      <c r="B186" s="316">
        <v>0</v>
      </c>
      <c r="C186" s="228" t="s">
        <v>206</v>
      </c>
    </row>
    <row r="187" spans="1:3">
      <c r="A187" s="283" t="s">
        <v>268</v>
      </c>
      <c r="B187" s="316">
        <v>0</v>
      </c>
      <c r="C187" s="228" t="s">
        <v>206</v>
      </c>
    </row>
    <row r="188" spans="1:3">
      <c r="A188" s="283" t="s">
        <v>268</v>
      </c>
      <c r="B188" s="316">
        <v>0</v>
      </c>
      <c r="C188" s="228" t="s">
        <v>206</v>
      </c>
    </row>
    <row r="189" spans="1:3">
      <c r="A189" s="227" t="s">
        <v>407</v>
      </c>
      <c r="B189" s="243">
        <v>2232</v>
      </c>
      <c r="C189" s="227" t="s">
        <v>143</v>
      </c>
    </row>
    <row r="190" spans="1:3">
      <c r="A190" s="227" t="s">
        <v>407</v>
      </c>
      <c r="B190" s="243">
        <v>1926</v>
      </c>
      <c r="C190" s="227" t="s">
        <v>143</v>
      </c>
    </row>
    <row r="191" spans="1:3">
      <c r="A191" s="227" t="s">
        <v>407</v>
      </c>
      <c r="B191" s="243">
        <v>2736</v>
      </c>
      <c r="C191" s="227" t="s">
        <v>143</v>
      </c>
    </row>
    <row r="192" spans="1:3">
      <c r="A192" s="227" t="s">
        <v>407</v>
      </c>
      <c r="B192" s="243">
        <v>2070</v>
      </c>
      <c r="C192" s="227" t="s">
        <v>143</v>
      </c>
    </row>
    <row r="193" spans="1:3">
      <c r="A193" s="227" t="s">
        <v>407</v>
      </c>
      <c r="B193" s="243">
        <v>2070</v>
      </c>
      <c r="C193" s="227" t="s">
        <v>143</v>
      </c>
    </row>
    <row r="194" spans="1:3">
      <c r="A194" s="227" t="s">
        <v>407</v>
      </c>
      <c r="B194" s="243">
        <v>1521</v>
      </c>
      <c r="C194" s="227" t="s">
        <v>143</v>
      </c>
    </row>
    <row r="195" spans="1:3">
      <c r="A195" s="227" t="s">
        <v>407</v>
      </c>
      <c r="B195" s="243">
        <v>1385.8</v>
      </c>
      <c r="C195" s="227" t="s">
        <v>143</v>
      </c>
    </row>
    <row r="196" spans="1:3">
      <c r="A196" s="227" t="s">
        <v>407</v>
      </c>
      <c r="B196" s="243">
        <v>997.1</v>
      </c>
      <c r="C196" s="227" t="s">
        <v>143</v>
      </c>
    </row>
    <row r="197" spans="1:3">
      <c r="A197" s="227" t="s">
        <v>407</v>
      </c>
      <c r="B197" s="243">
        <v>2771.6</v>
      </c>
      <c r="C197" s="227" t="s">
        <v>143</v>
      </c>
    </row>
    <row r="198" spans="1:3">
      <c r="A198" s="283" t="s">
        <v>268</v>
      </c>
      <c r="B198" s="316">
        <v>-4025</v>
      </c>
      <c r="C198" s="228" t="s">
        <v>206</v>
      </c>
    </row>
    <row r="199" spans="1:3">
      <c r="A199" s="283" t="s">
        <v>268</v>
      </c>
      <c r="B199" s="316">
        <v>-1346.39</v>
      </c>
      <c r="C199" s="228" t="s">
        <v>206</v>
      </c>
    </row>
    <row r="200" spans="1:3">
      <c r="A200" s="283" t="s">
        <v>268</v>
      </c>
      <c r="B200" s="316">
        <v>-927.9</v>
      </c>
      <c r="C200" s="228" t="s">
        <v>206</v>
      </c>
    </row>
    <row r="201" spans="1:3">
      <c r="A201" s="283" t="s">
        <v>268</v>
      </c>
      <c r="B201" s="316">
        <v>-274.41000000000003</v>
      </c>
      <c r="C201" s="228" t="s">
        <v>206</v>
      </c>
    </row>
    <row r="202" spans="1:3">
      <c r="A202" s="283" t="s">
        <v>268</v>
      </c>
      <c r="B202" s="316">
        <v>-169.78</v>
      </c>
      <c r="C202" s="228" t="s">
        <v>206</v>
      </c>
    </row>
    <row r="203" spans="1:3">
      <c r="A203" s="283" t="s">
        <v>268</v>
      </c>
      <c r="B203" s="316">
        <v>-12.97</v>
      </c>
      <c r="C203" s="228" t="s">
        <v>206</v>
      </c>
    </row>
    <row r="204" spans="1:3">
      <c r="A204" s="283" t="s">
        <v>268</v>
      </c>
      <c r="B204" s="316">
        <v>-3.67</v>
      </c>
      <c r="C204" s="228" t="s">
        <v>206</v>
      </c>
    </row>
    <row r="205" spans="1:3">
      <c r="A205" s="283" t="s">
        <v>268</v>
      </c>
      <c r="B205" s="316">
        <v>-1.53</v>
      </c>
      <c r="C205" s="228" t="s">
        <v>206</v>
      </c>
    </row>
    <row r="206" spans="1:3">
      <c r="A206" s="283" t="s">
        <v>268</v>
      </c>
      <c r="B206" s="316">
        <v>-0.02</v>
      </c>
      <c r="C206" s="228" t="s">
        <v>206</v>
      </c>
    </row>
    <row r="207" spans="1:3">
      <c r="A207" s="283" t="s">
        <v>268</v>
      </c>
      <c r="B207" s="253">
        <v>0.16</v>
      </c>
      <c r="C207" s="228" t="s">
        <v>206</v>
      </c>
    </row>
    <row r="208" spans="1:3">
      <c r="A208" s="283" t="s">
        <v>268</v>
      </c>
      <c r="B208" s="253">
        <v>0.38</v>
      </c>
      <c r="C208" s="228" t="s">
        <v>206</v>
      </c>
    </row>
    <row r="209" spans="1:3">
      <c r="A209" s="283" t="s">
        <v>268</v>
      </c>
      <c r="B209" s="253">
        <v>2.21</v>
      </c>
      <c r="C209" s="228" t="s">
        <v>206</v>
      </c>
    </row>
    <row r="210" spans="1:3">
      <c r="A210" s="283" t="s">
        <v>268</v>
      </c>
      <c r="B210" s="253">
        <v>45.44</v>
      </c>
      <c r="C210" s="228" t="s">
        <v>206</v>
      </c>
    </row>
    <row r="211" spans="1:3">
      <c r="A211" s="283" t="s">
        <v>268</v>
      </c>
      <c r="B211" s="253">
        <v>48.73</v>
      </c>
      <c r="C211" s="228" t="s">
        <v>206</v>
      </c>
    </row>
    <row r="212" spans="1:3">
      <c r="A212" s="283" t="s">
        <v>268</v>
      </c>
      <c r="B212" s="253">
        <v>511.71</v>
      </c>
      <c r="C212" s="228" t="s">
        <v>206</v>
      </c>
    </row>
    <row r="213" spans="1:3">
      <c r="A213" s="283" t="s">
        <v>268</v>
      </c>
      <c r="B213" s="253">
        <v>905</v>
      </c>
      <c r="C213" s="228" t="s">
        <v>206</v>
      </c>
    </row>
    <row r="214" spans="1:3">
      <c r="A214" s="227" t="s">
        <v>268</v>
      </c>
      <c r="B214" s="243">
        <v>243.76</v>
      </c>
      <c r="C214" s="228" t="s">
        <v>192</v>
      </c>
    </row>
    <row r="215" spans="1:3">
      <c r="A215" s="244" t="s">
        <v>268</v>
      </c>
      <c r="B215" s="243">
        <v>62.4</v>
      </c>
      <c r="C215" s="228" t="s">
        <v>164</v>
      </c>
    </row>
    <row r="216" spans="1:3">
      <c r="A216" s="323" t="s">
        <v>268</v>
      </c>
      <c r="B216" s="319">
        <v>1156.1099999999999</v>
      </c>
      <c r="C216" s="228" t="s">
        <v>964</v>
      </c>
    </row>
    <row r="217" spans="1:3">
      <c r="A217" s="323" t="s">
        <v>268</v>
      </c>
      <c r="B217" s="319">
        <v>1069.6099999999999</v>
      </c>
      <c r="C217" s="228" t="s">
        <v>964</v>
      </c>
    </row>
    <row r="218" spans="1:3">
      <c r="A218" s="227" t="s">
        <v>268</v>
      </c>
      <c r="B218" s="243">
        <v>802.43</v>
      </c>
      <c r="C218" s="228" t="s">
        <v>964</v>
      </c>
    </row>
    <row r="219" spans="1:3">
      <c r="A219" s="227" t="s">
        <v>407</v>
      </c>
      <c r="B219" s="243">
        <v>40.72</v>
      </c>
      <c r="C219" s="227" t="s">
        <v>164</v>
      </c>
    </row>
    <row r="220" spans="1:3">
      <c r="A220" s="323" t="s">
        <v>268</v>
      </c>
      <c r="B220" s="319">
        <v>3.42</v>
      </c>
      <c r="C220" s="228" t="s">
        <v>964</v>
      </c>
    </row>
    <row r="221" spans="1:3">
      <c r="A221" s="257" t="s">
        <v>268</v>
      </c>
      <c r="B221" s="335">
        <v>564.35</v>
      </c>
      <c r="C221" s="228" t="s">
        <v>964</v>
      </c>
    </row>
    <row r="222" spans="1:3">
      <c r="A222" s="257" t="s">
        <v>268</v>
      </c>
      <c r="B222" s="335">
        <v>238.08</v>
      </c>
      <c r="C222" s="228" t="s">
        <v>964</v>
      </c>
    </row>
    <row r="223" spans="1:3">
      <c r="A223" s="257" t="s">
        <v>268</v>
      </c>
      <c r="B223" s="335">
        <v>1400</v>
      </c>
      <c r="C223" s="228" t="s">
        <v>143</v>
      </c>
    </row>
    <row r="224" spans="1:3">
      <c r="A224" s="257" t="s">
        <v>268</v>
      </c>
      <c r="B224" s="335">
        <v>181</v>
      </c>
      <c r="C224" s="228" t="s">
        <v>964</v>
      </c>
    </row>
    <row r="225" spans="1:3">
      <c r="A225" s="257" t="s">
        <v>268</v>
      </c>
      <c r="B225" s="335">
        <v>112.43</v>
      </c>
      <c r="C225" s="228" t="s">
        <v>206</v>
      </c>
    </row>
    <row r="226" spans="1:3">
      <c r="A226" s="227" t="s">
        <v>268</v>
      </c>
      <c r="B226" s="243">
        <v>238.14</v>
      </c>
      <c r="C226" s="228" t="s">
        <v>143</v>
      </c>
    </row>
    <row r="227" spans="1:3">
      <c r="A227" s="227" t="s">
        <v>268</v>
      </c>
      <c r="B227" s="243">
        <v>234.9</v>
      </c>
      <c r="C227" s="189" t="s">
        <v>159</v>
      </c>
    </row>
    <row r="228" spans="1:3">
      <c r="A228" s="227" t="s">
        <v>407</v>
      </c>
      <c r="B228" s="243">
        <v>246.39</v>
      </c>
      <c r="C228" s="227" t="s">
        <v>143</v>
      </c>
    </row>
    <row r="229" spans="1:3">
      <c r="A229" s="323" t="s">
        <v>268</v>
      </c>
      <c r="B229" s="264">
        <v>24.15</v>
      </c>
      <c r="C229" s="198" t="s">
        <v>162</v>
      </c>
    </row>
    <row r="230" spans="1:3">
      <c r="A230" s="257" t="s">
        <v>268</v>
      </c>
      <c r="B230" s="335">
        <v>19.899999999999999</v>
      </c>
      <c r="C230" s="228" t="s">
        <v>143</v>
      </c>
    </row>
    <row r="231" spans="1:3">
      <c r="A231" s="227" t="s">
        <v>268</v>
      </c>
      <c r="B231" s="243">
        <v>60.25</v>
      </c>
      <c r="C231" s="228" t="s">
        <v>206</v>
      </c>
    </row>
    <row r="232" spans="1:3">
      <c r="A232" s="227" t="s">
        <v>407</v>
      </c>
      <c r="B232" s="243">
        <v>19.899999999999999</v>
      </c>
      <c r="C232" s="227" t="s">
        <v>143</v>
      </c>
    </row>
    <row r="233" spans="1:3">
      <c r="A233" s="227" t="s">
        <v>407</v>
      </c>
      <c r="B233" s="243">
        <v>550.13</v>
      </c>
      <c r="C233" s="227" t="s">
        <v>964</v>
      </c>
    </row>
    <row r="234" spans="1:3">
      <c r="A234" s="227" t="s">
        <v>268</v>
      </c>
      <c r="B234" s="243">
        <v>188.33</v>
      </c>
      <c r="C234" s="228" t="s">
        <v>422</v>
      </c>
    </row>
    <row r="235" spans="1:3">
      <c r="A235" s="323" t="s">
        <v>268</v>
      </c>
      <c r="B235" s="319">
        <v>1505</v>
      </c>
      <c r="C235" s="228" t="s">
        <v>162</v>
      </c>
    </row>
    <row r="236" spans="1:3">
      <c r="A236" s="227" t="s">
        <v>268</v>
      </c>
      <c r="B236" s="243">
        <v>68.260000000000005</v>
      </c>
      <c r="C236" s="228" t="s">
        <v>164</v>
      </c>
    </row>
    <row r="237" spans="1:3">
      <c r="A237" s="227" t="s">
        <v>268</v>
      </c>
      <c r="B237" s="243">
        <v>183.75</v>
      </c>
      <c r="C237" s="228" t="s">
        <v>192</v>
      </c>
    </row>
    <row r="238" spans="1:3">
      <c r="A238" s="227" t="s">
        <v>407</v>
      </c>
      <c r="B238" s="243">
        <v>148.72999999999999</v>
      </c>
      <c r="C238" s="227" t="s">
        <v>164</v>
      </c>
    </row>
    <row r="239" spans="1:3">
      <c r="A239" s="227" t="s">
        <v>268</v>
      </c>
      <c r="B239" s="243">
        <v>588.5</v>
      </c>
      <c r="C239" s="228" t="s">
        <v>964</v>
      </c>
    </row>
    <row r="240" spans="1:3">
      <c r="A240" s="257" t="s">
        <v>268</v>
      </c>
      <c r="B240" s="335">
        <v>0</v>
      </c>
      <c r="C240" s="228" t="s">
        <v>192</v>
      </c>
    </row>
    <row r="241" spans="1:3">
      <c r="A241" s="227" t="s">
        <v>268</v>
      </c>
      <c r="B241" s="243">
        <v>1909.66</v>
      </c>
      <c r="C241" s="228" t="s">
        <v>192</v>
      </c>
    </row>
    <row r="242" spans="1:3">
      <c r="A242" s="227" t="s">
        <v>268</v>
      </c>
      <c r="B242" s="243">
        <v>119.9</v>
      </c>
      <c r="C242" s="228" t="s">
        <v>206</v>
      </c>
    </row>
    <row r="243" spans="1:3">
      <c r="A243" s="227" t="s">
        <v>407</v>
      </c>
      <c r="B243" s="243">
        <v>569.25</v>
      </c>
      <c r="C243" s="227" t="s">
        <v>206</v>
      </c>
    </row>
    <row r="244" spans="1:3">
      <c r="A244" s="227" t="s">
        <v>407</v>
      </c>
      <c r="B244" s="243">
        <v>569.25</v>
      </c>
      <c r="C244" s="228" t="s">
        <v>964</v>
      </c>
    </row>
    <row r="245" spans="1:3">
      <c r="A245" s="227" t="s">
        <v>407</v>
      </c>
      <c r="B245" s="243">
        <v>569.25</v>
      </c>
      <c r="C245" s="227" t="s">
        <v>162</v>
      </c>
    </row>
    <row r="246" spans="1:3">
      <c r="A246" s="227" t="s">
        <v>407</v>
      </c>
      <c r="B246" s="243">
        <v>262.45999999999998</v>
      </c>
      <c r="C246" s="227" t="s">
        <v>206</v>
      </c>
    </row>
    <row r="247" spans="1:3">
      <c r="A247" s="227" t="s">
        <v>407</v>
      </c>
      <c r="B247" s="243">
        <v>153.58000000000001</v>
      </c>
      <c r="C247" s="198" t="s">
        <v>2109</v>
      </c>
    </row>
    <row r="248" spans="1:3">
      <c r="A248" s="227" t="s">
        <v>407</v>
      </c>
      <c r="B248" s="243">
        <v>60</v>
      </c>
      <c r="C248" s="227" t="s">
        <v>192</v>
      </c>
    </row>
    <row r="249" spans="1:3">
      <c r="A249" s="227" t="s">
        <v>268</v>
      </c>
      <c r="B249" s="243">
        <v>40</v>
      </c>
      <c r="C249" s="228" t="s">
        <v>964</v>
      </c>
    </row>
    <row r="250" spans="1:3">
      <c r="A250" s="227" t="s">
        <v>268</v>
      </c>
      <c r="B250" s="243">
        <v>58.47</v>
      </c>
      <c r="C250" s="228" t="s">
        <v>206</v>
      </c>
    </row>
    <row r="251" spans="1:3">
      <c r="A251" s="227" t="s">
        <v>268</v>
      </c>
      <c r="B251" s="243">
        <v>1593.15</v>
      </c>
      <c r="C251" s="198" t="s">
        <v>2109</v>
      </c>
    </row>
    <row r="252" spans="1:3">
      <c r="A252" s="227" t="s">
        <v>268</v>
      </c>
      <c r="B252" s="243">
        <v>399.99</v>
      </c>
      <c r="C252" s="228" t="s">
        <v>143</v>
      </c>
    </row>
    <row r="253" spans="1:3">
      <c r="A253" s="227" t="s">
        <v>268</v>
      </c>
      <c r="B253" s="243">
        <v>214.46</v>
      </c>
      <c r="C253" s="228" t="s">
        <v>162</v>
      </c>
    </row>
    <row r="254" spans="1:3">
      <c r="A254" s="323" t="s">
        <v>268</v>
      </c>
      <c r="B254" s="319">
        <v>208.75</v>
      </c>
      <c r="C254" s="228" t="s">
        <v>192</v>
      </c>
    </row>
    <row r="255" spans="1:3">
      <c r="A255" s="227" t="s">
        <v>268</v>
      </c>
      <c r="B255" s="243">
        <v>13.54</v>
      </c>
      <c r="C255" s="228" t="s">
        <v>2621</v>
      </c>
    </row>
    <row r="256" spans="1:3">
      <c r="A256" s="227" t="s">
        <v>407</v>
      </c>
      <c r="B256" s="243">
        <v>368.59</v>
      </c>
      <c r="C256" s="227" t="s">
        <v>192</v>
      </c>
    </row>
    <row r="257" spans="1:3">
      <c r="A257" s="227" t="s">
        <v>268</v>
      </c>
      <c r="B257" s="243">
        <v>295</v>
      </c>
      <c r="C257" s="228" t="s">
        <v>164</v>
      </c>
    </row>
    <row r="258" spans="1:3">
      <c r="A258" s="227" t="s">
        <v>268</v>
      </c>
      <c r="B258" s="243">
        <v>190</v>
      </c>
      <c r="C258" s="228" t="s">
        <v>164</v>
      </c>
    </row>
    <row r="259" spans="1:3">
      <c r="A259" s="227" t="s">
        <v>268</v>
      </c>
      <c r="B259" s="243">
        <v>141.97</v>
      </c>
      <c r="C259" s="228" t="s">
        <v>206</v>
      </c>
    </row>
    <row r="260" spans="1:3">
      <c r="A260" s="227" t="s">
        <v>268</v>
      </c>
      <c r="B260" s="243">
        <v>450</v>
      </c>
      <c r="C260" s="189" t="s">
        <v>159</v>
      </c>
    </row>
    <row r="261" spans="1:3">
      <c r="A261" s="227" t="s">
        <v>268</v>
      </c>
      <c r="B261" s="243">
        <v>3219.53</v>
      </c>
      <c r="C261" s="244" t="s">
        <v>143</v>
      </c>
    </row>
    <row r="262" spans="1:3">
      <c r="A262" s="227" t="s">
        <v>268</v>
      </c>
      <c r="B262" s="243">
        <v>95.13</v>
      </c>
      <c r="C262" s="189" t="s">
        <v>316</v>
      </c>
    </row>
    <row r="263" spans="1:3">
      <c r="A263" s="227" t="s">
        <v>407</v>
      </c>
      <c r="B263" s="243">
        <v>1391.04</v>
      </c>
      <c r="C263" s="227" t="s">
        <v>1848</v>
      </c>
    </row>
    <row r="264" spans="1:3">
      <c r="A264" s="227" t="s">
        <v>268</v>
      </c>
      <c r="B264" s="243">
        <v>2744.93</v>
      </c>
      <c r="C264" s="228" t="s">
        <v>476</v>
      </c>
    </row>
    <row r="265" spans="1:3">
      <c r="A265" s="227" t="s">
        <v>407</v>
      </c>
      <c r="B265" s="243">
        <v>37.869999999999997</v>
      </c>
      <c r="C265" s="198" t="s">
        <v>2109</v>
      </c>
    </row>
    <row r="266" spans="1:3">
      <c r="A266" s="227" t="s">
        <v>268</v>
      </c>
      <c r="B266" s="243">
        <v>35.9</v>
      </c>
      <c r="C266" s="228" t="s">
        <v>422</v>
      </c>
    </row>
    <row r="267" spans="1:3">
      <c r="A267" s="227" t="s">
        <v>407</v>
      </c>
      <c r="B267" s="243">
        <v>273.31</v>
      </c>
      <c r="C267" s="198" t="s">
        <v>2109</v>
      </c>
    </row>
    <row r="268" spans="1:3">
      <c r="A268" s="323" t="s">
        <v>268</v>
      </c>
      <c r="B268" s="319">
        <v>27.49</v>
      </c>
      <c r="C268" s="228" t="s">
        <v>206</v>
      </c>
    </row>
    <row r="269" spans="1:3">
      <c r="A269" s="244" t="s">
        <v>268</v>
      </c>
      <c r="B269" s="260">
        <v>237</v>
      </c>
      <c r="C269" s="244" t="s">
        <v>164</v>
      </c>
    </row>
    <row r="270" spans="1:3">
      <c r="A270" s="244" t="s">
        <v>268</v>
      </c>
      <c r="B270" s="260">
        <v>159.19999999999999</v>
      </c>
      <c r="C270" s="244" t="s">
        <v>164</v>
      </c>
    </row>
    <row r="271" spans="1:3">
      <c r="A271" s="244" t="s">
        <v>268</v>
      </c>
      <c r="B271" s="260">
        <v>69.819999999999993</v>
      </c>
      <c r="C271" s="244" t="s">
        <v>164</v>
      </c>
    </row>
    <row r="272" spans="1:3">
      <c r="A272" s="244" t="s">
        <v>268</v>
      </c>
      <c r="B272" s="260">
        <v>40.44</v>
      </c>
      <c r="C272" s="244" t="s">
        <v>164</v>
      </c>
    </row>
    <row r="273" spans="1:3">
      <c r="A273" s="244" t="s">
        <v>268</v>
      </c>
      <c r="B273" s="260">
        <v>40</v>
      </c>
      <c r="C273" s="244" t="s">
        <v>164</v>
      </c>
    </row>
    <row r="274" spans="1:3">
      <c r="A274" s="244" t="s">
        <v>268</v>
      </c>
      <c r="B274" s="260">
        <v>40</v>
      </c>
      <c r="C274" s="244" t="s">
        <v>164</v>
      </c>
    </row>
    <row r="275" spans="1:3">
      <c r="A275" s="244" t="s">
        <v>268</v>
      </c>
      <c r="B275" s="260">
        <v>18</v>
      </c>
      <c r="C275" s="244" t="s">
        <v>164</v>
      </c>
    </row>
    <row r="276" spans="1:3">
      <c r="A276" s="244" t="s">
        <v>268</v>
      </c>
      <c r="B276" s="260">
        <v>10</v>
      </c>
      <c r="C276" s="244" t="s">
        <v>164</v>
      </c>
    </row>
    <row r="277" spans="1:3">
      <c r="A277" s="244" t="s">
        <v>268</v>
      </c>
      <c r="B277" s="260">
        <v>10</v>
      </c>
      <c r="C277" s="244" t="s">
        <v>164</v>
      </c>
    </row>
    <row r="278" spans="1:3">
      <c r="A278" s="244" t="s">
        <v>268</v>
      </c>
      <c r="B278" s="260">
        <v>10</v>
      </c>
      <c r="C278" s="244" t="s">
        <v>164</v>
      </c>
    </row>
    <row r="279" spans="1:3">
      <c r="A279" s="244" t="s">
        <v>268</v>
      </c>
      <c r="B279" s="260">
        <v>10</v>
      </c>
      <c r="C279" s="244" t="s">
        <v>164</v>
      </c>
    </row>
    <row r="280" spans="1:3">
      <c r="A280" s="244" t="s">
        <v>268</v>
      </c>
      <c r="B280" s="260">
        <v>10</v>
      </c>
      <c r="C280" s="244" t="s">
        <v>164</v>
      </c>
    </row>
    <row r="281" spans="1:3">
      <c r="A281" s="244" t="s">
        <v>268</v>
      </c>
      <c r="B281" s="260">
        <v>10</v>
      </c>
      <c r="C281" s="244" t="s">
        <v>164</v>
      </c>
    </row>
    <row r="282" spans="1:3">
      <c r="A282" s="244" t="s">
        <v>268</v>
      </c>
      <c r="B282" s="260">
        <v>3.5</v>
      </c>
      <c r="C282" s="244" t="s">
        <v>164</v>
      </c>
    </row>
    <row r="283" spans="1:3">
      <c r="A283" s="244" t="s">
        <v>268</v>
      </c>
      <c r="B283" s="260">
        <v>3.5</v>
      </c>
      <c r="C283" s="244" t="s">
        <v>164</v>
      </c>
    </row>
    <row r="284" spans="1:3">
      <c r="A284" s="244" t="s">
        <v>268</v>
      </c>
      <c r="B284" s="260">
        <v>3.37</v>
      </c>
      <c r="C284" s="244" t="s">
        <v>164</v>
      </c>
    </row>
    <row r="285" spans="1:3">
      <c r="A285" s="244" t="s">
        <v>268</v>
      </c>
      <c r="B285" s="260">
        <v>2.72</v>
      </c>
      <c r="C285" s="244" t="s">
        <v>164</v>
      </c>
    </row>
    <row r="286" spans="1:3">
      <c r="A286" s="244" t="s">
        <v>268</v>
      </c>
      <c r="B286" s="260">
        <v>1.99</v>
      </c>
      <c r="C286" s="244" t="s">
        <v>164</v>
      </c>
    </row>
    <row r="287" spans="1:3">
      <c r="A287" s="244" t="s">
        <v>268</v>
      </c>
      <c r="B287" s="260">
        <v>1.99</v>
      </c>
      <c r="C287" s="244" t="s">
        <v>164</v>
      </c>
    </row>
    <row r="288" spans="1:3">
      <c r="A288" s="244" t="s">
        <v>268</v>
      </c>
      <c r="B288" s="260">
        <v>1.99</v>
      </c>
      <c r="C288" s="244" t="s">
        <v>164</v>
      </c>
    </row>
    <row r="289" spans="1:3">
      <c r="A289" s="244" t="s">
        <v>268</v>
      </c>
      <c r="B289" s="260">
        <v>1.99</v>
      </c>
      <c r="C289" s="244" t="s">
        <v>164</v>
      </c>
    </row>
    <row r="290" spans="1:3">
      <c r="A290" s="244" t="s">
        <v>268</v>
      </c>
      <c r="B290" s="260">
        <v>1.99</v>
      </c>
      <c r="C290" s="244" t="s">
        <v>164</v>
      </c>
    </row>
    <row r="291" spans="1:3">
      <c r="A291" s="244" t="s">
        <v>268</v>
      </c>
      <c r="B291" s="260">
        <v>1.99</v>
      </c>
      <c r="C291" s="244" t="s">
        <v>164</v>
      </c>
    </row>
    <row r="292" spans="1:3">
      <c r="A292" s="244" t="s">
        <v>268</v>
      </c>
      <c r="B292" s="260">
        <v>1.99</v>
      </c>
      <c r="C292" s="244" t="s">
        <v>164</v>
      </c>
    </row>
    <row r="293" spans="1:3">
      <c r="A293" s="244" t="s">
        <v>268</v>
      </c>
      <c r="B293" s="260">
        <v>1.99</v>
      </c>
      <c r="C293" s="244" t="s">
        <v>164</v>
      </c>
    </row>
    <row r="294" spans="1:3">
      <c r="A294" s="244" t="s">
        <v>268</v>
      </c>
      <c r="B294" s="260">
        <v>1.99</v>
      </c>
      <c r="C294" s="244" t="s">
        <v>164</v>
      </c>
    </row>
    <row r="295" spans="1:3">
      <c r="A295" s="244" t="s">
        <v>268</v>
      </c>
      <c r="B295" s="260">
        <v>1.99</v>
      </c>
      <c r="C295" s="244" t="s">
        <v>164</v>
      </c>
    </row>
    <row r="296" spans="1:3">
      <c r="A296" s="244" t="s">
        <v>268</v>
      </c>
      <c r="B296" s="260">
        <v>1.99</v>
      </c>
      <c r="C296" s="244" t="s">
        <v>164</v>
      </c>
    </row>
    <row r="297" spans="1:3">
      <c r="A297" s="244" t="s">
        <v>268</v>
      </c>
      <c r="B297" s="260">
        <v>1.99</v>
      </c>
      <c r="C297" s="244" t="s">
        <v>164</v>
      </c>
    </row>
    <row r="298" spans="1:3">
      <c r="A298" s="244" t="s">
        <v>268</v>
      </c>
      <c r="B298" s="260">
        <v>1.99</v>
      </c>
      <c r="C298" s="244" t="s">
        <v>164</v>
      </c>
    </row>
    <row r="299" spans="1:3">
      <c r="A299" s="244" t="s">
        <v>268</v>
      </c>
      <c r="B299" s="260">
        <v>1.99</v>
      </c>
      <c r="C299" s="244" t="s">
        <v>164</v>
      </c>
    </row>
    <row r="300" spans="1:3">
      <c r="A300" s="244" t="s">
        <v>268</v>
      </c>
      <c r="B300" s="260">
        <v>0.5</v>
      </c>
      <c r="C300" s="227" t="s">
        <v>164</v>
      </c>
    </row>
    <row r="301" spans="1:3">
      <c r="A301" s="244" t="s">
        <v>268</v>
      </c>
      <c r="B301" s="260">
        <v>0.5</v>
      </c>
      <c r="C301" s="227" t="s">
        <v>164</v>
      </c>
    </row>
    <row r="302" spans="1:3">
      <c r="A302" s="244" t="s">
        <v>268</v>
      </c>
      <c r="B302" s="260">
        <v>0.5</v>
      </c>
      <c r="C302" s="227" t="s">
        <v>164</v>
      </c>
    </row>
    <row r="303" spans="1:3">
      <c r="A303" s="244" t="s">
        <v>268</v>
      </c>
      <c r="B303" s="260">
        <v>0.5</v>
      </c>
      <c r="C303" s="227" t="s">
        <v>164</v>
      </c>
    </row>
    <row r="304" spans="1:3">
      <c r="A304" s="244" t="s">
        <v>268</v>
      </c>
      <c r="B304" s="260">
        <v>0.5</v>
      </c>
      <c r="C304" s="227" t="s">
        <v>164</v>
      </c>
    </row>
    <row r="305" spans="1:3">
      <c r="A305" s="244" t="s">
        <v>268</v>
      </c>
      <c r="B305" s="260">
        <v>0.5</v>
      </c>
      <c r="C305" s="227" t="s">
        <v>164</v>
      </c>
    </row>
    <row r="306" spans="1:3">
      <c r="A306" s="244" t="s">
        <v>268</v>
      </c>
      <c r="B306" s="260">
        <v>0.5</v>
      </c>
      <c r="C306" s="227" t="s">
        <v>164</v>
      </c>
    </row>
    <row r="307" spans="1:3">
      <c r="A307" s="244" t="s">
        <v>268</v>
      </c>
      <c r="B307" s="260">
        <v>0.5</v>
      </c>
      <c r="C307" s="227" t="s">
        <v>164</v>
      </c>
    </row>
    <row r="308" spans="1:3">
      <c r="A308" s="244" t="s">
        <v>268</v>
      </c>
      <c r="B308" s="260">
        <v>0.5</v>
      </c>
      <c r="C308" s="227" t="s">
        <v>164</v>
      </c>
    </row>
    <row r="309" spans="1:3">
      <c r="A309" s="244" t="s">
        <v>268</v>
      </c>
      <c r="B309" s="260">
        <v>0.5</v>
      </c>
      <c r="C309" s="227" t="s">
        <v>164</v>
      </c>
    </row>
    <row r="310" spans="1:3">
      <c r="A310" s="244" t="s">
        <v>268</v>
      </c>
      <c r="B310" s="260">
        <v>0.5</v>
      </c>
      <c r="C310" s="227" t="s">
        <v>164</v>
      </c>
    </row>
    <row r="311" spans="1:3">
      <c r="A311" s="244" t="s">
        <v>268</v>
      </c>
      <c r="B311" s="260">
        <v>0.5</v>
      </c>
      <c r="C311" s="227" t="s">
        <v>164</v>
      </c>
    </row>
    <row r="312" spans="1:3">
      <c r="A312" s="244" t="s">
        <v>268</v>
      </c>
      <c r="B312" s="260">
        <v>0.5</v>
      </c>
      <c r="C312" s="227" t="s">
        <v>164</v>
      </c>
    </row>
    <row r="313" spans="1:3">
      <c r="A313" s="244" t="s">
        <v>268</v>
      </c>
      <c r="B313" s="260">
        <v>0.5</v>
      </c>
      <c r="C313" s="244" t="s">
        <v>164</v>
      </c>
    </row>
    <row r="314" spans="1:3">
      <c r="A314" s="244" t="s">
        <v>268</v>
      </c>
      <c r="B314" s="260">
        <v>0.5</v>
      </c>
      <c r="C314" s="244" t="s">
        <v>164</v>
      </c>
    </row>
    <row r="315" spans="1:3">
      <c r="A315" s="244" t="s">
        <v>268</v>
      </c>
      <c r="B315" s="260">
        <v>0.5</v>
      </c>
      <c r="C315" s="244" t="s">
        <v>164</v>
      </c>
    </row>
    <row r="316" spans="1:3">
      <c r="A316" s="244" t="s">
        <v>268</v>
      </c>
      <c r="B316" s="260">
        <v>0.5</v>
      </c>
      <c r="C316" s="244" t="s">
        <v>164</v>
      </c>
    </row>
    <row r="317" spans="1:3">
      <c r="A317" s="244" t="s">
        <v>268</v>
      </c>
      <c r="B317" s="260">
        <v>0.5</v>
      </c>
      <c r="C317" s="244" t="s">
        <v>164</v>
      </c>
    </row>
    <row r="318" spans="1:3">
      <c r="A318" s="244" t="s">
        <v>268</v>
      </c>
      <c r="B318" s="260">
        <v>0.5</v>
      </c>
      <c r="C318" s="244" t="s">
        <v>164</v>
      </c>
    </row>
    <row r="319" spans="1:3">
      <c r="A319" s="244" t="s">
        <v>268</v>
      </c>
      <c r="B319" s="260">
        <v>0.5</v>
      </c>
      <c r="C319" s="244" t="s">
        <v>164</v>
      </c>
    </row>
    <row r="320" spans="1:3">
      <c r="A320" s="244" t="s">
        <v>268</v>
      </c>
      <c r="B320" s="260">
        <v>0.5</v>
      </c>
      <c r="C320" s="244" t="s">
        <v>164</v>
      </c>
    </row>
    <row r="321" spans="1:3">
      <c r="A321" s="244" t="s">
        <v>268</v>
      </c>
      <c r="B321" s="260">
        <v>0.5</v>
      </c>
      <c r="C321" s="244" t="s">
        <v>164</v>
      </c>
    </row>
    <row r="322" spans="1:3">
      <c r="A322" s="244" t="s">
        <v>268</v>
      </c>
      <c r="B322" s="260">
        <v>0.5</v>
      </c>
      <c r="C322" s="244" t="s">
        <v>164</v>
      </c>
    </row>
    <row r="323" spans="1:3">
      <c r="A323" s="244" t="s">
        <v>268</v>
      </c>
      <c r="B323" s="260">
        <v>0.5</v>
      </c>
      <c r="C323" s="244" t="s">
        <v>164</v>
      </c>
    </row>
    <row r="324" spans="1:3">
      <c r="A324" s="244" t="s">
        <v>268</v>
      </c>
      <c r="B324" s="260">
        <v>0.5</v>
      </c>
      <c r="C324" s="244" t="s">
        <v>164</v>
      </c>
    </row>
    <row r="325" spans="1:3">
      <c r="A325" s="244" t="s">
        <v>268</v>
      </c>
      <c r="B325" s="260">
        <v>0.5</v>
      </c>
      <c r="C325" s="244" t="s">
        <v>164</v>
      </c>
    </row>
    <row r="326" spans="1:3">
      <c r="A326" s="244" t="s">
        <v>268</v>
      </c>
      <c r="B326" s="260">
        <v>0.5</v>
      </c>
      <c r="C326" s="244" t="s">
        <v>164</v>
      </c>
    </row>
    <row r="327" spans="1:3">
      <c r="A327" s="244" t="s">
        <v>268</v>
      </c>
      <c r="B327" s="260">
        <v>0.5</v>
      </c>
      <c r="C327" s="244" t="s">
        <v>164</v>
      </c>
    </row>
    <row r="328" spans="1:3">
      <c r="A328" s="244" t="s">
        <v>268</v>
      </c>
      <c r="B328" s="260">
        <v>0.5</v>
      </c>
      <c r="C328" s="244" t="s">
        <v>164</v>
      </c>
    </row>
    <row r="329" spans="1:3">
      <c r="A329" s="244" t="s">
        <v>268</v>
      </c>
      <c r="B329" s="260">
        <v>0.5</v>
      </c>
      <c r="C329" s="244" t="s">
        <v>164</v>
      </c>
    </row>
    <row r="330" spans="1:3">
      <c r="A330" s="244" t="s">
        <v>268</v>
      </c>
      <c r="B330" s="260">
        <v>0.5</v>
      </c>
      <c r="C330" s="244" t="s">
        <v>164</v>
      </c>
    </row>
    <row r="331" spans="1:3">
      <c r="A331" s="244" t="s">
        <v>268</v>
      </c>
      <c r="B331" s="260">
        <v>0.5</v>
      </c>
      <c r="C331" s="244" t="s">
        <v>164</v>
      </c>
    </row>
    <row r="332" spans="1:3">
      <c r="A332" s="244" t="s">
        <v>268</v>
      </c>
      <c r="B332" s="260">
        <v>0.5</v>
      </c>
      <c r="C332" s="244" t="s">
        <v>164</v>
      </c>
    </row>
    <row r="333" spans="1:3">
      <c r="A333" s="244" t="s">
        <v>268</v>
      </c>
      <c r="B333" s="260">
        <v>0.5</v>
      </c>
      <c r="C333" s="244" t="s">
        <v>164</v>
      </c>
    </row>
    <row r="334" spans="1:3">
      <c r="A334" s="244" t="s">
        <v>268</v>
      </c>
      <c r="B334" s="260">
        <v>0.5</v>
      </c>
      <c r="C334" s="244" t="s">
        <v>164</v>
      </c>
    </row>
    <row r="335" spans="1:3">
      <c r="A335" s="244" t="s">
        <v>268</v>
      </c>
      <c r="B335" s="260">
        <v>0.5</v>
      </c>
      <c r="C335" s="244" t="s">
        <v>164</v>
      </c>
    </row>
    <row r="336" spans="1:3">
      <c r="A336" s="244" t="s">
        <v>268</v>
      </c>
      <c r="B336" s="260">
        <v>0.5</v>
      </c>
      <c r="C336" s="244" t="s">
        <v>164</v>
      </c>
    </row>
    <row r="337" spans="1:3">
      <c r="A337" s="244" t="s">
        <v>268</v>
      </c>
      <c r="B337" s="260">
        <v>0.5</v>
      </c>
      <c r="C337" s="244" t="s">
        <v>164</v>
      </c>
    </row>
    <row r="338" spans="1:3">
      <c r="A338" s="244" t="s">
        <v>268</v>
      </c>
      <c r="B338" s="260">
        <v>0.5</v>
      </c>
      <c r="C338" s="244" t="s">
        <v>164</v>
      </c>
    </row>
    <row r="339" spans="1:3">
      <c r="A339" s="244" t="s">
        <v>268</v>
      </c>
      <c r="B339" s="260">
        <v>0.5</v>
      </c>
      <c r="C339" s="244" t="s">
        <v>164</v>
      </c>
    </row>
    <row r="340" spans="1:3">
      <c r="A340" s="244" t="s">
        <v>268</v>
      </c>
      <c r="B340" s="260">
        <v>0.5</v>
      </c>
      <c r="C340" s="244" t="s">
        <v>164</v>
      </c>
    </row>
    <row r="341" spans="1:3">
      <c r="A341" s="244" t="s">
        <v>268</v>
      </c>
      <c r="B341" s="260">
        <v>0.5</v>
      </c>
      <c r="C341" s="244" t="s">
        <v>164</v>
      </c>
    </row>
    <row r="342" spans="1:3">
      <c r="A342" s="244" t="s">
        <v>268</v>
      </c>
      <c r="B342" s="260">
        <v>0.5</v>
      </c>
      <c r="C342" s="244" t="s">
        <v>164</v>
      </c>
    </row>
    <row r="343" spans="1:3">
      <c r="A343" s="244" t="s">
        <v>268</v>
      </c>
      <c r="B343" s="260">
        <v>0.5</v>
      </c>
      <c r="C343" s="244" t="s">
        <v>164</v>
      </c>
    </row>
    <row r="344" spans="1:3">
      <c r="A344" s="244" t="s">
        <v>268</v>
      </c>
      <c r="B344" s="260">
        <v>0.5</v>
      </c>
      <c r="C344" s="244" t="s">
        <v>164</v>
      </c>
    </row>
    <row r="345" spans="1:3">
      <c r="A345" s="244" t="s">
        <v>268</v>
      </c>
      <c r="B345" s="260">
        <v>0.5</v>
      </c>
      <c r="C345" s="244" t="s">
        <v>164</v>
      </c>
    </row>
    <row r="346" spans="1:3">
      <c r="A346" s="244" t="s">
        <v>268</v>
      </c>
      <c r="B346" s="260">
        <v>0.5</v>
      </c>
      <c r="C346" s="244" t="s">
        <v>164</v>
      </c>
    </row>
    <row r="347" spans="1:3">
      <c r="A347" s="244" t="s">
        <v>268</v>
      </c>
      <c r="B347" s="260">
        <v>0.5</v>
      </c>
      <c r="C347" s="244" t="s">
        <v>164</v>
      </c>
    </row>
    <row r="348" spans="1:3">
      <c r="A348" s="244" t="s">
        <v>268</v>
      </c>
      <c r="B348" s="260">
        <v>0.5</v>
      </c>
      <c r="C348" s="244" t="s">
        <v>164</v>
      </c>
    </row>
    <row r="349" spans="1:3">
      <c r="A349" s="244" t="s">
        <v>268</v>
      </c>
      <c r="B349" s="260">
        <v>0.5</v>
      </c>
      <c r="C349" s="244" t="s">
        <v>164</v>
      </c>
    </row>
    <row r="350" spans="1:3">
      <c r="A350" s="244" t="s">
        <v>268</v>
      </c>
      <c r="B350" s="260">
        <v>0.5</v>
      </c>
      <c r="C350" s="244" t="s">
        <v>164</v>
      </c>
    </row>
    <row r="351" spans="1:3">
      <c r="A351" s="244" t="s">
        <v>268</v>
      </c>
      <c r="B351" s="260">
        <v>0.5</v>
      </c>
      <c r="C351" s="244" t="s">
        <v>164</v>
      </c>
    </row>
    <row r="352" spans="1:3">
      <c r="A352" s="244" t="s">
        <v>268</v>
      </c>
      <c r="B352" s="260">
        <v>0.5</v>
      </c>
      <c r="C352" s="244" t="s">
        <v>164</v>
      </c>
    </row>
    <row r="353" spans="1:3">
      <c r="A353" s="244" t="s">
        <v>268</v>
      </c>
      <c r="B353" s="260">
        <v>0.5</v>
      </c>
      <c r="C353" s="244" t="s">
        <v>164</v>
      </c>
    </row>
    <row r="354" spans="1:3">
      <c r="A354" s="244" t="s">
        <v>268</v>
      </c>
      <c r="B354" s="260">
        <v>0.5</v>
      </c>
      <c r="C354" s="244" t="s">
        <v>164</v>
      </c>
    </row>
    <row r="355" spans="1:3">
      <c r="A355" s="244" t="s">
        <v>268</v>
      </c>
      <c r="B355" s="260">
        <v>0.5</v>
      </c>
      <c r="C355" s="244" t="s">
        <v>164</v>
      </c>
    </row>
    <row r="356" spans="1:3">
      <c r="A356" s="244" t="s">
        <v>268</v>
      </c>
      <c r="B356" s="260">
        <v>0.5</v>
      </c>
      <c r="C356" s="244" t="s">
        <v>164</v>
      </c>
    </row>
    <row r="357" spans="1:3">
      <c r="A357" s="244" t="s">
        <v>268</v>
      </c>
      <c r="B357" s="260">
        <v>0.5</v>
      </c>
      <c r="C357" s="244" t="s">
        <v>164</v>
      </c>
    </row>
    <row r="358" spans="1:3">
      <c r="A358" s="244" t="s">
        <v>268</v>
      </c>
      <c r="B358" s="260">
        <v>0.5</v>
      </c>
      <c r="C358" s="244" t="s">
        <v>164</v>
      </c>
    </row>
    <row r="359" spans="1:3">
      <c r="A359" s="244" t="s">
        <v>268</v>
      </c>
      <c r="B359" s="260">
        <v>0.5</v>
      </c>
      <c r="C359" s="244" t="s">
        <v>164</v>
      </c>
    </row>
    <row r="360" spans="1:3">
      <c r="A360" s="244" t="s">
        <v>268</v>
      </c>
      <c r="B360" s="260">
        <v>0.5</v>
      </c>
      <c r="C360" s="244" t="s">
        <v>164</v>
      </c>
    </row>
    <row r="361" spans="1:3">
      <c r="A361" s="244" t="s">
        <v>268</v>
      </c>
      <c r="B361" s="260">
        <v>0.5</v>
      </c>
      <c r="C361" s="244" t="s">
        <v>164</v>
      </c>
    </row>
    <row r="362" spans="1:3">
      <c r="A362" s="244" t="s">
        <v>268</v>
      </c>
      <c r="B362" s="260">
        <v>0.5</v>
      </c>
      <c r="C362" s="244" t="s">
        <v>164</v>
      </c>
    </row>
    <row r="363" spans="1:3">
      <c r="A363" s="244" t="s">
        <v>268</v>
      </c>
      <c r="B363" s="260">
        <v>0.5</v>
      </c>
      <c r="C363" s="244" t="s">
        <v>164</v>
      </c>
    </row>
    <row r="364" spans="1:3">
      <c r="A364" s="244" t="s">
        <v>268</v>
      </c>
      <c r="B364" s="260">
        <v>0.5</v>
      </c>
      <c r="C364" s="244" t="s">
        <v>164</v>
      </c>
    </row>
    <row r="365" spans="1:3">
      <c r="A365" s="244" t="s">
        <v>268</v>
      </c>
      <c r="B365" s="260">
        <v>0.5</v>
      </c>
      <c r="C365" s="244" t="s">
        <v>164</v>
      </c>
    </row>
    <row r="366" spans="1:3">
      <c r="A366" s="244" t="s">
        <v>268</v>
      </c>
      <c r="B366" s="260">
        <v>0.5</v>
      </c>
      <c r="C366" s="244" t="s">
        <v>164</v>
      </c>
    </row>
    <row r="367" spans="1:3">
      <c r="A367" s="244" t="s">
        <v>268</v>
      </c>
      <c r="B367" s="260">
        <v>0.5</v>
      </c>
      <c r="C367" s="244" t="s">
        <v>164</v>
      </c>
    </row>
    <row r="368" spans="1:3">
      <c r="A368" s="244" t="s">
        <v>268</v>
      </c>
      <c r="B368" s="260">
        <v>0.5</v>
      </c>
      <c r="C368" s="244" t="s">
        <v>164</v>
      </c>
    </row>
    <row r="369" spans="1:3">
      <c r="A369" s="244" t="s">
        <v>268</v>
      </c>
      <c r="B369" s="260">
        <v>0.5</v>
      </c>
      <c r="C369" s="244" t="s">
        <v>164</v>
      </c>
    </row>
    <row r="370" spans="1:3">
      <c r="A370" s="244" t="s">
        <v>268</v>
      </c>
      <c r="B370" s="260">
        <v>0.5</v>
      </c>
      <c r="C370" s="244" t="s">
        <v>164</v>
      </c>
    </row>
    <row r="371" spans="1:3">
      <c r="A371" s="244" t="s">
        <v>268</v>
      </c>
      <c r="B371" s="260">
        <v>0.5</v>
      </c>
      <c r="C371" s="244" t="s">
        <v>164</v>
      </c>
    </row>
    <row r="372" spans="1:3">
      <c r="A372" s="244" t="s">
        <v>268</v>
      </c>
      <c r="B372" s="260">
        <v>0.5</v>
      </c>
      <c r="C372" s="244" t="s">
        <v>164</v>
      </c>
    </row>
    <row r="373" spans="1:3">
      <c r="A373" s="244" t="s">
        <v>268</v>
      </c>
      <c r="B373" s="260">
        <v>0.5</v>
      </c>
      <c r="C373" s="244" t="s">
        <v>164</v>
      </c>
    </row>
    <row r="374" spans="1:3">
      <c r="A374" s="244" t="s">
        <v>268</v>
      </c>
      <c r="B374" s="260">
        <v>0.5</v>
      </c>
      <c r="C374" s="244" t="s">
        <v>164</v>
      </c>
    </row>
    <row r="375" spans="1:3">
      <c r="A375" s="244" t="s">
        <v>268</v>
      </c>
      <c r="B375" s="260">
        <v>0.5</v>
      </c>
      <c r="C375" s="244" t="s">
        <v>164</v>
      </c>
    </row>
    <row r="376" spans="1:3">
      <c r="A376" s="244" t="s">
        <v>268</v>
      </c>
      <c r="B376" s="260">
        <v>0.5</v>
      </c>
      <c r="C376" s="244" t="s">
        <v>164</v>
      </c>
    </row>
    <row r="377" spans="1:3">
      <c r="A377" s="244" t="s">
        <v>268</v>
      </c>
      <c r="B377" s="260">
        <v>0.5</v>
      </c>
      <c r="C377" s="244" t="s">
        <v>164</v>
      </c>
    </row>
    <row r="378" spans="1:3">
      <c r="A378" s="244" t="s">
        <v>268</v>
      </c>
      <c r="B378" s="260">
        <v>0.5</v>
      </c>
      <c r="C378" s="244" t="s">
        <v>164</v>
      </c>
    </row>
    <row r="379" spans="1:3">
      <c r="A379" s="244" t="s">
        <v>268</v>
      </c>
      <c r="B379" s="260">
        <v>0.5</v>
      </c>
      <c r="C379" s="244" t="s">
        <v>164</v>
      </c>
    </row>
    <row r="380" spans="1:3">
      <c r="A380" s="244" t="s">
        <v>268</v>
      </c>
      <c r="B380" s="260">
        <v>0.5</v>
      </c>
      <c r="C380" s="244" t="s">
        <v>164</v>
      </c>
    </row>
    <row r="381" spans="1:3">
      <c r="A381" s="244" t="s">
        <v>268</v>
      </c>
      <c r="B381" s="260">
        <v>0.5</v>
      </c>
      <c r="C381" s="244" t="s">
        <v>164</v>
      </c>
    </row>
    <row r="382" spans="1:3">
      <c r="A382" s="244" t="s">
        <v>268</v>
      </c>
      <c r="B382" s="260">
        <v>0.5</v>
      </c>
      <c r="C382" s="244" t="s">
        <v>164</v>
      </c>
    </row>
    <row r="383" spans="1:3">
      <c r="A383" s="244" t="s">
        <v>268</v>
      </c>
      <c r="B383" s="260">
        <v>0.5</v>
      </c>
      <c r="C383" s="244" t="s">
        <v>164</v>
      </c>
    </row>
    <row r="384" spans="1:3">
      <c r="A384" s="244" t="s">
        <v>268</v>
      </c>
      <c r="B384" s="260">
        <v>0.5</v>
      </c>
      <c r="C384" s="244" t="s">
        <v>164</v>
      </c>
    </row>
    <row r="385" spans="1:3">
      <c r="A385" s="244" t="s">
        <v>268</v>
      </c>
      <c r="B385" s="260">
        <v>0.5</v>
      </c>
      <c r="C385" s="244" t="s">
        <v>164</v>
      </c>
    </row>
    <row r="386" spans="1:3">
      <c r="A386" s="244" t="s">
        <v>268</v>
      </c>
      <c r="B386" s="260">
        <v>0.5</v>
      </c>
      <c r="C386" s="244" t="s">
        <v>164</v>
      </c>
    </row>
    <row r="387" spans="1:3">
      <c r="A387" s="244" t="s">
        <v>268</v>
      </c>
      <c r="B387" s="260">
        <v>0.5</v>
      </c>
      <c r="C387" s="244" t="s">
        <v>164</v>
      </c>
    </row>
    <row r="388" spans="1:3">
      <c r="A388" s="244" t="s">
        <v>268</v>
      </c>
      <c r="B388" s="260">
        <v>0.5</v>
      </c>
      <c r="C388" s="244" t="s">
        <v>164</v>
      </c>
    </row>
    <row r="389" spans="1:3">
      <c r="A389" s="244" t="s">
        <v>268</v>
      </c>
      <c r="B389" s="260">
        <v>0.5</v>
      </c>
      <c r="C389" s="244" t="s">
        <v>164</v>
      </c>
    </row>
    <row r="390" spans="1:3">
      <c r="A390" s="244" t="s">
        <v>268</v>
      </c>
      <c r="B390" s="260">
        <v>0.5</v>
      </c>
      <c r="C390" s="244" t="s">
        <v>164</v>
      </c>
    </row>
    <row r="391" spans="1:3">
      <c r="A391" s="244" t="s">
        <v>268</v>
      </c>
      <c r="B391" s="260">
        <v>0.5</v>
      </c>
      <c r="C391" s="244" t="s">
        <v>164</v>
      </c>
    </row>
    <row r="392" spans="1:3">
      <c r="A392" s="244" t="s">
        <v>268</v>
      </c>
      <c r="B392" s="260">
        <v>0.5</v>
      </c>
      <c r="C392" s="244" t="s">
        <v>164</v>
      </c>
    </row>
    <row r="393" spans="1:3">
      <c r="A393" s="244" t="s">
        <v>268</v>
      </c>
      <c r="B393" s="260">
        <v>0.5</v>
      </c>
      <c r="C393" s="244" t="s">
        <v>164</v>
      </c>
    </row>
    <row r="394" spans="1:3">
      <c r="A394" s="244" t="s">
        <v>268</v>
      </c>
      <c r="B394" s="260">
        <v>0.5</v>
      </c>
      <c r="C394" s="244" t="s">
        <v>164</v>
      </c>
    </row>
    <row r="395" spans="1:3">
      <c r="A395" s="244" t="s">
        <v>268</v>
      </c>
      <c r="B395" s="260">
        <v>0.5</v>
      </c>
      <c r="C395" s="244" t="s">
        <v>164</v>
      </c>
    </row>
    <row r="396" spans="1:3">
      <c r="A396" s="244" t="s">
        <v>268</v>
      </c>
      <c r="B396" s="260">
        <v>0.5</v>
      </c>
      <c r="C396" s="244" t="s">
        <v>164</v>
      </c>
    </row>
    <row r="397" spans="1:3">
      <c r="A397" s="244" t="s">
        <v>268</v>
      </c>
      <c r="B397" s="260">
        <v>0.5</v>
      </c>
      <c r="C397" s="244" t="s">
        <v>164</v>
      </c>
    </row>
    <row r="398" spans="1:3">
      <c r="A398" s="244" t="s">
        <v>268</v>
      </c>
      <c r="B398" s="260">
        <v>0.5</v>
      </c>
      <c r="C398" s="244" t="s">
        <v>164</v>
      </c>
    </row>
    <row r="399" spans="1:3">
      <c r="A399" s="244" t="s">
        <v>268</v>
      </c>
      <c r="B399" s="260">
        <v>0.5</v>
      </c>
      <c r="C399" s="244" t="s">
        <v>164</v>
      </c>
    </row>
    <row r="400" spans="1:3">
      <c r="A400" s="244" t="s">
        <v>268</v>
      </c>
      <c r="B400" s="260">
        <v>0.5</v>
      </c>
      <c r="C400" s="244" t="s">
        <v>164</v>
      </c>
    </row>
    <row r="401" spans="1:3">
      <c r="A401" s="244" t="s">
        <v>268</v>
      </c>
      <c r="B401" s="260">
        <v>0.5</v>
      </c>
      <c r="C401" s="244" t="s">
        <v>164</v>
      </c>
    </row>
    <row r="402" spans="1:3">
      <c r="A402" s="244" t="s">
        <v>268</v>
      </c>
      <c r="B402" s="260">
        <v>0.5</v>
      </c>
      <c r="C402" s="244" t="s">
        <v>164</v>
      </c>
    </row>
    <row r="403" spans="1:3">
      <c r="A403" s="244" t="s">
        <v>268</v>
      </c>
      <c r="B403" s="260">
        <v>0.5</v>
      </c>
      <c r="C403" s="244" t="s">
        <v>164</v>
      </c>
    </row>
    <row r="404" spans="1:3">
      <c r="A404" s="205" t="s">
        <v>268</v>
      </c>
      <c r="B404" s="226">
        <v>23</v>
      </c>
      <c r="C404" s="250" t="s">
        <v>246</v>
      </c>
    </row>
    <row r="405" spans="1:3">
      <c r="A405" s="205" t="s">
        <v>268</v>
      </c>
      <c r="B405" s="226">
        <v>139.9</v>
      </c>
      <c r="C405" s="250" t="s">
        <v>246</v>
      </c>
    </row>
    <row r="406" spans="1:3">
      <c r="A406" s="205" t="s">
        <v>268</v>
      </c>
      <c r="B406" s="226">
        <v>187.61</v>
      </c>
      <c r="C406" s="250" t="s">
        <v>246</v>
      </c>
    </row>
    <row r="407" spans="1:3">
      <c r="A407" s="205" t="s">
        <v>268</v>
      </c>
      <c r="B407" s="226">
        <v>209.94</v>
      </c>
      <c r="C407" s="250" t="s">
        <v>246</v>
      </c>
    </row>
    <row r="408" spans="1:3">
      <c r="A408" s="205" t="s">
        <v>268</v>
      </c>
      <c r="B408" s="226">
        <v>30</v>
      </c>
      <c r="C408" s="250" t="s">
        <v>246</v>
      </c>
    </row>
    <row r="409" spans="1:3">
      <c r="A409" s="205" t="s">
        <v>268</v>
      </c>
      <c r="B409" s="226">
        <v>581.05999999999995</v>
      </c>
      <c r="C409" s="250" t="s">
        <v>246</v>
      </c>
    </row>
    <row r="410" spans="1:3">
      <c r="A410" s="227" t="s">
        <v>407</v>
      </c>
      <c r="B410" s="260">
        <v>896.19</v>
      </c>
      <c r="C410" s="244" t="s">
        <v>143</v>
      </c>
    </row>
    <row r="411" spans="1:3">
      <c r="A411" s="227" t="s">
        <v>407</v>
      </c>
      <c r="B411" s="260">
        <v>80.95</v>
      </c>
      <c r="C411" s="244" t="s">
        <v>164</v>
      </c>
    </row>
    <row r="412" spans="1:3">
      <c r="A412" s="227" t="s">
        <v>407</v>
      </c>
      <c r="B412" s="260">
        <v>20</v>
      </c>
      <c r="C412" s="244" t="s">
        <v>143</v>
      </c>
    </row>
    <row r="413" spans="1:3">
      <c r="A413" s="227" t="s">
        <v>407</v>
      </c>
      <c r="B413" s="260">
        <v>50</v>
      </c>
      <c r="C413" s="244" t="s">
        <v>143</v>
      </c>
    </row>
    <row r="414" spans="1:3">
      <c r="A414" s="227" t="s">
        <v>407</v>
      </c>
      <c r="B414" s="260">
        <v>9</v>
      </c>
      <c r="C414" s="244" t="s">
        <v>164</v>
      </c>
    </row>
    <row r="415" spans="1:3">
      <c r="A415" s="227" t="s">
        <v>407</v>
      </c>
      <c r="B415" s="260">
        <v>50</v>
      </c>
      <c r="C415" s="244" t="s">
        <v>143</v>
      </c>
    </row>
    <row r="416" spans="1:3">
      <c r="A416" s="227" t="s">
        <v>407</v>
      </c>
      <c r="B416" s="260">
        <v>200</v>
      </c>
      <c r="C416" s="244" t="s">
        <v>192</v>
      </c>
    </row>
    <row r="417" spans="1:3">
      <c r="A417" s="227" t="s">
        <v>407</v>
      </c>
      <c r="B417" s="260">
        <v>103.5</v>
      </c>
      <c r="C417" s="244" t="s">
        <v>143</v>
      </c>
    </row>
    <row r="418" spans="1:3">
      <c r="A418" s="227" t="s">
        <v>407</v>
      </c>
      <c r="B418" s="260">
        <v>819.85</v>
      </c>
      <c r="C418" s="244" t="s">
        <v>143</v>
      </c>
    </row>
    <row r="419" spans="1:3">
      <c r="A419" s="227" t="s">
        <v>407</v>
      </c>
      <c r="B419" s="260">
        <v>87.01</v>
      </c>
      <c r="C419" s="244" t="s">
        <v>143</v>
      </c>
    </row>
    <row r="420" spans="1:3">
      <c r="A420" s="227" t="s">
        <v>407</v>
      </c>
      <c r="B420" s="260">
        <v>1621</v>
      </c>
      <c r="C420" s="244" t="s">
        <v>206</v>
      </c>
    </row>
    <row r="421" spans="1:3">
      <c r="A421" s="227" t="s">
        <v>407</v>
      </c>
      <c r="B421" s="260">
        <v>5664.66</v>
      </c>
      <c r="C421" s="244" t="s">
        <v>206</v>
      </c>
    </row>
    <row r="422" spans="1:3">
      <c r="A422" s="227" t="s">
        <v>407</v>
      </c>
      <c r="B422" s="260">
        <v>276.68</v>
      </c>
      <c r="C422" s="244" t="s">
        <v>206</v>
      </c>
    </row>
    <row r="423" spans="1:3">
      <c r="A423" s="227" t="s">
        <v>407</v>
      </c>
      <c r="B423" s="260">
        <v>16000</v>
      </c>
      <c r="C423" s="244" t="s">
        <v>206</v>
      </c>
    </row>
    <row r="424" spans="1:3">
      <c r="A424" s="227" t="s">
        <v>407</v>
      </c>
      <c r="B424" s="260">
        <v>40</v>
      </c>
      <c r="C424" s="244" t="s">
        <v>143</v>
      </c>
    </row>
    <row r="425" spans="1:3">
      <c r="A425" s="227" t="s">
        <v>407</v>
      </c>
      <c r="B425" s="260">
        <v>2000</v>
      </c>
      <c r="C425" s="244" t="s">
        <v>206</v>
      </c>
    </row>
    <row r="426" spans="1:3">
      <c r="A426" s="227" t="s">
        <v>407</v>
      </c>
      <c r="B426" s="260">
        <v>400</v>
      </c>
      <c r="C426" s="244" t="s">
        <v>206</v>
      </c>
    </row>
    <row r="427" spans="1:3">
      <c r="A427" s="227" t="s">
        <v>407</v>
      </c>
      <c r="B427" s="260">
        <v>694</v>
      </c>
      <c r="C427" s="244" t="s">
        <v>206</v>
      </c>
    </row>
    <row r="428" spans="1:3">
      <c r="A428" s="227" t="s">
        <v>407</v>
      </c>
      <c r="B428" s="260">
        <v>222.6</v>
      </c>
      <c r="C428" s="244" t="s">
        <v>246</v>
      </c>
    </row>
    <row r="429" spans="1:3">
      <c r="A429" s="227" t="s">
        <v>407</v>
      </c>
      <c r="B429" s="260">
        <v>27.65</v>
      </c>
      <c r="C429" s="244" t="s">
        <v>246</v>
      </c>
    </row>
    <row r="430" spans="1:3">
      <c r="A430" s="227" t="s">
        <v>407</v>
      </c>
      <c r="B430" s="260">
        <v>26.5</v>
      </c>
      <c r="C430" s="189" t="s">
        <v>316</v>
      </c>
    </row>
    <row r="431" spans="1:3">
      <c r="A431" s="227" t="s">
        <v>407</v>
      </c>
      <c r="B431" s="260">
        <v>587.77</v>
      </c>
      <c r="C431" s="244" t="s">
        <v>206</v>
      </c>
    </row>
    <row r="432" spans="1:3">
      <c r="A432" s="227" t="s">
        <v>407</v>
      </c>
      <c r="B432" s="260">
        <v>394</v>
      </c>
      <c r="C432" s="244" t="s">
        <v>162</v>
      </c>
    </row>
    <row r="433" spans="1:3">
      <c r="A433" s="227" t="s">
        <v>407</v>
      </c>
      <c r="B433" s="260">
        <v>91.5</v>
      </c>
      <c r="C433" s="244" t="s">
        <v>143</v>
      </c>
    </row>
    <row r="434" spans="1:3">
      <c r="A434" s="227" t="s">
        <v>407</v>
      </c>
      <c r="B434" s="260">
        <v>119</v>
      </c>
      <c r="C434" s="244" t="s">
        <v>143</v>
      </c>
    </row>
    <row r="435" spans="1:3">
      <c r="A435" s="227" t="s">
        <v>407</v>
      </c>
      <c r="B435" s="260">
        <v>136.62</v>
      </c>
      <c r="C435" s="244" t="s">
        <v>164</v>
      </c>
    </row>
    <row r="436" spans="1:3">
      <c r="A436" s="227" t="s">
        <v>407</v>
      </c>
      <c r="B436" s="260">
        <v>1175.04</v>
      </c>
      <c r="C436" s="244" t="s">
        <v>164</v>
      </c>
    </row>
    <row r="437" spans="1:3">
      <c r="A437" s="227" t="s">
        <v>407</v>
      </c>
      <c r="B437" s="260">
        <v>2647.76</v>
      </c>
      <c r="C437" s="244" t="s">
        <v>164</v>
      </c>
    </row>
    <row r="438" spans="1:3">
      <c r="A438" s="227" t="s">
        <v>407</v>
      </c>
      <c r="B438" s="260">
        <v>800</v>
      </c>
      <c r="C438" s="244" t="s">
        <v>164</v>
      </c>
    </row>
    <row r="439" spans="1:3">
      <c r="A439" s="227" t="s">
        <v>407</v>
      </c>
      <c r="B439" s="260">
        <v>2144.65</v>
      </c>
      <c r="C439" s="244" t="s">
        <v>164</v>
      </c>
    </row>
    <row r="440" spans="1:3">
      <c r="A440" s="227" t="s">
        <v>407</v>
      </c>
      <c r="B440" s="260">
        <v>130</v>
      </c>
      <c r="C440" s="244" t="s">
        <v>164</v>
      </c>
    </row>
    <row r="441" spans="1:3">
      <c r="A441" s="227" t="s">
        <v>407</v>
      </c>
      <c r="B441" s="260">
        <v>2200</v>
      </c>
      <c r="C441" s="244" t="s">
        <v>164</v>
      </c>
    </row>
    <row r="442" spans="1:3">
      <c r="A442" s="227" t="s">
        <v>407</v>
      </c>
      <c r="B442" s="260">
        <v>0.99</v>
      </c>
      <c r="C442" s="244" t="s">
        <v>164</v>
      </c>
    </row>
    <row r="443" spans="1:3">
      <c r="A443" s="227" t="s">
        <v>407</v>
      </c>
      <c r="B443" s="260">
        <v>0.99</v>
      </c>
      <c r="C443" s="244" t="s">
        <v>164</v>
      </c>
    </row>
    <row r="444" spans="1:3">
      <c r="A444" s="227" t="s">
        <v>407</v>
      </c>
      <c r="B444" s="260">
        <v>6750</v>
      </c>
      <c r="C444" s="189" t="s">
        <v>159</v>
      </c>
    </row>
    <row r="445" spans="1:3">
      <c r="A445" s="227" t="s">
        <v>407</v>
      </c>
      <c r="B445" s="260">
        <v>450</v>
      </c>
      <c r="C445" s="244" t="s">
        <v>164</v>
      </c>
    </row>
    <row r="446" spans="1:3">
      <c r="A446" s="227" t="s">
        <v>407</v>
      </c>
      <c r="B446" s="260">
        <v>1000</v>
      </c>
      <c r="C446" s="244" t="s">
        <v>476</v>
      </c>
    </row>
    <row r="447" spans="1:3">
      <c r="A447" s="227" t="s">
        <v>407</v>
      </c>
      <c r="B447" s="260">
        <v>3250</v>
      </c>
      <c r="C447" s="189" t="s">
        <v>159</v>
      </c>
    </row>
    <row r="448" spans="1:3">
      <c r="A448" s="227" t="s">
        <v>407</v>
      </c>
      <c r="B448" s="260">
        <v>800</v>
      </c>
      <c r="C448" s="244" t="s">
        <v>206</v>
      </c>
    </row>
    <row r="449" spans="1:3">
      <c r="A449" s="227" t="s">
        <v>407</v>
      </c>
      <c r="B449" s="282">
        <v>-489</v>
      </c>
      <c r="C449" s="244" t="s">
        <v>143</v>
      </c>
    </row>
    <row r="450" spans="1:3">
      <c r="A450" s="227" t="s">
        <v>407</v>
      </c>
      <c r="B450" s="260">
        <v>124.7</v>
      </c>
      <c r="C450" s="244" t="s">
        <v>206</v>
      </c>
    </row>
    <row r="451" spans="1:3">
      <c r="A451" s="227" t="s">
        <v>407</v>
      </c>
      <c r="B451" s="260">
        <v>2177.1</v>
      </c>
      <c r="C451" s="244" t="s">
        <v>246</v>
      </c>
    </row>
    <row r="452" spans="1:3">
      <c r="A452" s="227" t="s">
        <v>268</v>
      </c>
      <c r="B452" s="260">
        <v>574.9</v>
      </c>
      <c r="C452" s="244" t="s">
        <v>143</v>
      </c>
    </row>
    <row r="453" spans="1:3">
      <c r="A453" s="227" t="s">
        <v>407</v>
      </c>
      <c r="B453" s="260">
        <v>574.9</v>
      </c>
      <c r="C453" s="244" t="s">
        <v>143</v>
      </c>
    </row>
    <row r="454" spans="1:3">
      <c r="A454" s="227" t="s">
        <v>407</v>
      </c>
      <c r="B454" s="260">
        <v>509.9</v>
      </c>
      <c r="C454" s="244" t="s">
        <v>206</v>
      </c>
    </row>
    <row r="455" spans="1:3">
      <c r="A455" s="227" t="s">
        <v>407</v>
      </c>
      <c r="B455" s="260">
        <v>348.39</v>
      </c>
      <c r="C455" s="244" t="s">
        <v>246</v>
      </c>
    </row>
    <row r="456" spans="1:3">
      <c r="A456" s="227" t="s">
        <v>407</v>
      </c>
      <c r="B456" s="260">
        <v>3</v>
      </c>
      <c r="C456" s="244" t="s">
        <v>164</v>
      </c>
    </row>
    <row r="457" spans="1:3">
      <c r="A457" s="227" t="s">
        <v>407</v>
      </c>
      <c r="B457" s="260">
        <v>3</v>
      </c>
      <c r="C457" s="244" t="s">
        <v>164</v>
      </c>
    </row>
    <row r="458" spans="1:3">
      <c r="A458" s="227" t="s">
        <v>407</v>
      </c>
      <c r="B458" s="260">
        <v>31</v>
      </c>
      <c r="C458" s="244" t="s">
        <v>164</v>
      </c>
    </row>
    <row r="459" spans="1:3">
      <c r="A459" s="227" t="s">
        <v>407</v>
      </c>
      <c r="B459" s="260">
        <v>41</v>
      </c>
      <c r="C459" s="244" t="s">
        <v>164</v>
      </c>
    </row>
    <row r="460" spans="1:3">
      <c r="A460" s="227" t="s">
        <v>407</v>
      </c>
      <c r="B460" s="260">
        <v>529.35</v>
      </c>
      <c r="C460" s="244" t="s">
        <v>164</v>
      </c>
    </row>
    <row r="461" spans="1:3">
      <c r="A461" s="227" t="s">
        <v>407</v>
      </c>
      <c r="B461" s="260">
        <v>121.06</v>
      </c>
      <c r="C461" s="244" t="s">
        <v>143</v>
      </c>
    </row>
    <row r="462" spans="1:3">
      <c r="A462" s="227" t="s">
        <v>407</v>
      </c>
      <c r="B462" s="260">
        <v>116.2</v>
      </c>
      <c r="C462" s="244" t="s">
        <v>246</v>
      </c>
    </row>
    <row r="463" spans="1:3">
      <c r="A463" s="227" t="s">
        <v>407</v>
      </c>
      <c r="B463" s="260">
        <v>500</v>
      </c>
      <c r="C463" s="244" t="s">
        <v>246</v>
      </c>
    </row>
    <row r="464" spans="1:3">
      <c r="A464" s="227" t="s">
        <v>407</v>
      </c>
      <c r="B464" s="260">
        <v>126</v>
      </c>
      <c r="C464" s="244" t="s">
        <v>246</v>
      </c>
    </row>
    <row r="465" spans="1:3">
      <c r="A465" s="227" t="s">
        <v>407</v>
      </c>
      <c r="B465" s="260">
        <v>397</v>
      </c>
      <c r="C465" s="244" t="s">
        <v>246</v>
      </c>
    </row>
    <row r="466" spans="1:3">
      <c r="A466" s="227" t="s">
        <v>407</v>
      </c>
      <c r="B466" s="260">
        <v>80</v>
      </c>
      <c r="C466" s="244" t="s">
        <v>143</v>
      </c>
    </row>
    <row r="467" spans="1:3">
      <c r="A467" s="227" t="s">
        <v>407</v>
      </c>
      <c r="B467" s="260">
        <v>3919.6</v>
      </c>
      <c r="C467" s="189" t="s">
        <v>159</v>
      </c>
    </row>
    <row r="468" spans="1:3">
      <c r="A468" s="227" t="s">
        <v>407</v>
      </c>
      <c r="B468" s="260">
        <v>705.46</v>
      </c>
      <c r="C468" s="244" t="s">
        <v>422</v>
      </c>
    </row>
    <row r="469" spans="1:3">
      <c r="A469" s="227" t="s">
        <v>407</v>
      </c>
      <c r="B469" s="260">
        <v>683.99</v>
      </c>
      <c r="C469" s="244" t="s">
        <v>422</v>
      </c>
    </row>
    <row r="470" spans="1:3">
      <c r="A470" s="227" t="s">
        <v>407</v>
      </c>
      <c r="B470" s="260">
        <v>584.28</v>
      </c>
      <c r="C470" s="244" t="s">
        <v>143</v>
      </c>
    </row>
    <row r="471" spans="1:3">
      <c r="A471" s="227" t="s">
        <v>407</v>
      </c>
      <c r="B471" s="260">
        <v>29.9</v>
      </c>
      <c r="C471" s="189" t="s">
        <v>316</v>
      </c>
    </row>
    <row r="472" spans="1:3">
      <c r="A472" s="227" t="s">
        <v>407</v>
      </c>
      <c r="B472" s="260">
        <v>120.9</v>
      </c>
      <c r="C472" s="189" t="s">
        <v>159</v>
      </c>
    </row>
    <row r="473" spans="1:3">
      <c r="A473" s="227" t="s">
        <v>407</v>
      </c>
      <c r="B473" s="260">
        <v>454.08</v>
      </c>
      <c r="C473" s="189" t="s">
        <v>316</v>
      </c>
    </row>
    <row r="474" spans="1:3">
      <c r="A474" s="227" t="s">
        <v>407</v>
      </c>
      <c r="B474" s="260">
        <v>100</v>
      </c>
      <c r="C474" s="244" t="s">
        <v>422</v>
      </c>
    </row>
    <row r="475" spans="1:3">
      <c r="A475" s="227" t="s">
        <v>407</v>
      </c>
      <c r="B475" s="260">
        <v>1220</v>
      </c>
      <c r="C475" s="244" t="s">
        <v>246</v>
      </c>
    </row>
    <row r="476" spans="1:3">
      <c r="A476" s="227" t="s">
        <v>407</v>
      </c>
      <c r="B476" s="260">
        <v>650</v>
      </c>
      <c r="C476" s="244" t="s">
        <v>246</v>
      </c>
    </row>
    <row r="477" spans="1:3">
      <c r="A477" s="227" t="s">
        <v>407</v>
      </c>
      <c r="B477" s="260">
        <v>613.4</v>
      </c>
      <c r="C477" s="244" t="s">
        <v>246</v>
      </c>
    </row>
    <row r="478" spans="1:3">
      <c r="A478" s="227" t="s">
        <v>407</v>
      </c>
      <c r="B478" s="260">
        <v>538</v>
      </c>
      <c r="C478" s="244" t="s">
        <v>246</v>
      </c>
    </row>
    <row r="479" spans="1:3">
      <c r="A479" s="227" t="s">
        <v>407</v>
      </c>
      <c r="B479" s="260">
        <v>292.76</v>
      </c>
      <c r="C479" s="244" t="s">
        <v>246</v>
      </c>
    </row>
    <row r="480" spans="1:3">
      <c r="A480" s="227" t="s">
        <v>407</v>
      </c>
      <c r="B480" s="260">
        <v>200</v>
      </c>
      <c r="C480" s="244" t="s">
        <v>246</v>
      </c>
    </row>
    <row r="481" spans="1:3">
      <c r="A481" s="227" t="s">
        <v>407</v>
      </c>
      <c r="B481" s="260">
        <v>159.94999999999999</v>
      </c>
      <c r="C481" s="244" t="s">
        <v>246</v>
      </c>
    </row>
    <row r="482" spans="1:3">
      <c r="A482" s="227" t="s">
        <v>407</v>
      </c>
      <c r="B482" s="260">
        <v>138.96</v>
      </c>
      <c r="C482" s="244" t="s">
        <v>246</v>
      </c>
    </row>
    <row r="483" spans="1:3">
      <c r="A483" s="227" t="s">
        <v>407</v>
      </c>
      <c r="B483" s="260">
        <v>92.55</v>
      </c>
      <c r="C483" s="244" t="s">
        <v>246</v>
      </c>
    </row>
    <row r="484" spans="1:3">
      <c r="A484" s="227" t="s">
        <v>407</v>
      </c>
      <c r="B484" s="260">
        <v>68</v>
      </c>
      <c r="C484" s="244" t="s">
        <v>246</v>
      </c>
    </row>
    <row r="485" spans="1:3">
      <c r="A485" s="227" t="s">
        <v>407</v>
      </c>
      <c r="B485" s="260">
        <v>58.99</v>
      </c>
      <c r="C485" s="244" t="s">
        <v>246</v>
      </c>
    </row>
    <row r="486" spans="1:3">
      <c r="A486" s="227" t="s">
        <v>407</v>
      </c>
      <c r="B486" s="260">
        <v>37.9</v>
      </c>
      <c r="C486" s="244" t="s">
        <v>246</v>
      </c>
    </row>
    <row r="487" spans="1:3">
      <c r="A487" s="227" t="s">
        <v>407</v>
      </c>
      <c r="B487" s="260">
        <v>29.99</v>
      </c>
      <c r="C487" s="244" t="s">
        <v>246</v>
      </c>
    </row>
    <row r="488" spans="1:3">
      <c r="A488" s="227" t="s">
        <v>407</v>
      </c>
      <c r="B488" s="260">
        <v>29.99</v>
      </c>
      <c r="C488" s="244" t="s">
        <v>246</v>
      </c>
    </row>
    <row r="489" spans="1:3">
      <c r="A489" s="227" t="s">
        <v>407</v>
      </c>
      <c r="B489" s="260">
        <v>28</v>
      </c>
      <c r="C489" s="244" t="s">
        <v>246</v>
      </c>
    </row>
    <row r="490" spans="1:3">
      <c r="A490" s="227" t="s">
        <v>407</v>
      </c>
      <c r="B490" s="260">
        <v>23.9</v>
      </c>
      <c r="C490" s="244" t="s">
        <v>246</v>
      </c>
    </row>
    <row r="491" spans="1:3">
      <c r="A491" s="227" t="s">
        <v>407</v>
      </c>
      <c r="B491" s="260">
        <v>23.78</v>
      </c>
      <c r="C491" s="244" t="s">
        <v>246</v>
      </c>
    </row>
    <row r="492" spans="1:3">
      <c r="A492" s="227" t="s">
        <v>407</v>
      </c>
      <c r="B492" s="260">
        <v>20.93</v>
      </c>
      <c r="C492" s="244" t="s">
        <v>246</v>
      </c>
    </row>
    <row r="493" spans="1:3">
      <c r="A493" s="227" t="s">
        <v>407</v>
      </c>
      <c r="B493" s="260">
        <v>19.95</v>
      </c>
      <c r="C493" s="244" t="s">
        <v>246</v>
      </c>
    </row>
    <row r="494" spans="1:3">
      <c r="A494" s="227" t="s">
        <v>407</v>
      </c>
      <c r="B494" s="260">
        <v>220</v>
      </c>
      <c r="C494" s="244" t="s">
        <v>206</v>
      </c>
    </row>
    <row r="495" spans="1:3">
      <c r="A495" s="227" t="s">
        <v>407</v>
      </c>
      <c r="B495" s="260">
        <v>64.59</v>
      </c>
      <c r="C495" s="244" t="s">
        <v>246</v>
      </c>
    </row>
    <row r="496" spans="1:3">
      <c r="A496" s="227" t="s">
        <v>407</v>
      </c>
      <c r="B496" s="260">
        <v>120</v>
      </c>
      <c r="C496" s="244" t="s">
        <v>246</v>
      </c>
    </row>
    <row r="497" spans="1:3">
      <c r="A497" s="227" t="s">
        <v>407</v>
      </c>
      <c r="B497" s="260">
        <v>120</v>
      </c>
      <c r="C497" s="244" t="s">
        <v>246</v>
      </c>
    </row>
    <row r="498" spans="1:3">
      <c r="A498" s="227" t="s">
        <v>407</v>
      </c>
      <c r="B498" s="260">
        <v>120</v>
      </c>
      <c r="C498" s="244" t="s">
        <v>246</v>
      </c>
    </row>
    <row r="499" spans="1:3">
      <c r="A499" s="227" t="s">
        <v>407</v>
      </c>
      <c r="B499" s="260">
        <v>120</v>
      </c>
      <c r="C499" s="244" t="s">
        <v>246</v>
      </c>
    </row>
    <row r="500" spans="1:3">
      <c r="A500" s="227" t="s">
        <v>407</v>
      </c>
      <c r="B500" s="260">
        <v>120</v>
      </c>
      <c r="C500" s="244" t="s">
        <v>246</v>
      </c>
    </row>
    <row r="501" spans="1:3">
      <c r="A501" s="227" t="s">
        <v>407</v>
      </c>
      <c r="B501" s="260">
        <v>120</v>
      </c>
      <c r="C501" s="244" t="s">
        <v>246</v>
      </c>
    </row>
    <row r="502" spans="1:3">
      <c r="A502" s="227" t="s">
        <v>407</v>
      </c>
      <c r="B502" s="260">
        <v>120</v>
      </c>
      <c r="C502" s="244" t="s">
        <v>246</v>
      </c>
    </row>
    <row r="503" spans="1:3">
      <c r="A503" s="227" t="s">
        <v>407</v>
      </c>
      <c r="B503" s="260">
        <v>120</v>
      </c>
      <c r="C503" s="244" t="s">
        <v>246</v>
      </c>
    </row>
    <row r="504" spans="1:3">
      <c r="A504" s="227" t="s">
        <v>407</v>
      </c>
      <c r="B504" s="260">
        <v>120</v>
      </c>
      <c r="C504" s="244" t="s">
        <v>246</v>
      </c>
    </row>
    <row r="505" spans="1:3">
      <c r="A505" s="227" t="s">
        <v>407</v>
      </c>
      <c r="B505" s="260">
        <v>120</v>
      </c>
      <c r="C505" s="244" t="s">
        <v>246</v>
      </c>
    </row>
    <row r="506" spans="1:3">
      <c r="A506" s="227" t="s">
        <v>407</v>
      </c>
      <c r="B506" s="260">
        <v>120</v>
      </c>
      <c r="C506" s="244" t="s">
        <v>246</v>
      </c>
    </row>
    <row r="507" spans="1:3">
      <c r="A507" s="227" t="s">
        <v>407</v>
      </c>
      <c r="B507" s="260">
        <v>120</v>
      </c>
      <c r="C507" s="244" t="s">
        <v>246</v>
      </c>
    </row>
    <row r="508" spans="1:3">
      <c r="A508" s="227" t="s">
        <v>407</v>
      </c>
      <c r="B508" s="260">
        <v>120</v>
      </c>
      <c r="C508" s="244" t="s">
        <v>246</v>
      </c>
    </row>
    <row r="509" spans="1:3">
      <c r="A509" s="227" t="s">
        <v>407</v>
      </c>
      <c r="B509" s="260">
        <v>120</v>
      </c>
      <c r="C509" s="244" t="s">
        <v>246</v>
      </c>
    </row>
    <row r="510" spans="1:3">
      <c r="A510" s="227" t="s">
        <v>407</v>
      </c>
      <c r="B510" s="260">
        <v>120</v>
      </c>
      <c r="C510" s="244" t="s">
        <v>246</v>
      </c>
    </row>
    <row r="511" spans="1:3">
      <c r="A511" s="227" t="s">
        <v>407</v>
      </c>
      <c r="B511" s="260">
        <v>120</v>
      </c>
      <c r="C511" s="244" t="s">
        <v>246</v>
      </c>
    </row>
    <row r="512" spans="1:3">
      <c r="A512" s="227" t="s">
        <v>407</v>
      </c>
      <c r="B512" s="260">
        <v>120</v>
      </c>
      <c r="C512" s="244" t="s">
        <v>246</v>
      </c>
    </row>
    <row r="513" spans="1:3">
      <c r="A513" s="227" t="s">
        <v>407</v>
      </c>
      <c r="B513" s="282">
        <v>-44.22</v>
      </c>
      <c r="C513" s="250" t="s">
        <v>143</v>
      </c>
    </row>
    <row r="514" spans="1:3">
      <c r="A514" s="227" t="s">
        <v>407</v>
      </c>
      <c r="B514" s="282">
        <v>-103.18</v>
      </c>
      <c r="C514" s="250" t="s">
        <v>143</v>
      </c>
    </row>
    <row r="515" spans="1:3">
      <c r="A515" s="227" t="s">
        <v>407</v>
      </c>
      <c r="B515" s="282">
        <v>-7.54</v>
      </c>
      <c r="C515" s="250" t="s">
        <v>143</v>
      </c>
    </row>
    <row r="516" spans="1:3">
      <c r="A516" s="227" t="s">
        <v>407</v>
      </c>
      <c r="B516" s="282">
        <v>-73.7</v>
      </c>
      <c r="C516" s="250" t="s">
        <v>143</v>
      </c>
    </row>
    <row r="517" spans="1:3">
      <c r="A517" s="227" t="s">
        <v>407</v>
      </c>
      <c r="B517" s="282">
        <v>-72.11</v>
      </c>
      <c r="C517" s="250" t="s">
        <v>143</v>
      </c>
    </row>
    <row r="518" spans="1:3">
      <c r="A518" s="227" t="s">
        <v>407</v>
      </c>
      <c r="B518" s="282">
        <v>-22.11</v>
      </c>
      <c r="C518" s="250" t="s">
        <v>143</v>
      </c>
    </row>
    <row r="519" spans="1:3">
      <c r="A519" s="227" t="s">
        <v>407</v>
      </c>
      <c r="B519" s="282">
        <v>-51.59</v>
      </c>
      <c r="C519" s="250" t="s">
        <v>143</v>
      </c>
    </row>
    <row r="520" spans="1:3">
      <c r="A520" s="227" t="s">
        <v>407</v>
      </c>
      <c r="B520" s="282">
        <v>-14.74</v>
      </c>
      <c r="C520" s="250" t="s">
        <v>143</v>
      </c>
    </row>
    <row r="521" spans="1:3">
      <c r="A521" s="227" t="s">
        <v>407</v>
      </c>
      <c r="B521" s="282">
        <v>-7.37</v>
      </c>
      <c r="C521" s="250" t="s">
        <v>143</v>
      </c>
    </row>
    <row r="522" spans="1:3">
      <c r="A522" s="227" t="s">
        <v>407</v>
      </c>
      <c r="B522" s="282">
        <v>-45.24</v>
      </c>
      <c r="C522" s="250" t="s">
        <v>143</v>
      </c>
    </row>
    <row r="523" spans="1:3">
      <c r="A523" s="227" t="s">
        <v>407</v>
      </c>
      <c r="B523" s="282">
        <v>-22.56</v>
      </c>
      <c r="C523" s="250" t="s">
        <v>143</v>
      </c>
    </row>
    <row r="524" spans="1:3">
      <c r="A524" s="227" t="s">
        <v>407</v>
      </c>
      <c r="B524" s="282">
        <v>-44.22</v>
      </c>
      <c r="C524" s="250" t="s">
        <v>143</v>
      </c>
    </row>
    <row r="525" spans="1:3">
      <c r="A525" s="227" t="s">
        <v>407</v>
      </c>
      <c r="B525" s="282">
        <v>-22.11</v>
      </c>
      <c r="C525" s="250" t="s">
        <v>143</v>
      </c>
    </row>
    <row r="526" spans="1:3">
      <c r="A526" s="227" t="s">
        <v>407</v>
      </c>
      <c r="B526" s="282">
        <v>-0.55000000000000004</v>
      </c>
      <c r="C526" s="250" t="s">
        <v>143</v>
      </c>
    </row>
    <row r="527" spans="1:3">
      <c r="A527" s="227" t="s">
        <v>407</v>
      </c>
      <c r="B527" s="282">
        <v>-0.1</v>
      </c>
      <c r="C527" s="250" t="s">
        <v>143</v>
      </c>
    </row>
    <row r="528" spans="1:3">
      <c r="A528" s="227" t="s">
        <v>407</v>
      </c>
      <c r="B528" s="282">
        <v>-2.59</v>
      </c>
      <c r="C528" s="250" t="s">
        <v>143</v>
      </c>
    </row>
    <row r="529" spans="1:3">
      <c r="A529" s="227" t="s">
        <v>407</v>
      </c>
      <c r="B529" s="282">
        <v>-66.33</v>
      </c>
      <c r="C529" s="250" t="s">
        <v>143</v>
      </c>
    </row>
    <row r="530" spans="1:3">
      <c r="A530" s="227" t="s">
        <v>407</v>
      </c>
      <c r="B530" s="282">
        <v>-22.11</v>
      </c>
      <c r="C530" s="250" t="s">
        <v>143</v>
      </c>
    </row>
    <row r="531" spans="1:3">
      <c r="A531" s="227" t="s">
        <v>407</v>
      </c>
      <c r="B531" s="282">
        <v>-22.11</v>
      </c>
      <c r="C531" s="250" t="s">
        <v>143</v>
      </c>
    </row>
    <row r="532" spans="1:3">
      <c r="A532" s="227" t="s">
        <v>407</v>
      </c>
      <c r="B532" s="282">
        <v>-117.92</v>
      </c>
      <c r="C532" s="250" t="s">
        <v>143</v>
      </c>
    </row>
    <row r="533" spans="1:3">
      <c r="A533" s="227" t="s">
        <v>407</v>
      </c>
      <c r="B533" s="282">
        <v>-44.22</v>
      </c>
      <c r="C533" s="250" t="s">
        <v>143</v>
      </c>
    </row>
    <row r="534" spans="1:3">
      <c r="A534" s="227" t="s">
        <v>407</v>
      </c>
      <c r="B534" s="282">
        <v>-36.85</v>
      </c>
      <c r="C534" s="250" t="s">
        <v>143</v>
      </c>
    </row>
    <row r="535" spans="1:3">
      <c r="A535" s="227" t="s">
        <v>407</v>
      </c>
      <c r="B535" s="282">
        <v>-540</v>
      </c>
      <c r="C535" s="250" t="s">
        <v>143</v>
      </c>
    </row>
    <row r="536" spans="1:3">
      <c r="A536" s="227" t="s">
        <v>407</v>
      </c>
      <c r="B536" s="282">
        <v>-7.37</v>
      </c>
      <c r="C536" s="250" t="s">
        <v>143</v>
      </c>
    </row>
    <row r="537" spans="1:3">
      <c r="A537" s="227" t="s">
        <v>407</v>
      </c>
      <c r="B537" s="282">
        <v>-22.56</v>
      </c>
      <c r="C537" s="250" t="s">
        <v>143</v>
      </c>
    </row>
    <row r="538" spans="1:3">
      <c r="A538" s="227" t="s">
        <v>407</v>
      </c>
      <c r="B538" s="282">
        <v>-66.33</v>
      </c>
      <c r="C538" s="250" t="s">
        <v>143</v>
      </c>
    </row>
    <row r="539" spans="1:3">
      <c r="A539" s="227" t="s">
        <v>407</v>
      </c>
      <c r="B539" s="282">
        <v>-110.55</v>
      </c>
      <c r="C539" s="250" t="s">
        <v>143</v>
      </c>
    </row>
    <row r="540" spans="1:3">
      <c r="A540" s="227" t="s">
        <v>407</v>
      </c>
      <c r="B540" s="282">
        <v>-140.03</v>
      </c>
      <c r="C540" s="250" t="s">
        <v>143</v>
      </c>
    </row>
    <row r="541" spans="1:3">
      <c r="A541" s="227" t="s">
        <v>407</v>
      </c>
      <c r="B541" s="282">
        <v>-58.96</v>
      </c>
      <c r="C541" s="250" t="s">
        <v>143</v>
      </c>
    </row>
    <row r="542" spans="1:3">
      <c r="A542" s="227" t="s">
        <v>407</v>
      </c>
      <c r="B542" s="282">
        <v>-36.85</v>
      </c>
      <c r="C542" s="250" t="s">
        <v>143</v>
      </c>
    </row>
    <row r="543" spans="1:3">
      <c r="A543" s="227" t="s">
        <v>407</v>
      </c>
      <c r="B543" s="282">
        <v>-22.11</v>
      </c>
      <c r="C543" s="250" t="s">
        <v>143</v>
      </c>
    </row>
    <row r="544" spans="1:3">
      <c r="A544" s="227" t="s">
        <v>407</v>
      </c>
      <c r="B544" s="282">
        <v>-29.48</v>
      </c>
      <c r="C544" s="250" t="s">
        <v>143</v>
      </c>
    </row>
    <row r="545" spans="1:3">
      <c r="A545" s="227" t="s">
        <v>407</v>
      </c>
      <c r="B545" s="282">
        <v>-44.22</v>
      </c>
      <c r="C545" s="250" t="s">
        <v>143</v>
      </c>
    </row>
    <row r="546" spans="1:3">
      <c r="A546" s="227" t="s">
        <v>407</v>
      </c>
      <c r="B546" s="282">
        <v>-29.48</v>
      </c>
      <c r="C546" s="250" t="s">
        <v>143</v>
      </c>
    </row>
    <row r="547" spans="1:3">
      <c r="A547" s="227" t="s">
        <v>407</v>
      </c>
      <c r="B547" s="282">
        <v>-29.48</v>
      </c>
      <c r="C547" s="250" t="s">
        <v>143</v>
      </c>
    </row>
    <row r="548" spans="1:3">
      <c r="A548" s="227" t="s">
        <v>407</v>
      </c>
      <c r="B548" s="282">
        <v>-58.96</v>
      </c>
      <c r="C548" s="250" t="s">
        <v>143</v>
      </c>
    </row>
    <row r="549" spans="1:3">
      <c r="A549" s="227" t="s">
        <v>407</v>
      </c>
      <c r="B549" s="282">
        <v>-37.71</v>
      </c>
      <c r="C549" s="250" t="s">
        <v>143</v>
      </c>
    </row>
    <row r="550" spans="1:3">
      <c r="A550" s="227" t="s">
        <v>407</v>
      </c>
      <c r="B550" s="282">
        <v>-51.59</v>
      </c>
      <c r="C550" s="250" t="s">
        <v>143</v>
      </c>
    </row>
    <row r="551" spans="1:3">
      <c r="A551" s="227" t="s">
        <v>407</v>
      </c>
      <c r="B551" s="282">
        <v>-44.22</v>
      </c>
      <c r="C551" s="250" t="s">
        <v>143</v>
      </c>
    </row>
    <row r="552" spans="1:3">
      <c r="A552" s="227" t="s">
        <v>407</v>
      </c>
      <c r="B552" s="282">
        <v>-7.37</v>
      </c>
      <c r="C552" s="250" t="s">
        <v>143</v>
      </c>
    </row>
    <row r="553" spans="1:3">
      <c r="A553" s="227" t="s">
        <v>407</v>
      </c>
      <c r="B553" s="282">
        <v>-44.22</v>
      </c>
      <c r="C553" s="250" t="s">
        <v>143</v>
      </c>
    </row>
    <row r="554" spans="1:3">
      <c r="A554" s="227" t="s">
        <v>407</v>
      </c>
      <c r="B554" s="282">
        <v>-44.22</v>
      </c>
      <c r="C554" s="250" t="s">
        <v>143</v>
      </c>
    </row>
    <row r="555" spans="1:3">
      <c r="A555" s="227" t="s">
        <v>407</v>
      </c>
      <c r="B555" s="282">
        <v>-36.85</v>
      </c>
      <c r="C555" s="250" t="s">
        <v>143</v>
      </c>
    </row>
    <row r="556" spans="1:3">
      <c r="A556" s="227" t="s">
        <v>407</v>
      </c>
      <c r="B556" s="282">
        <v>-103.18</v>
      </c>
      <c r="C556" s="250" t="s">
        <v>143</v>
      </c>
    </row>
    <row r="557" spans="1:3">
      <c r="A557" s="227" t="s">
        <v>407</v>
      </c>
      <c r="B557" s="282">
        <v>-176.88</v>
      </c>
      <c r="C557" s="250" t="s">
        <v>143</v>
      </c>
    </row>
    <row r="558" spans="1:3">
      <c r="A558" s="227" t="s">
        <v>407</v>
      </c>
      <c r="B558" s="260">
        <v>70</v>
      </c>
      <c r="C558" s="244" t="s">
        <v>143</v>
      </c>
    </row>
    <row r="559" spans="1:3">
      <c r="A559" s="227" t="s">
        <v>407</v>
      </c>
      <c r="B559" s="260">
        <v>310</v>
      </c>
      <c r="C559" s="244" t="s">
        <v>143</v>
      </c>
    </row>
    <row r="560" spans="1:3">
      <c r="A560" s="227" t="s">
        <v>407</v>
      </c>
      <c r="B560" s="260">
        <v>0</v>
      </c>
      <c r="C560" s="244" t="s">
        <v>206</v>
      </c>
    </row>
    <row r="561" spans="1:3">
      <c r="A561" s="227" t="s">
        <v>407</v>
      </c>
      <c r="B561" s="260">
        <v>0</v>
      </c>
      <c r="C561" s="244" t="s">
        <v>206</v>
      </c>
    </row>
    <row r="562" spans="1:3">
      <c r="A562" s="227" t="s">
        <v>407</v>
      </c>
      <c r="B562" s="260">
        <v>0</v>
      </c>
      <c r="C562" s="244" t="s">
        <v>206</v>
      </c>
    </row>
    <row r="563" spans="1:3">
      <c r="A563" s="227" t="s">
        <v>407</v>
      </c>
      <c r="B563" s="282">
        <v>-6703.22</v>
      </c>
      <c r="C563" s="244" t="s">
        <v>206</v>
      </c>
    </row>
    <row r="564" spans="1:3">
      <c r="A564" s="227" t="s">
        <v>407</v>
      </c>
      <c r="B564" s="282">
        <v>-705.73</v>
      </c>
      <c r="C564" s="244" t="s">
        <v>206</v>
      </c>
    </row>
    <row r="565" spans="1:3">
      <c r="A565" s="227" t="s">
        <v>407</v>
      </c>
      <c r="B565" s="282">
        <v>-1068.53</v>
      </c>
      <c r="C565" s="244" t="s">
        <v>206</v>
      </c>
    </row>
    <row r="566" spans="1:3">
      <c r="A566" s="227" t="s">
        <v>407</v>
      </c>
      <c r="B566" s="282">
        <v>-120</v>
      </c>
      <c r="C566" s="244" t="s">
        <v>206</v>
      </c>
    </row>
    <row r="567" spans="1:3">
      <c r="A567" s="227" t="s">
        <v>407</v>
      </c>
      <c r="B567" s="282">
        <v>-0.01</v>
      </c>
      <c r="C567" s="244" t="s">
        <v>206</v>
      </c>
    </row>
    <row r="568" spans="1:3">
      <c r="A568" s="227" t="s">
        <v>407</v>
      </c>
      <c r="B568" s="260">
        <v>2771.6</v>
      </c>
      <c r="C568" s="244" t="s">
        <v>143</v>
      </c>
    </row>
    <row r="569" spans="1:3">
      <c r="A569" s="205" t="s">
        <v>268</v>
      </c>
      <c r="B569" s="226">
        <v>2826</v>
      </c>
      <c r="C569" s="250" t="s">
        <v>143</v>
      </c>
    </row>
    <row r="570" spans="1:3">
      <c r="A570" s="205" t="s">
        <v>268</v>
      </c>
      <c r="B570" s="226">
        <v>2808</v>
      </c>
      <c r="C570" s="250" t="s">
        <v>143</v>
      </c>
    </row>
    <row r="571" spans="1:3">
      <c r="A571" s="205" t="s">
        <v>268</v>
      </c>
      <c r="B571" s="226">
        <v>2052</v>
      </c>
      <c r="C571" s="250" t="s">
        <v>143</v>
      </c>
    </row>
    <row r="572" spans="1:3">
      <c r="A572" s="205" t="s">
        <v>268</v>
      </c>
      <c r="B572" s="226">
        <v>1908</v>
      </c>
      <c r="C572" s="250" t="s">
        <v>143</v>
      </c>
    </row>
    <row r="573" spans="1:3">
      <c r="A573" s="205" t="s">
        <v>268</v>
      </c>
      <c r="B573" s="226">
        <v>18</v>
      </c>
      <c r="C573" s="269" t="s">
        <v>143</v>
      </c>
    </row>
    <row r="574" spans="1:3">
      <c r="A574" s="205" t="s">
        <v>268</v>
      </c>
      <c r="B574" s="226">
        <v>2112.5</v>
      </c>
      <c r="C574" s="250" t="s">
        <v>143</v>
      </c>
    </row>
    <row r="575" spans="1:3">
      <c r="A575" s="205" t="s">
        <v>268</v>
      </c>
      <c r="B575" s="226">
        <v>1977.3</v>
      </c>
      <c r="C575" s="250" t="s">
        <v>143</v>
      </c>
    </row>
    <row r="576" spans="1:3">
      <c r="A576" s="205" t="s">
        <v>268</v>
      </c>
      <c r="B576" s="226">
        <v>1419.6</v>
      </c>
      <c r="C576" s="250" t="s">
        <v>143</v>
      </c>
    </row>
    <row r="577" spans="1:3">
      <c r="A577" s="205" t="s">
        <v>268</v>
      </c>
      <c r="B577" s="226">
        <v>1233.7</v>
      </c>
      <c r="C577" s="250" t="s">
        <v>143</v>
      </c>
    </row>
    <row r="578" spans="1:3">
      <c r="A578" s="244" t="s">
        <v>268</v>
      </c>
      <c r="B578" s="260">
        <v>2844</v>
      </c>
      <c r="C578" s="244" t="s">
        <v>143</v>
      </c>
    </row>
    <row r="579" spans="1:3">
      <c r="A579" s="244" t="s">
        <v>268</v>
      </c>
      <c r="B579" s="260">
        <v>2450.5</v>
      </c>
      <c r="C579" s="244" t="s">
        <v>143</v>
      </c>
    </row>
    <row r="580" spans="1:3">
      <c r="A580" s="227" t="s">
        <v>407</v>
      </c>
      <c r="B580" s="260">
        <v>243.76</v>
      </c>
      <c r="C580" s="244" t="s">
        <v>192</v>
      </c>
    </row>
    <row r="581" spans="1:3">
      <c r="A581" s="227" t="s">
        <v>407</v>
      </c>
      <c r="B581" s="260">
        <v>27.6</v>
      </c>
      <c r="C581" s="244" t="s">
        <v>206</v>
      </c>
    </row>
    <row r="582" spans="1:3">
      <c r="A582" s="227" t="s">
        <v>407</v>
      </c>
      <c r="B582" s="260">
        <v>1194.19</v>
      </c>
      <c r="C582" s="244" t="s">
        <v>964</v>
      </c>
    </row>
    <row r="583" spans="1:3">
      <c r="A583" s="227" t="s">
        <v>407</v>
      </c>
      <c r="B583" s="260">
        <v>819.98</v>
      </c>
      <c r="C583" s="244" t="s">
        <v>964</v>
      </c>
    </row>
    <row r="584" spans="1:3">
      <c r="A584" s="227" t="s">
        <v>407</v>
      </c>
      <c r="B584" s="260">
        <v>3.47</v>
      </c>
      <c r="C584" s="244" t="s">
        <v>964</v>
      </c>
    </row>
    <row r="585" spans="1:3">
      <c r="A585" s="227" t="s">
        <v>407</v>
      </c>
      <c r="B585" s="260">
        <v>1106.92</v>
      </c>
      <c r="C585" s="244" t="s">
        <v>964</v>
      </c>
    </row>
    <row r="586" spans="1:3">
      <c r="A586" s="244" t="s">
        <v>268</v>
      </c>
      <c r="B586" s="260">
        <v>158.38999999999999</v>
      </c>
      <c r="C586" s="269" t="s">
        <v>164</v>
      </c>
    </row>
    <row r="587" spans="1:3">
      <c r="A587" s="227" t="s">
        <v>407</v>
      </c>
      <c r="B587" s="260">
        <v>163.05000000000001</v>
      </c>
      <c r="C587" s="244" t="s">
        <v>164</v>
      </c>
    </row>
    <row r="588" spans="1:3">
      <c r="A588" s="244" t="s">
        <v>268</v>
      </c>
      <c r="B588" s="260">
        <v>40</v>
      </c>
      <c r="C588" s="269" t="s">
        <v>964</v>
      </c>
    </row>
    <row r="589" spans="1:3">
      <c r="A589" s="227" t="s">
        <v>407</v>
      </c>
      <c r="B589" s="260">
        <v>266.95999999999998</v>
      </c>
      <c r="C589" s="244" t="s">
        <v>162</v>
      </c>
    </row>
    <row r="590" spans="1:3">
      <c r="A590" s="227" t="s">
        <v>407</v>
      </c>
      <c r="B590" s="260">
        <v>24.15</v>
      </c>
      <c r="C590" s="244" t="s">
        <v>162</v>
      </c>
    </row>
    <row r="591" spans="1:3">
      <c r="A591" s="244" t="s">
        <v>268</v>
      </c>
      <c r="B591" s="260">
        <v>279.58999999999997</v>
      </c>
      <c r="C591" s="269" t="s">
        <v>162</v>
      </c>
    </row>
    <row r="592" spans="1:3">
      <c r="A592" s="227" t="s">
        <v>407</v>
      </c>
      <c r="B592" s="260">
        <v>60.25</v>
      </c>
      <c r="C592" s="244" t="s">
        <v>206</v>
      </c>
    </row>
    <row r="593" spans="1:3">
      <c r="A593" s="227" t="s">
        <v>407</v>
      </c>
      <c r="B593" s="260">
        <v>160.47999999999999</v>
      </c>
      <c r="C593" s="244" t="s">
        <v>1848</v>
      </c>
    </row>
    <row r="594" spans="1:3">
      <c r="A594" s="227" t="s">
        <v>407</v>
      </c>
      <c r="B594" s="260">
        <v>120.12</v>
      </c>
      <c r="C594" s="244" t="s">
        <v>206</v>
      </c>
    </row>
    <row r="595" spans="1:3">
      <c r="A595" s="227" t="s">
        <v>407</v>
      </c>
      <c r="B595" s="260">
        <v>22.4</v>
      </c>
      <c r="C595" s="244" t="s">
        <v>206</v>
      </c>
    </row>
    <row r="596" spans="1:3">
      <c r="A596" s="227" t="s">
        <v>407</v>
      </c>
      <c r="B596" s="260">
        <v>160.47999999999999</v>
      </c>
      <c r="C596" s="244" t="s">
        <v>143</v>
      </c>
    </row>
    <row r="597" spans="1:3">
      <c r="A597" s="227" t="s">
        <v>407</v>
      </c>
      <c r="B597" s="260">
        <v>99</v>
      </c>
      <c r="C597" s="244" t="s">
        <v>422</v>
      </c>
    </row>
    <row r="598" spans="1:3">
      <c r="A598" s="227" t="s">
        <v>407</v>
      </c>
      <c r="B598" s="260">
        <v>1505</v>
      </c>
      <c r="C598" s="244" t="s">
        <v>162</v>
      </c>
    </row>
    <row r="599" spans="1:3">
      <c r="A599" s="227" t="s">
        <v>407</v>
      </c>
      <c r="B599" s="260">
        <v>183.75</v>
      </c>
      <c r="C599" s="244" t="s">
        <v>162</v>
      </c>
    </row>
    <row r="600" spans="1:3">
      <c r="A600" s="280" t="s">
        <v>268</v>
      </c>
      <c r="B600" s="264">
        <v>158.4</v>
      </c>
      <c r="C600" s="269" t="s">
        <v>164</v>
      </c>
    </row>
    <row r="601" spans="1:3">
      <c r="A601" s="227" t="s">
        <v>407</v>
      </c>
      <c r="B601" s="260">
        <v>20</v>
      </c>
      <c r="C601" s="244" t="s">
        <v>422</v>
      </c>
    </row>
    <row r="602" spans="1:3">
      <c r="A602" s="227" t="s">
        <v>407</v>
      </c>
      <c r="B602" s="260">
        <v>60</v>
      </c>
      <c r="C602" s="244" t="s">
        <v>206</v>
      </c>
    </row>
    <row r="603" spans="1:3">
      <c r="A603" s="227" t="s">
        <v>407</v>
      </c>
      <c r="B603" s="260">
        <v>119.9</v>
      </c>
      <c r="C603" s="244" t="s">
        <v>206</v>
      </c>
    </row>
    <row r="604" spans="1:3">
      <c r="A604" s="227" t="s">
        <v>407</v>
      </c>
      <c r="B604" s="260">
        <v>1400</v>
      </c>
      <c r="C604" s="244" t="s">
        <v>143</v>
      </c>
    </row>
    <row r="605" spans="1:3">
      <c r="A605" s="227" t="s">
        <v>407</v>
      </c>
      <c r="B605" s="260">
        <v>3357.92</v>
      </c>
      <c r="C605" s="244" t="s">
        <v>192</v>
      </c>
    </row>
    <row r="606" spans="1:3">
      <c r="A606" s="280" t="s">
        <v>268</v>
      </c>
      <c r="B606" s="264">
        <v>158.38999999999999</v>
      </c>
      <c r="C606" s="269" t="s">
        <v>143</v>
      </c>
    </row>
    <row r="607" spans="1:3">
      <c r="A607" s="280" t="s">
        <v>268</v>
      </c>
      <c r="B607" s="264">
        <v>58.65</v>
      </c>
      <c r="C607" s="269" t="s">
        <v>422</v>
      </c>
    </row>
    <row r="608" spans="1:3">
      <c r="A608" s="227" t="s">
        <v>407</v>
      </c>
      <c r="B608" s="260">
        <v>58.03</v>
      </c>
      <c r="C608" s="244" t="s">
        <v>422</v>
      </c>
    </row>
    <row r="609" spans="1:3">
      <c r="A609" s="280" t="s">
        <v>268</v>
      </c>
      <c r="B609" s="264">
        <v>27.39</v>
      </c>
      <c r="C609" s="198" t="s">
        <v>2109</v>
      </c>
    </row>
    <row r="610" spans="1:3">
      <c r="A610" s="227" t="s">
        <v>407</v>
      </c>
      <c r="B610" s="260">
        <v>152.93</v>
      </c>
      <c r="C610" s="244" t="s">
        <v>206</v>
      </c>
    </row>
    <row r="611" spans="1:3">
      <c r="A611" s="227" t="s">
        <v>407</v>
      </c>
      <c r="B611" s="260">
        <v>564.9</v>
      </c>
      <c r="C611" s="244" t="s">
        <v>164</v>
      </c>
    </row>
    <row r="612" spans="1:3">
      <c r="A612" s="227" t="s">
        <v>407</v>
      </c>
      <c r="B612" s="260">
        <v>10.64</v>
      </c>
      <c r="C612" s="244" t="s">
        <v>206</v>
      </c>
    </row>
    <row r="613" spans="1:3">
      <c r="A613" s="227" t="s">
        <v>407</v>
      </c>
      <c r="B613" s="260">
        <v>39.31</v>
      </c>
      <c r="C613" s="244" t="s">
        <v>164</v>
      </c>
    </row>
    <row r="614" spans="1:3">
      <c r="A614" s="227" t="s">
        <v>407</v>
      </c>
      <c r="B614" s="260">
        <v>27.91</v>
      </c>
      <c r="C614" s="198" t="s">
        <v>2109</v>
      </c>
    </row>
    <row r="615" spans="1:3">
      <c r="A615" s="227" t="s">
        <v>407</v>
      </c>
      <c r="B615" s="260">
        <v>35.9</v>
      </c>
      <c r="C615" s="244" t="s">
        <v>422</v>
      </c>
    </row>
    <row r="616" spans="1:3">
      <c r="A616" s="227" t="s">
        <v>407</v>
      </c>
      <c r="B616" s="260">
        <v>40</v>
      </c>
      <c r="C616" s="244" t="s">
        <v>964</v>
      </c>
    </row>
    <row r="617" spans="1:3">
      <c r="A617" s="227" t="s">
        <v>407</v>
      </c>
      <c r="B617" s="260">
        <v>40</v>
      </c>
      <c r="C617" s="244" t="s">
        <v>964</v>
      </c>
    </row>
    <row r="618" spans="1:3">
      <c r="A618" s="227" t="s">
        <v>407</v>
      </c>
      <c r="B618" s="260">
        <v>1593.15</v>
      </c>
      <c r="C618" s="198" t="s">
        <v>2109</v>
      </c>
    </row>
    <row r="619" spans="1:3">
      <c r="A619" s="227" t="s">
        <v>407</v>
      </c>
      <c r="B619" s="258">
        <v>814.42</v>
      </c>
      <c r="C619" s="250" t="s">
        <v>164</v>
      </c>
    </row>
    <row r="620" spans="1:3">
      <c r="A620" s="227" t="s">
        <v>407</v>
      </c>
      <c r="B620" s="260">
        <v>399.99</v>
      </c>
      <c r="C620" s="244" t="s">
        <v>143</v>
      </c>
    </row>
    <row r="621" spans="1:3">
      <c r="A621" s="244" t="s">
        <v>268</v>
      </c>
      <c r="B621" s="260">
        <v>750.84</v>
      </c>
      <c r="C621" s="269" t="s">
        <v>964</v>
      </c>
    </row>
    <row r="622" spans="1:3">
      <c r="A622" s="227" t="s">
        <v>407</v>
      </c>
      <c r="B622" s="260">
        <v>742.22</v>
      </c>
      <c r="C622" s="244" t="s">
        <v>964</v>
      </c>
    </row>
    <row r="623" spans="1:3">
      <c r="A623" s="280" t="s">
        <v>268</v>
      </c>
      <c r="B623" s="264">
        <v>55.72</v>
      </c>
      <c r="C623" s="269" t="s">
        <v>422</v>
      </c>
    </row>
    <row r="624" spans="1:3">
      <c r="A624" s="227" t="s">
        <v>407</v>
      </c>
      <c r="B624" s="260">
        <v>54.64</v>
      </c>
      <c r="C624" s="244" t="s">
        <v>422</v>
      </c>
    </row>
    <row r="625" spans="1:3">
      <c r="A625" s="244" t="s">
        <v>268</v>
      </c>
      <c r="B625" s="260">
        <v>440.86</v>
      </c>
      <c r="C625" s="269" t="s">
        <v>164</v>
      </c>
    </row>
    <row r="626" spans="1:3">
      <c r="A626" s="227" t="s">
        <v>407</v>
      </c>
      <c r="B626" s="260">
        <v>531.32000000000005</v>
      </c>
      <c r="C626" s="244" t="s">
        <v>164</v>
      </c>
    </row>
    <row r="627" spans="1:3">
      <c r="A627" s="227" t="s">
        <v>407</v>
      </c>
      <c r="B627" s="260">
        <v>225</v>
      </c>
      <c r="C627" s="244" t="s">
        <v>192</v>
      </c>
    </row>
    <row r="628" spans="1:3">
      <c r="A628" s="227" t="s">
        <v>407</v>
      </c>
      <c r="B628" s="260">
        <v>225</v>
      </c>
      <c r="C628" s="189" t="s">
        <v>159</v>
      </c>
    </row>
    <row r="629" spans="1:3">
      <c r="A629" s="227" t="s">
        <v>407</v>
      </c>
      <c r="B629" s="260">
        <v>95.13</v>
      </c>
      <c r="C629" s="189" t="s">
        <v>316</v>
      </c>
    </row>
    <row r="630" spans="1:3">
      <c r="A630" s="227" t="s">
        <v>407</v>
      </c>
      <c r="B630" s="260">
        <v>3219.53</v>
      </c>
      <c r="C630" s="244" t="s">
        <v>143</v>
      </c>
    </row>
    <row r="631" spans="1:3">
      <c r="A631" s="227" t="s">
        <v>407</v>
      </c>
      <c r="B631" s="260">
        <v>376.94</v>
      </c>
      <c r="C631" s="244" t="s">
        <v>162</v>
      </c>
    </row>
    <row r="632" spans="1:3">
      <c r="A632" s="227" t="s">
        <v>407</v>
      </c>
      <c r="B632" s="260">
        <v>2744.93</v>
      </c>
      <c r="C632" s="244" t="s">
        <v>476</v>
      </c>
    </row>
    <row r="633" spans="1:3">
      <c r="A633" s="280" t="s">
        <v>268</v>
      </c>
      <c r="B633" s="264">
        <v>257.14</v>
      </c>
      <c r="C633" s="269" t="s">
        <v>162</v>
      </c>
    </row>
    <row r="634" spans="1:3">
      <c r="A634" s="244" t="s">
        <v>268</v>
      </c>
      <c r="B634" s="260">
        <v>109.83</v>
      </c>
      <c r="C634" s="269" t="s">
        <v>162</v>
      </c>
    </row>
    <row r="635" spans="1:3">
      <c r="A635" s="227" t="s">
        <v>407</v>
      </c>
      <c r="B635" s="260">
        <v>564.1</v>
      </c>
      <c r="C635" s="244" t="s">
        <v>206</v>
      </c>
    </row>
    <row r="636" spans="1:3">
      <c r="A636" s="227" t="s">
        <v>407</v>
      </c>
      <c r="B636" s="260">
        <v>109.71</v>
      </c>
      <c r="C636" s="244" t="s">
        <v>162</v>
      </c>
    </row>
    <row r="637" spans="1:3">
      <c r="A637" s="227" t="s">
        <v>407</v>
      </c>
      <c r="B637" s="260">
        <v>23.27</v>
      </c>
      <c r="C637" s="244" t="s">
        <v>164</v>
      </c>
    </row>
    <row r="638" spans="1:3">
      <c r="A638" s="227" t="s">
        <v>407</v>
      </c>
      <c r="B638" s="260">
        <v>0.5</v>
      </c>
      <c r="C638" s="244" t="s">
        <v>164</v>
      </c>
    </row>
    <row r="639" spans="1:3">
      <c r="A639" s="227" t="s">
        <v>407</v>
      </c>
      <c r="B639" s="260">
        <v>0.5</v>
      </c>
      <c r="C639" s="244" t="s">
        <v>164</v>
      </c>
    </row>
    <row r="640" spans="1:3">
      <c r="A640" s="227" t="s">
        <v>407</v>
      </c>
      <c r="B640" s="260">
        <v>0.5</v>
      </c>
      <c r="C640" s="244" t="s">
        <v>164</v>
      </c>
    </row>
    <row r="641" spans="1:3">
      <c r="A641" s="227" t="s">
        <v>407</v>
      </c>
      <c r="B641" s="260">
        <v>0.5</v>
      </c>
      <c r="C641" s="244" t="s">
        <v>164</v>
      </c>
    </row>
    <row r="642" spans="1:3">
      <c r="A642" s="227" t="s">
        <v>407</v>
      </c>
      <c r="B642" s="260">
        <v>0.5</v>
      </c>
      <c r="C642" s="244" t="s">
        <v>164</v>
      </c>
    </row>
    <row r="643" spans="1:3">
      <c r="A643" s="227" t="s">
        <v>407</v>
      </c>
      <c r="B643" s="260">
        <v>0.5</v>
      </c>
      <c r="C643" s="244" t="s">
        <v>164</v>
      </c>
    </row>
    <row r="644" spans="1:3">
      <c r="A644" s="227" t="s">
        <v>407</v>
      </c>
      <c r="B644" s="260">
        <v>0.5</v>
      </c>
      <c r="C644" s="244" t="s">
        <v>164</v>
      </c>
    </row>
    <row r="645" spans="1:3">
      <c r="A645" s="227" t="s">
        <v>407</v>
      </c>
      <c r="B645" s="260">
        <v>0.5</v>
      </c>
      <c r="C645" s="244" t="s">
        <v>164</v>
      </c>
    </row>
    <row r="646" spans="1:3">
      <c r="A646" s="227" t="s">
        <v>407</v>
      </c>
      <c r="B646" s="260">
        <v>0.5</v>
      </c>
      <c r="C646" s="244" t="s">
        <v>164</v>
      </c>
    </row>
    <row r="647" spans="1:3">
      <c r="A647" s="227" t="s">
        <v>407</v>
      </c>
      <c r="B647" s="260">
        <v>0.5</v>
      </c>
      <c r="C647" s="244" t="s">
        <v>164</v>
      </c>
    </row>
    <row r="648" spans="1:3">
      <c r="A648" s="227" t="s">
        <v>407</v>
      </c>
      <c r="B648" s="260">
        <v>1.05</v>
      </c>
      <c r="C648" s="244" t="s">
        <v>164</v>
      </c>
    </row>
    <row r="649" spans="1:3">
      <c r="A649" s="227" t="s">
        <v>407</v>
      </c>
      <c r="B649" s="260">
        <v>0.5</v>
      </c>
      <c r="C649" s="244" t="s">
        <v>164</v>
      </c>
    </row>
    <row r="650" spans="1:3">
      <c r="A650" s="227" t="s">
        <v>407</v>
      </c>
      <c r="B650" s="260">
        <v>0.5</v>
      </c>
      <c r="C650" s="244" t="s">
        <v>164</v>
      </c>
    </row>
    <row r="651" spans="1:3">
      <c r="A651" s="227" t="s">
        <v>407</v>
      </c>
      <c r="B651" s="260">
        <v>0.5</v>
      </c>
      <c r="C651" s="244" t="s">
        <v>164</v>
      </c>
    </row>
    <row r="652" spans="1:3">
      <c r="A652" s="227" t="s">
        <v>407</v>
      </c>
      <c r="B652" s="260">
        <v>0.5</v>
      </c>
      <c r="C652" s="244" t="s">
        <v>164</v>
      </c>
    </row>
    <row r="653" spans="1:3">
      <c r="A653" s="227" t="s">
        <v>407</v>
      </c>
      <c r="B653" s="260">
        <v>0.5</v>
      </c>
      <c r="C653" s="244" t="s">
        <v>164</v>
      </c>
    </row>
    <row r="654" spans="1:3">
      <c r="A654" s="227" t="s">
        <v>407</v>
      </c>
      <c r="B654" s="260">
        <v>0.5</v>
      </c>
      <c r="C654" s="244" t="s">
        <v>164</v>
      </c>
    </row>
    <row r="655" spans="1:3">
      <c r="A655" s="227" t="s">
        <v>407</v>
      </c>
      <c r="B655" s="260">
        <v>0.5</v>
      </c>
      <c r="C655" s="244" t="s">
        <v>164</v>
      </c>
    </row>
    <row r="656" spans="1:3">
      <c r="A656" s="227" t="s">
        <v>407</v>
      </c>
      <c r="B656" s="260">
        <v>13.6</v>
      </c>
      <c r="C656" s="244" t="s">
        <v>164</v>
      </c>
    </row>
    <row r="657" spans="1:3">
      <c r="A657" s="227" t="s">
        <v>407</v>
      </c>
      <c r="B657" s="260">
        <v>0.5</v>
      </c>
      <c r="C657" s="244" t="s">
        <v>164</v>
      </c>
    </row>
    <row r="658" spans="1:3">
      <c r="A658" s="227" t="s">
        <v>407</v>
      </c>
      <c r="B658" s="260">
        <v>13.6</v>
      </c>
      <c r="C658" s="244" t="s">
        <v>164</v>
      </c>
    </row>
    <row r="659" spans="1:3">
      <c r="A659" s="227" t="s">
        <v>407</v>
      </c>
      <c r="B659" s="260">
        <v>13.6</v>
      </c>
      <c r="C659" s="244" t="s">
        <v>164</v>
      </c>
    </row>
    <row r="660" spans="1:3">
      <c r="A660" s="227" t="s">
        <v>407</v>
      </c>
      <c r="B660" s="260">
        <v>13.6</v>
      </c>
      <c r="C660" s="244" t="s">
        <v>164</v>
      </c>
    </row>
    <row r="661" spans="1:3">
      <c r="A661" s="227" t="s">
        <v>407</v>
      </c>
      <c r="B661" s="260">
        <v>60</v>
      </c>
      <c r="C661" s="244" t="s">
        <v>164</v>
      </c>
    </row>
    <row r="662" spans="1:3">
      <c r="A662" s="227" t="s">
        <v>407</v>
      </c>
      <c r="B662" s="260">
        <v>237</v>
      </c>
      <c r="C662" s="244" t="s">
        <v>164</v>
      </c>
    </row>
    <row r="663" spans="1:3">
      <c r="A663" s="227" t="s">
        <v>407</v>
      </c>
      <c r="B663" s="260">
        <v>43.81</v>
      </c>
      <c r="C663" s="244" t="s">
        <v>164</v>
      </c>
    </row>
    <row r="664" spans="1:3">
      <c r="A664" s="227" t="s">
        <v>407</v>
      </c>
      <c r="B664" s="260">
        <v>18</v>
      </c>
      <c r="C664" s="244" t="s">
        <v>164</v>
      </c>
    </row>
    <row r="665" spans="1:3">
      <c r="A665" s="227" t="s">
        <v>407</v>
      </c>
      <c r="B665" s="260">
        <v>159.19999999999999</v>
      </c>
      <c r="C665" s="244" t="s">
        <v>164</v>
      </c>
    </row>
    <row r="666" spans="1:3">
      <c r="A666" s="227" t="s">
        <v>407</v>
      </c>
      <c r="B666" s="260">
        <v>10</v>
      </c>
      <c r="C666" s="244" t="s">
        <v>164</v>
      </c>
    </row>
    <row r="667" spans="1:3">
      <c r="A667" s="227" t="s">
        <v>407</v>
      </c>
      <c r="B667" s="260">
        <v>1</v>
      </c>
      <c r="C667" s="244" t="s">
        <v>164</v>
      </c>
    </row>
    <row r="668" spans="1:3">
      <c r="A668" s="227" t="s">
        <v>407</v>
      </c>
      <c r="B668" s="260">
        <v>10</v>
      </c>
      <c r="C668" s="244" t="s">
        <v>164</v>
      </c>
    </row>
    <row r="669" spans="1:3">
      <c r="A669" s="227" t="s">
        <v>407</v>
      </c>
      <c r="B669" s="260">
        <v>10</v>
      </c>
      <c r="C669" s="244" t="s">
        <v>164</v>
      </c>
    </row>
    <row r="670" spans="1:3">
      <c r="A670" s="227" t="s">
        <v>407</v>
      </c>
      <c r="B670" s="260">
        <v>10</v>
      </c>
      <c r="C670" s="244" t="s">
        <v>164</v>
      </c>
    </row>
    <row r="671" spans="1:3">
      <c r="A671" s="227" t="s">
        <v>407</v>
      </c>
      <c r="B671" s="260">
        <v>0.5</v>
      </c>
      <c r="C671" s="244" t="s">
        <v>164</v>
      </c>
    </row>
    <row r="672" spans="1:3">
      <c r="A672" s="227" t="s">
        <v>407</v>
      </c>
      <c r="B672" s="260">
        <v>1.99</v>
      </c>
      <c r="C672" s="244" t="s">
        <v>164</v>
      </c>
    </row>
    <row r="673" spans="1:3">
      <c r="A673" s="227" t="s">
        <v>407</v>
      </c>
      <c r="B673" s="260">
        <v>0.5</v>
      </c>
      <c r="C673" s="244" t="s">
        <v>164</v>
      </c>
    </row>
    <row r="674" spans="1:3">
      <c r="A674" s="227" t="s">
        <v>407</v>
      </c>
      <c r="B674" s="260">
        <v>1.99</v>
      </c>
      <c r="C674" s="244" t="s">
        <v>164</v>
      </c>
    </row>
    <row r="675" spans="1:3">
      <c r="A675" s="227" t="s">
        <v>407</v>
      </c>
      <c r="B675" s="260">
        <v>0.5</v>
      </c>
      <c r="C675" s="244" t="s">
        <v>164</v>
      </c>
    </row>
    <row r="676" spans="1:3">
      <c r="A676" s="227" t="s">
        <v>407</v>
      </c>
      <c r="B676" s="260">
        <v>20</v>
      </c>
      <c r="C676" s="244" t="s">
        <v>164</v>
      </c>
    </row>
    <row r="677" spans="1:3">
      <c r="A677" s="227" t="s">
        <v>407</v>
      </c>
      <c r="B677" s="260">
        <v>0.5</v>
      </c>
      <c r="C677" s="244" t="s">
        <v>164</v>
      </c>
    </row>
    <row r="678" spans="1:3">
      <c r="A678" s="227" t="s">
        <v>407</v>
      </c>
      <c r="B678" s="260">
        <v>0.5</v>
      </c>
      <c r="C678" s="244" t="s">
        <v>164</v>
      </c>
    </row>
    <row r="679" spans="1:3">
      <c r="A679" s="227" t="s">
        <v>407</v>
      </c>
      <c r="B679" s="260">
        <v>1.99</v>
      </c>
      <c r="C679" s="244" t="s">
        <v>164</v>
      </c>
    </row>
    <row r="680" spans="1:3">
      <c r="A680" s="227" t="s">
        <v>407</v>
      </c>
      <c r="B680" s="260">
        <v>0.5</v>
      </c>
      <c r="C680" s="244" t="s">
        <v>164</v>
      </c>
    </row>
    <row r="681" spans="1:3">
      <c r="A681" s="227" t="s">
        <v>407</v>
      </c>
      <c r="B681" s="260">
        <v>1.99</v>
      </c>
      <c r="C681" s="244" t="s">
        <v>164</v>
      </c>
    </row>
    <row r="682" spans="1:3">
      <c r="A682" s="227" t="s">
        <v>407</v>
      </c>
      <c r="B682" s="260">
        <v>20</v>
      </c>
      <c r="C682" s="244" t="s">
        <v>164</v>
      </c>
    </row>
    <row r="683" spans="1:3">
      <c r="A683" s="227" t="s">
        <v>407</v>
      </c>
      <c r="B683" s="260">
        <v>10</v>
      </c>
      <c r="C683" s="244" t="s">
        <v>164</v>
      </c>
    </row>
    <row r="684" spans="1:3">
      <c r="A684" s="227" t="s">
        <v>407</v>
      </c>
      <c r="B684" s="260">
        <v>0.5</v>
      </c>
      <c r="C684" s="244" t="s">
        <v>164</v>
      </c>
    </row>
    <row r="685" spans="1:3">
      <c r="A685" s="227" t="s">
        <v>407</v>
      </c>
      <c r="B685" s="260">
        <v>0.5</v>
      </c>
      <c r="C685" s="244" t="s">
        <v>164</v>
      </c>
    </row>
    <row r="686" spans="1:3">
      <c r="A686" s="227" t="s">
        <v>407</v>
      </c>
      <c r="B686" s="260">
        <v>139.9</v>
      </c>
      <c r="C686" s="244" t="s">
        <v>246</v>
      </c>
    </row>
    <row r="687" spans="1:3">
      <c r="A687" s="227" t="s">
        <v>407</v>
      </c>
      <c r="B687" s="260">
        <v>193.54</v>
      </c>
      <c r="C687" s="244" t="s">
        <v>246</v>
      </c>
    </row>
    <row r="688" spans="1:3">
      <c r="A688" s="227" t="s">
        <v>407</v>
      </c>
      <c r="B688" s="260">
        <v>301.16000000000003</v>
      </c>
      <c r="C688" s="244" t="s">
        <v>246</v>
      </c>
    </row>
    <row r="689" spans="1:3">
      <c r="A689" s="227" t="s">
        <v>407</v>
      </c>
      <c r="B689" s="260">
        <v>30</v>
      </c>
      <c r="C689" s="244" t="s">
        <v>164</v>
      </c>
    </row>
    <row r="690" spans="1:3">
      <c r="A690" s="227" t="s">
        <v>407</v>
      </c>
      <c r="B690" s="260">
        <v>0</v>
      </c>
      <c r="C690" s="244" t="s">
        <v>246</v>
      </c>
    </row>
    <row r="691" spans="1:3">
      <c r="A691" s="227" t="s">
        <v>407</v>
      </c>
      <c r="B691" s="260">
        <v>613.08000000000004</v>
      </c>
      <c r="C691" s="244" t="s">
        <v>246</v>
      </c>
    </row>
    <row r="692" spans="1:3">
      <c r="A692" s="227" t="s">
        <v>407</v>
      </c>
      <c r="B692" s="253">
        <v>150</v>
      </c>
      <c r="C692" s="269" t="s">
        <v>206</v>
      </c>
    </row>
    <row r="693" spans="1:3">
      <c r="A693" s="227" t="s">
        <v>407</v>
      </c>
      <c r="B693" s="253">
        <v>3385.05</v>
      </c>
      <c r="C693" s="269" t="s">
        <v>143</v>
      </c>
    </row>
    <row r="694" spans="1:3">
      <c r="A694" s="227" t="s">
        <v>407</v>
      </c>
      <c r="B694" s="253">
        <v>1466.4</v>
      </c>
      <c r="C694" s="250" t="s">
        <v>164</v>
      </c>
    </row>
    <row r="695" spans="1:3">
      <c r="A695" s="227" t="s">
        <v>407</v>
      </c>
      <c r="B695" s="253">
        <v>125</v>
      </c>
      <c r="C695" s="269" t="s">
        <v>143</v>
      </c>
    </row>
    <row r="696" spans="1:3">
      <c r="A696" s="227" t="s">
        <v>407</v>
      </c>
      <c r="B696" s="260">
        <v>244.17</v>
      </c>
      <c r="C696" s="244" t="s">
        <v>162</v>
      </c>
    </row>
    <row r="697" spans="1:3">
      <c r="A697" s="227" t="s">
        <v>407</v>
      </c>
      <c r="B697" s="253">
        <v>93.1</v>
      </c>
      <c r="C697" s="250" t="s">
        <v>164</v>
      </c>
    </row>
    <row r="698" spans="1:3">
      <c r="A698" s="227" t="s">
        <v>407</v>
      </c>
      <c r="B698" s="253">
        <v>1.99</v>
      </c>
      <c r="C698" s="250" t="s">
        <v>164</v>
      </c>
    </row>
    <row r="699" spans="1:3">
      <c r="A699" s="227" t="s">
        <v>407</v>
      </c>
      <c r="B699" s="253">
        <v>0.5</v>
      </c>
      <c r="C699" s="250" t="s">
        <v>164</v>
      </c>
    </row>
    <row r="700" spans="1:3">
      <c r="A700" s="227" t="s">
        <v>407</v>
      </c>
      <c r="B700" s="253">
        <v>0.5</v>
      </c>
      <c r="C700" s="250" t="s">
        <v>164</v>
      </c>
    </row>
    <row r="701" spans="1:3">
      <c r="A701" s="227" t="s">
        <v>407</v>
      </c>
      <c r="B701" s="253">
        <v>0.5</v>
      </c>
      <c r="C701" s="250" t="s">
        <v>164</v>
      </c>
    </row>
    <row r="702" spans="1:3">
      <c r="A702" s="227" t="s">
        <v>407</v>
      </c>
      <c r="B702" s="253">
        <v>0.5</v>
      </c>
      <c r="C702" s="250" t="s">
        <v>164</v>
      </c>
    </row>
    <row r="703" spans="1:3">
      <c r="A703" s="267" t="s">
        <v>268</v>
      </c>
      <c r="B703" s="292">
        <v>-48.66</v>
      </c>
      <c r="C703" s="269" t="s">
        <v>206</v>
      </c>
    </row>
    <row r="704" spans="1:3">
      <c r="A704" s="267" t="s">
        <v>268</v>
      </c>
      <c r="B704" s="226">
        <v>9.68</v>
      </c>
      <c r="C704" s="269" t="s">
        <v>206</v>
      </c>
    </row>
    <row r="705" spans="1:3">
      <c r="A705" s="267" t="s">
        <v>268</v>
      </c>
      <c r="B705" s="226">
        <v>13588.1</v>
      </c>
      <c r="C705" s="336" t="s">
        <v>3110</v>
      </c>
    </row>
    <row r="706" spans="1:3">
      <c r="A706" s="267" t="s">
        <v>268</v>
      </c>
      <c r="B706" s="226">
        <v>3984.34</v>
      </c>
      <c r="C706" s="336" t="s">
        <v>3110</v>
      </c>
    </row>
    <row r="707" spans="1:3">
      <c r="A707" s="267" t="s">
        <v>268</v>
      </c>
      <c r="B707" s="226">
        <v>16222.26</v>
      </c>
      <c r="C707" s="336" t="s">
        <v>476</v>
      </c>
    </row>
    <row r="708" spans="1:3">
      <c r="A708" s="267" t="s">
        <v>407</v>
      </c>
      <c r="B708" s="226">
        <v>3500.39</v>
      </c>
      <c r="C708" s="336" t="s">
        <v>476</v>
      </c>
    </row>
  </sheetData>
  <autoFilter ref="A1:C708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32"/>
  <sheetViews>
    <sheetView showGridLines="0" workbookViewId="0"/>
  </sheetViews>
  <sheetFormatPr defaultColWidth="14.42578125" defaultRowHeight="15" customHeight="1" outlineLevelRow="1"/>
  <cols>
    <col min="1" max="1" width="56.5703125" customWidth="1"/>
    <col min="15" max="15" width="6.5703125" customWidth="1"/>
  </cols>
  <sheetData>
    <row r="1" spans="1:26">
      <c r="A1" s="337"/>
      <c r="B1" s="338"/>
      <c r="C1" s="338"/>
      <c r="D1" s="338"/>
      <c r="E1" s="338"/>
      <c r="F1" s="338"/>
      <c r="G1" s="130"/>
      <c r="H1" s="339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spans="1:26" ht="19.5">
      <c r="A2" s="340" t="s">
        <v>3111</v>
      </c>
      <c r="B2" s="341"/>
      <c r="C2" s="341"/>
      <c r="D2" s="341"/>
      <c r="E2" s="341"/>
      <c r="F2" s="341"/>
      <c r="G2" s="342"/>
      <c r="H2" s="343"/>
      <c r="I2" s="342"/>
      <c r="J2" s="342"/>
      <c r="K2" s="342"/>
      <c r="L2" s="342"/>
      <c r="M2" s="342"/>
      <c r="N2" s="344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spans="1:26" ht="5.25" customHeight="1">
      <c r="A3" s="345"/>
      <c r="B3" s="345"/>
      <c r="C3" s="345"/>
      <c r="D3" s="345"/>
      <c r="E3" s="346"/>
      <c r="F3" s="345"/>
      <c r="G3" s="345"/>
      <c r="H3" s="345"/>
      <c r="I3" s="345"/>
      <c r="J3" s="345"/>
      <c r="K3" s="345"/>
      <c r="L3" s="345"/>
      <c r="M3" s="345"/>
      <c r="N3" s="347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spans="1:26">
      <c r="A4" s="348" t="s">
        <v>3112</v>
      </c>
      <c r="B4" s="349" t="s">
        <v>0</v>
      </c>
      <c r="C4" s="349" t="s">
        <v>1</v>
      </c>
      <c r="D4" s="349" t="s">
        <v>2</v>
      </c>
      <c r="E4" s="349" t="s">
        <v>3</v>
      </c>
      <c r="F4" s="349" t="s">
        <v>4</v>
      </c>
      <c r="G4" s="349" t="s">
        <v>5</v>
      </c>
      <c r="H4" s="349" t="s">
        <v>6</v>
      </c>
      <c r="I4" s="349" t="s">
        <v>7</v>
      </c>
      <c r="J4" s="349" t="s">
        <v>8</v>
      </c>
      <c r="K4" s="349" t="s">
        <v>9</v>
      </c>
      <c r="L4" s="349" t="s">
        <v>10</v>
      </c>
      <c r="M4" s="349" t="s">
        <v>11</v>
      </c>
      <c r="N4" s="350" t="s">
        <v>3113</v>
      </c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spans="1:26">
      <c r="A5" s="351" t="s">
        <v>16</v>
      </c>
      <c r="B5" s="352">
        <f t="shared" ref="B5:M5" si="0">B32</f>
        <v>742596.16</v>
      </c>
      <c r="C5" s="352">
        <f t="shared" si="0"/>
        <v>520688.7099999999</v>
      </c>
      <c r="D5" s="352">
        <f t="shared" si="0"/>
        <v>578703</v>
      </c>
      <c r="E5" s="352">
        <f t="shared" si="0"/>
        <v>609147.53999999992</v>
      </c>
      <c r="F5" s="352">
        <f t="shared" si="0"/>
        <v>518335.48999999993</v>
      </c>
      <c r="G5" s="352">
        <f t="shared" si="0"/>
        <v>638364.5</v>
      </c>
      <c r="H5" s="352">
        <f t="shared" si="0"/>
        <v>678311.33</v>
      </c>
      <c r="I5" s="352">
        <f t="shared" si="0"/>
        <v>534530.06000000006</v>
      </c>
      <c r="J5" s="352">
        <f t="shared" si="0"/>
        <v>0</v>
      </c>
      <c r="K5" s="352">
        <f t="shared" si="0"/>
        <v>0</v>
      </c>
      <c r="L5" s="352">
        <f t="shared" si="0"/>
        <v>0</v>
      </c>
      <c r="M5" s="352">
        <f t="shared" si="0"/>
        <v>0</v>
      </c>
      <c r="N5" s="353">
        <f t="shared" ref="N5:N19" si="1">SUM(B5:M5)</f>
        <v>4820676.7899999991</v>
      </c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spans="1:26">
      <c r="A6" s="351" t="s">
        <v>17</v>
      </c>
      <c r="B6" s="354">
        <v>115973.71</v>
      </c>
      <c r="C6" s="354">
        <v>77935.03</v>
      </c>
      <c r="D6" s="354">
        <v>28138.34</v>
      </c>
      <c r="E6" s="354">
        <v>23279.68</v>
      </c>
      <c r="F6" s="354">
        <v>12413.5</v>
      </c>
      <c r="G6" s="354">
        <v>111726.61</v>
      </c>
      <c r="H6" s="354">
        <v>87587.98</v>
      </c>
      <c r="I6" s="354">
        <v>71816.820000000007</v>
      </c>
      <c r="J6" s="354"/>
      <c r="K6" s="354"/>
      <c r="L6" s="354"/>
      <c r="M6" s="354"/>
      <c r="N6" s="353">
        <f t="shared" si="1"/>
        <v>528871.66999999993</v>
      </c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spans="1:26">
      <c r="A7" s="351" t="s">
        <v>19</v>
      </c>
      <c r="B7" s="352">
        <f t="shared" ref="B7:M7" si="2">B39</f>
        <v>46209.41</v>
      </c>
      <c r="C7" s="352">
        <f t="shared" si="2"/>
        <v>30939.14</v>
      </c>
      <c r="D7" s="352">
        <f t="shared" si="2"/>
        <v>38474.080000000002</v>
      </c>
      <c r="E7" s="352">
        <f t="shared" si="2"/>
        <v>35766.61</v>
      </c>
      <c r="F7" s="352">
        <f t="shared" si="2"/>
        <v>32874.720000000001</v>
      </c>
      <c r="G7" s="352">
        <f t="shared" si="2"/>
        <v>44826.720000000001</v>
      </c>
      <c r="H7" s="352">
        <f t="shared" si="2"/>
        <v>43952.659999999996</v>
      </c>
      <c r="I7" s="352">
        <f t="shared" si="2"/>
        <v>36368.870000000003</v>
      </c>
      <c r="J7" s="352">
        <f t="shared" si="2"/>
        <v>0</v>
      </c>
      <c r="K7" s="352">
        <f t="shared" si="2"/>
        <v>0</v>
      </c>
      <c r="L7" s="352">
        <f t="shared" si="2"/>
        <v>0</v>
      </c>
      <c r="M7" s="352">
        <f t="shared" si="2"/>
        <v>0</v>
      </c>
      <c r="N7" s="353">
        <f t="shared" si="1"/>
        <v>309412.20999999996</v>
      </c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spans="1:26">
      <c r="A8" s="351" t="s">
        <v>20</v>
      </c>
      <c r="B8" s="354">
        <v>7285.45</v>
      </c>
      <c r="C8" s="354">
        <v>5088.37</v>
      </c>
      <c r="D8" s="354">
        <v>1796.06</v>
      </c>
      <c r="E8" s="354">
        <v>1497.89</v>
      </c>
      <c r="F8" s="354">
        <v>4076.76</v>
      </c>
      <c r="G8" s="354">
        <v>1291.73</v>
      </c>
      <c r="H8" s="354">
        <v>1291.73</v>
      </c>
      <c r="I8" s="354">
        <v>2333.17</v>
      </c>
      <c r="J8" s="354"/>
      <c r="K8" s="354"/>
      <c r="L8" s="354"/>
      <c r="M8" s="354"/>
      <c r="N8" s="353">
        <f t="shared" si="1"/>
        <v>24661.159999999996</v>
      </c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spans="1:26">
      <c r="A9" s="351" t="s">
        <v>24</v>
      </c>
      <c r="B9" s="354">
        <v>0</v>
      </c>
      <c r="C9" s="354">
        <v>0</v>
      </c>
      <c r="D9" s="354">
        <v>0</v>
      </c>
      <c r="E9" s="354">
        <v>0</v>
      </c>
      <c r="F9" s="354">
        <v>0</v>
      </c>
      <c r="G9" s="354">
        <v>0</v>
      </c>
      <c r="H9" s="354">
        <v>0</v>
      </c>
      <c r="I9" s="354">
        <v>0</v>
      </c>
      <c r="J9" s="354"/>
      <c r="K9" s="354"/>
      <c r="L9" s="354"/>
      <c r="M9" s="354"/>
      <c r="N9" s="353">
        <f t="shared" si="1"/>
        <v>0</v>
      </c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spans="1:26">
      <c r="A10" s="351" t="s">
        <v>25</v>
      </c>
      <c r="B10" s="352">
        <f t="shared" ref="B10:M10" ca="1" si="3">B22+B24</f>
        <v>435100.22167999897</v>
      </c>
      <c r="C10" s="352">
        <f t="shared" ca="1" si="3"/>
        <v>385150.4877</v>
      </c>
      <c r="D10" s="352">
        <f t="shared" ca="1" si="3"/>
        <v>538232.08999999904</v>
      </c>
      <c r="E10" s="352">
        <f t="shared" ca="1" si="3"/>
        <v>487174.31091999996</v>
      </c>
      <c r="F10" s="352">
        <f t="shared" ca="1" si="3"/>
        <v>486610.35334599897</v>
      </c>
      <c r="G10" s="352">
        <f t="shared" ca="1" si="3"/>
        <v>486259.17779999902</v>
      </c>
      <c r="H10" s="352">
        <f t="shared" ca="1" si="3"/>
        <v>517608.19517300004</v>
      </c>
      <c r="I10" s="352">
        <f t="shared" ca="1" si="3"/>
        <v>467285.15</v>
      </c>
      <c r="J10" s="352">
        <f t="shared" si="3"/>
        <v>0</v>
      </c>
      <c r="K10" s="352">
        <f t="shared" si="3"/>
        <v>0</v>
      </c>
      <c r="L10" s="352">
        <f t="shared" si="3"/>
        <v>0</v>
      </c>
      <c r="M10" s="352">
        <f t="shared" si="3"/>
        <v>0</v>
      </c>
      <c r="N10" s="353">
        <f t="shared" ca="1" si="1"/>
        <v>3803419.9866189961</v>
      </c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spans="1:26">
      <c r="A11" s="351" t="s">
        <v>26</v>
      </c>
      <c r="B11" s="354">
        <v>76119.7</v>
      </c>
      <c r="C11" s="354">
        <v>73017</v>
      </c>
      <c r="D11" s="354">
        <v>71232.899999999994</v>
      </c>
      <c r="E11" s="354">
        <v>70336.100000000006</v>
      </c>
      <c r="F11" s="354">
        <v>73790.3</v>
      </c>
      <c r="G11" s="354">
        <v>73663</v>
      </c>
      <c r="H11" s="354">
        <v>76239.399999999994</v>
      </c>
      <c r="I11" s="354">
        <v>77537.100000000006</v>
      </c>
      <c r="J11" s="354"/>
      <c r="K11" s="354"/>
      <c r="L11" s="354"/>
      <c r="M11" s="354"/>
      <c r="N11" s="353">
        <f t="shared" si="1"/>
        <v>591935.5</v>
      </c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spans="1:26">
      <c r="A12" s="351" t="s">
        <v>28</v>
      </c>
      <c r="B12" s="354">
        <f>20493.31+13228.48</f>
        <v>33721.79</v>
      </c>
      <c r="C12" s="354">
        <f>18030.03+11473.79</f>
        <v>29503.82</v>
      </c>
      <c r="D12" s="354">
        <f>19882.64+17978.93</f>
        <v>37861.57</v>
      </c>
      <c r="E12" s="354">
        <f>15905.59+16071.59</f>
        <v>31977.18</v>
      </c>
      <c r="F12" s="354">
        <f>15840.02+16415.91</f>
        <v>32255.93</v>
      </c>
      <c r="G12" s="354">
        <f>17019.76+20571.26</f>
        <v>37591.019999999997</v>
      </c>
      <c r="H12" s="354">
        <f>21429.4+18173.96</f>
        <v>39603.360000000001</v>
      </c>
      <c r="I12" s="354">
        <f>15180.45+21515.92</f>
        <v>36696.369999999995</v>
      </c>
      <c r="J12" s="354"/>
      <c r="K12" s="354"/>
      <c r="L12" s="354"/>
      <c r="M12" s="354"/>
      <c r="N12" s="353">
        <f t="shared" si="1"/>
        <v>279211.03999999998</v>
      </c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spans="1:26">
      <c r="A13" s="351" t="s">
        <v>29</v>
      </c>
      <c r="B13" s="354">
        <f>137935.87+120.62</f>
        <v>138056.49</v>
      </c>
      <c r="C13" s="354">
        <f>72860.4+130.34</f>
        <v>72990.739999999991</v>
      </c>
      <c r="D13" s="354">
        <f>72864.25+136.83</f>
        <v>73001.08</v>
      </c>
      <c r="E13" s="354">
        <f>73106.36+75.3</f>
        <v>73181.66</v>
      </c>
      <c r="F13" s="354">
        <f>109.41+90811.31</f>
        <v>90920.72</v>
      </c>
      <c r="G13" s="354">
        <f>89720.57+135.91</f>
        <v>89856.48000000001</v>
      </c>
      <c r="H13" s="354">
        <f>116193.18+93.52</f>
        <v>116286.7</v>
      </c>
      <c r="I13" s="354">
        <f>69999.01+80.11</f>
        <v>70079.12</v>
      </c>
      <c r="J13" s="354"/>
      <c r="K13" s="354"/>
      <c r="L13" s="354"/>
      <c r="M13" s="354"/>
      <c r="N13" s="353">
        <f t="shared" si="1"/>
        <v>724372.98999999987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spans="1:26">
      <c r="A14" s="351" t="s">
        <v>30</v>
      </c>
      <c r="B14" s="354">
        <v>3759.03</v>
      </c>
      <c r="C14" s="354">
        <f>2964.59</f>
        <v>2964.59</v>
      </c>
      <c r="D14" s="354">
        <v>4515</v>
      </c>
      <c r="E14" s="354">
        <v>2531.39</v>
      </c>
      <c r="F14" s="354">
        <v>2196.9899999999998</v>
      </c>
      <c r="G14" s="354">
        <v>2788.14</v>
      </c>
      <c r="H14" s="354">
        <v>3690.27</v>
      </c>
      <c r="I14" s="354">
        <v>3629.18</v>
      </c>
      <c r="J14" s="354"/>
      <c r="K14" s="354"/>
      <c r="L14" s="354"/>
      <c r="M14" s="354"/>
      <c r="N14" s="353">
        <f t="shared" si="1"/>
        <v>26074.59</v>
      </c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spans="1:26">
      <c r="A15" s="351" t="s">
        <v>31</v>
      </c>
      <c r="B15" s="352">
        <f ca="1">'P&amp;D'!C3+'P&amp;D'!B21</f>
        <v>3762.29</v>
      </c>
      <c r="C15" s="352">
        <f ca="1">'P&amp;D'!D3+'P&amp;D'!C21</f>
        <v>6307.8</v>
      </c>
      <c r="D15" s="352">
        <f ca="1">'P&amp;D'!E3+'P&amp;D'!D21</f>
        <v>6771.63</v>
      </c>
      <c r="E15" s="352">
        <f ca="1">'P&amp;D'!F3+'P&amp;D'!E21</f>
        <v>7115.56</v>
      </c>
      <c r="F15" s="352">
        <f ca="1">'P&amp;D'!G3+'P&amp;D'!F21</f>
        <v>263540.40999999997</v>
      </c>
      <c r="G15" s="352">
        <f ca="1">'P&amp;D'!H3+'P&amp;D'!G21</f>
        <v>12085.48</v>
      </c>
      <c r="H15" s="352">
        <f ca="1">'P&amp;D'!I3+'P&amp;D'!H21</f>
        <v>9083.4</v>
      </c>
      <c r="I15" s="352">
        <f ca="1">'P&amp;D'!J3+'P&amp;D'!I21</f>
        <v>10163.01</v>
      </c>
      <c r="J15" s="352">
        <f ca="1">'P&amp;D'!K3+'P&amp;D'!J21</f>
        <v>0</v>
      </c>
      <c r="K15" s="352">
        <f ca="1">'P&amp;D'!L3+'P&amp;D'!K21</f>
        <v>0</v>
      </c>
      <c r="L15" s="352">
        <f ca="1">'P&amp;D'!M3+'P&amp;D'!L21</f>
        <v>0</v>
      </c>
      <c r="M15" s="352">
        <f ca="1">'P&amp;D'!N3+'P&amp;D'!M21</f>
        <v>0</v>
      </c>
      <c r="N15" s="353">
        <f t="shared" ca="1" si="1"/>
        <v>318829.58</v>
      </c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spans="1:26">
      <c r="A16" s="351" t="s">
        <v>32</v>
      </c>
      <c r="B16" s="352">
        <f ca="1">'P&amp;D'!B40</f>
        <v>1640.5782019999999</v>
      </c>
      <c r="C16" s="352">
        <f ca="1">'P&amp;D'!C40</f>
        <v>1146.6088420000001</v>
      </c>
      <c r="D16" s="352">
        <f ca="1">'P&amp;D'!D40</f>
        <v>1200.1851819999999</v>
      </c>
      <c r="E16" s="352">
        <f ca="1">'P&amp;D'!E40</f>
        <v>220.52859000000001</v>
      </c>
      <c r="F16" s="352">
        <f ca="1">'P&amp;D'!F40</f>
        <v>146.88429500000001</v>
      </c>
      <c r="G16" s="352">
        <f ca="1">'P&amp;D'!G40</f>
        <v>984.60245699999996</v>
      </c>
      <c r="H16" s="352">
        <f ca="1">'P&amp;D'!H40</f>
        <v>2093.0595800000001</v>
      </c>
      <c r="I16" s="352">
        <f ca="1">'P&amp;D'!I40</f>
        <v>1140.3429739999999</v>
      </c>
      <c r="J16" s="352">
        <f>'P&amp;D'!J40</f>
        <v>0</v>
      </c>
      <c r="K16" s="352">
        <f>'P&amp;D'!K40</f>
        <v>0</v>
      </c>
      <c r="L16" s="352">
        <f>'P&amp;D'!L40</f>
        <v>0</v>
      </c>
      <c r="M16" s="352">
        <f>'P&amp;D'!M40</f>
        <v>0</v>
      </c>
      <c r="N16" s="353">
        <f t="shared" ca="1" si="1"/>
        <v>8572.7901220000003</v>
      </c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spans="1:26">
      <c r="A17" s="351" t="s">
        <v>34</v>
      </c>
      <c r="B17" s="354">
        <v>49703</v>
      </c>
      <c r="C17" s="354">
        <v>46767</v>
      </c>
      <c r="D17" s="354">
        <v>41835.5</v>
      </c>
      <c r="E17" s="354">
        <v>41835.5</v>
      </c>
      <c r="F17" s="354">
        <v>45335.5</v>
      </c>
      <c r="G17" s="354">
        <f>22944+17270.5</f>
        <v>40214.5</v>
      </c>
      <c r="H17" s="354">
        <v>39404</v>
      </c>
      <c r="I17" s="354">
        <v>37783</v>
      </c>
      <c r="J17" s="354"/>
      <c r="K17" s="354"/>
      <c r="L17" s="354"/>
      <c r="M17" s="354"/>
      <c r="N17" s="353">
        <f t="shared" si="1"/>
        <v>342878</v>
      </c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spans="1:26">
      <c r="A18" s="351" t="s">
        <v>35</v>
      </c>
      <c r="B18" s="354">
        <v>3774.8</v>
      </c>
      <c r="C18" s="354">
        <v>3380.94</v>
      </c>
      <c r="D18" s="354">
        <v>5299.13</v>
      </c>
      <c r="E18" s="354">
        <v>12245.03</v>
      </c>
      <c r="F18" s="354">
        <v>4283.01</v>
      </c>
      <c r="G18" s="354">
        <v>0</v>
      </c>
      <c r="H18" s="354">
        <v>3023.16</v>
      </c>
      <c r="I18" s="354">
        <v>4967.1000000000004</v>
      </c>
      <c r="J18" s="354"/>
      <c r="K18" s="354"/>
      <c r="L18" s="354"/>
      <c r="M18" s="354"/>
      <c r="N18" s="353">
        <f t="shared" si="1"/>
        <v>36973.170000000006</v>
      </c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spans="1:26">
      <c r="A19" s="355" t="s">
        <v>3114</v>
      </c>
      <c r="B19" s="356">
        <v>29000</v>
      </c>
      <c r="C19" s="356">
        <v>24000</v>
      </c>
      <c r="D19" s="356">
        <v>25000</v>
      </c>
      <c r="E19" s="356">
        <v>26252.5</v>
      </c>
      <c r="F19" s="356">
        <v>29500</v>
      </c>
      <c r="G19" s="356">
        <f>6900+19500</f>
        <v>26400</v>
      </c>
      <c r="H19" s="356">
        <v>29300</v>
      </c>
      <c r="I19" s="356">
        <v>34300</v>
      </c>
      <c r="J19" s="356"/>
      <c r="K19" s="356"/>
      <c r="L19" s="356"/>
      <c r="M19" s="356"/>
      <c r="N19" s="357">
        <f t="shared" si="1"/>
        <v>223752.5</v>
      </c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spans="1:26">
      <c r="A20" s="130"/>
      <c r="B20" s="339"/>
      <c r="C20" s="339"/>
      <c r="D20" s="339"/>
      <c r="E20" s="339"/>
      <c r="F20" s="339"/>
      <c r="G20" s="339"/>
      <c r="H20" s="339"/>
      <c r="I20" s="339"/>
      <c r="J20" s="339"/>
      <c r="K20" s="130"/>
      <c r="L20" s="130"/>
      <c r="M20" s="130"/>
      <c r="N20" s="358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spans="1:26">
      <c r="A21" s="359" t="s">
        <v>3115</v>
      </c>
      <c r="B21" s="360" t="s">
        <v>0</v>
      </c>
      <c r="C21" s="360" t="s">
        <v>1</v>
      </c>
      <c r="D21" s="360" t="s">
        <v>2</v>
      </c>
      <c r="E21" s="360" t="s">
        <v>3</v>
      </c>
      <c r="F21" s="360" t="s">
        <v>4</v>
      </c>
      <c r="G21" s="360" t="s">
        <v>5</v>
      </c>
      <c r="H21" s="360" t="s">
        <v>6</v>
      </c>
      <c r="I21" s="360" t="s">
        <v>7</v>
      </c>
      <c r="J21" s="360" t="s">
        <v>8</v>
      </c>
      <c r="K21" s="360" t="s">
        <v>9</v>
      </c>
      <c r="L21" s="360" t="s">
        <v>10</v>
      </c>
      <c r="M21" s="360" t="s">
        <v>11</v>
      </c>
      <c r="N21" s="350" t="s">
        <v>3113</v>
      </c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spans="1:26">
      <c r="A22" s="361" t="s">
        <v>3115</v>
      </c>
      <c r="B22" s="362">
        <f ca="1">'Rendimentos SPDX'!B28</f>
        <v>433450.98167999898</v>
      </c>
      <c r="C22" s="362">
        <f ca="1">'Rendimentos SPDX'!D28</f>
        <v>382491.66769999999</v>
      </c>
      <c r="D22" s="362">
        <f ca="1">'Rendimentos SPDX'!F28</f>
        <v>534870.27999999898</v>
      </c>
      <c r="E22" s="362">
        <f ca="1">'Rendimentos SPDX'!H28</f>
        <v>483440.39091999998</v>
      </c>
      <c r="F22" s="362">
        <f ca="1">'Rendimentos SPDX'!J28</f>
        <v>483102.93334599899</v>
      </c>
      <c r="G22" s="362">
        <f ca="1">'Rendimentos SPDX'!L28</f>
        <v>482631.657799999</v>
      </c>
      <c r="H22" s="362">
        <f ca="1">'Rendimentos SPDX'!N28</f>
        <v>510797.86517300003</v>
      </c>
      <c r="I22" s="362">
        <f ca="1">'Rendimentos SPDX'!P28</f>
        <v>467285.15</v>
      </c>
      <c r="J22" s="362">
        <f>'Rendimentos SPDX'!R28</f>
        <v>0</v>
      </c>
      <c r="K22" s="362">
        <f>'Rendimentos SPDX'!T28</f>
        <v>0</v>
      </c>
      <c r="L22" s="362">
        <f>'Rendimentos SPDX'!V28</f>
        <v>0</v>
      </c>
      <c r="M22" s="362">
        <f>'Rendimentos SPDX'!X28</f>
        <v>0</v>
      </c>
      <c r="N22" s="353">
        <f t="shared" ref="N22:N25" ca="1" si="4">SUM(B22:M22)</f>
        <v>3778070.9266189956</v>
      </c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spans="1:26">
      <c r="A23" s="351" t="s">
        <v>3116</v>
      </c>
      <c r="B23" s="363">
        <f ca="1">-16.5%*B22</f>
        <v>-71519.411977199838</v>
      </c>
      <c r="C23" s="363">
        <f t="shared" ref="C23:M23" ca="1" si="5">16.5%*C22</f>
        <v>63111.125170500003</v>
      </c>
      <c r="D23" s="363">
        <f t="shared" ca="1" si="5"/>
        <v>88253.59619999984</v>
      </c>
      <c r="E23" s="363">
        <f t="shared" ca="1" si="5"/>
        <v>79767.664501799998</v>
      </c>
      <c r="F23" s="363">
        <f t="shared" ca="1" si="5"/>
        <v>79711.984002089841</v>
      </c>
      <c r="G23" s="363">
        <f t="shared" ca="1" si="5"/>
        <v>79634.223536999838</v>
      </c>
      <c r="H23" s="363">
        <f t="shared" ca="1" si="5"/>
        <v>84281.64775354501</v>
      </c>
      <c r="I23" s="363">
        <f t="shared" ca="1" si="5"/>
        <v>77102.049750000006</v>
      </c>
      <c r="J23" s="363">
        <f t="shared" si="5"/>
        <v>0</v>
      </c>
      <c r="K23" s="363">
        <f t="shared" si="5"/>
        <v>0</v>
      </c>
      <c r="L23" s="363">
        <f t="shared" si="5"/>
        <v>0</v>
      </c>
      <c r="M23" s="363">
        <f t="shared" si="5"/>
        <v>0</v>
      </c>
      <c r="N23" s="353">
        <f t="shared" ca="1" si="4"/>
        <v>480342.8789377347</v>
      </c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spans="1:26">
      <c r="A24" s="361" t="s">
        <v>945</v>
      </c>
      <c r="B24" s="364">
        <f>SUMIFS('Lançamentos Omie'!$G:$G,'Lançamentos Omie'!$I:$I,$A24,'Lançamentos Omie'!$F:$F,B$21)</f>
        <v>1649.2400000000002</v>
      </c>
      <c r="C24" s="364">
        <f>SUMIFS('Lançamentos Omie'!$G:$G,'Lançamentos Omie'!$I:$I,$A24,'Lançamentos Omie'!$F:$F,C$21)</f>
        <v>2658.8199999999997</v>
      </c>
      <c r="D24" s="364">
        <f>SUMIFS('Lançamentos Omie'!$G:$G,'Lançamentos Omie'!$I:$I,$A24,'Lançamentos Omie'!$F:$F,D$21)</f>
        <v>3361.81</v>
      </c>
      <c r="E24" s="364">
        <f>SUMIFS('Lançamentos Omie'!$G:$G,'Lançamentos Omie'!$I:$I,$A24,'Lançamentos Omie'!$F:$F,E$21)</f>
        <v>3733.92</v>
      </c>
      <c r="F24" s="364">
        <f>SUMIFS('Lançamentos Omie'!$G:$G,'Lançamentos Omie'!$I:$I,$A24,'Lançamentos Omie'!$F:$F,F$21)</f>
        <v>3507.42</v>
      </c>
      <c r="G24" s="364">
        <f>SUMIFS('Lançamentos Omie'!$G:$G,'Lançamentos Omie'!$I:$I,$A24,'Lançamentos Omie'!$F:$F,G$21)</f>
        <v>3627.5200000000004</v>
      </c>
      <c r="H24" s="364">
        <f>SUMIFS('Lançamentos Omie'!$G:$G,'Lançamentos Omie'!$I:$I,$A24,'Lançamentos Omie'!$F:$F,H$21)</f>
        <v>6810.33</v>
      </c>
      <c r="I24" s="364">
        <f>SUMIFS('Lançamentos Omie'!$G:$G,'Lançamentos Omie'!$I:$I,$A24,'Lançamentos Omie'!$F:$F,I$21)</f>
        <v>0</v>
      </c>
      <c r="J24" s="364">
        <f>SUMIFS('Lançamentos Omie'!$G:$G,'Lançamentos Omie'!$I:$I,$A24,'Lançamentos Omie'!$F:$F,J$21)</f>
        <v>0</v>
      </c>
      <c r="K24" s="364">
        <f>SUMIFS('Lançamentos Omie'!$G:$G,'Lançamentos Omie'!$I:$I,$A24,'Lançamentos Omie'!$F:$F,K$21)</f>
        <v>0</v>
      </c>
      <c r="L24" s="364">
        <f>SUMIFS('Lançamentos Omie'!$G:$G,'Lançamentos Omie'!$I:$I,$A24,'Lançamentos Omie'!$F:$F,L$21)</f>
        <v>0</v>
      </c>
      <c r="M24" s="364">
        <f>SUMIFS('Lançamentos Omie'!$G:$G,'Lançamentos Omie'!$I:$I,$A24,'Lançamentos Omie'!$F:$F,M$21)</f>
        <v>0</v>
      </c>
      <c r="N24" s="365">
        <f t="shared" si="4"/>
        <v>25349.059999999998</v>
      </c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spans="1:26">
      <c r="A25" s="355" t="s">
        <v>503</v>
      </c>
      <c r="B25" s="366">
        <f>SUMIFS('Lançamentos Omie'!$G:$G,'Lançamentos Omie'!$I:$I,$A25,'Lançamentos Omie'!$F:$F,B$21)</f>
        <v>-101.71999999999998</v>
      </c>
      <c r="C25" s="366">
        <f>SUMIFS('Lançamentos Omie'!$G:$G,'Lançamentos Omie'!$I:$I,$A25,'Lançamentos Omie'!$F:$F,C$21)</f>
        <v>-366.19000000000005</v>
      </c>
      <c r="D25" s="366">
        <f>SUMIFS('Lançamentos Omie'!$G:$G,'Lançamentos Omie'!$I:$I,$A25,'Lançamentos Omie'!$F:$F,D$21)</f>
        <v>-583.32999999999993</v>
      </c>
      <c r="E25" s="366">
        <f>SUMIFS('Lançamentos Omie'!$G:$G,'Lançamentos Omie'!$I:$I,$A25,'Lançamentos Omie'!$F:$F,E$21)</f>
        <v>-403.59000000000003</v>
      </c>
      <c r="F25" s="366">
        <f>SUMIFS('Lançamentos Omie'!$G:$G,'Lançamentos Omie'!$I:$I,$A25,'Lançamentos Omie'!$F:$F,F$21)</f>
        <v>-643.54000000000008</v>
      </c>
      <c r="G25" s="366">
        <f>SUMIFS('Lançamentos Omie'!$G:$G,'Lançamentos Omie'!$I:$I,$A25,'Lançamentos Omie'!$F:$F,G$21)</f>
        <v>-1793.1</v>
      </c>
      <c r="H25" s="366">
        <f>SUMIFS('Lançamentos Omie'!$G:$G,'Lançamentos Omie'!$I:$I,$A25,'Lançamentos Omie'!$F:$F,H$21)</f>
        <v>-1523.3100000000002</v>
      </c>
      <c r="I25" s="366">
        <f>SUMIFS('Lançamentos Omie'!$G:$G,'Lançamentos Omie'!$I:$I,$A25,'Lançamentos Omie'!$F:$F,I$21)</f>
        <v>0</v>
      </c>
      <c r="J25" s="366">
        <f>SUMIFS('Lançamentos Omie'!$G:$G,'Lançamentos Omie'!$I:$I,$A25,'Lançamentos Omie'!$F:$F,J$21)</f>
        <v>0</v>
      </c>
      <c r="K25" s="366">
        <f>SUMIFS('Lançamentos Omie'!$G:$G,'Lançamentos Omie'!$I:$I,$A25,'Lançamentos Omie'!$F:$F,K$21)</f>
        <v>0</v>
      </c>
      <c r="L25" s="366">
        <f>SUMIFS('Lançamentos Omie'!$G:$G,'Lançamentos Omie'!$I:$I,$A25,'Lançamentos Omie'!$F:$F,L$21)</f>
        <v>0</v>
      </c>
      <c r="M25" s="366">
        <f>SUMIFS('Lançamentos Omie'!$G:$G,'Lançamentos Omie'!$I:$I,$A25,'Lançamentos Omie'!$F:$F,M$21)</f>
        <v>0</v>
      </c>
      <c r="N25" s="357">
        <f t="shared" si="4"/>
        <v>-5414.78</v>
      </c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spans="1:26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358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spans="1:26">
      <c r="A27" s="367" t="s">
        <v>3117</v>
      </c>
      <c r="B27" s="360" t="s">
        <v>0</v>
      </c>
      <c r="C27" s="360" t="s">
        <v>1</v>
      </c>
      <c r="D27" s="360" t="s">
        <v>2</v>
      </c>
      <c r="E27" s="360" t="s">
        <v>3</v>
      </c>
      <c r="F27" s="360" t="s">
        <v>4</v>
      </c>
      <c r="G27" s="368" t="s">
        <v>5</v>
      </c>
      <c r="H27" s="360" t="s">
        <v>6</v>
      </c>
      <c r="I27" s="360" t="s">
        <v>7</v>
      </c>
      <c r="J27" s="360" t="s">
        <v>8</v>
      </c>
      <c r="K27" s="360" t="s">
        <v>9</v>
      </c>
      <c r="L27" s="360" t="s">
        <v>10</v>
      </c>
      <c r="M27" s="360" t="s">
        <v>11</v>
      </c>
      <c r="N27" s="350" t="s">
        <v>3113</v>
      </c>
      <c r="O27" s="130"/>
      <c r="P27" s="369" t="s">
        <v>3118</v>
      </c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spans="1:26">
      <c r="A28" s="370" t="s">
        <v>3119</v>
      </c>
      <c r="B28" s="371">
        <v>889574.35</v>
      </c>
      <c r="C28" s="371">
        <v>670197.21</v>
      </c>
      <c r="D28" s="371">
        <v>454658.3</v>
      </c>
      <c r="E28" s="371">
        <v>621561.64999999991</v>
      </c>
      <c r="F28" s="371">
        <v>490885.85</v>
      </c>
      <c r="G28" s="371">
        <f>573034.17-14259.4</f>
        <v>558774.77</v>
      </c>
      <c r="H28" s="371">
        <v>670749.86</v>
      </c>
      <c r="I28" s="371">
        <v>607150.71</v>
      </c>
      <c r="J28" s="371"/>
      <c r="K28" s="371"/>
      <c r="L28" s="371"/>
      <c r="M28" s="371"/>
      <c r="N28" s="353">
        <f t="shared" ref="N28:N32" si="6">SUM(B28:M28)</f>
        <v>4963552.7</v>
      </c>
      <c r="O28" s="130"/>
      <c r="P28" s="369" t="s">
        <v>3120</v>
      </c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spans="1:26">
      <c r="A29" s="370" t="s">
        <v>3121</v>
      </c>
      <c r="B29" s="371">
        <v>685870.61</v>
      </c>
      <c r="C29" s="371">
        <v>538892.42000000004</v>
      </c>
      <c r="D29" s="371">
        <v>394160.42</v>
      </c>
      <c r="E29" s="371">
        <v>518287.37</v>
      </c>
      <c r="F29" s="371">
        <v>463479.71</v>
      </c>
      <c r="G29" s="371">
        <v>492995.39</v>
      </c>
      <c r="H29" s="371">
        <v>552324.88</v>
      </c>
      <c r="I29" s="371">
        <v>559886.35</v>
      </c>
      <c r="J29" s="371"/>
      <c r="K29" s="371"/>
      <c r="L29" s="371"/>
      <c r="M29" s="371"/>
      <c r="N29" s="372">
        <f t="shared" si="6"/>
        <v>4205897.1499999994</v>
      </c>
      <c r="O29" s="130"/>
      <c r="P29" s="369" t="s">
        <v>3122</v>
      </c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spans="1:26">
      <c r="A30" s="373" t="s">
        <v>3123</v>
      </c>
      <c r="B30" s="374">
        <f t="shared" ref="B30:M30" si="7">B28-B29</f>
        <v>203703.74</v>
      </c>
      <c r="C30" s="374">
        <f t="shared" si="7"/>
        <v>131304.78999999992</v>
      </c>
      <c r="D30" s="374">
        <f t="shared" si="7"/>
        <v>60497.880000000005</v>
      </c>
      <c r="E30" s="374">
        <f t="shared" si="7"/>
        <v>103274.27999999991</v>
      </c>
      <c r="F30" s="374">
        <f t="shared" si="7"/>
        <v>27406.139999999956</v>
      </c>
      <c r="G30" s="374">
        <f t="shared" si="7"/>
        <v>65779.38</v>
      </c>
      <c r="H30" s="374">
        <f t="shared" si="7"/>
        <v>118424.97999999998</v>
      </c>
      <c r="I30" s="374">
        <f t="shared" si="7"/>
        <v>47264.359999999986</v>
      </c>
      <c r="J30" s="374">
        <f t="shared" si="7"/>
        <v>0</v>
      </c>
      <c r="K30" s="374">
        <f t="shared" si="7"/>
        <v>0</v>
      </c>
      <c r="L30" s="374">
        <f t="shared" si="7"/>
        <v>0</v>
      </c>
      <c r="M30" s="374">
        <f t="shared" si="7"/>
        <v>0</v>
      </c>
      <c r="N30" s="353">
        <f t="shared" si="6"/>
        <v>757655.54999999981</v>
      </c>
      <c r="O30" s="130"/>
      <c r="P30" s="369" t="s">
        <v>3124</v>
      </c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spans="1:26">
      <c r="A31" s="370" t="s">
        <v>3125</v>
      </c>
      <c r="B31" s="371">
        <v>538892.42000000004</v>
      </c>
      <c r="C31" s="371">
        <v>389383.92</v>
      </c>
      <c r="D31" s="371">
        <v>518205.12</v>
      </c>
      <c r="E31" s="371">
        <v>505873.26</v>
      </c>
      <c r="F31" s="371">
        <v>490929.35</v>
      </c>
      <c r="G31" s="371">
        <v>572585.12</v>
      </c>
      <c r="H31" s="371">
        <v>559886.35</v>
      </c>
      <c r="I31" s="371">
        <v>487265.7</v>
      </c>
      <c r="J31" s="371"/>
      <c r="K31" s="371"/>
      <c r="L31" s="371"/>
      <c r="M31" s="371"/>
      <c r="N31" s="353">
        <f t="shared" si="6"/>
        <v>4063021.24</v>
      </c>
      <c r="O31" s="130"/>
      <c r="P31" s="369" t="s">
        <v>3126</v>
      </c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spans="1:26">
      <c r="A32" s="375" t="s">
        <v>3127</v>
      </c>
      <c r="B32" s="376">
        <f t="shared" ref="B32:M32" si="8">B30+B31</f>
        <v>742596.16</v>
      </c>
      <c r="C32" s="376">
        <f t="shared" si="8"/>
        <v>520688.7099999999</v>
      </c>
      <c r="D32" s="376">
        <f t="shared" si="8"/>
        <v>578703</v>
      </c>
      <c r="E32" s="376">
        <f t="shared" si="8"/>
        <v>609147.53999999992</v>
      </c>
      <c r="F32" s="376">
        <f t="shared" si="8"/>
        <v>518335.48999999993</v>
      </c>
      <c r="G32" s="376">
        <f t="shared" si="8"/>
        <v>638364.5</v>
      </c>
      <c r="H32" s="376">
        <f t="shared" si="8"/>
        <v>678311.33</v>
      </c>
      <c r="I32" s="376">
        <f t="shared" si="8"/>
        <v>534530.06000000006</v>
      </c>
      <c r="J32" s="376">
        <f t="shared" si="8"/>
        <v>0</v>
      </c>
      <c r="K32" s="376">
        <f t="shared" si="8"/>
        <v>0</v>
      </c>
      <c r="L32" s="376">
        <f t="shared" si="8"/>
        <v>0</v>
      </c>
      <c r="M32" s="376">
        <f t="shared" si="8"/>
        <v>0</v>
      </c>
      <c r="N32" s="377">
        <f t="shared" si="6"/>
        <v>4820676.7899999991</v>
      </c>
      <c r="O32" s="130"/>
      <c r="P32" s="369" t="s">
        <v>3128</v>
      </c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spans="1:26" ht="10.5" customHeight="1">
      <c r="A33" s="378"/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58"/>
      <c r="O33" s="130"/>
      <c r="P33" s="38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spans="1:26">
      <c r="A34" s="367" t="s">
        <v>3129</v>
      </c>
      <c r="B34" s="360" t="s">
        <v>0</v>
      </c>
      <c r="C34" s="360" t="s">
        <v>1</v>
      </c>
      <c r="D34" s="360" t="s">
        <v>2</v>
      </c>
      <c r="E34" s="360" t="s">
        <v>3</v>
      </c>
      <c r="F34" s="360" t="s">
        <v>4</v>
      </c>
      <c r="G34" s="360" t="s">
        <v>5</v>
      </c>
      <c r="H34" s="360" t="s">
        <v>6</v>
      </c>
      <c r="I34" s="360" t="s">
        <v>7</v>
      </c>
      <c r="J34" s="360" t="s">
        <v>8</v>
      </c>
      <c r="K34" s="360" t="s">
        <v>9</v>
      </c>
      <c r="L34" s="360" t="s">
        <v>10</v>
      </c>
      <c r="M34" s="360" t="s">
        <v>11</v>
      </c>
      <c r="N34" s="350" t="s">
        <v>3113</v>
      </c>
      <c r="O34" s="130"/>
      <c r="P34" s="369" t="s">
        <v>3118</v>
      </c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spans="1:26">
      <c r="A35" s="179" t="s">
        <v>3130</v>
      </c>
      <c r="B35" s="371">
        <v>56562.46</v>
      </c>
      <c r="C35" s="371">
        <v>41873.46</v>
      </c>
      <c r="D35" s="371">
        <v>30327.03</v>
      </c>
      <c r="E35" s="371">
        <v>39098.559999999998</v>
      </c>
      <c r="F35" s="371">
        <v>31836.68</v>
      </c>
      <c r="G35" s="371">
        <v>39750.54</v>
      </c>
      <c r="H35" s="371">
        <v>43688.959999999999</v>
      </c>
      <c r="I35" s="371">
        <v>39056.33</v>
      </c>
      <c r="J35" s="371"/>
      <c r="K35" s="371"/>
      <c r="L35" s="371"/>
      <c r="M35" s="371"/>
      <c r="N35" s="353">
        <f t="shared" ref="N35:N39" si="9">SUM(B35:M35)</f>
        <v>322194.02</v>
      </c>
      <c r="O35" s="130"/>
      <c r="P35" s="369" t="s">
        <v>3120</v>
      </c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spans="1:26">
      <c r="A36" s="179" t="s">
        <v>3131</v>
      </c>
      <c r="B36" s="371">
        <v>48667.27</v>
      </c>
      <c r="C36" s="371">
        <v>38314.22</v>
      </c>
      <c r="D36" s="371">
        <v>27670.41</v>
      </c>
      <c r="E36" s="371">
        <v>35622.99</v>
      </c>
      <c r="F36" s="371">
        <v>30303.91</v>
      </c>
      <c r="G36" s="371">
        <v>31474.57</v>
      </c>
      <c r="H36" s="371">
        <v>35770.47</v>
      </c>
      <c r="I36" s="371">
        <v>36034.17</v>
      </c>
      <c r="J36" s="371"/>
      <c r="K36" s="371"/>
      <c r="L36" s="371"/>
      <c r="M36" s="371"/>
      <c r="N36" s="372">
        <f t="shared" si="9"/>
        <v>283858.01</v>
      </c>
      <c r="O36" s="130"/>
      <c r="P36" s="369" t="s">
        <v>3132</v>
      </c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spans="1:26">
      <c r="A37" s="381" t="s">
        <v>3123</v>
      </c>
      <c r="B37" s="374">
        <f t="shared" ref="B37:M37" si="10">B35-B36</f>
        <v>7895.1900000000023</v>
      </c>
      <c r="C37" s="374">
        <f t="shared" si="10"/>
        <v>3559.239999999998</v>
      </c>
      <c r="D37" s="374">
        <f t="shared" si="10"/>
        <v>2656.619999999999</v>
      </c>
      <c r="E37" s="374">
        <f t="shared" si="10"/>
        <v>3475.5699999999997</v>
      </c>
      <c r="F37" s="374">
        <f t="shared" si="10"/>
        <v>1532.7700000000004</v>
      </c>
      <c r="G37" s="374">
        <f t="shared" si="10"/>
        <v>8275.9700000000012</v>
      </c>
      <c r="H37" s="374">
        <f t="shared" si="10"/>
        <v>7918.489999999998</v>
      </c>
      <c r="I37" s="374">
        <f t="shared" si="10"/>
        <v>3022.1600000000035</v>
      </c>
      <c r="J37" s="374">
        <f t="shared" si="10"/>
        <v>0</v>
      </c>
      <c r="K37" s="374">
        <f t="shared" si="10"/>
        <v>0</v>
      </c>
      <c r="L37" s="374">
        <f t="shared" si="10"/>
        <v>0</v>
      </c>
      <c r="M37" s="374">
        <f t="shared" si="10"/>
        <v>0</v>
      </c>
      <c r="N37" s="353">
        <f t="shared" si="9"/>
        <v>38336.01</v>
      </c>
      <c r="O37" s="130"/>
      <c r="P37" s="369" t="s">
        <v>3133</v>
      </c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spans="1:26">
      <c r="A38" s="179" t="s">
        <v>3125</v>
      </c>
      <c r="B38" s="371">
        <v>38314.22</v>
      </c>
      <c r="C38" s="371">
        <v>27379.9</v>
      </c>
      <c r="D38" s="371">
        <v>35817.46</v>
      </c>
      <c r="E38" s="371">
        <v>32291.040000000001</v>
      </c>
      <c r="F38" s="371">
        <v>31341.95</v>
      </c>
      <c r="G38" s="371">
        <v>36550.75</v>
      </c>
      <c r="H38" s="371">
        <v>36034.17</v>
      </c>
      <c r="I38" s="371">
        <v>33346.71</v>
      </c>
      <c r="J38" s="371"/>
      <c r="K38" s="371"/>
      <c r="L38" s="371"/>
      <c r="M38" s="371"/>
      <c r="N38" s="353">
        <f t="shared" si="9"/>
        <v>271076.2</v>
      </c>
      <c r="O38" s="130"/>
      <c r="P38" s="369" t="s">
        <v>3134</v>
      </c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spans="1:26">
      <c r="A39" s="382" t="s">
        <v>3127</v>
      </c>
      <c r="B39" s="383">
        <f t="shared" ref="B39:M39" si="11">B37+B38</f>
        <v>46209.41</v>
      </c>
      <c r="C39" s="383">
        <f t="shared" si="11"/>
        <v>30939.14</v>
      </c>
      <c r="D39" s="383">
        <f t="shared" si="11"/>
        <v>38474.080000000002</v>
      </c>
      <c r="E39" s="383">
        <f t="shared" si="11"/>
        <v>35766.61</v>
      </c>
      <c r="F39" s="383">
        <f t="shared" si="11"/>
        <v>32874.720000000001</v>
      </c>
      <c r="G39" s="383">
        <f t="shared" si="11"/>
        <v>44826.720000000001</v>
      </c>
      <c r="H39" s="383">
        <f t="shared" si="11"/>
        <v>43952.659999999996</v>
      </c>
      <c r="I39" s="383">
        <f t="shared" si="11"/>
        <v>36368.870000000003</v>
      </c>
      <c r="J39" s="383">
        <f t="shared" si="11"/>
        <v>0</v>
      </c>
      <c r="K39" s="383">
        <f t="shared" si="11"/>
        <v>0</v>
      </c>
      <c r="L39" s="383">
        <f t="shared" si="11"/>
        <v>0</v>
      </c>
      <c r="M39" s="383">
        <f t="shared" si="11"/>
        <v>0</v>
      </c>
      <c r="N39" s="384">
        <f t="shared" si="9"/>
        <v>309412.20999999996</v>
      </c>
      <c r="O39" s="345"/>
      <c r="P39" s="369" t="s">
        <v>3128</v>
      </c>
      <c r="Q39" s="345"/>
      <c r="R39" s="345"/>
      <c r="S39" s="345"/>
      <c r="T39" s="345"/>
      <c r="U39" s="345"/>
      <c r="V39" s="345"/>
      <c r="W39" s="345"/>
      <c r="X39" s="345"/>
      <c r="Y39" s="345"/>
      <c r="Z39" s="345"/>
    </row>
    <row r="40" spans="1:26">
      <c r="A40" s="130"/>
      <c r="B40" s="130"/>
      <c r="C40" s="130"/>
      <c r="D40" s="130"/>
      <c r="E40" s="385" t="s">
        <v>3135</v>
      </c>
      <c r="F40" s="130"/>
      <c r="G40" s="130"/>
      <c r="H40" s="130"/>
      <c r="I40" s="130"/>
      <c r="J40" s="130"/>
      <c r="K40" s="130"/>
      <c r="L40" s="130"/>
      <c r="M40" s="130"/>
      <c r="N40" s="358"/>
      <c r="O40" s="130"/>
      <c r="P40" s="181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spans="1:26">
      <c r="A41" s="386" t="s">
        <v>3136</v>
      </c>
      <c r="B41" s="387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358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spans="1:26">
      <c r="A42" s="367" t="s">
        <v>3117</v>
      </c>
      <c r="B42" s="360" t="s">
        <v>0</v>
      </c>
      <c r="C42" s="360" t="s">
        <v>1</v>
      </c>
      <c r="D42" s="360" t="s">
        <v>2</v>
      </c>
      <c r="E42" s="360" t="s">
        <v>3</v>
      </c>
      <c r="F42" s="360" t="s">
        <v>4</v>
      </c>
      <c r="G42" s="360" t="s">
        <v>5</v>
      </c>
      <c r="H42" s="360" t="s">
        <v>6</v>
      </c>
      <c r="I42" s="360" t="s">
        <v>7</v>
      </c>
      <c r="J42" s="360" t="s">
        <v>8</v>
      </c>
      <c r="K42" s="360" t="s">
        <v>9</v>
      </c>
      <c r="L42" s="360" t="s">
        <v>10</v>
      </c>
      <c r="M42" s="360" t="s">
        <v>11</v>
      </c>
      <c r="N42" s="350" t="s">
        <v>3113</v>
      </c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spans="1:26">
      <c r="A43" s="370" t="s">
        <v>3119</v>
      </c>
      <c r="B43" s="371"/>
      <c r="C43" s="371"/>
      <c r="D43" s="371"/>
      <c r="E43" s="371"/>
      <c r="F43" s="388">
        <v>455362.15</v>
      </c>
      <c r="G43" s="371">
        <f>526626.89-14259.4</f>
        <v>512367.49</v>
      </c>
      <c r="H43" s="371">
        <v>537428.06000000006</v>
      </c>
      <c r="I43" s="371">
        <v>564440.75</v>
      </c>
      <c r="J43" s="371"/>
      <c r="K43" s="371"/>
      <c r="L43" s="371"/>
      <c r="M43" s="371"/>
      <c r="N43" s="353">
        <f t="shared" ref="N43:N47" si="12">SUM(B43:M43)</f>
        <v>2069598.4500000002</v>
      </c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spans="1:26">
      <c r="A44" s="370" t="s">
        <v>3121</v>
      </c>
      <c r="B44" s="371"/>
      <c r="C44" s="371"/>
      <c r="D44" s="371"/>
      <c r="E44" s="371"/>
      <c r="F44" s="388">
        <v>431409.79</v>
      </c>
      <c r="G44" s="371">
        <v>457516.31</v>
      </c>
      <c r="H44" s="371">
        <v>517997.83</v>
      </c>
      <c r="I44" s="371">
        <v>513397.17</v>
      </c>
      <c r="J44" s="371"/>
      <c r="K44" s="371"/>
      <c r="L44" s="371"/>
      <c r="M44" s="371"/>
      <c r="N44" s="372">
        <f t="shared" si="12"/>
        <v>1920321.0999999999</v>
      </c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spans="1:26">
      <c r="A45" s="373" t="s">
        <v>3123</v>
      </c>
      <c r="B45" s="374">
        <f t="shared" ref="B45:M45" si="13">B43-B44</f>
        <v>0</v>
      </c>
      <c r="C45" s="374">
        <f t="shared" si="13"/>
        <v>0</v>
      </c>
      <c r="D45" s="374">
        <f t="shared" si="13"/>
        <v>0</v>
      </c>
      <c r="E45" s="374">
        <f t="shared" si="13"/>
        <v>0</v>
      </c>
      <c r="F45" s="389">
        <f t="shared" si="13"/>
        <v>23952.360000000044</v>
      </c>
      <c r="G45" s="374">
        <f t="shared" si="13"/>
        <v>54851.179999999993</v>
      </c>
      <c r="H45" s="374">
        <f t="shared" si="13"/>
        <v>19430.23000000004</v>
      </c>
      <c r="I45" s="374">
        <f t="shared" si="13"/>
        <v>51043.580000000016</v>
      </c>
      <c r="J45" s="374">
        <f t="shared" si="13"/>
        <v>0</v>
      </c>
      <c r="K45" s="374">
        <f t="shared" si="13"/>
        <v>0</v>
      </c>
      <c r="L45" s="374">
        <f t="shared" si="13"/>
        <v>0</v>
      </c>
      <c r="M45" s="374">
        <f t="shared" si="13"/>
        <v>0</v>
      </c>
      <c r="N45" s="353">
        <f t="shared" si="12"/>
        <v>149277.35000000009</v>
      </c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spans="1:26">
      <c r="A46" s="370" t="s">
        <v>3125</v>
      </c>
      <c r="B46" s="371"/>
      <c r="C46" s="371"/>
      <c r="D46" s="371"/>
      <c r="E46" s="371"/>
      <c r="F46" s="388">
        <v>449306.67</v>
      </c>
      <c r="G46" s="371">
        <v>540589.56000000006</v>
      </c>
      <c r="H46" s="371">
        <v>513397.17</v>
      </c>
      <c r="I46" s="371">
        <v>487265.7</v>
      </c>
      <c r="J46" s="371"/>
      <c r="K46" s="371"/>
      <c r="L46" s="371"/>
      <c r="M46" s="371"/>
      <c r="N46" s="353">
        <f t="shared" si="12"/>
        <v>1990559.0999999999</v>
      </c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spans="1:26">
      <c r="A47" s="375" t="s">
        <v>3127</v>
      </c>
      <c r="B47" s="376">
        <f t="shared" ref="B47:M47" si="14">B45+B46</f>
        <v>0</v>
      </c>
      <c r="C47" s="376">
        <f t="shared" si="14"/>
        <v>0</v>
      </c>
      <c r="D47" s="376">
        <f t="shared" si="14"/>
        <v>0</v>
      </c>
      <c r="E47" s="376">
        <f t="shared" si="14"/>
        <v>0</v>
      </c>
      <c r="F47" s="390">
        <f t="shared" si="14"/>
        <v>473259.03</v>
      </c>
      <c r="G47" s="376">
        <f t="shared" si="14"/>
        <v>595440.74</v>
      </c>
      <c r="H47" s="376">
        <f t="shared" si="14"/>
        <v>532827.4</v>
      </c>
      <c r="I47" s="376">
        <f t="shared" si="14"/>
        <v>538309.28</v>
      </c>
      <c r="J47" s="376">
        <f t="shared" si="14"/>
        <v>0</v>
      </c>
      <c r="K47" s="376">
        <f t="shared" si="14"/>
        <v>0</v>
      </c>
      <c r="L47" s="376">
        <f t="shared" si="14"/>
        <v>0</v>
      </c>
      <c r="M47" s="376">
        <f t="shared" si="14"/>
        <v>0</v>
      </c>
      <c r="N47" s="377">
        <f t="shared" si="12"/>
        <v>2139836.4500000002</v>
      </c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spans="1:26">
      <c r="A48" s="378"/>
      <c r="B48" s="379"/>
      <c r="C48" s="379"/>
      <c r="D48" s="379"/>
      <c r="E48" s="379"/>
      <c r="F48" s="379"/>
      <c r="G48" s="379"/>
      <c r="H48" s="379"/>
      <c r="I48" s="379"/>
      <c r="J48" s="379"/>
      <c r="K48" s="379"/>
      <c r="L48" s="379"/>
      <c r="M48" s="379"/>
      <c r="N48" s="358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spans="1:26">
      <c r="A49" s="367" t="s">
        <v>3129</v>
      </c>
      <c r="B49" s="360" t="s">
        <v>0</v>
      </c>
      <c r="C49" s="360" t="s">
        <v>1</v>
      </c>
      <c r="D49" s="360" t="s">
        <v>2</v>
      </c>
      <c r="E49" s="360" t="s">
        <v>3</v>
      </c>
      <c r="F49" s="360" t="s">
        <v>4</v>
      </c>
      <c r="G49" s="360" t="s">
        <v>5</v>
      </c>
      <c r="H49" s="360" t="s">
        <v>6</v>
      </c>
      <c r="I49" s="360" t="s">
        <v>7</v>
      </c>
      <c r="J49" s="360" t="s">
        <v>8</v>
      </c>
      <c r="K49" s="360" t="s">
        <v>9</v>
      </c>
      <c r="L49" s="360" t="s">
        <v>10</v>
      </c>
      <c r="M49" s="360" t="s">
        <v>11</v>
      </c>
      <c r="N49" s="350" t="s">
        <v>3113</v>
      </c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spans="1:26">
      <c r="A50" s="179" t="s">
        <v>3130</v>
      </c>
      <c r="B50" s="371"/>
      <c r="C50" s="371"/>
      <c r="D50" s="371"/>
      <c r="E50" s="371"/>
      <c r="F50" s="388">
        <v>29538.15</v>
      </c>
      <c r="G50" s="371">
        <v>37100.339999999997</v>
      </c>
      <c r="H50" s="371">
        <v>41252.720000000001</v>
      </c>
      <c r="I50" s="371">
        <v>36330.75</v>
      </c>
      <c r="J50" s="371"/>
      <c r="K50" s="371"/>
      <c r="L50" s="371"/>
      <c r="M50" s="371"/>
      <c r="N50" s="353">
        <f t="shared" ref="N50:N54" si="15">SUM(B50:M50)</f>
        <v>144221.96</v>
      </c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spans="1:26">
      <c r="A51" s="179" t="s">
        <v>3131</v>
      </c>
      <c r="B51" s="371"/>
      <c r="C51" s="371"/>
      <c r="D51" s="371"/>
      <c r="E51" s="371"/>
      <c r="F51" s="388">
        <v>28256.46</v>
      </c>
      <c r="G51" s="371">
        <v>28826.82</v>
      </c>
      <c r="H51" s="371">
        <v>33579.03</v>
      </c>
      <c r="I51" s="371">
        <v>33066.800000000003</v>
      </c>
      <c r="J51" s="371"/>
      <c r="K51" s="371"/>
      <c r="L51" s="371"/>
      <c r="M51" s="371"/>
      <c r="N51" s="372">
        <f t="shared" si="15"/>
        <v>123729.11</v>
      </c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spans="1:26">
      <c r="A52" s="381" t="s">
        <v>3123</v>
      </c>
      <c r="B52" s="374">
        <f t="shared" ref="B52:M52" si="16">B50-B51</f>
        <v>0</v>
      </c>
      <c r="C52" s="374">
        <f t="shared" si="16"/>
        <v>0</v>
      </c>
      <c r="D52" s="374">
        <f t="shared" si="16"/>
        <v>0</v>
      </c>
      <c r="E52" s="374">
        <f t="shared" si="16"/>
        <v>0</v>
      </c>
      <c r="F52" s="389">
        <f t="shared" si="16"/>
        <v>1281.6900000000023</v>
      </c>
      <c r="G52" s="374">
        <f t="shared" si="16"/>
        <v>8273.5199999999968</v>
      </c>
      <c r="H52" s="374">
        <f t="shared" si="16"/>
        <v>7673.6900000000023</v>
      </c>
      <c r="I52" s="374">
        <f t="shared" si="16"/>
        <v>3263.9499999999971</v>
      </c>
      <c r="J52" s="374">
        <f t="shared" si="16"/>
        <v>0</v>
      </c>
      <c r="K52" s="374">
        <f t="shared" si="16"/>
        <v>0</v>
      </c>
      <c r="L52" s="374">
        <f t="shared" si="16"/>
        <v>0</v>
      </c>
      <c r="M52" s="374">
        <f t="shared" si="16"/>
        <v>0</v>
      </c>
      <c r="N52" s="353">
        <f t="shared" si="15"/>
        <v>20492.849999999999</v>
      </c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spans="1:26">
      <c r="A53" s="179" t="s">
        <v>3125</v>
      </c>
      <c r="B53" s="371"/>
      <c r="C53" s="371"/>
      <c r="D53" s="371"/>
      <c r="E53" s="371"/>
      <c r="F53" s="388">
        <v>28256.46</v>
      </c>
      <c r="G53" s="371">
        <v>34508.120000000003</v>
      </c>
      <c r="H53" s="371">
        <v>33066.800000000003</v>
      </c>
      <c r="I53" s="371">
        <v>31101.919999999998</v>
      </c>
      <c r="J53" s="371"/>
      <c r="K53" s="371"/>
      <c r="L53" s="371"/>
      <c r="M53" s="371"/>
      <c r="N53" s="353">
        <f t="shared" si="15"/>
        <v>126933.3</v>
      </c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spans="1:26">
      <c r="A54" s="382" t="s">
        <v>3127</v>
      </c>
      <c r="B54" s="383">
        <f t="shared" ref="B54:M54" si="17">B52+B53</f>
        <v>0</v>
      </c>
      <c r="C54" s="383">
        <f t="shared" si="17"/>
        <v>0</v>
      </c>
      <c r="D54" s="383">
        <f t="shared" si="17"/>
        <v>0</v>
      </c>
      <c r="E54" s="383">
        <f t="shared" si="17"/>
        <v>0</v>
      </c>
      <c r="F54" s="391">
        <f t="shared" si="17"/>
        <v>29538.15</v>
      </c>
      <c r="G54" s="383">
        <f t="shared" si="17"/>
        <v>42781.64</v>
      </c>
      <c r="H54" s="383">
        <f t="shared" si="17"/>
        <v>40740.490000000005</v>
      </c>
      <c r="I54" s="383">
        <f t="shared" si="17"/>
        <v>34365.869999999995</v>
      </c>
      <c r="J54" s="383">
        <f t="shared" si="17"/>
        <v>0</v>
      </c>
      <c r="K54" s="383">
        <f t="shared" si="17"/>
        <v>0</v>
      </c>
      <c r="L54" s="383">
        <f t="shared" si="17"/>
        <v>0</v>
      </c>
      <c r="M54" s="383">
        <f t="shared" si="17"/>
        <v>0</v>
      </c>
      <c r="N54" s="384">
        <f t="shared" si="15"/>
        <v>147426.15000000002</v>
      </c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spans="1:26">
      <c r="A55" s="130"/>
      <c r="B55" s="130"/>
      <c r="C55" s="181"/>
      <c r="D55" s="130"/>
      <c r="E55" s="130"/>
      <c r="F55" s="392"/>
      <c r="G55" s="130"/>
      <c r="H55" s="130"/>
      <c r="I55" s="130"/>
      <c r="J55" s="130"/>
      <c r="K55" s="130"/>
      <c r="L55" s="130"/>
      <c r="M55" s="130"/>
      <c r="N55" s="358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spans="1:26">
      <c r="A56" s="367" t="s">
        <v>3137</v>
      </c>
      <c r="B56" s="360" t="s">
        <v>0</v>
      </c>
      <c r="C56" s="360" t="s">
        <v>1</v>
      </c>
      <c r="D56" s="360" t="s">
        <v>2</v>
      </c>
      <c r="E56" s="360" t="s">
        <v>3</v>
      </c>
      <c r="F56" s="360" t="s">
        <v>4</v>
      </c>
      <c r="G56" s="360" t="s">
        <v>5</v>
      </c>
      <c r="H56" s="360" t="s">
        <v>6</v>
      </c>
      <c r="I56" s="360" t="s">
        <v>7</v>
      </c>
      <c r="J56" s="360" t="s">
        <v>8</v>
      </c>
      <c r="K56" s="360" t="s">
        <v>9</v>
      </c>
      <c r="L56" s="360" t="s">
        <v>10</v>
      </c>
      <c r="M56" s="360" t="s">
        <v>11</v>
      </c>
      <c r="N56" s="350" t="s">
        <v>3113</v>
      </c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spans="1:26">
      <c r="A57" s="179" t="s">
        <v>15</v>
      </c>
      <c r="B57" s="130"/>
      <c r="C57" s="181"/>
      <c r="D57" s="130"/>
      <c r="E57" s="130"/>
      <c r="F57" s="393">
        <v>11674.94</v>
      </c>
      <c r="G57" s="339">
        <v>111726.61</v>
      </c>
      <c r="H57" s="339">
        <v>87238.33</v>
      </c>
      <c r="I57" s="339">
        <v>20049.84</v>
      </c>
      <c r="J57" s="130"/>
      <c r="K57" s="130"/>
      <c r="L57" s="130"/>
      <c r="M57" s="130"/>
      <c r="N57" s="353">
        <f t="shared" ref="N57:N58" si="18">SUM(B57:M57)</f>
        <v>230689.72</v>
      </c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spans="1:26">
      <c r="A58" s="179" t="s">
        <v>18</v>
      </c>
      <c r="B58" s="130"/>
      <c r="C58" s="181"/>
      <c r="D58" s="130"/>
      <c r="E58" s="130"/>
      <c r="F58" s="393">
        <v>1291.73</v>
      </c>
      <c r="G58" s="339">
        <v>1291.73</v>
      </c>
      <c r="H58" s="339">
        <v>1303.95</v>
      </c>
      <c r="I58" s="339">
        <v>1291.73</v>
      </c>
      <c r="J58" s="130"/>
      <c r="K58" s="130"/>
      <c r="L58" s="130"/>
      <c r="M58" s="130"/>
      <c r="N58" s="372">
        <f t="shared" si="18"/>
        <v>5179.1399999999994</v>
      </c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spans="1:26">
      <c r="A59" s="394"/>
      <c r="B59" s="130"/>
      <c r="C59" s="181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358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spans="1:26">
      <c r="A60" s="395" t="s">
        <v>3138</v>
      </c>
      <c r="B60" s="396"/>
      <c r="C60" s="397"/>
      <c r="D60" s="396"/>
      <c r="E60" s="396"/>
      <c r="F60" s="398">
        <f t="shared" ref="F60:M60" si="19">(F32+F39)-(F47+F54)+(F6+F8)-(F57+F58)</f>
        <v>51936.619999999915</v>
      </c>
      <c r="G60" s="399">
        <f t="shared" si="19"/>
        <v>44968.839999999967</v>
      </c>
      <c r="H60" s="399">
        <f t="shared" si="19"/>
        <v>149033.52999999997</v>
      </c>
      <c r="I60" s="399">
        <f t="shared" si="19"/>
        <v>51032.200000000033</v>
      </c>
      <c r="J60" s="399">
        <f t="shared" si="19"/>
        <v>0</v>
      </c>
      <c r="K60" s="399">
        <f t="shared" si="19"/>
        <v>0</v>
      </c>
      <c r="L60" s="399">
        <f t="shared" si="19"/>
        <v>0</v>
      </c>
      <c r="M60" s="399">
        <f t="shared" si="19"/>
        <v>0</v>
      </c>
      <c r="N60" s="358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spans="1:26">
      <c r="A61" s="395" t="s">
        <v>3139</v>
      </c>
      <c r="B61" s="396"/>
      <c r="C61" s="397"/>
      <c r="D61" s="396"/>
      <c r="E61" s="396"/>
      <c r="F61" s="398">
        <f t="shared" ref="F61:M61" si="20">F54+F47+F57+F58</f>
        <v>515763.85000000003</v>
      </c>
      <c r="G61" s="399">
        <f t="shared" si="20"/>
        <v>751240.72</v>
      </c>
      <c r="H61" s="399">
        <f t="shared" si="20"/>
        <v>662110.16999999993</v>
      </c>
      <c r="I61" s="399">
        <f t="shared" si="20"/>
        <v>594016.72</v>
      </c>
      <c r="J61" s="399">
        <f t="shared" si="20"/>
        <v>0</v>
      </c>
      <c r="K61" s="399">
        <f t="shared" si="20"/>
        <v>0</v>
      </c>
      <c r="L61" s="399">
        <f t="shared" si="20"/>
        <v>0</v>
      </c>
      <c r="M61" s="399">
        <f t="shared" si="20"/>
        <v>0</v>
      </c>
      <c r="N61" s="358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spans="1:26">
      <c r="A62" s="130"/>
      <c r="B62" s="130"/>
      <c r="C62" s="181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358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spans="1:26">
      <c r="A63" s="130"/>
      <c r="B63" s="130"/>
      <c r="C63" s="181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358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spans="1:26">
      <c r="A64" s="348" t="s">
        <v>3140</v>
      </c>
      <c r="B64" s="349" t="s">
        <v>0</v>
      </c>
      <c r="C64" s="349" t="s">
        <v>1</v>
      </c>
      <c r="D64" s="349" t="s">
        <v>2</v>
      </c>
      <c r="E64" s="349" t="s">
        <v>3</v>
      </c>
      <c r="F64" s="349" t="s">
        <v>4</v>
      </c>
      <c r="G64" s="349" t="s">
        <v>5</v>
      </c>
      <c r="H64" s="349" t="s">
        <v>6</v>
      </c>
      <c r="I64" s="349" t="s">
        <v>7</v>
      </c>
      <c r="J64" s="349" t="s">
        <v>8</v>
      </c>
      <c r="K64" s="349" t="s">
        <v>9</v>
      </c>
      <c r="L64" s="349" t="s">
        <v>10</v>
      </c>
      <c r="M64" s="349" t="s">
        <v>11</v>
      </c>
      <c r="N64" s="350" t="s">
        <v>3113</v>
      </c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spans="1:26" collapsed="1">
      <c r="A65" s="351" t="s">
        <v>3141</v>
      </c>
      <c r="B65" s="354">
        <f t="shared" ref="B65:M65" si="21">SUM(B66:B73)</f>
        <v>0</v>
      </c>
      <c r="C65" s="354">
        <f t="shared" si="21"/>
        <v>0</v>
      </c>
      <c r="D65" s="354">
        <f t="shared" si="21"/>
        <v>0</v>
      </c>
      <c r="E65" s="354">
        <f t="shared" si="21"/>
        <v>0</v>
      </c>
      <c r="F65" s="354">
        <f t="shared" si="21"/>
        <v>0</v>
      </c>
      <c r="G65" s="354">
        <f t="shared" si="21"/>
        <v>0</v>
      </c>
      <c r="H65" s="354">
        <f t="shared" si="21"/>
        <v>0</v>
      </c>
      <c r="I65" s="354">
        <f t="shared" si="21"/>
        <v>0</v>
      </c>
      <c r="J65" s="354">
        <f t="shared" si="21"/>
        <v>0</v>
      </c>
      <c r="K65" s="354">
        <f t="shared" si="21"/>
        <v>0</v>
      </c>
      <c r="L65" s="354">
        <f t="shared" si="21"/>
        <v>0</v>
      </c>
      <c r="M65" s="354">
        <f t="shared" si="21"/>
        <v>0</v>
      </c>
      <c r="N65" s="353">
        <f t="shared" ref="N65:N79" si="22">SUM(B65:M65)</f>
        <v>0</v>
      </c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spans="1:26" hidden="1" outlineLevel="1">
      <c r="A66" s="400" t="s">
        <v>3142</v>
      </c>
      <c r="B66" s="401"/>
      <c r="C66" s="401"/>
      <c r="D66" s="401"/>
      <c r="E66" s="401"/>
      <c r="F66" s="401"/>
      <c r="G66" s="401"/>
      <c r="H66" s="401"/>
      <c r="I66" s="401"/>
      <c r="J66" s="401"/>
      <c r="K66" s="401"/>
      <c r="L66" s="401"/>
      <c r="M66" s="401"/>
      <c r="N66" s="402">
        <f t="shared" si="22"/>
        <v>0</v>
      </c>
      <c r="O66" s="403"/>
      <c r="P66" s="403"/>
      <c r="Q66" s="403"/>
      <c r="R66" s="403"/>
      <c r="S66" s="403"/>
      <c r="T66" s="403"/>
      <c r="U66" s="403"/>
      <c r="V66" s="403"/>
      <c r="W66" s="403"/>
      <c r="X66" s="403"/>
      <c r="Y66" s="403"/>
      <c r="Z66" s="403"/>
    </row>
    <row r="67" spans="1:26" hidden="1" outlineLevel="1">
      <c r="A67" s="400" t="s">
        <v>3143</v>
      </c>
      <c r="B67" s="401"/>
      <c r="C67" s="401"/>
      <c r="D67" s="401"/>
      <c r="E67" s="401"/>
      <c r="F67" s="401"/>
      <c r="G67" s="401"/>
      <c r="H67" s="401"/>
      <c r="I67" s="401"/>
      <c r="J67" s="401"/>
      <c r="K67" s="401"/>
      <c r="L67" s="401"/>
      <c r="M67" s="401"/>
      <c r="N67" s="402">
        <f t="shared" si="22"/>
        <v>0</v>
      </c>
      <c r="O67" s="403"/>
      <c r="P67" s="403"/>
      <c r="Q67" s="403"/>
      <c r="R67" s="403"/>
      <c r="S67" s="403"/>
      <c r="T67" s="403"/>
      <c r="U67" s="403"/>
      <c r="V67" s="403"/>
      <c r="W67" s="403"/>
      <c r="X67" s="403"/>
      <c r="Y67" s="403"/>
      <c r="Z67" s="403"/>
    </row>
    <row r="68" spans="1:26" hidden="1" outlineLevel="1">
      <c r="A68" s="400" t="s">
        <v>3144</v>
      </c>
      <c r="B68" s="401"/>
      <c r="C68" s="401"/>
      <c r="D68" s="401"/>
      <c r="E68" s="401"/>
      <c r="F68" s="401"/>
      <c r="G68" s="401"/>
      <c r="H68" s="401"/>
      <c r="I68" s="401"/>
      <c r="J68" s="401"/>
      <c r="K68" s="401"/>
      <c r="L68" s="401"/>
      <c r="M68" s="401"/>
      <c r="N68" s="402">
        <f t="shared" si="22"/>
        <v>0</v>
      </c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</row>
    <row r="69" spans="1:26" hidden="1" outlineLevel="1">
      <c r="A69" s="400" t="s">
        <v>3145</v>
      </c>
      <c r="B69" s="401"/>
      <c r="C69" s="401"/>
      <c r="D69" s="401"/>
      <c r="E69" s="401"/>
      <c r="F69" s="401"/>
      <c r="G69" s="401"/>
      <c r="H69" s="401"/>
      <c r="I69" s="401"/>
      <c r="J69" s="401"/>
      <c r="K69" s="401"/>
      <c r="L69" s="401"/>
      <c r="M69" s="401"/>
      <c r="N69" s="402">
        <f t="shared" si="22"/>
        <v>0</v>
      </c>
      <c r="O69" s="403"/>
      <c r="P69" s="403"/>
      <c r="Q69" s="403"/>
      <c r="R69" s="403"/>
      <c r="S69" s="403"/>
      <c r="T69" s="403"/>
      <c r="U69" s="403"/>
      <c r="V69" s="403"/>
      <c r="W69" s="403"/>
      <c r="X69" s="403"/>
      <c r="Y69" s="403"/>
      <c r="Z69" s="403"/>
    </row>
    <row r="70" spans="1:26" hidden="1" outlineLevel="1">
      <c r="A70" s="400" t="s">
        <v>3146</v>
      </c>
      <c r="B70" s="401"/>
      <c r="C70" s="401"/>
      <c r="D70" s="401"/>
      <c r="E70" s="401"/>
      <c r="F70" s="401"/>
      <c r="G70" s="401"/>
      <c r="H70" s="401"/>
      <c r="I70" s="401"/>
      <c r="J70" s="401"/>
      <c r="K70" s="401"/>
      <c r="L70" s="401"/>
      <c r="M70" s="401"/>
      <c r="N70" s="402">
        <f t="shared" si="22"/>
        <v>0</v>
      </c>
      <c r="O70" s="403"/>
      <c r="P70" s="403"/>
      <c r="Q70" s="403"/>
      <c r="R70" s="403"/>
      <c r="S70" s="403"/>
      <c r="T70" s="403"/>
      <c r="U70" s="403"/>
      <c r="V70" s="403"/>
      <c r="W70" s="403"/>
      <c r="X70" s="403"/>
      <c r="Y70" s="403"/>
      <c r="Z70" s="403"/>
    </row>
    <row r="71" spans="1:26" hidden="1" outlineLevel="1">
      <c r="A71" s="400" t="s">
        <v>3147</v>
      </c>
      <c r="B71" s="401"/>
      <c r="C71" s="401"/>
      <c r="D71" s="401"/>
      <c r="E71" s="401"/>
      <c r="F71" s="401"/>
      <c r="G71" s="401"/>
      <c r="H71" s="401"/>
      <c r="I71" s="401"/>
      <c r="J71" s="401"/>
      <c r="K71" s="401"/>
      <c r="L71" s="401"/>
      <c r="M71" s="401"/>
      <c r="N71" s="402">
        <f t="shared" si="22"/>
        <v>0</v>
      </c>
      <c r="O71" s="403"/>
      <c r="P71" s="403"/>
      <c r="Q71" s="403"/>
      <c r="R71" s="403"/>
      <c r="S71" s="403"/>
      <c r="T71" s="403"/>
      <c r="U71" s="403"/>
      <c r="V71" s="403"/>
      <c r="W71" s="403"/>
      <c r="X71" s="403"/>
      <c r="Y71" s="403"/>
      <c r="Z71" s="403"/>
    </row>
    <row r="72" spans="1:26" hidden="1" outlineLevel="1">
      <c r="A72" s="400" t="s">
        <v>3148</v>
      </c>
      <c r="B72" s="401"/>
      <c r="C72" s="401"/>
      <c r="D72" s="401"/>
      <c r="E72" s="401"/>
      <c r="F72" s="401"/>
      <c r="G72" s="401"/>
      <c r="H72" s="401"/>
      <c r="I72" s="401"/>
      <c r="J72" s="401"/>
      <c r="K72" s="401"/>
      <c r="L72" s="401"/>
      <c r="M72" s="401"/>
      <c r="N72" s="402">
        <f t="shared" si="22"/>
        <v>0</v>
      </c>
      <c r="O72" s="403"/>
      <c r="P72" s="403"/>
      <c r="Q72" s="403"/>
      <c r="R72" s="403"/>
      <c r="S72" s="403"/>
      <c r="T72" s="403"/>
      <c r="U72" s="403"/>
      <c r="V72" s="403"/>
      <c r="W72" s="403"/>
      <c r="X72" s="403"/>
      <c r="Y72" s="403"/>
      <c r="Z72" s="403"/>
    </row>
    <row r="73" spans="1:26" hidden="1" outlineLevel="1">
      <c r="A73" s="400" t="s">
        <v>3149</v>
      </c>
      <c r="B73" s="401"/>
      <c r="C73" s="401"/>
      <c r="D73" s="401"/>
      <c r="E73" s="401"/>
      <c r="F73" s="401"/>
      <c r="G73" s="401"/>
      <c r="H73" s="401"/>
      <c r="I73" s="401"/>
      <c r="J73" s="401"/>
      <c r="K73" s="401"/>
      <c r="L73" s="401"/>
      <c r="M73" s="401"/>
      <c r="N73" s="402">
        <f t="shared" si="22"/>
        <v>0</v>
      </c>
      <c r="O73" s="403"/>
      <c r="P73" s="403"/>
      <c r="Q73" s="403"/>
      <c r="R73" s="403"/>
      <c r="S73" s="403"/>
      <c r="T73" s="403"/>
      <c r="U73" s="403"/>
      <c r="V73" s="403"/>
      <c r="W73" s="403"/>
      <c r="X73" s="403"/>
      <c r="Y73" s="403"/>
      <c r="Z73" s="403"/>
    </row>
    <row r="74" spans="1:26" collapsed="1">
      <c r="A74" s="351" t="s">
        <v>3150</v>
      </c>
      <c r="B74" s="354">
        <f t="shared" ref="B74:M74" si="23">SUM(B75:B79)</f>
        <v>0</v>
      </c>
      <c r="C74" s="354">
        <f t="shared" si="23"/>
        <v>0</v>
      </c>
      <c r="D74" s="354">
        <f t="shared" si="23"/>
        <v>0</v>
      </c>
      <c r="E74" s="354">
        <f t="shared" si="23"/>
        <v>0</v>
      </c>
      <c r="F74" s="354">
        <f t="shared" si="23"/>
        <v>0</v>
      </c>
      <c r="G74" s="354">
        <f t="shared" si="23"/>
        <v>0</v>
      </c>
      <c r="H74" s="354">
        <f t="shared" si="23"/>
        <v>0</v>
      </c>
      <c r="I74" s="354">
        <f t="shared" si="23"/>
        <v>0</v>
      </c>
      <c r="J74" s="354">
        <f t="shared" si="23"/>
        <v>0</v>
      </c>
      <c r="K74" s="354">
        <f t="shared" si="23"/>
        <v>0</v>
      </c>
      <c r="L74" s="354">
        <f t="shared" si="23"/>
        <v>0</v>
      </c>
      <c r="M74" s="354">
        <f t="shared" si="23"/>
        <v>0</v>
      </c>
      <c r="N74" s="353">
        <f t="shared" si="22"/>
        <v>0</v>
      </c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spans="1:26" hidden="1" outlineLevel="1">
      <c r="A75" s="400" t="s">
        <v>3142</v>
      </c>
      <c r="B75" s="401"/>
      <c r="C75" s="401"/>
      <c r="D75" s="401"/>
      <c r="E75" s="401"/>
      <c r="F75" s="401"/>
      <c r="G75" s="401"/>
      <c r="H75" s="401"/>
      <c r="I75" s="401"/>
      <c r="J75" s="401"/>
      <c r="K75" s="401"/>
      <c r="L75" s="401"/>
      <c r="M75" s="401"/>
      <c r="N75" s="402">
        <f t="shared" si="22"/>
        <v>0</v>
      </c>
      <c r="O75" s="403"/>
      <c r="P75" s="403"/>
      <c r="Q75" s="403"/>
      <c r="R75" s="403"/>
      <c r="S75" s="403"/>
      <c r="T75" s="403"/>
      <c r="U75" s="403"/>
      <c r="V75" s="403"/>
      <c r="W75" s="403"/>
      <c r="X75" s="403"/>
      <c r="Y75" s="403"/>
      <c r="Z75" s="403"/>
    </row>
    <row r="76" spans="1:26" hidden="1" outlineLevel="1">
      <c r="A76" s="400" t="s">
        <v>3143</v>
      </c>
      <c r="B76" s="401"/>
      <c r="C76" s="401"/>
      <c r="D76" s="401"/>
      <c r="E76" s="401"/>
      <c r="F76" s="401"/>
      <c r="G76" s="401"/>
      <c r="H76" s="401"/>
      <c r="I76" s="401"/>
      <c r="J76" s="401"/>
      <c r="K76" s="401"/>
      <c r="L76" s="401"/>
      <c r="M76" s="401"/>
      <c r="N76" s="402">
        <f t="shared" si="22"/>
        <v>0</v>
      </c>
      <c r="O76" s="403"/>
      <c r="P76" s="403"/>
      <c r="Q76" s="403"/>
      <c r="R76" s="403"/>
      <c r="S76" s="403"/>
      <c r="T76" s="403"/>
      <c r="U76" s="403"/>
      <c r="V76" s="403"/>
      <c r="W76" s="403"/>
      <c r="X76" s="403"/>
      <c r="Y76" s="403"/>
      <c r="Z76" s="403"/>
    </row>
    <row r="77" spans="1:26" hidden="1" outlineLevel="1">
      <c r="A77" s="400" t="s">
        <v>3144</v>
      </c>
      <c r="B77" s="401"/>
      <c r="C77" s="401"/>
      <c r="D77" s="401"/>
      <c r="E77" s="401"/>
      <c r="F77" s="401"/>
      <c r="G77" s="401"/>
      <c r="H77" s="401"/>
      <c r="I77" s="401"/>
      <c r="J77" s="401"/>
      <c r="K77" s="401"/>
      <c r="L77" s="401"/>
      <c r="M77" s="401"/>
      <c r="N77" s="402">
        <f t="shared" si="22"/>
        <v>0</v>
      </c>
      <c r="O77" s="403"/>
      <c r="P77" s="403"/>
      <c r="Q77" s="403"/>
      <c r="R77" s="403"/>
      <c r="S77" s="403"/>
      <c r="T77" s="403"/>
      <c r="U77" s="403"/>
      <c r="V77" s="403"/>
      <c r="W77" s="403"/>
      <c r="X77" s="403"/>
      <c r="Y77" s="403"/>
      <c r="Z77" s="403"/>
    </row>
    <row r="78" spans="1:26" hidden="1" outlineLevel="1">
      <c r="A78" s="400" t="s">
        <v>3145</v>
      </c>
      <c r="B78" s="401"/>
      <c r="C78" s="401"/>
      <c r="D78" s="401"/>
      <c r="E78" s="401"/>
      <c r="F78" s="401"/>
      <c r="G78" s="401"/>
      <c r="H78" s="401"/>
      <c r="I78" s="401"/>
      <c r="J78" s="401"/>
      <c r="K78" s="401"/>
      <c r="L78" s="401"/>
      <c r="M78" s="401"/>
      <c r="N78" s="402">
        <f t="shared" si="22"/>
        <v>0</v>
      </c>
      <c r="O78" s="403"/>
      <c r="P78" s="403"/>
      <c r="Q78" s="403"/>
      <c r="R78" s="403"/>
      <c r="S78" s="403"/>
      <c r="T78" s="403"/>
      <c r="U78" s="403"/>
      <c r="V78" s="403"/>
      <c r="W78" s="403"/>
      <c r="X78" s="403"/>
      <c r="Y78" s="403"/>
      <c r="Z78" s="403"/>
    </row>
    <row r="79" spans="1:26" hidden="1" outlineLevel="1">
      <c r="A79" s="404" t="s">
        <v>3146</v>
      </c>
      <c r="B79" s="405"/>
      <c r="C79" s="405"/>
      <c r="D79" s="405"/>
      <c r="E79" s="405"/>
      <c r="F79" s="405"/>
      <c r="G79" s="405"/>
      <c r="H79" s="405"/>
      <c r="I79" s="405"/>
      <c r="J79" s="405"/>
      <c r="K79" s="405"/>
      <c r="L79" s="405"/>
      <c r="M79" s="405"/>
      <c r="N79" s="406">
        <f t="shared" si="22"/>
        <v>0</v>
      </c>
      <c r="O79" s="403"/>
      <c r="P79" s="403"/>
      <c r="Q79" s="403"/>
      <c r="R79" s="403"/>
      <c r="S79" s="403"/>
      <c r="T79" s="403"/>
      <c r="U79" s="403"/>
      <c r="V79" s="403"/>
      <c r="W79" s="403"/>
      <c r="X79" s="403"/>
      <c r="Y79" s="403"/>
      <c r="Z79" s="403"/>
    </row>
    <row r="80" spans="1:26">
      <c r="A80" s="130"/>
      <c r="B80" s="130"/>
      <c r="C80" s="181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358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spans="1:26">
      <c r="A81" s="130"/>
      <c r="B81" s="130"/>
      <c r="C81" s="181"/>
      <c r="D81" s="130"/>
      <c r="E81" s="130"/>
      <c r="F81" s="130"/>
      <c r="G81" s="130"/>
      <c r="H81" s="385"/>
      <c r="J81" s="130"/>
      <c r="K81" s="130"/>
      <c r="L81" s="130"/>
      <c r="M81" s="130"/>
      <c r="N81" s="358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spans="1:26">
      <c r="A82" s="130"/>
      <c r="B82" s="407"/>
      <c r="C82" s="407"/>
      <c r="D82" s="130"/>
      <c r="E82" s="130"/>
      <c r="F82" s="130"/>
      <c r="G82" s="130"/>
      <c r="H82" s="130"/>
      <c r="J82" s="130"/>
      <c r="K82" s="130"/>
      <c r="L82" s="130"/>
      <c r="M82" s="130"/>
      <c r="N82" s="358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spans="1:26">
      <c r="A83" s="408"/>
      <c r="B83" s="409"/>
      <c r="C83" s="409"/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10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</row>
    <row r="84" spans="1:26" ht="19.5">
      <c r="A84" s="34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spans="1:26" ht="19.5">
      <c r="A85" s="34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spans="1:26" ht="19.5">
      <c r="A86" s="340" t="s">
        <v>3151</v>
      </c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spans="1:26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358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spans="1:26">
      <c r="A88" s="411" t="s">
        <v>3152</v>
      </c>
      <c r="B88" s="412" t="s">
        <v>0</v>
      </c>
      <c r="C88" s="412" t="s">
        <v>1</v>
      </c>
      <c r="D88" s="412" t="s">
        <v>2</v>
      </c>
      <c r="E88" s="412" t="s">
        <v>3</v>
      </c>
      <c r="F88" s="412" t="s">
        <v>4</v>
      </c>
      <c r="G88" s="412" t="s">
        <v>5</v>
      </c>
      <c r="H88" s="412" t="s">
        <v>6</v>
      </c>
      <c r="I88" s="412" t="s">
        <v>7</v>
      </c>
      <c r="J88" s="412" t="s">
        <v>8</v>
      </c>
      <c r="K88" s="412" t="s">
        <v>9</v>
      </c>
      <c r="L88" s="412" t="s">
        <v>10</v>
      </c>
      <c r="M88" s="412" t="s">
        <v>11</v>
      </c>
      <c r="N88" s="413"/>
      <c r="O88" s="414"/>
      <c r="P88" s="414"/>
      <c r="Q88" s="414"/>
      <c r="R88" s="414"/>
      <c r="S88" s="414"/>
      <c r="T88" s="414"/>
      <c r="U88" s="414"/>
      <c r="V88" s="414"/>
      <c r="W88" s="414"/>
      <c r="X88" s="414"/>
      <c r="Y88" s="414"/>
      <c r="Z88" s="414"/>
    </row>
    <row r="89" spans="1:26">
      <c r="A89" s="415" t="s">
        <v>3153</v>
      </c>
      <c r="B89" s="416">
        <v>0.15110000000000001</v>
      </c>
      <c r="C89" s="416">
        <v>0.14910000000000001</v>
      </c>
      <c r="D89" s="416">
        <v>0.15079999999999999</v>
      </c>
      <c r="E89" s="416">
        <v>0.15210000000000001</v>
      </c>
      <c r="F89" s="416">
        <v>0.1532</v>
      </c>
      <c r="G89" s="416">
        <v>0.1555</v>
      </c>
      <c r="H89" s="416">
        <v>0.15759999999999999</v>
      </c>
      <c r="I89" s="416">
        <v>0.15390000000000001</v>
      </c>
      <c r="J89" s="416"/>
      <c r="K89" s="416"/>
      <c r="L89" s="416"/>
      <c r="M89" s="417"/>
      <c r="N89" s="413"/>
      <c r="O89" s="414"/>
      <c r="P89" s="414"/>
      <c r="Q89" s="414"/>
      <c r="R89" s="414"/>
      <c r="S89" s="414"/>
      <c r="T89" s="414"/>
      <c r="U89" s="414"/>
      <c r="V89" s="414"/>
      <c r="W89" s="414"/>
      <c r="X89" s="414"/>
      <c r="Y89" s="414"/>
      <c r="Z89" s="414"/>
    </row>
    <row r="90" spans="1:26">
      <c r="A90" s="418" t="s">
        <v>3154</v>
      </c>
      <c r="B90" s="419">
        <v>0.1255</v>
      </c>
      <c r="C90" s="419">
        <v>0.12570000000000001</v>
      </c>
      <c r="D90" s="419">
        <v>0.12590000000000001</v>
      </c>
      <c r="E90" s="419">
        <v>0.12609999999999999</v>
      </c>
      <c r="F90" s="419">
        <v>0.1265</v>
      </c>
      <c r="G90" s="419">
        <v>0.1268</v>
      </c>
      <c r="H90" s="419">
        <v>0.126</v>
      </c>
      <c r="I90" s="419">
        <v>0.12709999999999999</v>
      </c>
      <c r="J90" s="419"/>
      <c r="K90" s="419"/>
      <c r="L90" s="419"/>
      <c r="M90" s="420"/>
      <c r="N90" s="413"/>
      <c r="O90" s="414"/>
      <c r="P90" s="414"/>
      <c r="Q90" s="414"/>
      <c r="R90" s="414"/>
      <c r="S90" s="414"/>
      <c r="T90" s="414"/>
      <c r="U90" s="414"/>
      <c r="V90" s="414"/>
      <c r="W90" s="414"/>
      <c r="X90" s="414"/>
      <c r="Y90" s="414"/>
      <c r="Z90" s="414"/>
    </row>
    <row r="91" spans="1:26">
      <c r="A91" s="421"/>
      <c r="B91" s="421"/>
      <c r="C91" s="421"/>
      <c r="D91" s="421"/>
      <c r="E91" s="421"/>
      <c r="F91" s="421"/>
      <c r="G91" s="422"/>
      <c r="H91" s="421"/>
      <c r="I91" s="421"/>
      <c r="J91" s="421"/>
      <c r="K91" s="421"/>
      <c r="L91" s="421"/>
      <c r="M91" s="421"/>
      <c r="N91" s="413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spans="1:26">
      <c r="A92" s="421"/>
      <c r="B92" s="421"/>
      <c r="C92" s="423">
        <v>226448.95</v>
      </c>
      <c r="D92" s="421"/>
      <c r="E92" s="421"/>
      <c r="F92" s="421"/>
      <c r="G92" s="421"/>
      <c r="H92" s="421"/>
      <c r="I92" s="421"/>
      <c r="J92" s="421"/>
      <c r="K92" s="421"/>
      <c r="L92" s="421"/>
      <c r="M92" s="421"/>
      <c r="N92" s="413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spans="1:26">
      <c r="A93" s="424" t="s">
        <v>3155</v>
      </c>
      <c r="B93" s="425" t="s">
        <v>0</v>
      </c>
      <c r="C93" s="425" t="s">
        <v>1</v>
      </c>
      <c r="D93" s="425" t="s">
        <v>2</v>
      </c>
      <c r="E93" s="425" t="s">
        <v>3</v>
      </c>
      <c r="F93" s="425" t="s">
        <v>4</v>
      </c>
      <c r="G93" s="425" t="s">
        <v>5</v>
      </c>
      <c r="H93" s="425" t="s">
        <v>6</v>
      </c>
      <c r="I93" s="425" t="s">
        <v>7</v>
      </c>
      <c r="J93" s="425" t="s">
        <v>8</v>
      </c>
      <c r="K93" s="425" t="s">
        <v>9</v>
      </c>
      <c r="L93" s="425" t="s">
        <v>10</v>
      </c>
      <c r="M93" s="425" t="s">
        <v>11</v>
      </c>
      <c r="N93" s="426" t="s">
        <v>3113</v>
      </c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spans="1:26">
      <c r="A94" s="427" t="s">
        <v>3155</v>
      </c>
      <c r="B94" s="428">
        <v>205685</v>
      </c>
      <c r="C94" s="428">
        <f t="shared" ref="C94:I94" si="24">$C$92</f>
        <v>226448.95</v>
      </c>
      <c r="D94" s="428">
        <f t="shared" si="24"/>
        <v>226448.95</v>
      </c>
      <c r="E94" s="428">
        <f t="shared" si="24"/>
        <v>226448.95</v>
      </c>
      <c r="F94" s="428">
        <f t="shared" si="24"/>
        <v>226448.95</v>
      </c>
      <c r="G94" s="428">
        <f t="shared" si="24"/>
        <v>226448.95</v>
      </c>
      <c r="H94" s="428">
        <f t="shared" si="24"/>
        <v>226448.95</v>
      </c>
      <c r="I94" s="428">
        <f t="shared" si="24"/>
        <v>226448.95</v>
      </c>
      <c r="J94" s="428"/>
      <c r="K94" s="428"/>
      <c r="L94" s="428"/>
      <c r="M94" s="428"/>
      <c r="N94" s="429">
        <f>SUM(B94:M94)</f>
        <v>1790827.65</v>
      </c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spans="1:26">
      <c r="A95" s="421"/>
      <c r="B95" s="421">
        <f>B97*12</f>
        <v>155600.04</v>
      </c>
      <c r="C95" s="421"/>
      <c r="D95" s="421"/>
      <c r="E95" s="421"/>
      <c r="F95" s="421"/>
      <c r="G95" s="421"/>
      <c r="H95" s="421"/>
      <c r="I95" s="421"/>
      <c r="J95" s="421"/>
      <c r="K95" s="421"/>
      <c r="L95" s="421"/>
      <c r="M95" s="421"/>
      <c r="N95" s="413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spans="1:26">
      <c r="A96" s="424" t="s">
        <v>3156</v>
      </c>
      <c r="B96" s="425" t="s">
        <v>0</v>
      </c>
      <c r="C96" s="425" t="s">
        <v>1</v>
      </c>
      <c r="D96" s="425" t="s">
        <v>2</v>
      </c>
      <c r="E96" s="425" t="s">
        <v>3</v>
      </c>
      <c r="F96" s="425" t="s">
        <v>4</v>
      </c>
      <c r="G96" s="425" t="s">
        <v>5</v>
      </c>
      <c r="H96" s="425" t="s">
        <v>6</v>
      </c>
      <c r="I96" s="425" t="s">
        <v>7</v>
      </c>
      <c r="J96" s="425" t="s">
        <v>8</v>
      </c>
      <c r="K96" s="425" t="s">
        <v>9</v>
      </c>
      <c r="L96" s="425" t="s">
        <v>10</v>
      </c>
      <c r="M96" s="425" t="s">
        <v>11</v>
      </c>
      <c r="N96" s="426" t="s">
        <v>3113</v>
      </c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spans="1:26">
      <c r="A97" s="427" t="s">
        <v>53</v>
      </c>
      <c r="B97" s="428">
        <v>12966.67</v>
      </c>
      <c r="C97" s="428">
        <v>12966.67</v>
      </c>
      <c r="D97" s="428">
        <v>12966.67</v>
      </c>
      <c r="E97" s="428">
        <v>12966.67</v>
      </c>
      <c r="F97" s="428">
        <v>12966.67</v>
      </c>
      <c r="G97" s="428">
        <v>12966.67</v>
      </c>
      <c r="H97" s="428">
        <v>12966.67</v>
      </c>
      <c r="I97" s="428">
        <v>12966.67</v>
      </c>
      <c r="J97" s="428"/>
      <c r="K97" s="428"/>
      <c r="L97" s="428"/>
      <c r="M97" s="428"/>
      <c r="N97" s="429">
        <f>SUM(B97:M97)</f>
        <v>103733.36</v>
      </c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spans="1:26">
      <c r="A98" s="421"/>
      <c r="B98" s="421">
        <f>B100*12</f>
        <v>436500</v>
      </c>
      <c r="C98" s="421"/>
      <c r="D98" s="421"/>
      <c r="E98" s="421"/>
      <c r="F98" s="421"/>
      <c r="G98" s="421"/>
      <c r="H98" s="421"/>
      <c r="I98" s="421"/>
      <c r="J98" s="421"/>
      <c r="K98" s="421"/>
      <c r="L98" s="421"/>
      <c r="M98" s="421"/>
      <c r="N98" s="413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spans="1:26">
      <c r="A99" s="424" t="s">
        <v>3157</v>
      </c>
      <c r="B99" s="425" t="s">
        <v>0</v>
      </c>
      <c r="C99" s="425" t="s">
        <v>1</v>
      </c>
      <c r="D99" s="425" t="s">
        <v>2</v>
      </c>
      <c r="E99" s="425" t="s">
        <v>3</v>
      </c>
      <c r="F99" s="425" t="s">
        <v>4</v>
      </c>
      <c r="G99" s="425" t="s">
        <v>5</v>
      </c>
      <c r="H99" s="425" t="s">
        <v>6</v>
      </c>
      <c r="I99" s="425" t="s">
        <v>7</v>
      </c>
      <c r="J99" s="425" t="s">
        <v>8</v>
      </c>
      <c r="K99" s="425" t="s">
        <v>9</v>
      </c>
      <c r="L99" s="425" t="s">
        <v>10</v>
      </c>
      <c r="M99" s="425" t="s">
        <v>11</v>
      </c>
      <c r="N99" s="426" t="s">
        <v>3113</v>
      </c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spans="1:26">
      <c r="A100" s="427" t="s">
        <v>3158</v>
      </c>
      <c r="B100" s="428">
        <v>36375</v>
      </c>
      <c r="C100" s="428">
        <v>36375</v>
      </c>
      <c r="D100" s="428">
        <v>36375</v>
      </c>
      <c r="E100" s="428">
        <v>36375</v>
      </c>
      <c r="F100" s="428">
        <v>36375</v>
      </c>
      <c r="G100" s="428">
        <v>36375</v>
      </c>
      <c r="H100" s="428">
        <v>36375</v>
      </c>
      <c r="I100" s="428">
        <v>36375</v>
      </c>
      <c r="J100" s="428"/>
      <c r="K100" s="428"/>
      <c r="L100" s="428"/>
      <c r="M100" s="428"/>
      <c r="N100" s="429">
        <f>SUM(B100:M100)</f>
        <v>291000</v>
      </c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spans="1:26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358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spans="1:26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358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spans="1:26">
      <c r="A103" s="424" t="s">
        <v>55</v>
      </c>
      <c r="B103" s="425" t="s">
        <v>0</v>
      </c>
      <c r="C103" s="425" t="s">
        <v>1</v>
      </c>
      <c r="D103" s="425" t="s">
        <v>2</v>
      </c>
      <c r="E103" s="425" t="s">
        <v>3</v>
      </c>
      <c r="F103" s="425" t="s">
        <v>4</v>
      </c>
      <c r="G103" s="425" t="s">
        <v>5</v>
      </c>
      <c r="H103" s="425" t="s">
        <v>6</v>
      </c>
      <c r="I103" s="425" t="s">
        <v>7</v>
      </c>
      <c r="J103" s="425" t="s">
        <v>8</v>
      </c>
      <c r="K103" s="425" t="s">
        <v>9</v>
      </c>
      <c r="L103" s="425" t="s">
        <v>10</v>
      </c>
      <c r="M103" s="425" t="s">
        <v>11</v>
      </c>
      <c r="N103" s="426" t="s">
        <v>3113</v>
      </c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spans="1:26">
      <c r="A104" s="430" t="s">
        <v>3113</v>
      </c>
      <c r="B104" s="431">
        <f t="shared" ref="B104:M104" si="25">SUM(B105:B115)</f>
        <v>45074.340000000004</v>
      </c>
      <c r="C104" s="431">
        <f t="shared" si="25"/>
        <v>8564.1200000000008</v>
      </c>
      <c r="D104" s="431">
        <f t="shared" si="25"/>
        <v>0</v>
      </c>
      <c r="E104" s="431">
        <f t="shared" si="25"/>
        <v>2408</v>
      </c>
      <c r="F104" s="431">
        <f t="shared" si="25"/>
        <v>4595.6499999999996</v>
      </c>
      <c r="G104" s="431">
        <f t="shared" si="25"/>
        <v>5880.9</v>
      </c>
      <c r="H104" s="431">
        <f t="shared" si="25"/>
        <v>17572.440000000002</v>
      </c>
      <c r="I104" s="431">
        <f t="shared" si="25"/>
        <v>0</v>
      </c>
      <c r="J104" s="431">
        <f t="shared" si="25"/>
        <v>0</v>
      </c>
      <c r="K104" s="431">
        <f t="shared" si="25"/>
        <v>0</v>
      </c>
      <c r="L104" s="431">
        <f t="shared" si="25"/>
        <v>0</v>
      </c>
      <c r="M104" s="431">
        <f t="shared" si="25"/>
        <v>0</v>
      </c>
      <c r="N104" s="432">
        <f t="shared" ref="N104:N110" si="26">SUM(B104:M104)</f>
        <v>84095.450000000012</v>
      </c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spans="1:26">
      <c r="A105" s="433" t="s">
        <v>3159</v>
      </c>
      <c r="B105" s="434">
        <f>3005+34825.54</f>
        <v>37830.54</v>
      </c>
      <c r="C105" s="435"/>
      <c r="D105" s="435"/>
      <c r="E105" s="435"/>
      <c r="F105" s="435"/>
      <c r="G105" s="435"/>
      <c r="H105" s="435"/>
      <c r="I105" s="371"/>
      <c r="J105" s="371"/>
      <c r="K105" s="371"/>
      <c r="L105" s="371"/>
      <c r="M105" s="371"/>
      <c r="N105" s="432">
        <f t="shared" si="26"/>
        <v>37830.54</v>
      </c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spans="1:26">
      <c r="A106" s="433" t="s">
        <v>3160</v>
      </c>
      <c r="B106" s="434">
        <f>2968.59+4275.21</f>
        <v>7243.8</v>
      </c>
      <c r="C106" s="435"/>
      <c r="D106" s="435"/>
      <c r="E106" s="435"/>
      <c r="F106" s="435"/>
      <c r="G106" s="435"/>
      <c r="H106" s="435"/>
      <c r="I106" s="371"/>
      <c r="J106" s="371"/>
      <c r="K106" s="371"/>
      <c r="L106" s="371"/>
      <c r="M106" s="371"/>
      <c r="N106" s="432">
        <f t="shared" si="26"/>
        <v>7243.8</v>
      </c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spans="1:26">
      <c r="A107" s="433" t="s">
        <v>3161</v>
      </c>
      <c r="B107" s="435"/>
      <c r="C107" s="434">
        <v>8564.1200000000008</v>
      </c>
      <c r="D107" s="435"/>
      <c r="E107" s="435"/>
      <c r="F107" s="435"/>
      <c r="G107" s="435"/>
      <c r="H107" s="435"/>
      <c r="I107" s="371"/>
      <c r="J107" s="371"/>
      <c r="K107" s="371"/>
      <c r="L107" s="371"/>
      <c r="M107" s="371"/>
      <c r="N107" s="432">
        <f t="shared" si="26"/>
        <v>8564.1200000000008</v>
      </c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spans="1:26">
      <c r="A108" s="433" t="s">
        <v>3162</v>
      </c>
      <c r="B108" s="435"/>
      <c r="C108" s="435"/>
      <c r="D108" s="435"/>
      <c r="E108" s="434">
        <v>2408</v>
      </c>
      <c r="F108" s="435"/>
      <c r="G108" s="435"/>
      <c r="H108" s="435"/>
      <c r="I108" s="371"/>
      <c r="J108" s="371"/>
      <c r="K108" s="371"/>
      <c r="L108" s="371"/>
      <c r="M108" s="371"/>
      <c r="N108" s="432">
        <f t="shared" si="26"/>
        <v>2408</v>
      </c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spans="1:26">
      <c r="A109" s="433" t="s">
        <v>3163</v>
      </c>
      <c r="B109" s="435"/>
      <c r="C109" s="435"/>
      <c r="D109" s="435"/>
      <c r="E109" s="435"/>
      <c r="F109" s="434">
        <v>4595.6499999999996</v>
      </c>
      <c r="G109" s="435"/>
      <c r="H109" s="435"/>
      <c r="I109" s="371"/>
      <c r="J109" s="371"/>
      <c r="K109" s="371"/>
      <c r="L109" s="371"/>
      <c r="M109" s="371"/>
      <c r="N109" s="432">
        <f t="shared" si="26"/>
        <v>4595.6499999999996</v>
      </c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spans="1:26">
      <c r="A110" s="433" t="s">
        <v>3164</v>
      </c>
      <c r="B110" s="435"/>
      <c r="C110" s="435"/>
      <c r="D110" s="435"/>
      <c r="E110" s="435"/>
      <c r="F110" s="435"/>
      <c r="G110" s="434">
        <v>5880.9</v>
      </c>
      <c r="H110" s="435"/>
      <c r="I110" s="371"/>
      <c r="J110" s="371"/>
      <c r="K110" s="371"/>
      <c r="L110" s="371"/>
      <c r="M110" s="371"/>
      <c r="N110" s="432">
        <f t="shared" si="26"/>
        <v>5880.9</v>
      </c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spans="1:26">
      <c r="A111" s="433" t="s">
        <v>3165</v>
      </c>
      <c r="B111" s="435"/>
      <c r="C111" s="435"/>
      <c r="D111" s="435"/>
      <c r="E111" s="435"/>
      <c r="F111" s="435"/>
      <c r="G111" s="435"/>
      <c r="H111" s="434">
        <v>13588.1</v>
      </c>
      <c r="I111" s="371"/>
      <c r="J111" s="371"/>
      <c r="K111" s="371"/>
      <c r="L111" s="371"/>
      <c r="M111" s="371"/>
      <c r="N111" s="432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spans="1:26">
      <c r="A112" s="433" t="s">
        <v>3166</v>
      </c>
      <c r="B112" s="435"/>
      <c r="C112" s="435"/>
      <c r="D112" s="435"/>
      <c r="E112" s="435"/>
      <c r="F112" s="435"/>
      <c r="G112" s="435"/>
      <c r="H112" s="434">
        <v>3984.34</v>
      </c>
      <c r="I112" s="371"/>
      <c r="J112" s="371"/>
      <c r="K112" s="371"/>
      <c r="L112" s="371"/>
      <c r="M112" s="371"/>
      <c r="N112" s="432">
        <f t="shared" ref="N112:N115" si="27">SUM(B112:M112)</f>
        <v>3984.34</v>
      </c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spans="1:26">
      <c r="A113" s="370" t="s">
        <v>3167</v>
      </c>
      <c r="B113" s="371"/>
      <c r="C113" s="371"/>
      <c r="D113" s="371"/>
      <c r="E113" s="371"/>
      <c r="F113" s="371"/>
      <c r="G113" s="371"/>
      <c r="H113" s="371"/>
      <c r="I113" s="371"/>
      <c r="J113" s="371"/>
      <c r="K113" s="371"/>
      <c r="L113" s="371"/>
      <c r="M113" s="371"/>
      <c r="N113" s="432">
        <f t="shared" si="27"/>
        <v>0</v>
      </c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spans="1:26">
      <c r="A114" s="370" t="s">
        <v>3168</v>
      </c>
      <c r="B114" s="371"/>
      <c r="C114" s="371"/>
      <c r="D114" s="371"/>
      <c r="E114" s="371"/>
      <c r="F114" s="371"/>
      <c r="G114" s="371"/>
      <c r="H114" s="371"/>
      <c r="I114" s="371"/>
      <c r="J114" s="371"/>
      <c r="K114" s="371"/>
      <c r="L114" s="371"/>
      <c r="M114" s="371"/>
      <c r="N114" s="432">
        <f t="shared" si="27"/>
        <v>0</v>
      </c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spans="1:26">
      <c r="A115" s="436" t="s">
        <v>3169</v>
      </c>
      <c r="B115" s="437"/>
      <c r="C115" s="437"/>
      <c r="D115" s="437"/>
      <c r="E115" s="437"/>
      <c r="F115" s="437"/>
      <c r="G115" s="437"/>
      <c r="H115" s="437"/>
      <c r="I115" s="437"/>
      <c r="J115" s="437"/>
      <c r="K115" s="437"/>
      <c r="L115" s="437"/>
      <c r="M115" s="437"/>
      <c r="N115" s="432">
        <f t="shared" si="27"/>
        <v>0</v>
      </c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spans="1:26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358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spans="1:26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358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spans="1:26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358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22" spans="1:26">
      <c r="C122" s="438"/>
    </row>
    <row r="123" spans="1:26">
      <c r="C123" s="438"/>
    </row>
    <row r="124" spans="1:26">
      <c r="C124" s="438"/>
    </row>
    <row r="125" spans="1:26">
      <c r="C125" s="438"/>
    </row>
    <row r="126" spans="1:26">
      <c r="C126" s="438"/>
    </row>
    <row r="127" spans="1:26">
      <c r="C127" s="438"/>
    </row>
    <row r="128" spans="1:26">
      <c r="C128" s="438"/>
    </row>
    <row r="129" spans="3:4">
      <c r="C129" s="438"/>
    </row>
    <row r="130" spans="3:4">
      <c r="C130" s="438"/>
    </row>
    <row r="131" spans="3:4">
      <c r="C131" s="438"/>
    </row>
    <row r="132" spans="3:4">
      <c r="C132" s="439"/>
      <c r="D132" s="440"/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Y32"/>
  <sheetViews>
    <sheetView workbookViewId="0"/>
  </sheetViews>
  <sheetFormatPr defaultColWidth="14.42578125" defaultRowHeight="15" customHeight="1"/>
  <cols>
    <col min="1" max="1" width="23.5703125" customWidth="1"/>
  </cols>
  <sheetData>
    <row r="2" spans="1:25">
      <c r="B2" s="441">
        <v>46053</v>
      </c>
      <c r="C2" s="442"/>
      <c r="D2" s="441">
        <v>46081</v>
      </c>
      <c r="E2" s="442"/>
      <c r="F2" s="441">
        <v>46112</v>
      </c>
      <c r="G2" s="442"/>
      <c r="H2" s="441">
        <v>46142</v>
      </c>
      <c r="I2" s="442"/>
      <c r="J2" s="441">
        <v>46173</v>
      </c>
      <c r="K2" s="442"/>
      <c r="L2" s="441">
        <v>46203</v>
      </c>
      <c r="M2" s="442"/>
      <c r="N2" s="441">
        <v>46234</v>
      </c>
      <c r="O2" s="442"/>
      <c r="P2" s="441">
        <v>46265</v>
      </c>
      <c r="Q2" s="442"/>
      <c r="R2" s="441">
        <v>46295</v>
      </c>
      <c r="S2" s="442"/>
      <c r="T2" s="441">
        <v>46326</v>
      </c>
      <c r="U2" s="442"/>
      <c r="V2" s="441">
        <v>46356</v>
      </c>
      <c r="W2" s="442"/>
      <c r="X2" s="441">
        <v>46387</v>
      </c>
      <c r="Y2" s="442"/>
    </row>
    <row r="3" spans="1:25">
      <c r="A3" s="443" t="s">
        <v>3170</v>
      </c>
      <c r="B3" s="444" t="str">
        <f ca="1">IFERROR(__xludf.DUMMYFUNCTION("importrange(""1iHVqxVBewNFSJrROFpS_EK7gNT03Cal9Cc8kCFxBtds"",""'Apuração'!FY3:GQ32"")"),"")</f>
        <v/>
      </c>
      <c r="C3" s="445">
        <f ca="1">IFERROR(__xludf.DUMMYFUNCTION("""COMPUTED_VALUE"""),0)</f>
        <v>0</v>
      </c>
      <c r="D3" s="444"/>
      <c r="E3" s="445">
        <f ca="1">IFERROR(__xludf.DUMMYFUNCTION("""COMPUTED_VALUE"""),0)</f>
        <v>0</v>
      </c>
      <c r="F3" s="444"/>
      <c r="G3" s="445">
        <f ca="1">IFERROR(__xludf.DUMMYFUNCTION("""COMPUTED_VALUE"""),0)</f>
        <v>0</v>
      </c>
      <c r="H3" s="444"/>
      <c r="I3" s="445">
        <f ca="1">IFERROR(__xludf.DUMMYFUNCTION("""COMPUTED_VALUE"""),0)</f>
        <v>0</v>
      </c>
      <c r="J3" s="444"/>
      <c r="K3" s="445">
        <f ca="1">IFERROR(__xludf.DUMMYFUNCTION("""COMPUTED_VALUE"""),0)</f>
        <v>0</v>
      </c>
      <c r="L3" s="444"/>
      <c r="M3" s="445">
        <f ca="1">IFERROR(__xludf.DUMMYFUNCTION("""COMPUTED_VALUE"""),0)</f>
        <v>0</v>
      </c>
      <c r="N3" s="444"/>
      <c r="O3" s="445"/>
      <c r="P3" s="444"/>
      <c r="Q3" s="445"/>
      <c r="R3" s="444"/>
      <c r="S3" s="445"/>
      <c r="T3" s="444"/>
      <c r="U3" s="445"/>
      <c r="V3" s="444"/>
      <c r="W3" s="445"/>
      <c r="X3" s="444"/>
      <c r="Y3" s="445"/>
    </row>
    <row r="4" spans="1:25">
      <c r="A4" s="446" t="s">
        <v>3171</v>
      </c>
      <c r="B4" s="447"/>
      <c r="C4" s="448">
        <f ca="1">IFERROR(__xludf.DUMMYFUNCTION("""COMPUTED_VALUE"""),0)</f>
        <v>0</v>
      </c>
      <c r="D4" s="447"/>
      <c r="E4" s="448">
        <f ca="1">IFERROR(__xludf.DUMMYFUNCTION("""COMPUTED_VALUE"""),0)</f>
        <v>0</v>
      </c>
      <c r="F4" s="447"/>
      <c r="G4" s="448">
        <f ca="1">IFERROR(__xludf.DUMMYFUNCTION("""COMPUTED_VALUE"""),0)</f>
        <v>0</v>
      </c>
      <c r="H4" s="447"/>
      <c r="I4" s="448">
        <f ca="1">IFERROR(__xludf.DUMMYFUNCTION("""COMPUTED_VALUE"""),0)</f>
        <v>0</v>
      </c>
      <c r="J4" s="447"/>
      <c r="K4" s="448">
        <f ca="1">IFERROR(__xludf.DUMMYFUNCTION("""COMPUTED_VALUE"""),0)</f>
        <v>0</v>
      </c>
      <c r="L4" s="447"/>
      <c r="M4" s="448">
        <f ca="1">IFERROR(__xludf.DUMMYFUNCTION("""COMPUTED_VALUE"""),0)</f>
        <v>0</v>
      </c>
      <c r="N4" s="447"/>
      <c r="O4" s="448"/>
      <c r="P4" s="447"/>
      <c r="Q4" s="448"/>
      <c r="R4" s="447"/>
      <c r="S4" s="448"/>
      <c r="T4" s="447"/>
      <c r="U4" s="448"/>
      <c r="V4" s="447"/>
      <c r="W4" s="448"/>
      <c r="X4" s="447"/>
      <c r="Y4" s="448"/>
    </row>
    <row r="5" spans="1:25">
      <c r="A5" s="449" t="s">
        <v>3172</v>
      </c>
      <c r="B5" s="450"/>
      <c r="C5" s="451" t="str">
        <f ca="1">IFERROR(__xludf.DUMMYFUNCTION("""COMPUTED_VALUE"""),"#DIV/0!")</f>
        <v>#DIV/0!</v>
      </c>
      <c r="D5" s="450"/>
      <c r="E5" s="451" t="str">
        <f ca="1">IFERROR(__xludf.DUMMYFUNCTION("""COMPUTED_VALUE"""),"#DIV/0!")</f>
        <v>#DIV/0!</v>
      </c>
      <c r="F5" s="450"/>
      <c r="G5" s="451" t="str">
        <f ca="1">IFERROR(__xludf.DUMMYFUNCTION("""COMPUTED_VALUE"""),"#DIV/0!")</f>
        <v>#DIV/0!</v>
      </c>
      <c r="H5" s="450"/>
      <c r="I5" s="451" t="str">
        <f ca="1">IFERROR(__xludf.DUMMYFUNCTION("""COMPUTED_VALUE"""),"#DIV/0!")</f>
        <v>#DIV/0!</v>
      </c>
      <c r="J5" s="450"/>
      <c r="K5" s="451" t="str">
        <f ca="1">IFERROR(__xludf.DUMMYFUNCTION("""COMPUTED_VALUE"""),"#DIV/0!")</f>
        <v>#DIV/0!</v>
      </c>
      <c r="L5" s="450"/>
      <c r="M5" s="451" t="str">
        <f ca="1">IFERROR(__xludf.DUMMYFUNCTION("""COMPUTED_VALUE"""),"#DIV/0!")</f>
        <v>#DIV/0!</v>
      </c>
      <c r="N5" s="450"/>
      <c r="O5" s="451"/>
      <c r="P5" s="450"/>
      <c r="Q5" s="451"/>
      <c r="R5" s="450"/>
      <c r="S5" s="451"/>
      <c r="T5" s="450"/>
      <c r="U5" s="451"/>
      <c r="V5" s="450"/>
      <c r="W5" s="451"/>
      <c r="X5" s="450"/>
      <c r="Y5" s="451"/>
    </row>
    <row r="6" spans="1:25">
      <c r="A6" s="446" t="s">
        <v>3173</v>
      </c>
      <c r="B6" s="447"/>
      <c r="C6" s="448">
        <f ca="1">IFERROR(__xludf.DUMMYFUNCTION("""COMPUTED_VALUE"""),0)</f>
        <v>0</v>
      </c>
      <c r="D6" s="447"/>
      <c r="E6" s="448">
        <f ca="1">IFERROR(__xludf.DUMMYFUNCTION("""COMPUTED_VALUE"""),0)</f>
        <v>0</v>
      </c>
      <c r="F6" s="447"/>
      <c r="G6" s="448">
        <f ca="1">IFERROR(__xludf.DUMMYFUNCTION("""COMPUTED_VALUE"""),0)</f>
        <v>0</v>
      </c>
      <c r="H6" s="447"/>
      <c r="I6" s="448">
        <f ca="1">IFERROR(__xludf.DUMMYFUNCTION("""COMPUTED_VALUE"""),0)</f>
        <v>0</v>
      </c>
      <c r="J6" s="447"/>
      <c r="K6" s="448">
        <f ca="1">IFERROR(__xludf.DUMMYFUNCTION("""COMPUTED_VALUE"""),0)</f>
        <v>0</v>
      </c>
      <c r="L6" s="447"/>
      <c r="M6" s="448">
        <f ca="1">IFERROR(__xludf.DUMMYFUNCTION("""COMPUTED_VALUE"""),0)</f>
        <v>0</v>
      </c>
      <c r="N6" s="447"/>
      <c r="O6" s="448"/>
      <c r="P6" s="447"/>
      <c r="Q6" s="448"/>
      <c r="R6" s="447"/>
      <c r="S6" s="448"/>
      <c r="T6" s="447"/>
      <c r="U6" s="448"/>
      <c r="V6" s="447"/>
      <c r="W6" s="448"/>
      <c r="X6" s="447"/>
      <c r="Y6" s="448"/>
    </row>
    <row r="7" spans="1:25">
      <c r="A7" s="449" t="s">
        <v>3172</v>
      </c>
      <c r="B7" s="450"/>
      <c r="C7" s="451" t="str">
        <f ca="1">IFERROR(__xludf.DUMMYFUNCTION("""COMPUTED_VALUE"""),"#DIV/0!")</f>
        <v>#DIV/0!</v>
      </c>
      <c r="D7" s="450"/>
      <c r="E7" s="451" t="str">
        <f ca="1">IFERROR(__xludf.DUMMYFUNCTION("""COMPUTED_VALUE"""),"#DIV/0!")</f>
        <v>#DIV/0!</v>
      </c>
      <c r="F7" s="450"/>
      <c r="G7" s="451" t="str">
        <f ca="1">IFERROR(__xludf.DUMMYFUNCTION("""COMPUTED_VALUE"""),"#DIV/0!")</f>
        <v>#DIV/0!</v>
      </c>
      <c r="H7" s="450"/>
      <c r="I7" s="451" t="str">
        <f ca="1">IFERROR(__xludf.DUMMYFUNCTION("""COMPUTED_VALUE"""),"#DIV/0!")</f>
        <v>#DIV/0!</v>
      </c>
      <c r="J7" s="450"/>
      <c r="K7" s="451" t="str">
        <f ca="1">IFERROR(__xludf.DUMMYFUNCTION("""COMPUTED_VALUE"""),"#DIV/0!")</f>
        <v>#DIV/0!</v>
      </c>
      <c r="L7" s="450"/>
      <c r="M7" s="451" t="str">
        <f ca="1">IFERROR(__xludf.DUMMYFUNCTION("""COMPUTED_VALUE"""),"#DIV/0!")</f>
        <v>#DIV/0!</v>
      </c>
      <c r="N7" s="450"/>
      <c r="O7" s="451"/>
      <c r="P7" s="450"/>
      <c r="Q7" s="451"/>
      <c r="R7" s="450"/>
      <c r="S7" s="451"/>
      <c r="T7" s="450"/>
      <c r="U7" s="451"/>
      <c r="V7" s="450"/>
      <c r="W7" s="451"/>
      <c r="X7" s="450"/>
      <c r="Y7" s="451"/>
    </row>
    <row r="8" spans="1:25">
      <c r="A8" s="452" t="s">
        <v>3174</v>
      </c>
      <c r="B8" s="444"/>
      <c r="C8" s="453">
        <f ca="1">IFERROR(__xludf.DUMMYFUNCTION("""COMPUTED_VALUE"""),0)</f>
        <v>0</v>
      </c>
      <c r="D8" s="444"/>
      <c r="E8" s="453">
        <f ca="1">IFERROR(__xludf.DUMMYFUNCTION("""COMPUTED_VALUE"""),0)</f>
        <v>0</v>
      </c>
      <c r="F8" s="444"/>
      <c r="G8" s="453">
        <f ca="1">IFERROR(__xludf.DUMMYFUNCTION("""COMPUTED_VALUE"""),0)</f>
        <v>0</v>
      </c>
      <c r="H8" s="444"/>
      <c r="I8" s="453">
        <f ca="1">IFERROR(__xludf.DUMMYFUNCTION("""COMPUTED_VALUE"""),0)</f>
        <v>0</v>
      </c>
      <c r="J8" s="444"/>
      <c r="K8" s="453">
        <f ca="1">IFERROR(__xludf.DUMMYFUNCTION("""COMPUTED_VALUE"""),0)</f>
        <v>0</v>
      </c>
      <c r="L8" s="444"/>
      <c r="M8" s="453">
        <f ca="1">IFERROR(__xludf.DUMMYFUNCTION("""COMPUTED_VALUE"""),0)</f>
        <v>0</v>
      </c>
      <c r="N8" s="444"/>
      <c r="O8" s="453"/>
      <c r="P8" s="444"/>
      <c r="Q8" s="453"/>
      <c r="R8" s="444"/>
      <c r="S8" s="453"/>
      <c r="T8" s="444"/>
      <c r="U8" s="453"/>
      <c r="V8" s="444"/>
      <c r="W8" s="453"/>
      <c r="X8" s="444"/>
      <c r="Y8" s="453"/>
    </row>
    <row r="9" spans="1:25">
      <c r="A9" s="446" t="s">
        <v>3175</v>
      </c>
      <c r="B9" s="454">
        <f ca="1">IFERROR(__xludf.DUMMYFUNCTION("""COMPUTED_VALUE"""),2549757.21)</f>
        <v>2549757.21</v>
      </c>
      <c r="C9" s="448">
        <f ca="1">IFERROR(__xludf.DUMMYFUNCTION("""COMPUTED_VALUE"""),0.0543179816895041)</f>
        <v>5.4317981689504101E-2</v>
      </c>
      <c r="D9" s="454">
        <f ca="1">IFERROR(__xludf.DUMMYFUNCTION("""COMPUTED_VALUE"""),2575610.89)</f>
        <v>2575610.89</v>
      </c>
      <c r="E9" s="448">
        <f ca="1">IFERROR(__xludf.DUMMYFUNCTION("""COMPUTED_VALUE"""),0.0558610111721857)</f>
        <v>5.5861011172185698E-2</v>
      </c>
      <c r="F9" s="454">
        <f ca="1">IFERROR(__xludf.DUMMYFUNCTION("""COMPUTED_VALUE"""),2607382)</f>
        <v>2607382</v>
      </c>
      <c r="G9" s="448">
        <f ca="1">IFERROR(__xludf.DUMMYFUNCTION("""COMPUTED_VALUE"""),0.0573826414138794)</f>
        <v>5.7382641413879401E-2</v>
      </c>
      <c r="H9" s="454">
        <f ca="1">IFERROR(__xludf.DUMMYFUNCTION("""COMPUTED_VALUE"""),2636311.24)</f>
        <v>2636311.2400000002</v>
      </c>
      <c r="I9" s="448">
        <f ca="1">IFERROR(__xludf.DUMMYFUNCTION("""COMPUTED_VALUE"""),0.0555817563760341)</f>
        <v>5.5581756376034103E-2</v>
      </c>
      <c r="J9" s="454">
        <f ca="1">IFERROR(__xludf.DUMMYFUNCTION("""COMPUTED_VALUE"""),2665091.52)</f>
        <v>2665091.52</v>
      </c>
      <c r="K9" s="448">
        <f ca="1">IFERROR(__xludf.DUMMYFUNCTION("""COMPUTED_VALUE"""),0.0553249761470871)</f>
        <v>5.5324976147087097E-2</v>
      </c>
      <c r="L9" s="454">
        <f ca="1">IFERROR(__xludf.DUMMYFUNCTION("""COMPUTED_VALUE"""),2695458.57)</f>
        <v>2695458.57</v>
      </c>
      <c r="M9" s="448">
        <f ca="1">IFERROR(__xludf.DUMMYFUNCTION("""COMPUTED_VALUE"""),0.052423255496314)</f>
        <v>5.2423255496313999E-2</v>
      </c>
      <c r="N9" s="454">
        <f ca="1">IFERROR(__xludf.DUMMYFUNCTION("""COMPUTED_VALUE"""),2728771.23)</f>
        <v>2728771.23</v>
      </c>
      <c r="O9" s="448"/>
      <c r="P9" s="454">
        <f ca="1">IFERROR(__xludf.DUMMYFUNCTION("""COMPUTED_VALUE"""),2577534.97)</f>
        <v>2577534.9700000002</v>
      </c>
      <c r="Q9" s="448"/>
      <c r="R9" s="454"/>
      <c r="S9" s="448"/>
      <c r="T9" s="454"/>
      <c r="U9" s="448"/>
      <c r="V9" s="454"/>
      <c r="W9" s="448"/>
      <c r="X9" s="454"/>
      <c r="Y9" s="448"/>
    </row>
    <row r="10" spans="1:25">
      <c r="A10" s="449" t="s">
        <v>3176</v>
      </c>
      <c r="B10" s="455">
        <f ca="1">IFERROR(__xludf.DUMMYFUNCTION("""COMPUTED_VALUE"""),29834.8)</f>
        <v>29834.799999999999</v>
      </c>
      <c r="C10" s="451">
        <f ca="1">IFERROR(__xludf.DUMMYFUNCTION("""COMPUTED_VALUE"""),0.01170103564488)</f>
        <v>1.170103564488E-2</v>
      </c>
      <c r="D10" s="455">
        <f ca="1">IFERROR(__xludf.DUMMYFUNCTION("""COMPUTED_VALUE"""),25853.68)</f>
        <v>25853.68</v>
      </c>
      <c r="E10" s="451">
        <f ca="1">IFERROR(__xludf.DUMMYFUNCTION("""COMPUTED_VALUE"""),0.0100378827020722)</f>
        <v>1.00378827020722E-2</v>
      </c>
      <c r="F10" s="455">
        <f ca="1">IFERROR(__xludf.DUMMYFUNCTION("""COMPUTED_VALUE"""),31771.86)</f>
        <v>31771.86</v>
      </c>
      <c r="G10" s="451">
        <f ca="1">IFERROR(__xludf.DUMMYFUNCTION("""COMPUTED_VALUE"""),0.0121853491356464)</f>
        <v>1.21853491356464E-2</v>
      </c>
      <c r="H10" s="455">
        <f ca="1">IFERROR(__xludf.DUMMYFUNCTION("""COMPUTED_VALUE"""),28928.49)</f>
        <v>28928.49</v>
      </c>
      <c r="I10" s="451">
        <f ca="1">IFERROR(__xludf.DUMMYFUNCTION("""COMPUTED_VALUE"""),0.0109730936018009)</f>
        <v>1.0973093601800901E-2</v>
      </c>
      <c r="J10" s="455">
        <f ca="1">IFERROR(__xludf.DUMMYFUNCTION("""COMPUTED_VALUE"""),28780.28)</f>
        <v>28780.28</v>
      </c>
      <c r="K10" s="451">
        <f ca="1">IFERROR(__xludf.DUMMYFUNCTION("""COMPUTED_VALUE"""),0.0107989837437177)</f>
        <v>1.07989837437177E-2</v>
      </c>
      <c r="L10" s="455">
        <f ca="1">IFERROR(__xludf.DUMMYFUNCTION("""COMPUTED_VALUE"""),30367.05)</f>
        <v>30367.05</v>
      </c>
      <c r="M10" s="451">
        <f ca="1">IFERROR(__xludf.DUMMYFUNCTION("""COMPUTED_VALUE"""),0.0112660051013138)</f>
        <v>1.12660051013138E-2</v>
      </c>
      <c r="N10" s="455">
        <f ca="1">IFERROR(__xludf.DUMMYFUNCTION("""COMPUTED_VALUE"""),33313.16)</f>
        <v>33313.160000000003</v>
      </c>
      <c r="O10" s="451"/>
      <c r="P10" s="455">
        <f ca="1">IFERROR(__xludf.DUMMYFUNCTION("""COMPUTED_VALUE"""),30360.58)</f>
        <v>30360.58</v>
      </c>
      <c r="Q10" s="451"/>
      <c r="R10" s="455"/>
      <c r="S10" s="451"/>
      <c r="T10" s="455"/>
      <c r="U10" s="451"/>
      <c r="V10" s="455"/>
      <c r="W10" s="451"/>
      <c r="X10" s="455"/>
      <c r="Y10" s="451"/>
    </row>
    <row r="11" spans="1:25">
      <c r="A11" s="446" t="s">
        <v>3177</v>
      </c>
      <c r="B11" s="454">
        <f ca="1">IFERROR(__xludf.DUMMYFUNCTION("""COMPUTED_VALUE"""),17394680.96)</f>
        <v>17394680.960000001</v>
      </c>
      <c r="C11" s="448">
        <f ca="1">IFERROR(__xludf.DUMMYFUNCTION("""COMPUTED_VALUE"""),0.370562325767497)</f>
        <v>0.37056232576749698</v>
      </c>
      <c r="D11" s="454">
        <f ca="1">IFERROR(__xludf.DUMMYFUNCTION("""COMPUTED_VALUE"""),17443759.86)</f>
        <v>17443759.859999999</v>
      </c>
      <c r="E11" s="448">
        <f ca="1">IFERROR(__xludf.DUMMYFUNCTION("""COMPUTED_VALUE"""),0.378328134970879)</f>
        <v>0.37832813497087903</v>
      </c>
      <c r="F11" s="454">
        <f ca="1">IFERROR(__xludf.DUMMYFUNCTION("""COMPUTED_VALUE"""),17645272.42)</f>
        <v>17645272.420000002</v>
      </c>
      <c r="G11" s="448">
        <f ca="1">IFERROR(__xludf.DUMMYFUNCTION("""COMPUTED_VALUE"""),0.388332948500479)</f>
        <v>0.388332948500479</v>
      </c>
      <c r="H11" s="454">
        <f ca="1">IFERROR(__xludf.DUMMYFUNCTION("""COMPUTED_VALUE"""),17841583.34)</f>
        <v>17841583.34</v>
      </c>
      <c r="I11" s="448">
        <f ca="1">IFERROR(__xludf.DUMMYFUNCTION("""COMPUTED_VALUE"""),0.376156852620554)</f>
        <v>0.37615685262055398</v>
      </c>
      <c r="J11" s="454">
        <f ca="1">IFERROR(__xludf.DUMMYFUNCTION("""COMPUTED_VALUE"""),17645272.42)</f>
        <v>17645272.420000002</v>
      </c>
      <c r="K11" s="448">
        <f ca="1">IFERROR(__xludf.DUMMYFUNCTION("""COMPUTED_VALUE"""),0.366300469765989)</f>
        <v>0.36630046976598901</v>
      </c>
      <c r="L11" s="454">
        <f ca="1">IFERROR(__xludf.DUMMYFUNCTION("""COMPUTED_VALUE"""),18752135.11)</f>
        <v>18752135.109999999</v>
      </c>
      <c r="M11" s="448">
        <f ca="1">IFERROR(__xludf.DUMMYFUNCTION("""COMPUTED_VALUE"""),0.364705279062379)</f>
        <v>0.36470527906237898</v>
      </c>
      <c r="N11" s="454">
        <f ca="1">IFERROR(__xludf.DUMMYFUNCTION("""COMPUTED_VALUE"""),18870004.03)</f>
        <v>18870004.030000001</v>
      </c>
      <c r="O11" s="448"/>
      <c r="P11" s="454">
        <f ca="1">IFERROR(__xludf.DUMMYFUNCTION("""COMPUTED_VALUE"""),18350662.92)</f>
        <v>18350662.920000002</v>
      </c>
      <c r="Q11" s="448"/>
      <c r="R11" s="454"/>
      <c r="S11" s="448"/>
      <c r="T11" s="454"/>
      <c r="U11" s="448"/>
      <c r="V11" s="454"/>
      <c r="W11" s="448"/>
      <c r="X11" s="454"/>
      <c r="Y11" s="448"/>
    </row>
    <row r="12" spans="1:25">
      <c r="A12" s="449" t="s">
        <v>3178</v>
      </c>
      <c r="B12" s="455">
        <f ca="1">IFERROR(__xludf.DUMMYFUNCTION("""COMPUTED_VALUE"""),94726.87)</f>
        <v>94726.87</v>
      </c>
      <c r="C12" s="451">
        <f ca="1">IFERROR(__xludf.DUMMYFUNCTION("""COMPUTED_VALUE"""),0.0054457377067064)</f>
        <v>5.4457377067064E-3</v>
      </c>
      <c r="D12" s="455">
        <f ca="1">IFERROR(__xludf.DUMMYFUNCTION("""COMPUTED_VALUE"""),94460.03)</f>
        <v>94460.03</v>
      </c>
      <c r="E12" s="451">
        <f ca="1">IFERROR(__xludf.DUMMYFUNCTION("""COMPUTED_VALUE"""),0.00541511868760614)</f>
        <v>5.4151186876061396E-3</v>
      </c>
      <c r="F12" s="455">
        <f ca="1">IFERROR(__xludf.DUMMYFUNCTION("""COMPUTED_VALUE"""),210378.99)</f>
        <v>210378.99</v>
      </c>
      <c r="G12" s="451">
        <f ca="1">IFERROR(__xludf.DUMMYFUNCTION("""COMPUTED_VALUE"""),0.0119226830276389)</f>
        <v>1.19226830276389E-2</v>
      </c>
      <c r="H12" s="455">
        <f ca="1">IFERROR(__xludf.DUMMYFUNCTION("""COMPUTED_VALUE"""),201084.92)</f>
        <v>201084.92</v>
      </c>
      <c r="I12" s="451">
        <f ca="1">IFERROR(__xludf.DUMMYFUNCTION("""COMPUTED_VALUE"""),0.0112705759442984)</f>
        <v>1.12705759442984E-2</v>
      </c>
      <c r="J12" s="455">
        <f ca="1">IFERROR(__xludf.DUMMYFUNCTION("""COMPUTED_VALUE"""),165697.58)</f>
        <v>165697.57999999999</v>
      </c>
      <c r="K12" s="451">
        <f ca="1">IFERROR(__xludf.DUMMYFUNCTION("""COMPUTED_VALUE"""),0.00939048012725438)</f>
        <v>9.3904801272543803E-3</v>
      </c>
      <c r="L12" s="455">
        <f ca="1">IFERROR(__xludf.DUMMYFUNCTION("""COMPUTED_VALUE"""),148354.43)</f>
        <v>148354.43</v>
      </c>
      <c r="M12" s="451">
        <f ca="1">IFERROR(__xludf.DUMMYFUNCTION("""COMPUTED_VALUE"""),0.00791133538286457)</f>
        <v>7.9113353828645702E-3</v>
      </c>
      <c r="N12" s="455">
        <f ca="1">IFERROR(__xludf.DUMMYFUNCTION("""COMPUTED_VALUE"""),126468.53)</f>
        <v>126468.53</v>
      </c>
      <c r="O12" s="451"/>
      <c r="P12" s="455">
        <f ca="1">IFERROR(__xludf.DUMMYFUNCTION("""COMPUTED_VALUE"""),116734)</f>
        <v>116734</v>
      </c>
      <c r="Q12" s="451"/>
      <c r="R12" s="455"/>
      <c r="S12" s="451"/>
      <c r="T12" s="455"/>
      <c r="U12" s="451"/>
      <c r="V12" s="455"/>
      <c r="W12" s="451"/>
      <c r="X12" s="455"/>
      <c r="Y12" s="451"/>
    </row>
    <row r="13" spans="1:25">
      <c r="A13" s="446" t="s">
        <v>3179</v>
      </c>
      <c r="B13" s="454">
        <f ca="1">IFERROR(__xludf.DUMMYFUNCTION("""COMPUTED_VALUE"""),18974911.72)</f>
        <v>18974911.719999999</v>
      </c>
      <c r="C13" s="448">
        <f ca="1">IFERROR(__xludf.DUMMYFUNCTION("""COMPUTED_VALUE"""),0.404226293909339)</f>
        <v>0.40422629390933901</v>
      </c>
      <c r="D13" s="454">
        <f ca="1">IFERROR(__xludf.DUMMYFUNCTION("""COMPUTED_VALUE"""),18061773.66)</f>
        <v>18061773.66</v>
      </c>
      <c r="E13" s="448">
        <f ca="1">IFERROR(__xludf.DUMMYFUNCTION("""COMPUTED_VALUE"""),0.391731897130917)</f>
        <v>0.391731897130917</v>
      </c>
      <c r="F13" s="454">
        <f ca="1">IFERROR(__xludf.DUMMYFUNCTION("""COMPUTED_VALUE"""),17131451.29)</f>
        <v>17131451.289999999</v>
      </c>
      <c r="G13" s="448">
        <f ca="1">IFERROR(__xludf.DUMMYFUNCTION("""COMPUTED_VALUE"""),0.377024895574722)</f>
        <v>0.37702489557472202</v>
      </c>
      <c r="H13" s="454">
        <f ca="1">IFERROR(__xludf.DUMMYFUNCTION("""COMPUTED_VALUE"""),18958780.46)</f>
        <v>18958780.460000001</v>
      </c>
      <c r="I13" s="448">
        <f ca="1">IFERROR(__xludf.DUMMYFUNCTION("""COMPUTED_VALUE"""),0.399710891766496)</f>
        <v>0.39971089176649599</v>
      </c>
      <c r="J13" s="454">
        <f ca="1">IFERROR(__xludf.DUMMYFUNCTION("""COMPUTED_VALUE"""),19903443.1)</f>
        <v>19903443.100000001</v>
      </c>
      <c r="K13" s="448">
        <f ca="1">IFERROR(__xludf.DUMMYFUNCTION("""COMPUTED_VALUE"""),0.413178124086487)</f>
        <v>0.41317812408648702</v>
      </c>
      <c r="L13" s="454">
        <f ca="1">IFERROR(__xludf.DUMMYFUNCTION("""COMPUTED_VALUE"""),22011574.31)</f>
        <v>22011574.309999999</v>
      </c>
      <c r="M13" s="448">
        <f ca="1">IFERROR(__xludf.DUMMYFUNCTION("""COMPUTED_VALUE"""),0.428097243553341)</f>
        <v>0.428097243553341</v>
      </c>
      <c r="N13" s="454">
        <f ca="1">IFERROR(__xludf.DUMMYFUNCTION("""COMPUTED_VALUE"""),22567086.36)</f>
        <v>22567086.359999999</v>
      </c>
      <c r="O13" s="448"/>
      <c r="P13" s="454">
        <f ca="1">IFERROR(__xludf.DUMMYFUNCTION("""COMPUTED_VALUE"""),21924975.62)</f>
        <v>21924975.620000001</v>
      </c>
      <c r="Q13" s="448"/>
      <c r="R13" s="454"/>
      <c r="S13" s="448"/>
      <c r="T13" s="454"/>
      <c r="U13" s="448"/>
      <c r="V13" s="454"/>
      <c r="W13" s="448"/>
      <c r="X13" s="454"/>
      <c r="Y13" s="448"/>
    </row>
    <row r="14" spans="1:25">
      <c r="A14" s="449" t="s">
        <v>3180</v>
      </c>
      <c r="B14" s="455">
        <f ca="1">IFERROR(__xludf.DUMMYFUNCTION("""COMPUTED_VALUE"""),222112.51)</f>
        <v>222112.51</v>
      </c>
      <c r="C14" s="451">
        <f ca="1">IFERROR(__xludf.DUMMYFUNCTION("""COMPUTED_VALUE"""),0.0117055885833654)</f>
        <v>1.1705588583365401E-2</v>
      </c>
      <c r="D14" s="455">
        <f ca="1">IFERROR(__xludf.DUMMYFUNCTION("""COMPUTED_VALUE"""),188346.39)</f>
        <v>188346.39</v>
      </c>
      <c r="E14" s="451">
        <f ca="1">IFERROR(__xludf.DUMMYFUNCTION("""COMPUTED_VALUE"""),0.0104279011322745)</f>
        <v>1.04279011322745E-2</v>
      </c>
      <c r="F14" s="455">
        <f ca="1">IFERROR(__xludf.DUMMYFUNCTION("""COMPUTED_VALUE"""),226799.51)</f>
        <v>226799.51</v>
      </c>
      <c r="G14" s="451">
        <f ca="1">IFERROR(__xludf.DUMMYFUNCTION("""COMPUTED_VALUE"""),0.0132387797251239)</f>
        <v>1.3238779725123899E-2</v>
      </c>
      <c r="H14" s="455">
        <f ca="1">IFERROR(__xludf.DUMMYFUNCTION("""COMPUTED_VALUE"""),194270.47)</f>
        <v>194270.47</v>
      </c>
      <c r="I14" s="451">
        <f ca="1">IFERROR(__xludf.DUMMYFUNCTION("""COMPUTED_VALUE"""),0.0102469919101536)</f>
        <v>1.02469919101536E-2</v>
      </c>
      <c r="J14" s="455">
        <f ca="1">IFERROR(__xludf.DUMMYFUNCTION("""COMPUTED_VALUE"""),215772.74)</f>
        <v>215772.74</v>
      </c>
      <c r="K14" s="451">
        <f ca="1">IFERROR(__xludf.DUMMYFUNCTION("""COMPUTED_VALUE"""),0.0108409755496022)</f>
        <v>1.08409755496022E-2</v>
      </c>
      <c r="L14" s="455">
        <f ca="1">IFERROR(__xludf.DUMMYFUNCTION("""COMPUTED_VALUE"""),231727.78)</f>
        <v>231727.78</v>
      </c>
      <c r="M14" s="451">
        <f ca="1">IFERROR(__xludf.DUMMYFUNCTION("""COMPUTED_VALUE"""),0.0105275423164405)</f>
        <v>1.05275423164405E-2</v>
      </c>
      <c r="N14" s="455">
        <f ca="1">IFERROR(__xludf.DUMMYFUNCTION("""COMPUTED_VALUE"""),279457.49)</f>
        <v>279457.49</v>
      </c>
      <c r="O14" s="451"/>
      <c r="P14" s="455">
        <f ca="1">IFERROR(__xludf.DUMMYFUNCTION("""COMPUTED_VALUE"""),248087.61)</f>
        <v>248087.61</v>
      </c>
      <c r="Q14" s="451"/>
      <c r="R14" s="455"/>
      <c r="S14" s="451"/>
      <c r="T14" s="455"/>
      <c r="U14" s="451"/>
      <c r="V14" s="455"/>
      <c r="W14" s="451"/>
      <c r="X14" s="455"/>
      <c r="Y14" s="451"/>
    </row>
    <row r="15" spans="1:25">
      <c r="A15" s="446" t="s">
        <v>3181</v>
      </c>
      <c r="B15" s="447"/>
      <c r="C15" s="448">
        <f ca="1">IFERROR(__xludf.DUMMYFUNCTION("""COMPUTED_VALUE"""),0)</f>
        <v>0</v>
      </c>
      <c r="D15" s="447"/>
      <c r="E15" s="448">
        <f ca="1">IFERROR(__xludf.DUMMYFUNCTION("""COMPUTED_VALUE"""),0)</f>
        <v>0</v>
      </c>
      <c r="F15" s="447"/>
      <c r="G15" s="448">
        <f ca="1">IFERROR(__xludf.DUMMYFUNCTION("""COMPUTED_VALUE"""),0)</f>
        <v>0</v>
      </c>
      <c r="H15" s="447"/>
      <c r="I15" s="448">
        <f ca="1">IFERROR(__xludf.DUMMYFUNCTION("""COMPUTED_VALUE"""),0)</f>
        <v>0</v>
      </c>
      <c r="J15" s="447"/>
      <c r="K15" s="448">
        <f ca="1">IFERROR(__xludf.DUMMYFUNCTION("""COMPUTED_VALUE"""),0)</f>
        <v>0</v>
      </c>
      <c r="L15" s="447"/>
      <c r="M15" s="448">
        <f ca="1">IFERROR(__xludf.DUMMYFUNCTION("""COMPUTED_VALUE"""),0)</f>
        <v>0</v>
      </c>
      <c r="N15" s="447"/>
      <c r="O15" s="448"/>
      <c r="P15" s="447"/>
      <c r="Q15" s="448"/>
      <c r="R15" s="447"/>
      <c r="S15" s="448"/>
      <c r="T15" s="447"/>
      <c r="U15" s="448"/>
      <c r="V15" s="447"/>
      <c r="W15" s="448"/>
      <c r="X15" s="447"/>
      <c r="Y15" s="448"/>
    </row>
    <row r="16" spans="1:25">
      <c r="A16" s="449" t="s">
        <v>3182</v>
      </c>
      <c r="B16" s="450"/>
      <c r="C16" s="451" t="str">
        <f ca="1">IFERROR(__xludf.DUMMYFUNCTION("""COMPUTED_VALUE"""),"#DIV/0!")</f>
        <v>#DIV/0!</v>
      </c>
      <c r="D16" s="450"/>
      <c r="E16" s="451" t="str">
        <f ca="1">IFERROR(__xludf.DUMMYFUNCTION("""COMPUTED_VALUE"""),"#DIV/0!")</f>
        <v>#DIV/0!</v>
      </c>
      <c r="F16" s="450"/>
      <c r="G16" s="451" t="str">
        <f ca="1">IFERROR(__xludf.DUMMYFUNCTION("""COMPUTED_VALUE"""),"#DIV/0!")</f>
        <v>#DIV/0!</v>
      </c>
      <c r="H16" s="450"/>
      <c r="I16" s="451" t="str">
        <f ca="1">IFERROR(__xludf.DUMMYFUNCTION("""COMPUTED_VALUE"""),"#DIV/0!")</f>
        <v>#DIV/0!</v>
      </c>
      <c r="J16" s="450"/>
      <c r="K16" s="451" t="str">
        <f ca="1">IFERROR(__xludf.DUMMYFUNCTION("""COMPUTED_VALUE"""),"#DIV/0!")</f>
        <v>#DIV/0!</v>
      </c>
      <c r="L16" s="450"/>
      <c r="M16" s="451" t="str">
        <f ca="1">IFERROR(__xludf.DUMMYFUNCTION("""COMPUTED_VALUE"""),"#DIV/0!")</f>
        <v>#DIV/0!</v>
      </c>
      <c r="N16" s="450"/>
      <c r="O16" s="451"/>
      <c r="P16" s="450"/>
      <c r="Q16" s="451"/>
      <c r="R16" s="450"/>
      <c r="S16" s="451"/>
      <c r="T16" s="450"/>
      <c r="U16" s="451"/>
      <c r="V16" s="450"/>
      <c r="W16" s="451"/>
      <c r="X16" s="450"/>
      <c r="Y16" s="451"/>
    </row>
    <row r="17" spans="1:25">
      <c r="A17" s="446" t="s">
        <v>3183</v>
      </c>
      <c r="B17" s="454">
        <f ca="1">IFERROR(__xludf.DUMMYFUNCTION("""COMPUTED_VALUE"""),78715.81)</f>
        <v>78715.81</v>
      </c>
      <c r="C17" s="448">
        <f ca="1">IFERROR(__xludf.DUMMYFUNCTION("""COMPUTED_VALUE"""),0.00167689845507074)</f>
        <v>1.67689845507074E-3</v>
      </c>
      <c r="D17" s="454">
        <f ca="1">IFERROR(__xludf.DUMMYFUNCTION("""COMPUTED_VALUE"""),77911.67)</f>
        <v>77911.67</v>
      </c>
      <c r="E17" s="448">
        <f ca="1">IFERROR(__xludf.DUMMYFUNCTION("""COMPUTED_VALUE"""),0.00168978345495101)</f>
        <v>1.6897834549510101E-3</v>
      </c>
      <c r="F17" s="454">
        <f ca="1">IFERROR(__xludf.DUMMYFUNCTION("""COMPUTED_VALUE"""),79893.59)</f>
        <v>79893.59</v>
      </c>
      <c r="G17" s="448">
        <f ca="1">IFERROR(__xludf.DUMMYFUNCTION("""COMPUTED_VALUE"""),0.00175827908079349)</f>
        <v>1.7582790807934899E-3</v>
      </c>
      <c r="H17" s="454">
        <f ca="1">IFERROR(__xludf.DUMMYFUNCTION("""COMPUTED_VALUE"""),76583.32)</f>
        <v>76583.320000000007</v>
      </c>
      <c r="I17" s="448">
        <f ca="1">IFERROR(__xludf.DUMMYFUNCTION("""COMPUTED_VALUE"""),0.00161461794424085)</f>
        <v>1.6146179442408501E-3</v>
      </c>
      <c r="J17" s="454">
        <f ca="1">IFERROR(__xludf.DUMMYFUNCTION("""COMPUTED_VALUE"""),75155.95)</f>
        <v>75155.95</v>
      </c>
      <c r="K17" s="448">
        <f ca="1">IFERROR(__xludf.DUMMYFUNCTION("""COMPUTED_VALUE"""),0.00156017199028935)</f>
        <v>1.56017199028935E-3</v>
      </c>
      <c r="L17" s="454">
        <f ca="1">IFERROR(__xludf.DUMMYFUNCTION("""COMPUTED_VALUE"""),73536.89)</f>
        <v>73536.89</v>
      </c>
      <c r="M17" s="448">
        <f ca="1">IFERROR(__xludf.DUMMYFUNCTION("""COMPUTED_VALUE"""),0.00143019937897778)</f>
        <v>1.43019937897778E-3</v>
      </c>
      <c r="N17" s="454">
        <f ca="1">IFERROR(__xludf.DUMMYFUNCTION("""COMPUTED_VALUE"""),73536.89)</f>
        <v>73536.89</v>
      </c>
      <c r="O17" s="448"/>
      <c r="P17" s="454">
        <f ca="1">IFERROR(__xludf.DUMMYFUNCTION("""COMPUTED_VALUE"""),73536.89)</f>
        <v>73536.89</v>
      </c>
      <c r="Q17" s="448"/>
      <c r="R17" s="454"/>
      <c r="S17" s="448"/>
      <c r="T17" s="454"/>
      <c r="U17" s="448"/>
      <c r="V17" s="454"/>
      <c r="W17" s="448"/>
      <c r="X17" s="454"/>
      <c r="Y17" s="448"/>
    </row>
    <row r="18" spans="1:25">
      <c r="A18" s="449" t="s">
        <v>3184</v>
      </c>
      <c r="B18" s="455">
        <f ca="1">IFERROR(__xludf.DUMMYFUNCTION("""COMPUTED_VALUE"""),4517.58999999999)</f>
        <v>4517.5899999999901</v>
      </c>
      <c r="C18" s="451">
        <f ca="1">IFERROR(__xludf.DUMMYFUNCTION("""COMPUTED_VALUE"""),0.0573911390862902)</f>
        <v>5.7391139086290198E-2</v>
      </c>
      <c r="D18" s="455">
        <f ca="1">IFERROR(__xludf.DUMMYFUNCTION("""COMPUTED_VALUE"""),-804.139999999999)</f>
        <v>-804.13999999999896</v>
      </c>
      <c r="E18" s="451">
        <f ca="1">IFERROR(__xludf.DUMMYFUNCTION("""COMPUTED_VALUE"""),-0.0103211752488426)</f>
        <v>-1.0321175248842599E-2</v>
      </c>
      <c r="F18" s="455">
        <f ca="1">IFERROR(__xludf.DUMMYFUNCTION("""COMPUTED_VALUE"""),1981.91999999999)</f>
        <v>1981.9199999999901</v>
      </c>
      <c r="G18" s="451">
        <f ca="1">IFERROR(__xludf.DUMMYFUNCTION("""COMPUTED_VALUE"""),0.0248069964060946)</f>
        <v>2.48069964060946E-2</v>
      </c>
      <c r="H18" s="455">
        <f ca="1">IFERROR(__xludf.DUMMYFUNCTION("""COMPUTED_VALUE"""),-3310.26999999998)</f>
        <v>-3310.26999999998</v>
      </c>
      <c r="I18" s="451">
        <f ca="1">IFERROR(__xludf.DUMMYFUNCTION("""COMPUTED_VALUE"""),-0.0432244253709553)</f>
        <v>-4.3224425370955298E-2</v>
      </c>
      <c r="J18" s="455">
        <f ca="1">IFERROR(__xludf.DUMMYFUNCTION("""COMPUTED_VALUE"""),-1427.37000000001)</f>
        <v>-1427.3700000000099</v>
      </c>
      <c r="K18" s="451">
        <f ca="1">IFERROR(__xludf.DUMMYFUNCTION("""COMPUTED_VALUE"""),-0.0189921090745311)</f>
        <v>-1.89921090745311E-2</v>
      </c>
      <c r="L18" s="455">
        <f ca="1">IFERROR(__xludf.DUMMYFUNCTION("""COMPUTED_VALUE"""),-1619.05999999999)</f>
        <v>-1619.0599999999899</v>
      </c>
      <c r="M18" s="451">
        <f ca="1">IFERROR(__xludf.DUMMYFUNCTION("""COMPUTED_VALUE"""),-0.0220169767853929)</f>
        <v>-2.2016976785392901E-2</v>
      </c>
      <c r="N18" s="455">
        <f ca="1">IFERROR(__xludf.DUMMYFUNCTION("""COMPUTED_VALUE"""),0)</f>
        <v>0</v>
      </c>
      <c r="O18" s="451"/>
      <c r="P18" s="455">
        <f ca="1">IFERROR(__xludf.DUMMYFUNCTION("""COMPUTED_VALUE"""),0)</f>
        <v>0</v>
      </c>
      <c r="Q18" s="451"/>
      <c r="R18" s="455"/>
      <c r="S18" s="451"/>
      <c r="T18" s="455"/>
      <c r="U18" s="451"/>
      <c r="V18" s="455"/>
      <c r="W18" s="451"/>
      <c r="X18" s="455"/>
      <c r="Y18" s="451"/>
    </row>
    <row r="19" spans="1:25">
      <c r="A19" s="446" t="s">
        <v>3185</v>
      </c>
      <c r="B19" s="447"/>
      <c r="C19" s="448">
        <f ca="1">IFERROR(__xludf.DUMMYFUNCTION("""COMPUTED_VALUE"""),0)</f>
        <v>0</v>
      </c>
      <c r="D19" s="447"/>
      <c r="E19" s="448">
        <f ca="1">IFERROR(__xludf.DUMMYFUNCTION("""COMPUTED_VALUE"""),0)</f>
        <v>0</v>
      </c>
      <c r="F19" s="447"/>
      <c r="G19" s="448">
        <f ca="1">IFERROR(__xludf.DUMMYFUNCTION("""COMPUTED_VALUE"""),0)</f>
        <v>0</v>
      </c>
      <c r="H19" s="447"/>
      <c r="I19" s="448">
        <f ca="1">IFERROR(__xludf.DUMMYFUNCTION("""COMPUTED_VALUE"""),0)</f>
        <v>0</v>
      </c>
      <c r="J19" s="447"/>
      <c r="K19" s="448">
        <f ca="1">IFERROR(__xludf.DUMMYFUNCTION("""COMPUTED_VALUE"""),0)</f>
        <v>0</v>
      </c>
      <c r="L19" s="447"/>
      <c r="M19" s="448">
        <f ca="1">IFERROR(__xludf.DUMMYFUNCTION("""COMPUTED_VALUE"""),0)</f>
        <v>0</v>
      </c>
      <c r="N19" s="447"/>
      <c r="O19" s="448"/>
      <c r="P19" s="447"/>
      <c r="Q19" s="448"/>
      <c r="R19" s="447"/>
      <c r="S19" s="448"/>
      <c r="T19" s="447"/>
      <c r="U19" s="448"/>
      <c r="V19" s="447"/>
      <c r="W19" s="448"/>
      <c r="X19" s="447"/>
      <c r="Y19" s="448"/>
    </row>
    <row r="20" spans="1:25">
      <c r="A20" s="449" t="s">
        <v>3186</v>
      </c>
      <c r="B20" s="450"/>
      <c r="C20" s="451" t="str">
        <f ca="1">IFERROR(__xludf.DUMMYFUNCTION("""COMPUTED_VALUE"""),"#DIV/0!")</f>
        <v>#DIV/0!</v>
      </c>
      <c r="D20" s="450"/>
      <c r="E20" s="451" t="str">
        <f ca="1">IFERROR(__xludf.DUMMYFUNCTION("""COMPUTED_VALUE"""),"#DIV/0!")</f>
        <v>#DIV/0!</v>
      </c>
      <c r="F20" s="450"/>
      <c r="G20" s="451" t="str">
        <f ca="1">IFERROR(__xludf.DUMMYFUNCTION("""COMPUTED_VALUE"""),"#DIV/0!")</f>
        <v>#DIV/0!</v>
      </c>
      <c r="H20" s="450"/>
      <c r="I20" s="451" t="str">
        <f ca="1">IFERROR(__xludf.DUMMYFUNCTION("""COMPUTED_VALUE"""),"#DIV/0!")</f>
        <v>#DIV/0!</v>
      </c>
      <c r="J20" s="450"/>
      <c r="K20" s="451" t="str">
        <f ca="1">IFERROR(__xludf.DUMMYFUNCTION("""COMPUTED_VALUE"""),"#DIV/0!")</f>
        <v>#DIV/0!</v>
      </c>
      <c r="L20" s="450"/>
      <c r="M20" s="451" t="str">
        <f ca="1">IFERROR(__xludf.DUMMYFUNCTION("""COMPUTED_VALUE"""),"#DIV/0!")</f>
        <v>#DIV/0!</v>
      </c>
      <c r="N20" s="450"/>
      <c r="O20" s="451"/>
      <c r="P20" s="450"/>
      <c r="Q20" s="451"/>
      <c r="R20" s="450"/>
      <c r="S20" s="451"/>
      <c r="T20" s="450"/>
      <c r="U20" s="451"/>
      <c r="V20" s="450"/>
      <c r="W20" s="451"/>
      <c r="X20" s="450"/>
      <c r="Y20" s="451"/>
    </row>
    <row r="21" spans="1:25">
      <c r="A21" s="446" t="s">
        <v>3187</v>
      </c>
      <c r="B21" s="454">
        <f ca="1">IFERROR(__xludf.DUMMYFUNCTION("""COMPUTED_VALUE"""),3446789.8)</f>
        <v>3446789.8</v>
      </c>
      <c r="C21" s="448">
        <f ca="1">IFERROR(__xludf.DUMMYFUNCTION("""COMPUTED_VALUE"""),0.00085176067286424)</f>
        <v>8.5176067286424004E-4</v>
      </c>
      <c r="D21" s="454">
        <f ca="1">IFERROR(__xludf.DUMMYFUNCTION("""COMPUTED_VALUE"""),3449692.77)</f>
        <v>3449692.77</v>
      </c>
      <c r="E21" s="448">
        <f ca="1">IFERROR(__xludf.DUMMYFUNCTION("""COMPUTED_VALUE"""),0.000748184933965621)</f>
        <v>7.4818493396562103E-4</v>
      </c>
      <c r="F21" s="454">
        <f ca="1">IFERROR(__xludf.DUMMYFUNCTION("""COMPUTED_VALUE"""),3472380)</f>
        <v>3472380</v>
      </c>
      <c r="G21" s="448">
        <f ca="1">IFERROR(__xludf.DUMMYFUNCTION("""COMPUTED_VALUE"""),0.000499295148836728)</f>
        <v>4.9929514883672796E-4</v>
      </c>
      <c r="H21" s="454">
        <f ca="1">IFERROR(__xludf.DUMMYFUNCTION("""COMPUTED_VALUE"""),3416221.56)</f>
        <v>3416221.56</v>
      </c>
      <c r="I21" s="448">
        <f ca="1">IFERROR(__xludf.DUMMYFUNCTION("""COMPUTED_VALUE"""),0.000504173081370061)</f>
        <v>5.0417308137006098E-4</v>
      </c>
      <c r="J21" s="454">
        <f ca="1">IFERROR(__xludf.DUMMYFUNCTION("""COMPUTED_VALUE"""),3404250.78)</f>
        <v>3404250.78</v>
      </c>
      <c r="K21" s="448">
        <f ca="1">IFERROR(__xludf.DUMMYFUNCTION("""COMPUTED_VALUE"""),0.00075616127331476)</f>
        <v>7.5616127331476002E-4</v>
      </c>
      <c r="L21" s="454">
        <f ca="1">IFERROR(__xludf.DUMMYFUNCTION("""COMPUTED_VALUE"""),3404250.78)</f>
        <v>3404250.78</v>
      </c>
      <c r="M21" s="448">
        <f ca="1">IFERROR(__xludf.DUMMYFUNCTION("""COMPUTED_VALUE"""),0.000662083663239039)</f>
        <v>6.6208366323903904E-4</v>
      </c>
      <c r="N21" s="454">
        <f ca="1">IFERROR(__xludf.DUMMYFUNCTION("""COMPUTED_VALUE"""),3327915.61)</f>
        <v>3327915.61</v>
      </c>
      <c r="O21" s="448"/>
      <c r="P21" s="454">
        <f ca="1">IFERROR(__xludf.DUMMYFUNCTION("""COMPUTED_VALUE"""),3498518.21)</f>
        <v>3498518.21</v>
      </c>
      <c r="Q21" s="448"/>
      <c r="R21" s="454"/>
      <c r="S21" s="448"/>
      <c r="T21" s="454"/>
      <c r="U21" s="448"/>
      <c r="V21" s="454"/>
      <c r="W21" s="448"/>
      <c r="X21" s="454"/>
      <c r="Y21" s="448"/>
    </row>
    <row r="22" spans="1:25">
      <c r="A22" s="449" t="s">
        <v>3188</v>
      </c>
      <c r="B22" s="455">
        <f ca="1">IFERROR(__xludf.DUMMYFUNCTION("""COMPUTED_VALUE"""),39982.7616799999)</f>
        <v>39982.761679999901</v>
      </c>
      <c r="C22" s="451">
        <f ca="1">IFERROR(__xludf.DUMMYFUNCTION("""COMPUTED_VALUE"""),0.0116)</f>
        <v>1.1599999999999999E-2</v>
      </c>
      <c r="D22" s="455">
        <f ca="1">IFERROR(__xludf.DUMMYFUNCTION("""COMPUTED_VALUE"""),34496.9277)</f>
        <v>34496.9277</v>
      </c>
      <c r="E22" s="451">
        <f ca="1">IFERROR(__xludf.DUMMYFUNCTION("""COMPUTED_VALUE"""),0.01)</f>
        <v>0.01</v>
      </c>
      <c r="F22" s="455">
        <f ca="1">IFERROR(__xludf.DUMMYFUNCTION("""COMPUTED_VALUE"""),22687.2299999999)</f>
        <v>22687.229999999901</v>
      </c>
      <c r="G22" s="451">
        <f ca="1">IFERROR(__xludf.DUMMYFUNCTION("""COMPUTED_VALUE"""),0.00653362535206399)</f>
        <v>6.5336253520639903E-3</v>
      </c>
      <c r="H22" s="455">
        <f ca="1">IFERROR(__xludf.DUMMYFUNCTION("""COMPUTED_VALUE"""),23913.55092)</f>
        <v>23913.550920000001</v>
      </c>
      <c r="I22" s="451">
        <f ca="1">IFERROR(__xludf.DUMMYFUNCTION("""COMPUTED_VALUE"""),0.007)</f>
        <v>7.0000000000000001E-3</v>
      </c>
      <c r="J22" s="455">
        <f ca="1">IFERROR(__xludf.DUMMYFUNCTION("""COMPUTED_VALUE"""),36425.4833459999)</f>
        <v>36425.483345999899</v>
      </c>
      <c r="K22" s="451">
        <f ca="1">IFERROR(__xludf.DUMMYFUNCTION("""COMPUTED_VALUE"""),0.0107)</f>
        <v>1.0699999999999999E-2</v>
      </c>
      <c r="L22" s="455">
        <f ca="1">IFERROR(__xludf.DUMMYFUNCTION("""COMPUTED_VALUE"""),34042.5078)</f>
        <v>34042.507799999999</v>
      </c>
      <c r="M22" s="451">
        <f ca="1">IFERROR(__xludf.DUMMYFUNCTION("""COMPUTED_VALUE"""),0.0107)</f>
        <v>1.0699999999999999E-2</v>
      </c>
      <c r="N22" s="455">
        <f ca="1">IFERROR(__xludf.DUMMYFUNCTION("""COMPUTED_VALUE"""),30949.6151729999)</f>
        <v>30949.6151729999</v>
      </c>
      <c r="O22" s="451">
        <f ca="1">IFERROR(__xludf.DUMMYFUNCTION("""COMPUTED_VALUE"""),0.0093)</f>
        <v>9.2999999999999992E-3</v>
      </c>
      <c r="P22" s="455">
        <f ca="1">IFERROR(__xludf.DUMMYFUNCTION("""COMPUTED_VALUE"""),30728.91)</f>
        <v>30728.91</v>
      </c>
      <c r="Q22" s="451">
        <f ca="1">IFERROR(__xludf.DUMMYFUNCTION("""COMPUTED_VALUE"""),0.0093)</f>
        <v>9.2999999999999992E-3</v>
      </c>
      <c r="R22" s="455"/>
      <c r="S22" s="451"/>
      <c r="T22" s="455"/>
      <c r="U22" s="451"/>
      <c r="V22" s="455"/>
      <c r="W22" s="451"/>
      <c r="X22" s="455"/>
      <c r="Y22" s="451"/>
    </row>
    <row r="23" spans="1:25">
      <c r="A23" s="456"/>
      <c r="B23" s="454">
        <f ca="1">IFERROR(__xludf.DUMMYFUNCTION("""COMPUTED_VALUE"""),4206024.56)</f>
        <v>4206024.5599999996</v>
      </c>
      <c r="C23" s="448">
        <f ca="1">IFERROR(__xludf.DUMMYFUNCTION("""COMPUTED_VALUE"""),0.0896017723333292)</f>
        <v>8.9601772333329194E-2</v>
      </c>
      <c r="D23" s="454">
        <f ca="1">IFERROR(__xludf.DUMMYFUNCTION("""COMPUTED_VALUE"""),4206024.56)</f>
        <v>4206024.5599999996</v>
      </c>
      <c r="E23" s="448">
        <f ca="1">IFERROR(__xludf.DUMMYFUNCTION("""COMPUTED_VALUE"""),0.0912221585367841)</f>
        <v>9.1222158536784101E-2</v>
      </c>
      <c r="F23" s="454">
        <f ca="1">IFERROR(__xludf.DUMMYFUNCTION("""COMPUTED_VALUE"""),4206024.56)</f>
        <v>4206024.5599999996</v>
      </c>
      <c r="G23" s="448">
        <f ca="1">IFERROR(__xludf.DUMMYFUNCTION("""COMPUTED_VALUE"""),0.0925651857320676)</f>
        <v>9.2565185732067595E-2</v>
      </c>
      <c r="H23" s="454">
        <f ca="1">IFERROR(__xludf.DUMMYFUNCTION("""COMPUTED_VALUE"""),4206024.56)</f>
        <v>4206024.5599999996</v>
      </c>
      <c r="I23" s="448">
        <f ca="1">IFERROR(__xludf.DUMMYFUNCTION("""COMPUTED_VALUE"""),0.0886762643418143)</f>
        <v>8.8676264341814304E-2</v>
      </c>
      <c r="J23" s="454">
        <f ca="1">IFERROR(__xludf.DUMMYFUNCTION("""COMPUTED_VALUE"""),4206024.56)</f>
        <v>4206024.5599999996</v>
      </c>
      <c r="K23" s="448">
        <f ca="1">IFERROR(__xludf.DUMMYFUNCTION("""COMPUTED_VALUE"""),0.0873134024515836)</f>
        <v>8.7313402451583602E-2</v>
      </c>
      <c r="L23" s="454">
        <f ca="1">IFERROR(__xludf.DUMMYFUNCTION("""COMPUTED_VALUE"""),4206024.56)</f>
        <v>4206024.5599999996</v>
      </c>
      <c r="M23" s="448">
        <f ca="1">IFERROR(__xludf.DUMMYFUNCTION("""COMPUTED_VALUE"""),0.0818018509305642)</f>
        <v>8.1801850930564204E-2</v>
      </c>
      <c r="N23" s="454">
        <f ca="1">IFERROR(__xludf.DUMMYFUNCTION("""COMPUTED_VALUE"""),4206024.56)</f>
        <v>4206024.5599999996</v>
      </c>
      <c r="O23" s="448"/>
      <c r="P23" s="454">
        <f ca="1">IFERROR(__xludf.DUMMYFUNCTION("""COMPUTED_VALUE"""),4206024.56)</f>
        <v>4206024.5599999996</v>
      </c>
      <c r="Q23" s="448"/>
      <c r="R23" s="454"/>
      <c r="S23" s="448"/>
      <c r="T23" s="454"/>
      <c r="U23" s="448"/>
      <c r="V23" s="454"/>
      <c r="W23" s="448"/>
      <c r="X23" s="454"/>
      <c r="Y23" s="448"/>
    </row>
    <row r="24" spans="1:25">
      <c r="A24" s="457"/>
      <c r="B24" s="455">
        <f ca="1">IFERROR(__xludf.DUMMYFUNCTION("""COMPUTED_VALUE"""),37854.22)</f>
        <v>37854.22</v>
      </c>
      <c r="C24" s="451">
        <f ca="1">IFERROR(__xludf.DUMMYFUNCTION("""COMPUTED_VALUE"""),0.009)</f>
        <v>8.9999999999999993E-3</v>
      </c>
      <c r="D24" s="455">
        <f ca="1">IFERROR(__xludf.DUMMYFUNCTION("""COMPUTED_VALUE"""),37854.22)</f>
        <v>37854.22</v>
      </c>
      <c r="E24" s="451">
        <f ca="1">IFERROR(__xludf.DUMMYFUNCTION("""COMPUTED_VALUE"""),0.009)</f>
        <v>8.9999999999999993E-3</v>
      </c>
      <c r="F24" s="455">
        <f ca="1">IFERROR(__xludf.DUMMYFUNCTION("""COMPUTED_VALUE"""),37854.22)</f>
        <v>37854.22</v>
      </c>
      <c r="G24" s="451">
        <f ca="1">IFERROR(__xludf.DUMMYFUNCTION("""COMPUTED_VALUE"""),0.009)</f>
        <v>8.9999999999999993E-3</v>
      </c>
      <c r="H24" s="455">
        <f ca="1">IFERROR(__xludf.DUMMYFUNCTION("""COMPUTED_VALUE"""),37854.22)</f>
        <v>37854.22</v>
      </c>
      <c r="I24" s="451">
        <f ca="1">IFERROR(__xludf.DUMMYFUNCTION("""COMPUTED_VALUE"""),0.009)</f>
        <v>8.9999999999999993E-3</v>
      </c>
      <c r="J24" s="455">
        <f ca="1">IFERROR(__xludf.DUMMYFUNCTION("""COMPUTED_VALUE"""),37854.22)</f>
        <v>37854.22</v>
      </c>
      <c r="K24" s="451">
        <f ca="1">IFERROR(__xludf.DUMMYFUNCTION("""COMPUTED_VALUE"""),0.009)</f>
        <v>8.9999999999999993E-3</v>
      </c>
      <c r="L24" s="455">
        <f ca="1">IFERROR(__xludf.DUMMYFUNCTION("""COMPUTED_VALUE"""),37854.22)</f>
        <v>37854.22</v>
      </c>
      <c r="M24" s="451">
        <f ca="1">IFERROR(__xludf.DUMMYFUNCTION("""COMPUTED_VALUE"""),0.009)</f>
        <v>8.9999999999999993E-3</v>
      </c>
      <c r="N24" s="455">
        <f ca="1">IFERROR(__xludf.DUMMYFUNCTION("""COMPUTED_VALUE"""),37854.22)</f>
        <v>37854.22</v>
      </c>
      <c r="O24" s="451"/>
      <c r="P24" s="455">
        <f ca="1">IFERROR(__xludf.DUMMYFUNCTION("""COMPUTED_VALUE"""),37854.22)</f>
        <v>37854.22</v>
      </c>
      <c r="Q24" s="451"/>
      <c r="R24" s="455"/>
      <c r="S24" s="451"/>
      <c r="T24" s="455"/>
      <c r="U24" s="451"/>
      <c r="V24" s="455"/>
      <c r="W24" s="451"/>
      <c r="X24" s="455"/>
      <c r="Y24" s="451"/>
    </row>
    <row r="25" spans="1:25">
      <c r="A25" s="446" t="s">
        <v>3189</v>
      </c>
      <c r="B25" s="454">
        <f ca="1">IFERROR(__xludf.DUMMYFUNCTION("""COMPUTED_VALUE"""),290429.81)</f>
        <v>290429.81</v>
      </c>
      <c r="C25" s="448">
        <f ca="1">IFERROR(__xludf.DUMMYFUNCTION("""COMPUTED_VALUE"""),0.00618708363282406)</f>
        <v>6.18708363282406E-3</v>
      </c>
      <c r="D25" s="454">
        <f ca="1">IFERROR(__xludf.DUMMYFUNCTION("""COMPUTED_VALUE"""),292714.37)</f>
        <v>292714.37</v>
      </c>
      <c r="E25" s="448">
        <f ca="1">IFERROR(__xludf.DUMMYFUNCTION("""COMPUTED_VALUE"""),0.00634852133772012)</f>
        <v>6.3485213377201203E-3</v>
      </c>
      <c r="F25" s="454">
        <f ca="1">IFERROR(__xludf.DUMMYFUNCTION("""COMPUTED_VALUE"""),296110.92)</f>
        <v>296110.92</v>
      </c>
      <c r="G25" s="448">
        <f ca="1">IFERROR(__xludf.DUMMYFUNCTION("""COMPUTED_VALUE"""),0.00651673852971828)</f>
        <v>6.5167385297182799E-3</v>
      </c>
      <c r="H25" s="454">
        <f ca="1">IFERROR(__xludf.DUMMYFUNCTION("""COMPUTED_VALUE"""),295728.57)</f>
        <v>295728.57</v>
      </c>
      <c r="I25" s="448">
        <f ca="1">IFERROR(__xludf.DUMMYFUNCTION("""COMPUTED_VALUE"""),0.00623489104085182)</f>
        <v>6.2348910408518204E-3</v>
      </c>
      <c r="J25" s="454">
        <f ca="1">IFERROR(__xludf.DUMMYFUNCTION("""COMPUTED_VALUE"""),272341.77)</f>
        <v>272341.77</v>
      </c>
      <c r="K25" s="448">
        <f ca="1">IFERROR(__xludf.DUMMYFUNCTION("""COMPUTED_VALUE"""),0.0056535776786778)</f>
        <v>5.6535776786777996E-3</v>
      </c>
      <c r="L25" s="454">
        <f ca="1">IFERROR(__xludf.DUMMYFUNCTION("""COMPUTED_VALUE"""),274249.49)</f>
        <v>274249.49</v>
      </c>
      <c r="M25" s="448">
        <f ca="1">IFERROR(__xludf.DUMMYFUNCTION("""COMPUTED_VALUE"""),0.00533380525451883)</f>
        <v>5.3338052545188301E-3</v>
      </c>
      <c r="N25" s="454">
        <f ca="1">IFERROR(__xludf.DUMMYFUNCTION("""COMPUTED_VALUE"""),278516.62)</f>
        <v>278516.62</v>
      </c>
      <c r="O25" s="448"/>
      <c r="P25" s="454">
        <f ca="1">IFERROR(__xludf.DUMMYFUNCTION("""COMPUTED_VALUE"""),279281.59)</f>
        <v>279281.59000000003</v>
      </c>
      <c r="Q25" s="448"/>
      <c r="R25" s="454"/>
      <c r="S25" s="448"/>
      <c r="T25" s="454"/>
      <c r="U25" s="448"/>
      <c r="V25" s="454"/>
      <c r="W25" s="448"/>
      <c r="X25" s="454"/>
      <c r="Y25" s="448"/>
    </row>
    <row r="26" spans="1:25">
      <c r="A26" s="449" t="s">
        <v>3190</v>
      </c>
      <c r="B26" s="455">
        <f ca="1">IFERROR(__xludf.DUMMYFUNCTION("""COMPUTED_VALUE"""),4422.23)</f>
        <v>4422.2299999999996</v>
      </c>
      <c r="C26" s="451">
        <f ca="1">IFERROR(__xludf.DUMMYFUNCTION("""COMPUTED_VALUE"""),0.0152265017148205)</f>
        <v>1.52265017148205E-2</v>
      </c>
      <c r="D26" s="455">
        <f ca="1">IFERROR(__xludf.DUMMYFUNCTION("""COMPUTED_VALUE"""),2284.56)</f>
        <v>2284.56</v>
      </c>
      <c r="E26" s="451">
        <f ca="1">IFERROR(__xludf.DUMMYFUNCTION("""COMPUTED_VALUE"""),0.00780474153011346)</f>
        <v>7.8047415301134597E-3</v>
      </c>
      <c r="F26" s="455">
        <f ca="1">IFERROR(__xludf.DUMMYFUNCTION("""COMPUTED_VALUE"""),3396.55)</f>
        <v>3396.55</v>
      </c>
      <c r="G26" s="451">
        <f ca="1">IFERROR(__xludf.DUMMYFUNCTION("""COMPUTED_VALUE"""),0.0114705327314507)</f>
        <v>1.1470532731450701E-2</v>
      </c>
      <c r="H26" s="455">
        <f ca="1">IFERROR(__xludf.DUMMYFUNCTION("""COMPUTED_VALUE"""),699.01)</f>
        <v>699.01</v>
      </c>
      <c r="I26" s="451">
        <f ca="1">IFERROR(__xludf.DUMMYFUNCTION("""COMPUTED_VALUE"""),0.00236368775597163)</f>
        <v>2.3636877559716301E-3</v>
      </c>
      <c r="J26" s="455"/>
      <c r="K26" s="451">
        <f ca="1">IFERROR(__xludf.DUMMYFUNCTION("""COMPUTED_VALUE"""),0)</f>
        <v>0</v>
      </c>
      <c r="L26" s="455">
        <f ca="1">IFERROR(__xludf.DUMMYFUNCTION("""COMPUTED_VALUE"""),1904.73)</f>
        <v>1904.73</v>
      </c>
      <c r="M26" s="451">
        <f ca="1">IFERROR(__xludf.DUMMYFUNCTION("""COMPUTED_VALUE"""),0.00694524536763951)</f>
        <v>6.94524536763951E-3</v>
      </c>
      <c r="N26" s="455">
        <f ca="1">IFERROR(__xludf.DUMMYFUNCTION("""COMPUTED_VALUE"""),2754.85)</f>
        <v>2754.85</v>
      </c>
      <c r="O26" s="451"/>
      <c r="P26" s="455">
        <f ca="1">IFERROR(__xludf.DUMMYFUNCTION("""COMPUTED_VALUE"""),3519.83)</f>
        <v>3519.83</v>
      </c>
      <c r="Q26" s="451"/>
      <c r="R26" s="455"/>
      <c r="S26" s="451"/>
      <c r="T26" s="455"/>
      <c r="U26" s="451"/>
      <c r="V26" s="455"/>
      <c r="W26" s="451"/>
      <c r="X26" s="455"/>
      <c r="Y26" s="451"/>
    </row>
    <row r="27" spans="1:25">
      <c r="A27" s="458"/>
      <c r="B27" s="459"/>
      <c r="C27" s="460"/>
      <c r="D27" s="459"/>
      <c r="E27" s="460"/>
      <c r="F27" s="459"/>
      <c r="G27" s="460"/>
      <c r="H27" s="459"/>
      <c r="I27" s="460"/>
      <c r="J27" s="459"/>
      <c r="K27" s="460"/>
      <c r="L27" s="459"/>
      <c r="M27" s="460"/>
      <c r="N27" s="459"/>
      <c r="O27" s="460"/>
      <c r="P27" s="459"/>
      <c r="Q27" s="460"/>
      <c r="R27" s="459"/>
      <c r="S27" s="460"/>
      <c r="T27" s="459"/>
      <c r="U27" s="460"/>
      <c r="V27" s="459"/>
      <c r="W27" s="460"/>
      <c r="X27" s="459"/>
      <c r="Y27" s="460"/>
    </row>
    <row r="28" spans="1:25">
      <c r="A28" s="449" t="s">
        <v>3191</v>
      </c>
      <c r="B28" s="455">
        <f ca="1">IFERROR(__xludf.DUMMYFUNCTION("""COMPUTED_VALUE"""),433450.981679999)</f>
        <v>433450.98167999898</v>
      </c>
      <c r="C28" s="451">
        <f ca="1">IFERROR(__xludf.DUMMYFUNCTION("""COMPUTED_VALUE"""),0.00923389191482738)</f>
        <v>9.2338919148273798E-3</v>
      </c>
      <c r="D28" s="455">
        <f ca="1">IFERROR(__xludf.DUMMYFUNCTION("""COMPUTED_VALUE"""),382491.6677)</f>
        <v>382491.66769999999</v>
      </c>
      <c r="E28" s="451">
        <f ca="1">IFERROR(__xludf.DUMMYFUNCTION("""COMPUTED_VALUE"""),0.00829565188034194)</f>
        <v>8.2956518803419393E-3</v>
      </c>
      <c r="F28" s="455">
        <f ca="1">IFERROR(__xludf.DUMMYFUNCTION("""COMPUTED_VALUE"""),534870.279999999)</f>
        <v>534870.27999999898</v>
      </c>
      <c r="G28" s="451">
        <f ca="1">IFERROR(__xludf.DUMMYFUNCTION("""COMPUTED_VALUE"""),0.0117712976004978)</f>
        <v>1.1771297600497801E-2</v>
      </c>
      <c r="H28" s="455">
        <f ca="1">IFERROR(__xludf.DUMMYFUNCTION("""COMPUTED_VALUE"""),483440.39092)</f>
        <v>483440.39091999998</v>
      </c>
      <c r="I28" s="451">
        <f ca="1">IFERROR(__xludf.DUMMYFUNCTION("""COMPUTED_VALUE"""),0.0101924483053261)</f>
        <v>1.0192448305326099E-2</v>
      </c>
      <c r="J28" s="455">
        <f ca="1">IFERROR(__xludf.DUMMYFUNCTION("""COMPUTED_VALUE"""),483102.933345999)</f>
        <v>483102.93334599899</v>
      </c>
      <c r="K28" s="451">
        <f ca="1">IFERROR(__xludf.DUMMYFUNCTION("""COMPUTED_VALUE"""),0.0100287956580025)</f>
        <v>1.00287956580025E-2</v>
      </c>
      <c r="L28" s="455">
        <f ca="1">IFERROR(__xludf.DUMMYFUNCTION("""COMPUTED_VALUE"""),482631.657799999)</f>
        <v>482631.657799999</v>
      </c>
      <c r="M28" s="451">
        <f ca="1">IFERROR(__xludf.DUMMYFUNCTION("""COMPUTED_VALUE"""),0.00938657451056983)</f>
        <v>9.3865745105698294E-3</v>
      </c>
      <c r="N28" s="455">
        <f ca="1">IFERROR(__xludf.DUMMYFUNCTION("""COMPUTED_VALUE"""),510797.865173)</f>
        <v>510797.86517300003</v>
      </c>
      <c r="O28" s="451"/>
      <c r="P28" s="455">
        <f ca="1">IFERROR(__xludf.DUMMYFUNCTION("""COMPUTED_VALUE"""),467285.15)</f>
        <v>467285.15</v>
      </c>
      <c r="Q28" s="451"/>
      <c r="R28" s="455"/>
      <c r="S28" s="451"/>
      <c r="T28" s="455"/>
      <c r="U28" s="451"/>
      <c r="V28" s="455"/>
      <c r="W28" s="451"/>
      <c r="X28" s="455"/>
      <c r="Y28" s="451"/>
    </row>
    <row r="29" spans="1:25">
      <c r="A29" s="461" t="s">
        <v>3192</v>
      </c>
      <c r="B29" s="462">
        <f ca="1">IFERROR(__xludf.DUMMYFUNCTION("""COMPUTED_VALUE"""),71519.4119772)</f>
        <v>71519.411977199998</v>
      </c>
      <c r="C29" s="463">
        <f ca="1">IFERROR(__xludf.DUMMYFUNCTION("""COMPUTED_VALUE"""),0.165)</f>
        <v>0.16500000000000001</v>
      </c>
      <c r="D29" s="462">
        <f ca="1">IFERROR(__xludf.DUMMYFUNCTION("""COMPUTED_VALUE"""),63111.1251705)</f>
        <v>63111.125170500003</v>
      </c>
      <c r="E29" s="463">
        <f ca="1">IFERROR(__xludf.DUMMYFUNCTION("""COMPUTED_VALUE"""),0.165)</f>
        <v>0.16500000000000001</v>
      </c>
      <c r="F29" s="462">
        <f ca="1">IFERROR(__xludf.DUMMYFUNCTION("""COMPUTED_VALUE"""),88253.5961999999)</f>
        <v>88253.596199999898</v>
      </c>
      <c r="G29" s="463">
        <f ca="1">IFERROR(__xludf.DUMMYFUNCTION("""COMPUTED_VALUE"""),0.165)</f>
        <v>0.16500000000000001</v>
      </c>
      <c r="H29" s="462">
        <f ca="1">IFERROR(__xludf.DUMMYFUNCTION("""COMPUTED_VALUE"""),79767.6645018)</f>
        <v>79767.664501799998</v>
      </c>
      <c r="I29" s="463">
        <f ca="1">IFERROR(__xludf.DUMMYFUNCTION("""COMPUTED_VALUE"""),0.165)</f>
        <v>0.16500000000000001</v>
      </c>
      <c r="J29" s="462">
        <f ca="1">IFERROR(__xludf.DUMMYFUNCTION("""COMPUTED_VALUE"""),79711.9840020899)</f>
        <v>79711.984002089899</v>
      </c>
      <c r="K29" s="463">
        <f ca="1">IFERROR(__xludf.DUMMYFUNCTION("""COMPUTED_VALUE"""),0.165)</f>
        <v>0.16500000000000001</v>
      </c>
      <c r="L29" s="462">
        <f ca="1">IFERROR(__xludf.DUMMYFUNCTION("""COMPUTED_VALUE"""),79634.223537)</f>
        <v>79634.223536999998</v>
      </c>
      <c r="M29" s="463">
        <f ca="1">IFERROR(__xludf.DUMMYFUNCTION("""COMPUTED_VALUE"""),0.165)</f>
        <v>0.16500000000000001</v>
      </c>
      <c r="N29" s="462">
        <f ca="1">IFERROR(__xludf.DUMMYFUNCTION("""COMPUTED_VALUE"""),84281.647753545)</f>
        <v>84281.647753544996</v>
      </c>
      <c r="O29" s="463">
        <f ca="1">IFERROR(__xludf.DUMMYFUNCTION("""COMPUTED_VALUE"""),0.165)</f>
        <v>0.16500000000000001</v>
      </c>
      <c r="P29" s="462">
        <f ca="1">IFERROR(__xludf.DUMMYFUNCTION("""COMPUTED_VALUE"""),77102.04975)</f>
        <v>77102.049750000006</v>
      </c>
      <c r="Q29" s="463">
        <f ca="1">IFERROR(__xludf.DUMMYFUNCTION("""COMPUTED_VALUE"""),0.165)</f>
        <v>0.16500000000000001</v>
      </c>
      <c r="R29" s="462"/>
      <c r="S29" s="463"/>
      <c r="T29" s="462"/>
      <c r="U29" s="463"/>
      <c r="V29" s="462"/>
      <c r="W29" s="463"/>
      <c r="X29" s="462"/>
      <c r="Y29" s="463"/>
    </row>
    <row r="30" spans="1:25">
      <c r="A30" s="461" t="s">
        <v>3193</v>
      </c>
      <c r="B30" s="464"/>
      <c r="C30" s="463">
        <f ca="1">IFERROR(__xludf.DUMMYFUNCTION("""COMPUTED_VALUE"""),0)</f>
        <v>0</v>
      </c>
      <c r="D30" s="464"/>
      <c r="E30" s="463">
        <f ca="1">IFERROR(__xludf.DUMMYFUNCTION("""COMPUTED_VALUE"""),0)</f>
        <v>0</v>
      </c>
      <c r="F30" s="464"/>
      <c r="G30" s="463">
        <f ca="1">IFERROR(__xludf.DUMMYFUNCTION("""COMPUTED_VALUE"""),0)</f>
        <v>0</v>
      </c>
      <c r="H30" s="464"/>
      <c r="I30" s="463">
        <f ca="1">IFERROR(__xludf.DUMMYFUNCTION("""COMPUTED_VALUE"""),0)</f>
        <v>0</v>
      </c>
      <c r="J30" s="464"/>
      <c r="K30" s="463">
        <f ca="1">IFERROR(__xludf.DUMMYFUNCTION("""COMPUTED_VALUE"""),0)</f>
        <v>0</v>
      </c>
      <c r="L30" s="464"/>
      <c r="M30" s="463">
        <f ca="1">IFERROR(__xludf.DUMMYFUNCTION("""COMPUTED_VALUE"""),0)</f>
        <v>0</v>
      </c>
      <c r="N30" s="464"/>
      <c r="O30" s="463"/>
      <c r="P30" s="464"/>
      <c r="Q30" s="463"/>
      <c r="R30" s="464"/>
      <c r="S30" s="463"/>
      <c r="T30" s="464"/>
      <c r="U30" s="463"/>
      <c r="V30" s="464"/>
      <c r="W30" s="463"/>
      <c r="X30" s="464"/>
      <c r="Y30" s="463"/>
    </row>
    <row r="31" spans="1:25">
      <c r="A31" s="465" t="s">
        <v>3194</v>
      </c>
      <c r="B31" s="466">
        <f ca="1">IFERROR(__xludf.DUMMYFUNCTION("""COMPUTED_VALUE"""),361931.569702799)</f>
        <v>361931.56970279902</v>
      </c>
      <c r="C31" s="467">
        <f ca="1">IFERROR(__xludf.DUMMYFUNCTION("""COMPUTED_VALUE"""),0.00771029974888086)</f>
        <v>7.7102997488808604E-3</v>
      </c>
      <c r="D31" s="466">
        <f ca="1">IFERROR(__xludf.DUMMYFUNCTION("""COMPUTED_VALUE"""),319380.5425295)</f>
        <v>319380.54252949997</v>
      </c>
      <c r="E31" s="467">
        <f ca="1">IFERROR(__xludf.DUMMYFUNCTION("""COMPUTED_VALUE"""),0.00692686932008551)</f>
        <v>6.9268693200855097E-3</v>
      </c>
      <c r="F31" s="466">
        <f ca="1">IFERROR(__xludf.DUMMYFUNCTION("""COMPUTED_VALUE"""),446616.683799999)</f>
        <v>446616.68379999901</v>
      </c>
      <c r="G31" s="467">
        <f ca="1">IFERROR(__xludf.DUMMYFUNCTION("""COMPUTED_VALUE"""),0.0098290334964157)</f>
        <v>9.8290334964156994E-3</v>
      </c>
      <c r="H31" s="466">
        <f ca="1">IFERROR(__xludf.DUMMYFUNCTION("""COMPUTED_VALUE"""),403672.7264182)</f>
        <v>403672.72641820001</v>
      </c>
      <c r="I31" s="467">
        <f ca="1">IFERROR(__xludf.DUMMYFUNCTION("""COMPUTED_VALUE"""),0.00851069433494729)</f>
        <v>8.5106943349472896E-3</v>
      </c>
      <c r="J31" s="466">
        <f ca="1">IFERROR(__xludf.DUMMYFUNCTION("""COMPUTED_VALUE"""),403390.949343909)</f>
        <v>403390.94934390899</v>
      </c>
      <c r="K31" s="467">
        <f ca="1">IFERROR(__xludf.DUMMYFUNCTION("""COMPUTED_VALUE"""),0.00837404437443208)</f>
        <v>8.3740443744320797E-3</v>
      </c>
      <c r="L31" s="466">
        <f ca="1">IFERROR(__xludf.DUMMYFUNCTION("""COMPUTED_VALUE"""),402997.434262999)</f>
        <v>402997.43426299898</v>
      </c>
      <c r="M31" s="467">
        <f ca="1">IFERROR(__xludf.DUMMYFUNCTION("""COMPUTED_VALUE"""),0.00783778971632581)</f>
        <v>7.8377897163258107E-3</v>
      </c>
      <c r="N31" s="466">
        <f ca="1">IFERROR(__xludf.DUMMYFUNCTION("""COMPUTED_VALUE"""),426516.217419455)</f>
        <v>426516.217419455</v>
      </c>
      <c r="O31" s="467"/>
      <c r="P31" s="466">
        <f ca="1">IFERROR(__xludf.DUMMYFUNCTION("""COMPUTED_VALUE"""),390183.10025)</f>
        <v>390183.10025000002</v>
      </c>
      <c r="Q31" s="467"/>
      <c r="R31" s="466"/>
      <c r="S31" s="467"/>
      <c r="T31" s="466"/>
      <c r="U31" s="467"/>
      <c r="V31" s="466"/>
      <c r="W31" s="467"/>
      <c r="X31" s="466"/>
      <c r="Y31" s="467"/>
    </row>
    <row r="32" spans="1:25">
      <c r="A32" s="468" t="s">
        <v>3195</v>
      </c>
      <c r="B32" s="469">
        <f ca="1">IFERROR(__xludf.DUMMYFUNCTION("""COMPUTED_VALUE"""),46941309.87)</f>
        <v>46941309.869999997</v>
      </c>
      <c r="C32" s="470">
        <f ca="1">IFERROR(__xludf.DUMMYFUNCTION("""COMPUTED_VALUE"""),0.999999999999999)</f>
        <v>0.999999999999999</v>
      </c>
      <c r="D32" s="469">
        <f ca="1">IFERROR(__xludf.DUMMYFUNCTION("""COMPUTED_VALUE"""),46107487.78)</f>
        <v>46107487.780000001</v>
      </c>
      <c r="E32" s="470">
        <f ca="1">IFERROR(__xludf.DUMMYFUNCTION("""COMPUTED_VALUE"""),0.999999999999999)</f>
        <v>0.999999999999999</v>
      </c>
      <c r="F32" s="469">
        <f ca="1">IFERROR(__xludf.DUMMYFUNCTION("""COMPUTED_VALUE"""),45438514.78)</f>
        <v>45438514.780000001</v>
      </c>
      <c r="G32" s="470"/>
      <c r="H32" s="469">
        <f ca="1">IFERROR(__xludf.DUMMYFUNCTION("""COMPUTED_VALUE"""),47431233.05)</f>
        <v>47431233.049999997</v>
      </c>
      <c r="I32" s="470"/>
      <c r="J32" s="469">
        <f ca="1">IFERROR(__xludf.DUMMYFUNCTION("""COMPUTED_VALUE"""),48171580.1)</f>
        <v>48171580.100000001</v>
      </c>
      <c r="K32" s="470"/>
      <c r="L32" s="469">
        <f ca="1">IFERROR(__xludf.DUMMYFUNCTION("""COMPUTED_VALUE"""),51417229.71)</f>
        <v>51417229.710000001</v>
      </c>
      <c r="M32" s="470"/>
      <c r="N32" s="469">
        <f ca="1">IFERROR(__xludf.DUMMYFUNCTION("""COMPUTED_VALUE"""),52051855.3)</f>
        <v>52051855.299999997</v>
      </c>
      <c r="O32" s="470"/>
      <c r="P32" s="469">
        <f ca="1">IFERROR(__xludf.DUMMYFUNCTION("""COMPUTED_VALUE"""),50910534.76)</f>
        <v>50910534.759999998</v>
      </c>
      <c r="Q32" s="470"/>
      <c r="R32" s="469"/>
      <c r="S32" s="470"/>
      <c r="T32" s="469"/>
      <c r="U32" s="470"/>
      <c r="V32" s="469"/>
      <c r="W32" s="470"/>
      <c r="X32" s="469"/>
      <c r="Y32" s="470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19"/>
  <sheetViews>
    <sheetView showGridLines="0" workbookViewId="0"/>
  </sheetViews>
  <sheetFormatPr defaultColWidth="14.42578125" defaultRowHeight="15" customHeight="1"/>
  <cols>
    <col min="1" max="1" width="3.140625" customWidth="1"/>
    <col min="2" max="2" width="24.5703125" customWidth="1"/>
    <col min="4" max="4" width="16.140625" customWidth="1"/>
    <col min="5" max="5" width="17" customWidth="1"/>
    <col min="6" max="6" width="16.140625" customWidth="1"/>
    <col min="8" max="8" width="19.5703125" customWidth="1"/>
    <col min="13" max="13" width="16.42578125" customWidth="1"/>
    <col min="14" max="14" width="17.140625" customWidth="1"/>
    <col min="18" max="18" width="11.5703125" customWidth="1"/>
    <col min="19" max="19" width="13.5703125" customWidth="1"/>
    <col min="20" max="20" width="16.140625" customWidth="1"/>
  </cols>
  <sheetData>
    <row r="1" spans="1:23">
      <c r="A1" s="471"/>
      <c r="B1" s="472"/>
      <c r="F1" s="472"/>
    </row>
    <row r="2" spans="1:23">
      <c r="A2" s="472" t="s">
        <v>3196</v>
      </c>
      <c r="E2" s="473" t="s">
        <v>3197</v>
      </c>
    </row>
    <row r="3" spans="1:23">
      <c r="A3" s="472" t="s">
        <v>3198</v>
      </c>
    </row>
    <row r="4" spans="1:23">
      <c r="A4" s="474"/>
    </row>
    <row r="5" spans="1:23">
      <c r="A5" s="474"/>
      <c r="C5" s="475">
        <v>1</v>
      </c>
      <c r="D5" s="475">
        <v>2</v>
      </c>
      <c r="E5" s="475">
        <v>3</v>
      </c>
      <c r="F5" s="475">
        <v>4</v>
      </c>
      <c r="G5" s="475">
        <v>5</v>
      </c>
      <c r="H5" s="475">
        <v>6</v>
      </c>
      <c r="I5" s="475">
        <v>7</v>
      </c>
      <c r="J5" s="475">
        <v>8</v>
      </c>
      <c r="K5" s="475">
        <v>9</v>
      </c>
      <c r="L5" s="475">
        <v>10</v>
      </c>
      <c r="M5" s="475">
        <v>11</v>
      </c>
      <c r="N5" s="475">
        <v>12</v>
      </c>
    </row>
    <row r="6" spans="1:23">
      <c r="A6" s="476"/>
      <c r="B6" s="477" t="s">
        <v>135</v>
      </c>
      <c r="C6" s="477" t="s">
        <v>0</v>
      </c>
      <c r="D6" s="477" t="s">
        <v>1</v>
      </c>
      <c r="E6" s="477" t="s">
        <v>2</v>
      </c>
      <c r="F6" s="477" t="s">
        <v>3</v>
      </c>
      <c r="G6" s="477" t="s">
        <v>4</v>
      </c>
      <c r="H6" s="477" t="s">
        <v>5</v>
      </c>
      <c r="I6" s="477" t="s">
        <v>6</v>
      </c>
      <c r="J6" s="477" t="s">
        <v>7</v>
      </c>
      <c r="K6" s="477" t="s">
        <v>8</v>
      </c>
      <c r="L6" s="477" t="s">
        <v>9</v>
      </c>
      <c r="M6" s="477" t="s">
        <v>10</v>
      </c>
      <c r="N6" s="477" t="s">
        <v>11</v>
      </c>
      <c r="O6" s="478" t="s">
        <v>3199</v>
      </c>
    </row>
    <row r="7" spans="1:23">
      <c r="A7" s="479"/>
      <c r="B7" s="480" t="s">
        <v>3200</v>
      </c>
      <c r="C7" s="481">
        <f t="shared" ref="C7:N7" ca="1" si="0">SUMIFS($J$20:$J$114,$H$20:$H$114,$B7,$A$20:$A$114,C$5)</f>
        <v>3606.56</v>
      </c>
      <c r="D7" s="481">
        <f t="shared" ca="1" si="0"/>
        <v>5605.37</v>
      </c>
      <c r="E7" s="481">
        <f t="shared" ca="1" si="0"/>
        <v>32092.869999999981</v>
      </c>
      <c r="F7" s="481">
        <f t="shared" ca="1" si="0"/>
        <v>24061.0099999999</v>
      </c>
      <c r="G7" s="481">
        <f t="shared" ca="1" si="0"/>
        <v>17356.71</v>
      </c>
      <c r="H7" s="481">
        <f t="shared" ca="1" si="0"/>
        <v>6597.75</v>
      </c>
      <c r="I7" s="481">
        <f t="shared" ca="1" si="0"/>
        <v>16222.25999999998</v>
      </c>
      <c r="J7" s="481">
        <f t="shared" ca="1" si="0"/>
        <v>3500.3899999999903</v>
      </c>
      <c r="K7" s="481">
        <f t="shared" ca="1" si="0"/>
        <v>9501.5499999999993</v>
      </c>
      <c r="L7" s="481">
        <f t="shared" ca="1" si="0"/>
        <v>2976.76</v>
      </c>
      <c r="M7" s="481">
        <f t="shared" ca="1" si="0"/>
        <v>0</v>
      </c>
      <c r="N7" s="481">
        <f t="shared" ca="1" si="0"/>
        <v>0</v>
      </c>
      <c r="O7" s="482">
        <f t="shared" ref="O7:O12" ca="1" si="1">SUM(C7:N7)</f>
        <v>121521.22999999984</v>
      </c>
      <c r="Q7" s="483"/>
    </row>
    <row r="8" spans="1:23">
      <c r="A8" s="479"/>
      <c r="B8" s="484" t="s">
        <v>3201</v>
      </c>
      <c r="C8" s="481">
        <f t="shared" ref="C8:N8" ca="1" si="2">SUMIFS($J$20:$J$114,$H$20:$H$114,$B8,$A$20:$A$114,C$5)</f>
        <v>6150.8099999999904</v>
      </c>
      <c r="D8" s="481">
        <f t="shared" ca="1" si="2"/>
        <v>6717.95999999999</v>
      </c>
      <c r="E8" s="481">
        <f t="shared" ca="1" si="2"/>
        <v>3333.1499999999996</v>
      </c>
      <c r="F8" s="481">
        <f t="shared" ca="1" si="2"/>
        <v>0</v>
      </c>
      <c r="G8" s="481">
        <f t="shared" ca="1" si="2"/>
        <v>0</v>
      </c>
      <c r="H8" s="481">
        <f t="shared" ca="1" si="2"/>
        <v>0</v>
      </c>
      <c r="I8" s="481">
        <f t="shared" ca="1" si="2"/>
        <v>0</v>
      </c>
      <c r="J8" s="481">
        <f t="shared" ca="1" si="2"/>
        <v>0</v>
      </c>
      <c r="K8" s="481">
        <f t="shared" ca="1" si="2"/>
        <v>0</v>
      </c>
      <c r="L8" s="481">
        <f t="shared" ca="1" si="2"/>
        <v>0</v>
      </c>
      <c r="M8" s="481">
        <f t="shared" ca="1" si="2"/>
        <v>0</v>
      </c>
      <c r="N8" s="481">
        <f t="shared" ca="1" si="2"/>
        <v>0</v>
      </c>
      <c r="O8" s="482">
        <f t="shared" ca="1" si="1"/>
        <v>16201.91999999998</v>
      </c>
      <c r="Q8" s="483"/>
    </row>
    <row r="9" spans="1:23">
      <c r="A9" s="479"/>
      <c r="B9" s="484" t="s">
        <v>206</v>
      </c>
      <c r="C9" s="481">
        <f t="shared" ref="C9:N9" ca="1" si="3">SUMIFS($J$20:$J$114,$H$20:$H$114,$B9,$A$20:$A$114,C$5)</f>
        <v>0</v>
      </c>
      <c r="D9" s="481">
        <f t="shared" ca="1" si="3"/>
        <v>0</v>
      </c>
      <c r="E9" s="481">
        <f t="shared" ca="1" si="3"/>
        <v>0</v>
      </c>
      <c r="F9" s="481">
        <f t="shared" ca="1" si="3"/>
        <v>0</v>
      </c>
      <c r="G9" s="481">
        <f t="shared" ca="1" si="3"/>
        <v>8995.7800000000007</v>
      </c>
      <c r="H9" s="481">
        <f t="shared" ca="1" si="3"/>
        <v>0</v>
      </c>
      <c r="I9" s="481">
        <f t="shared" ca="1" si="3"/>
        <v>0</v>
      </c>
      <c r="J9" s="481">
        <f t="shared" ca="1" si="3"/>
        <v>0</v>
      </c>
      <c r="K9" s="481">
        <f t="shared" ca="1" si="3"/>
        <v>0</v>
      </c>
      <c r="L9" s="481">
        <f t="shared" ca="1" si="3"/>
        <v>0</v>
      </c>
      <c r="M9" s="481">
        <f t="shared" ca="1" si="3"/>
        <v>0</v>
      </c>
      <c r="N9" s="481">
        <f t="shared" ca="1" si="3"/>
        <v>0</v>
      </c>
      <c r="O9" s="482">
        <f t="shared" ca="1" si="1"/>
        <v>8995.7800000000007</v>
      </c>
    </row>
    <row r="10" spans="1:23">
      <c r="A10" s="479"/>
      <c r="B10" s="485" t="s">
        <v>422</v>
      </c>
      <c r="C10" s="481">
        <f t="shared" ref="C10:N10" ca="1" si="4">SUMIFS($J$20:$J$114,$H$20:$H$114,$B10,$A$20:$A$114,C$5)</f>
        <v>0</v>
      </c>
      <c r="D10" s="481">
        <f t="shared" ca="1" si="4"/>
        <v>7874.0300000000007</v>
      </c>
      <c r="E10" s="481">
        <f t="shared" ca="1" si="4"/>
        <v>7900.37</v>
      </c>
      <c r="F10" s="481">
        <f t="shared" ca="1" si="4"/>
        <v>8455.41</v>
      </c>
      <c r="G10" s="481">
        <f t="shared" ca="1" si="4"/>
        <v>0</v>
      </c>
      <c r="H10" s="481">
        <f t="shared" ca="1" si="4"/>
        <v>0</v>
      </c>
      <c r="I10" s="481">
        <f t="shared" ca="1" si="4"/>
        <v>0</v>
      </c>
      <c r="J10" s="481">
        <f t="shared" ca="1" si="4"/>
        <v>0</v>
      </c>
      <c r="K10" s="481">
        <f t="shared" ca="1" si="4"/>
        <v>0</v>
      </c>
      <c r="L10" s="481">
        <f t="shared" ca="1" si="4"/>
        <v>0</v>
      </c>
      <c r="M10" s="481">
        <f t="shared" ca="1" si="4"/>
        <v>0</v>
      </c>
      <c r="N10" s="481">
        <f t="shared" ca="1" si="4"/>
        <v>0</v>
      </c>
      <c r="O10" s="482">
        <f t="shared" ca="1" si="1"/>
        <v>24229.81</v>
      </c>
    </row>
    <row r="11" spans="1:23">
      <c r="A11" s="479"/>
      <c r="B11" s="485" t="s">
        <v>61</v>
      </c>
      <c r="C11" s="481">
        <f t="shared" ref="C11:N11" ca="1" si="5">SUMIFS($J$20:$J$114,$H$20:$H$114,$B11,$A$20:$A$114,C$5)</f>
        <v>0</v>
      </c>
      <c r="D11" s="481">
        <f t="shared" ca="1" si="5"/>
        <v>0</v>
      </c>
      <c r="E11" s="481">
        <f t="shared" ca="1" si="5"/>
        <v>0</v>
      </c>
      <c r="F11" s="481">
        <f t="shared" ca="1" si="5"/>
        <v>0</v>
      </c>
      <c r="G11" s="481">
        <f t="shared" ca="1" si="5"/>
        <v>0</v>
      </c>
      <c r="H11" s="481">
        <f t="shared" ca="1" si="5"/>
        <v>3822.1899999999901</v>
      </c>
      <c r="I11" s="481">
        <f t="shared" ca="1" si="5"/>
        <v>0</v>
      </c>
      <c r="J11" s="481">
        <f t="shared" ca="1" si="5"/>
        <v>0</v>
      </c>
      <c r="K11" s="481">
        <f t="shared" ca="1" si="5"/>
        <v>0</v>
      </c>
      <c r="L11" s="481">
        <f t="shared" ca="1" si="5"/>
        <v>0</v>
      </c>
      <c r="M11" s="481">
        <f t="shared" ca="1" si="5"/>
        <v>0</v>
      </c>
      <c r="N11" s="481">
        <f t="shared" ca="1" si="5"/>
        <v>0</v>
      </c>
      <c r="O11" s="482">
        <f t="shared" ca="1" si="1"/>
        <v>3822.1899999999901</v>
      </c>
    </row>
    <row r="12" spans="1:23">
      <c r="A12" s="479"/>
      <c r="B12" s="486" t="s">
        <v>3202</v>
      </c>
      <c r="C12" s="481">
        <f t="shared" ref="C12:D12" ca="1" si="6">SUMIFS($J$20:$J$114,$H$20:$H$114,$B12,$A$20:$A$114,C$5)</f>
        <v>0</v>
      </c>
      <c r="D12" s="481">
        <f t="shared" ca="1" si="6"/>
        <v>1567.94</v>
      </c>
      <c r="E12" s="481">
        <f ca="1">SUMIFS($J$20:$J$114,$H$20:$H$114,$B12,$A$20:$A$114,E$5)-2801.96</f>
        <v>0</v>
      </c>
      <c r="F12" s="481">
        <f t="shared" ref="F12:N12" ca="1" si="7">SUMIFS($J$20:$J$114,$H$20:$H$114,$B12,$A$20:$A$114,F$5)</f>
        <v>0</v>
      </c>
      <c r="G12" s="481">
        <f t="shared" ca="1" si="7"/>
        <v>4305.47</v>
      </c>
      <c r="H12" s="481">
        <f t="shared" ca="1" si="7"/>
        <v>466.29999999999899</v>
      </c>
      <c r="I12" s="481">
        <f t="shared" ca="1" si="7"/>
        <v>0</v>
      </c>
      <c r="J12" s="481">
        <f t="shared" ca="1" si="7"/>
        <v>0</v>
      </c>
      <c r="K12" s="481">
        <f t="shared" ca="1" si="7"/>
        <v>0</v>
      </c>
      <c r="L12" s="481">
        <f t="shared" ca="1" si="7"/>
        <v>0</v>
      </c>
      <c r="M12" s="481">
        <f t="shared" ca="1" si="7"/>
        <v>0</v>
      </c>
      <c r="N12" s="481">
        <f t="shared" ca="1" si="7"/>
        <v>0</v>
      </c>
      <c r="O12" s="482">
        <f t="shared" ca="1" si="1"/>
        <v>6339.7099999999991</v>
      </c>
    </row>
    <row r="13" spans="1:23">
      <c r="A13" s="487"/>
      <c r="B13" s="488" t="s">
        <v>3199</v>
      </c>
      <c r="C13" s="489">
        <f t="shared" ref="C13:O13" ca="1" si="8">SUM(C7:C12)</f>
        <v>9757.3699999999899</v>
      </c>
      <c r="D13" s="489">
        <f t="shared" ca="1" si="8"/>
        <v>21765.299999999992</v>
      </c>
      <c r="E13" s="489">
        <f t="shared" ca="1" si="8"/>
        <v>43326.389999999985</v>
      </c>
      <c r="F13" s="489">
        <f t="shared" ca="1" si="8"/>
        <v>32516.4199999999</v>
      </c>
      <c r="G13" s="489">
        <f t="shared" ca="1" si="8"/>
        <v>30657.96</v>
      </c>
      <c r="H13" s="489">
        <f t="shared" ca="1" si="8"/>
        <v>10886.239999999989</v>
      </c>
      <c r="I13" s="489">
        <f t="shared" ca="1" si="8"/>
        <v>16222.25999999998</v>
      </c>
      <c r="J13" s="489">
        <f t="shared" ca="1" si="8"/>
        <v>3500.3899999999903</v>
      </c>
      <c r="K13" s="489">
        <f t="shared" ca="1" si="8"/>
        <v>9501.5499999999993</v>
      </c>
      <c r="L13" s="489">
        <f t="shared" ca="1" si="8"/>
        <v>2976.76</v>
      </c>
      <c r="M13" s="489">
        <f t="shared" ca="1" si="8"/>
        <v>0</v>
      </c>
      <c r="N13" s="489">
        <f t="shared" ca="1" si="8"/>
        <v>0</v>
      </c>
      <c r="O13" s="489">
        <f t="shared" ca="1" si="8"/>
        <v>181110.63999999981</v>
      </c>
    </row>
    <row r="14" spans="1:23">
      <c r="A14" s="474"/>
      <c r="C14" s="490"/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490"/>
    </row>
    <row r="15" spans="1:23">
      <c r="A15" s="474"/>
    </row>
    <row r="16" spans="1:23" ht="75">
      <c r="A16" s="491"/>
      <c r="B16" s="492" t="str">
        <f ca="1">IFERROR(__xludf.DUMMYFUNCTION("importrange(""16Ppfd99d-jqg8nGDJZHCuc5dUzkKZT8js7FIPQVOfro"",""'MENU'!B2:N100"")"),"MÊS")</f>
        <v>MÊS</v>
      </c>
      <c r="C16" s="493" t="str">
        <f ca="1">IFERROR(__xludf.DUMMYFUNCTION("""COMPUTED_VALUE"""),"DATA")</f>
        <v>DATA</v>
      </c>
      <c r="D16" s="493" t="str">
        <f ca="1">IFERROR(__xludf.DUMMYFUNCTION("""COMPUTED_VALUE"""),"QUANT. DIAS ")</f>
        <v xml:space="preserve">QUANT. DIAS </v>
      </c>
      <c r="E16" s="493" t="str">
        <f ca="1">IFERROR(__xludf.DUMMYFUNCTION("""COMPUTED_VALUE"""),"LOCAL")</f>
        <v>LOCAL</v>
      </c>
      <c r="F16" s="494" t="str">
        <f ca="1">IFERROR(__xludf.DUMMYFUNCTION("""COMPUTED_VALUE"""),"VIAJANTES")</f>
        <v>VIAJANTES</v>
      </c>
      <c r="G16" s="493" t="str">
        <f ca="1">IFERROR(__xludf.DUMMYFUNCTION("""COMPUTED_VALUE"""),"PREV. EM ORÇ. DA EMPRESA PARA ESSE MÊS")</f>
        <v>PREV. EM ORÇ. DA EMPRESA PARA ESSE MÊS</v>
      </c>
      <c r="H16" s="493" t="str">
        <f ca="1">IFERROR(__xludf.DUMMYFUNCTION("""COMPUTED_VALUE"""),"TIME/SETOR")</f>
        <v>TIME/SETOR</v>
      </c>
      <c r="I16" s="495" t="str">
        <f ca="1">IFERROR(__xludf.DUMMYFUNCTION("""COMPUTED_VALUE"""),"ORÇ. PLANEJADO DE ACORDO COM O ADM")</f>
        <v>ORÇ. PLANEJADO DE ACORDO COM O ADM</v>
      </c>
      <c r="J16" s="496" t="str">
        <f ca="1">IFERROR(__xludf.DUMMYFUNCTION("""COMPUTED_VALUE"""),"ORÇ. REALIZADO")</f>
        <v>ORÇ. REALIZADO</v>
      </c>
      <c r="K16" s="496" t="str">
        <f ca="1">IFERROR(__xludf.DUMMYFUNCTION("""COMPUTED_VALUE"""),"DIFERENÇA (REAL - PREV.)")</f>
        <v>DIFERENÇA (REAL - PREV.)</v>
      </c>
      <c r="L16" s="497" t="str">
        <f ca="1">IFERROR(__xludf.DUMMYFUNCTION("""COMPUTED_VALUE"""),"STATUS PRESTAÇÃO DE CONTAS")</f>
        <v>STATUS PRESTAÇÃO DE CONTAS</v>
      </c>
      <c r="M16" s="498" t="str">
        <f ca="1">IFERROR(__xludf.DUMMYFUNCTION("""COMPUTED_VALUE"""),"OBSERVAÇÃO")</f>
        <v>OBSERVAÇÃO</v>
      </c>
      <c r="N16" s="741" t="str">
        <f ca="1">IFERROR(__xludf.DUMMYFUNCTION("""COMPUTED_VALUE"""),"QUANTIDADE DE VIAGENS PREVISTAS PARA O MÊS")</f>
        <v>QUANTIDADE DE VIAGENS PREVISTAS PARA O MÊS</v>
      </c>
      <c r="O16" s="742"/>
      <c r="P16" s="742"/>
      <c r="Q16" s="743"/>
      <c r="R16" s="499"/>
      <c r="S16" s="499"/>
      <c r="T16" s="499"/>
      <c r="U16" s="499"/>
      <c r="V16" s="499"/>
      <c r="W16" s="499"/>
    </row>
    <row r="17" spans="1:20" ht="2.25" customHeight="1">
      <c r="A17" s="500"/>
      <c r="B17" s="500"/>
      <c r="C17" s="500"/>
      <c r="D17" s="500"/>
      <c r="E17" s="500"/>
      <c r="F17" s="500"/>
      <c r="G17" s="500"/>
      <c r="H17" s="500"/>
      <c r="I17" s="500"/>
      <c r="J17" s="500"/>
      <c r="K17" s="500"/>
      <c r="L17" s="500"/>
      <c r="M17" s="501"/>
      <c r="N17" s="501"/>
      <c r="O17" s="502"/>
      <c r="P17" s="502"/>
      <c r="Q17" s="502"/>
      <c r="R17" s="503"/>
      <c r="S17" s="503"/>
      <c r="T17" s="503"/>
    </row>
    <row r="18" spans="1:20">
      <c r="A18" s="504"/>
      <c r="B18" s="744" t="str">
        <f ca="1">IFERROR(__xludf.DUMMYFUNCTION("""COMPUTED_VALUE"""),"TOTAL ANUAL")</f>
        <v>TOTAL ANUAL</v>
      </c>
      <c r="C18" s="745"/>
      <c r="D18" s="745"/>
      <c r="E18" s="745"/>
      <c r="F18" s="745"/>
      <c r="G18" s="505"/>
      <c r="H18" s="505"/>
      <c r="I18" s="506">
        <f ca="1">IFERROR(__xludf.DUMMYFUNCTION("""COMPUTED_VALUE"""),192664.55)</f>
        <v>192664.55</v>
      </c>
      <c r="J18" s="507">
        <f ca="1">IFERROR(__xludf.DUMMYFUNCTION("""COMPUTED_VALUE"""),183912.6)</f>
        <v>183912.6</v>
      </c>
      <c r="K18" s="507">
        <f ca="1">IFERROR(__xludf.DUMMYFUNCTION("""COMPUTED_VALUE"""),8751.95000000004)</f>
        <v>8751.9500000000407</v>
      </c>
      <c r="L18" s="508"/>
      <c r="M18" s="508"/>
      <c r="N18" s="508" t="str">
        <f ca="1">IFERROR(__xludf.DUMMYFUNCTION("""COMPUTED_VALUE"""),"TOTAL ANUAL")</f>
        <v>TOTAL ANUAL</v>
      </c>
      <c r="O18" s="508"/>
      <c r="P18" s="508"/>
      <c r="Q18" s="508"/>
    </row>
    <row r="19" spans="1:20" ht="3" customHeight="1">
      <c r="A19" s="500"/>
      <c r="B19" s="500"/>
      <c r="C19" s="500"/>
      <c r="D19" s="500"/>
      <c r="E19" s="500"/>
      <c r="F19" s="500"/>
      <c r="G19" s="500"/>
      <c r="H19" s="500"/>
      <c r="I19" s="500"/>
      <c r="J19" s="500"/>
      <c r="K19" s="500"/>
      <c r="L19" s="500"/>
      <c r="M19" s="500"/>
      <c r="N19" s="500"/>
      <c r="O19" s="500"/>
      <c r="P19" s="500"/>
      <c r="Q19" s="500"/>
      <c r="S19" s="483"/>
    </row>
    <row r="20" spans="1:20" ht="30">
      <c r="A20" s="509">
        <f t="shared" ref="A20:A114" ca="1" si="9">MONTH(C20)</f>
        <v>1</v>
      </c>
      <c r="B20" s="510" t="str">
        <f ca="1">IFERROR(__xludf.DUMMYFUNCTION("""COMPUTED_VALUE"""),"JANEIRO")</f>
        <v>JANEIRO</v>
      </c>
      <c r="C20" s="511">
        <f ca="1">IFERROR(__xludf.DUMMYFUNCTION("""COMPUTED_VALUE"""),46041)</f>
        <v>46041</v>
      </c>
      <c r="D20" s="512">
        <f ca="1">IFERROR(__xludf.DUMMYFUNCTION("""COMPUTED_VALUE"""),6)</f>
        <v>6</v>
      </c>
      <c r="E20" s="512" t="str">
        <f ca="1">IFERROR(__xludf.DUMMYFUNCTION("""COMPUTED_VALUE"""),"Montes Claros")</f>
        <v>Montes Claros</v>
      </c>
      <c r="F20" s="512" t="str">
        <f ca="1">IFERROR(__xludf.DUMMYFUNCTION("""COMPUTED_VALUE"""),"Alessandra")</f>
        <v>Alessandra</v>
      </c>
      <c r="G20" s="512" t="str">
        <f ca="1">IFERROR(__xludf.DUMMYFUNCTION("""COMPUTED_VALUE"""),"SIM")</f>
        <v>SIM</v>
      </c>
      <c r="H20" s="512" t="str">
        <f ca="1">IFERROR(__xludf.DUMMYFUNCTION("""COMPUTED_VALUE"""),"Pós-vendas e CAF")</f>
        <v>Pós-vendas e CAF</v>
      </c>
      <c r="I20" s="513">
        <f ca="1">IFERROR(__xludf.DUMMYFUNCTION("""COMPUTED_VALUE"""),6609.94)</f>
        <v>6609.94</v>
      </c>
      <c r="J20" s="514">
        <f ca="1">IFERROR(__xludf.DUMMYFUNCTION("""COMPUTED_VALUE"""),6150.80999999999)</f>
        <v>6150.8099999999904</v>
      </c>
      <c r="K20" s="515">
        <f ca="1">IFERROR(__xludf.DUMMYFUNCTION("""COMPUTED_VALUE"""),-459.13)</f>
        <v>-459.13</v>
      </c>
      <c r="L20" s="516" t="str">
        <f ca="1">IFERROR(__xludf.DUMMYFUNCTION("""COMPUTED_VALUE"""),"Concluído")</f>
        <v>Concluído</v>
      </c>
      <c r="M20" s="517" t="str">
        <f ca="1">IFERROR(__xludf.DUMMYFUNCTION("""COMPUTED_VALUE"""),"- Economia na alimentação ")</f>
        <v xml:space="preserve">- Economia na alimentação </v>
      </c>
      <c r="N20" s="518">
        <f ca="1">IFERROR(__xludf.DUMMYFUNCTION("""COMPUTED_VALUE"""),2)</f>
        <v>2</v>
      </c>
      <c r="O20" s="518"/>
      <c r="P20" s="518"/>
      <c r="Q20" s="518"/>
      <c r="S20" s="483"/>
    </row>
    <row r="21" spans="1:20" ht="75">
      <c r="A21" s="509">
        <f t="shared" ca="1" si="9"/>
        <v>1</v>
      </c>
      <c r="B21" s="519"/>
      <c r="C21" s="520">
        <f ca="1">IFERROR(__xludf.DUMMYFUNCTION("""COMPUTED_VALUE"""),46042)</f>
        <v>46042</v>
      </c>
      <c r="D21" s="521">
        <f ca="1">IFERROR(__xludf.DUMMYFUNCTION("""COMPUTED_VALUE"""),2)</f>
        <v>2</v>
      </c>
      <c r="E21" s="521" t="str">
        <f ca="1">IFERROR(__xludf.DUMMYFUNCTION("""COMPUTED_VALUE"""),"Belo Horizonte")</f>
        <v>Belo Horizonte</v>
      </c>
      <c r="F21" s="521" t="str">
        <f ca="1">IFERROR(__xludf.DUMMYFUNCTION("""COMPUTED_VALUE"""),"Luiz
Everdan
Ronaldo")</f>
        <v>Luiz
Everdan
Ronaldo</v>
      </c>
      <c r="G21" s="521" t="str">
        <f ca="1">IFERROR(__xludf.DUMMYFUNCTION("""COMPUTED_VALUE"""),"NÃO")</f>
        <v>NÃO</v>
      </c>
      <c r="H21" s="521" t="str">
        <f ca="1">IFERROR(__xludf.DUMMYFUNCTION("""COMPUTED_VALUE"""),"Consultoria e Perf.")</f>
        <v>Consultoria e Perf.</v>
      </c>
      <c r="I21" s="522">
        <f ca="1">IFERROR(__xludf.DUMMYFUNCTION("""COMPUTED_VALUE"""),2939.49)</f>
        <v>2939.49</v>
      </c>
      <c r="J21" s="523">
        <f ca="1">IFERROR(__xludf.DUMMYFUNCTION("""COMPUTED_VALUE"""),3606.56)</f>
        <v>3606.56</v>
      </c>
      <c r="K21" s="524">
        <f ca="1">IFERROR(__xludf.DUMMYFUNCTION("""COMPUTED_VALUE"""),667.07)</f>
        <v>667.07</v>
      </c>
      <c r="L21" s="525" t="str">
        <f ca="1">IFERROR(__xludf.DUMMYFUNCTION("""COMPUTED_VALUE"""),"Concluído")</f>
        <v>Concluído</v>
      </c>
      <c r="M21" s="526" t="str">
        <f ca="1">IFERROR(__xludf.DUMMYFUNCTION("""COMPUTED_VALUE"""),"- Tiveram problema com o hotel e precisaram mudar
")</f>
        <v xml:space="preserve">- Tiveram problema com o hotel e precisaram mudar
</v>
      </c>
      <c r="N21" s="527"/>
      <c r="O21" s="527"/>
      <c r="P21" s="527"/>
      <c r="Q21" s="527"/>
      <c r="S21" s="483"/>
    </row>
    <row r="22" spans="1:20" ht="60">
      <c r="A22" s="509">
        <f t="shared" ca="1" si="9"/>
        <v>2</v>
      </c>
      <c r="B22" s="528" t="str">
        <f ca="1">IFERROR(__xludf.DUMMYFUNCTION("""COMPUTED_VALUE"""),"FEVEREIRO")</f>
        <v>FEVEREIRO</v>
      </c>
      <c r="C22" s="511">
        <f ca="1">IFERROR(__xludf.DUMMYFUNCTION("""COMPUTED_VALUE"""),46056)</f>
        <v>46056</v>
      </c>
      <c r="D22" s="512">
        <f ca="1">IFERROR(__xludf.DUMMYFUNCTION("""COMPUTED_VALUE"""),3)</f>
        <v>3</v>
      </c>
      <c r="E22" s="512" t="str">
        <f ca="1">IFERROR(__xludf.DUMMYFUNCTION("""COMPUTED_VALUE"""),"Santa Maria ")</f>
        <v xml:space="preserve">Santa Maria </v>
      </c>
      <c r="F22" s="512" t="str">
        <f ca="1">IFERROR(__xludf.DUMMYFUNCTION("""COMPUTED_VALUE"""),"Marcola")</f>
        <v>Marcola</v>
      </c>
      <c r="G22" s="512" t="str">
        <f ca="1">IFERROR(__xludf.DUMMYFUNCTION("""COMPUTED_VALUE"""),"SIM")</f>
        <v>SIM</v>
      </c>
      <c r="H22" s="512" t="str">
        <f ca="1">IFERROR(__xludf.DUMMYFUNCTION("""COMPUTED_VALUE"""),"Expansão")</f>
        <v>Expansão</v>
      </c>
      <c r="I22" s="513">
        <f ca="1">IFERROR(__xludf.DUMMYFUNCTION("""COMPUTED_VALUE"""),4652.86)</f>
        <v>4652.8599999999997</v>
      </c>
      <c r="J22" s="514">
        <f ca="1">IFERROR(__xludf.DUMMYFUNCTION("""COMPUTED_VALUE"""),4705.31)</f>
        <v>4705.3100000000004</v>
      </c>
      <c r="K22" s="515">
        <f ca="1">IFERROR(__xludf.DUMMYFUNCTION("""COMPUTED_VALUE"""),52.4500000000007)</f>
        <v>52.450000000000699</v>
      </c>
      <c r="L22" s="529" t="str">
        <f ca="1">IFERROR(__xludf.DUMMYFUNCTION("""COMPUTED_VALUE"""),"Concluído")</f>
        <v>Concluído</v>
      </c>
      <c r="M22" s="517" t="str">
        <f ca="1">IFERROR(__xludf.DUMMYFUNCTION("""COMPUTED_VALUE"""),"- Teve dificuldade de achar uber e usou taxi")</f>
        <v>- Teve dificuldade de achar uber e usou taxi</v>
      </c>
      <c r="N22" s="518"/>
      <c r="O22" s="518"/>
      <c r="P22" s="518"/>
      <c r="Q22" s="518"/>
      <c r="S22" s="483"/>
    </row>
    <row r="23" spans="1:20" ht="60">
      <c r="A23" s="509">
        <f t="shared" ca="1" si="9"/>
        <v>2</v>
      </c>
      <c r="B23" s="530"/>
      <c r="C23" s="531">
        <f ca="1">IFERROR(__xludf.DUMMYFUNCTION("""COMPUTED_VALUE"""),46075)</f>
        <v>46075</v>
      </c>
      <c r="D23" s="532">
        <f ca="1">IFERROR(__xludf.DUMMYFUNCTION("""COMPUTED_VALUE"""),3)</f>
        <v>3</v>
      </c>
      <c r="E23" s="532" t="str">
        <f ca="1">IFERROR(__xludf.DUMMYFUNCTION("""COMPUTED_VALUE"""),"Aracaju")</f>
        <v>Aracaju</v>
      </c>
      <c r="F23" s="532" t="str">
        <f ca="1">IFERROR(__xludf.DUMMYFUNCTION("""COMPUTED_VALUE"""),"Marcola")</f>
        <v>Marcola</v>
      </c>
      <c r="G23" s="533"/>
      <c r="H23" s="532" t="str">
        <f ca="1">IFERROR(__xludf.DUMMYFUNCTION("""COMPUTED_VALUE"""),"Expansão")</f>
        <v>Expansão</v>
      </c>
      <c r="I23" s="534">
        <f ca="1">IFERROR(__xludf.DUMMYFUNCTION("""COMPUTED_VALUE"""),3161.34)</f>
        <v>3161.34</v>
      </c>
      <c r="J23" s="514">
        <f ca="1">IFERROR(__xludf.DUMMYFUNCTION("""COMPUTED_VALUE"""),3168.72)</f>
        <v>3168.72</v>
      </c>
      <c r="K23" s="535">
        <f ca="1">IFERROR(__xludf.DUMMYFUNCTION("""COMPUTED_VALUE"""),7.37999999999965)</f>
        <v>7.37999999999965</v>
      </c>
      <c r="L23" s="536" t="str">
        <f ca="1">IFERROR(__xludf.DUMMYFUNCTION("""COMPUTED_VALUE"""),"Concluído")</f>
        <v>Concluído</v>
      </c>
      <c r="M23" s="537" t="str">
        <f ca="1">IFERROR(__xludf.DUMMYFUNCTION("""COMPUTED_VALUE"""),"- Teve dificuldade de achar uber e usou taxi")</f>
        <v>- Teve dificuldade de achar uber e usou taxi</v>
      </c>
      <c r="N23" s="538"/>
      <c r="O23" s="538"/>
      <c r="P23" s="538"/>
      <c r="Q23" s="538"/>
      <c r="S23" s="483"/>
    </row>
    <row r="24" spans="1:20" ht="30">
      <c r="A24" s="509">
        <f t="shared" ca="1" si="9"/>
        <v>2</v>
      </c>
      <c r="B24" s="510"/>
      <c r="C24" s="511">
        <f ca="1">IFERROR(__xludf.DUMMYFUNCTION("""COMPUTED_VALUE"""),46075)</f>
        <v>46075</v>
      </c>
      <c r="D24" s="512">
        <f ca="1">IFERROR(__xludf.DUMMYFUNCTION("""COMPUTED_VALUE"""),4)</f>
        <v>4</v>
      </c>
      <c r="E24" s="512" t="str">
        <f ca="1">IFERROR(__xludf.DUMMYFUNCTION("""COMPUTED_VALUE"""),"Natal")</f>
        <v>Natal</v>
      </c>
      <c r="F24" s="512" t="str">
        <f ca="1">IFERROR(__xludf.DUMMYFUNCTION("""COMPUTED_VALUE"""),"Everdan")</f>
        <v>Everdan</v>
      </c>
      <c r="G24" s="539"/>
      <c r="H24" s="512" t="str">
        <f ca="1">IFERROR(__xludf.DUMMYFUNCTION("""COMPUTED_VALUE"""),"Consultoria e Perf.")</f>
        <v>Consultoria e Perf.</v>
      </c>
      <c r="I24" s="513">
        <f ca="1">IFERROR(__xludf.DUMMYFUNCTION("""COMPUTED_VALUE"""),5677.67999999999)</f>
        <v>5677.6799999999903</v>
      </c>
      <c r="J24" s="514">
        <f ca="1">IFERROR(__xludf.DUMMYFUNCTION("""COMPUTED_VALUE"""),5605.37)</f>
        <v>5605.37</v>
      </c>
      <c r="K24" s="515">
        <f ca="1">IFERROR(__xludf.DUMMYFUNCTION("""COMPUTED_VALUE"""),-72.3099999999994)</f>
        <v>-72.309999999999405</v>
      </c>
      <c r="L24" s="540" t="str">
        <f ca="1">IFERROR(__xludf.DUMMYFUNCTION("""COMPUTED_VALUE"""),"Concluído")</f>
        <v>Concluído</v>
      </c>
      <c r="M24" s="517" t="str">
        <f ca="1">IFERROR(__xludf.DUMMYFUNCTION("""COMPUTED_VALUE"""),"- Economia na alimentação ")</f>
        <v xml:space="preserve">- Economia na alimentação </v>
      </c>
      <c r="N24" s="518"/>
      <c r="O24" s="518"/>
      <c r="P24" s="518"/>
      <c r="Q24" s="518"/>
      <c r="S24" s="483"/>
    </row>
    <row r="25" spans="1:20" ht="30">
      <c r="A25" s="509">
        <f t="shared" ca="1" si="9"/>
        <v>2</v>
      </c>
      <c r="B25" s="530"/>
      <c r="C25" s="531">
        <f ca="1">IFERROR(__xludf.DUMMYFUNCTION("""COMPUTED_VALUE"""),46076)</f>
        <v>46076</v>
      </c>
      <c r="D25" s="532">
        <f ca="1">IFERROR(__xludf.DUMMYFUNCTION("""COMPUTED_VALUE"""),6)</f>
        <v>6</v>
      </c>
      <c r="E25" s="532" t="str">
        <f ca="1">IFERROR(__xludf.DUMMYFUNCTION("""COMPUTED_VALUE"""),"Campo Grande")</f>
        <v>Campo Grande</v>
      </c>
      <c r="F25" s="532" t="str">
        <f ca="1">IFERROR(__xludf.DUMMYFUNCTION("""COMPUTED_VALUE"""),"Alessandra")</f>
        <v>Alessandra</v>
      </c>
      <c r="G25" s="533"/>
      <c r="H25" s="532" t="str">
        <f ca="1">IFERROR(__xludf.DUMMYFUNCTION("""COMPUTED_VALUE"""),"Pós-vendas e CAF")</f>
        <v>Pós-vendas e CAF</v>
      </c>
      <c r="I25" s="534">
        <f ca="1">IFERROR(__xludf.DUMMYFUNCTION("""COMPUTED_VALUE"""),6905.57)</f>
        <v>6905.57</v>
      </c>
      <c r="J25" s="514">
        <f ca="1">IFERROR(__xludf.DUMMYFUNCTION("""COMPUTED_VALUE"""),6717.95999999999)</f>
        <v>6717.95999999999</v>
      </c>
      <c r="K25" s="535">
        <f ca="1">IFERROR(__xludf.DUMMYFUNCTION("""COMPUTED_VALUE"""),-187.61)</f>
        <v>-187.61</v>
      </c>
      <c r="L25" s="536" t="str">
        <f ca="1">IFERROR(__xludf.DUMMYFUNCTION("""COMPUTED_VALUE"""),"Concluído")</f>
        <v>Concluído</v>
      </c>
      <c r="M25" s="537" t="str">
        <f ca="1">IFERROR(__xludf.DUMMYFUNCTION("""COMPUTED_VALUE"""),"- Economia na alimentação ")</f>
        <v xml:space="preserve">- Economia na alimentação </v>
      </c>
      <c r="N25" s="538"/>
      <c r="O25" s="538"/>
      <c r="P25" s="538"/>
      <c r="Q25" s="538"/>
    </row>
    <row r="26" spans="1:20" ht="57">
      <c r="A26" s="509">
        <f t="shared" ca="1" si="9"/>
        <v>2</v>
      </c>
      <c r="B26" s="541"/>
      <c r="C26" s="542">
        <f ca="1">IFERROR(__xludf.DUMMYFUNCTION("""COMPUTED_VALUE"""),46078)</f>
        <v>46078</v>
      </c>
      <c r="D26" s="543">
        <f ca="1">IFERROR(__xludf.DUMMYFUNCTION("""COMPUTED_VALUE"""),1)</f>
        <v>1</v>
      </c>
      <c r="E26" s="543" t="str">
        <f ca="1">IFERROR(__xludf.DUMMYFUNCTION("""COMPUTED_VALUE"""),"Volta Redonda")</f>
        <v>Volta Redonda</v>
      </c>
      <c r="F26" s="543" t="str">
        <f ca="1">IFERROR(__xludf.DUMMYFUNCTION("""COMPUTED_VALUE"""),"Regis
Luiz
Thomas
Rosangela")</f>
        <v>Regis
Luiz
Thomas
Rosangela</v>
      </c>
      <c r="G26" s="543"/>
      <c r="H26" s="543" t="str">
        <f ca="1">IFERROR(__xludf.DUMMYFUNCTION("""COMPUTED_VALUE"""),"Outro ")</f>
        <v xml:space="preserve">Outro </v>
      </c>
      <c r="I26" s="544">
        <f ca="1">IFERROR(__xludf.DUMMYFUNCTION("""COMPUTED_VALUE"""),1607.65999999999)</f>
        <v>1607.6599999999901</v>
      </c>
      <c r="J26" s="523">
        <f ca="1">IFERROR(__xludf.DUMMYFUNCTION("""COMPUTED_VALUE"""),1567.94)</f>
        <v>1567.94</v>
      </c>
      <c r="K26" s="545">
        <f ca="1">IFERROR(__xludf.DUMMYFUNCTION("""COMPUTED_VALUE"""),-39.7199999999998)</f>
        <v>-39.7199999999998</v>
      </c>
      <c r="L26" s="546" t="str">
        <f ca="1">IFERROR(__xludf.DUMMYFUNCTION("""COMPUTED_VALUE"""),"Concluído")</f>
        <v>Concluído</v>
      </c>
      <c r="M26" s="547" t="str">
        <f ca="1">IFERROR(__xludf.DUMMYFUNCTION("""COMPUTED_VALUE"""),"- Economia na alimentação ")</f>
        <v xml:space="preserve">- Economia na alimentação </v>
      </c>
      <c r="N26" s="548"/>
      <c r="O26" s="548"/>
      <c r="P26" s="548"/>
      <c r="Q26" s="548"/>
    </row>
    <row r="27" spans="1:20" ht="30">
      <c r="A27" s="509">
        <f t="shared" ca="1" si="9"/>
        <v>3</v>
      </c>
      <c r="B27" s="549" t="str">
        <f ca="1">IFERROR(__xludf.DUMMYFUNCTION("""COMPUTED_VALUE"""),"MARÇO")</f>
        <v>MARÇO</v>
      </c>
      <c r="C27" s="531">
        <f ca="1">IFERROR(__xludf.DUMMYFUNCTION("""COMPUTED_VALUE"""),46082)</f>
        <v>46082</v>
      </c>
      <c r="D27" s="532">
        <f ca="1">IFERROR(__xludf.DUMMYFUNCTION("""COMPUTED_VALUE"""),5)</f>
        <v>5</v>
      </c>
      <c r="E27" s="532" t="str">
        <f ca="1">IFERROR(__xludf.DUMMYFUNCTION("""COMPUTED_VALUE"""),"Santa Maria")</f>
        <v>Santa Maria</v>
      </c>
      <c r="F27" s="532" t="str">
        <f ca="1">IFERROR(__xludf.DUMMYFUNCTION("""COMPUTED_VALUE"""),"Ronin
Marina")</f>
        <v>Ronin
Marina</v>
      </c>
      <c r="G27" s="533" t="str">
        <f ca="1">IFERROR(__xludf.DUMMYFUNCTION("""COMPUTED_VALUE"""),"SIM")</f>
        <v>SIM</v>
      </c>
      <c r="H27" s="532" t="str">
        <f ca="1">IFERROR(__xludf.DUMMYFUNCTION("""COMPUTED_VALUE"""),"Consultoria e Perf.")</f>
        <v>Consultoria e Perf.</v>
      </c>
      <c r="I27" s="534">
        <f ca="1">IFERROR(__xludf.DUMMYFUNCTION("""COMPUTED_VALUE"""),11726.36)</f>
        <v>11726.36</v>
      </c>
      <c r="J27" s="514">
        <f ca="1">IFERROR(__xludf.DUMMYFUNCTION("""COMPUTED_VALUE"""),10680.59)</f>
        <v>10680.59</v>
      </c>
      <c r="K27" s="535">
        <f ca="1">IFERROR(__xludf.DUMMYFUNCTION("""COMPUTED_VALUE"""),-1045.77)</f>
        <v>-1045.77</v>
      </c>
      <c r="L27" s="536" t="str">
        <f ca="1">IFERROR(__xludf.DUMMYFUNCTION("""COMPUTED_VALUE"""),"Concluído")</f>
        <v>Concluído</v>
      </c>
      <c r="M27" s="537" t="str">
        <f ca="1">IFERROR(__xludf.DUMMYFUNCTION("""COMPUTED_VALUE"""),"- Economia na alimentação ")</f>
        <v xml:space="preserve">- Economia na alimentação </v>
      </c>
      <c r="N27" s="538"/>
      <c r="O27" s="538"/>
      <c r="P27" s="538"/>
      <c r="Q27" s="538"/>
    </row>
    <row r="28" spans="1:20">
      <c r="A28" s="509">
        <f t="shared" ca="1" si="9"/>
        <v>3</v>
      </c>
      <c r="B28" s="510"/>
      <c r="C28" s="511">
        <f ca="1">IFERROR(__xludf.DUMMYFUNCTION("""COMPUTED_VALUE"""),46088)</f>
        <v>46088</v>
      </c>
      <c r="D28" s="539">
        <f ca="1">IFERROR(__xludf.DUMMYFUNCTION("""COMPUTED_VALUE"""),5)</f>
        <v>5</v>
      </c>
      <c r="E28" s="539" t="str">
        <f ca="1">IFERROR(__xludf.DUMMYFUNCTION("""COMPUTED_VALUE"""),"Natal")</f>
        <v>Natal</v>
      </c>
      <c r="F28" s="539" t="str">
        <f ca="1">IFERROR(__xludf.DUMMYFUNCTION("""COMPUTED_VALUE"""),"Luiz ")</f>
        <v xml:space="preserve">Luiz </v>
      </c>
      <c r="G28" s="539"/>
      <c r="H28" s="539" t="str">
        <f ca="1">IFERROR(__xludf.DUMMYFUNCTION("""COMPUTED_VALUE"""),"Consultoria e Perf.")</f>
        <v>Consultoria e Perf.</v>
      </c>
      <c r="I28" s="513">
        <f ca="1">IFERROR(__xludf.DUMMYFUNCTION("""COMPUTED_VALUE"""),4920.34999999999)</f>
        <v>4920.3499999999904</v>
      </c>
      <c r="J28" s="550">
        <f ca="1">IFERROR(__xludf.DUMMYFUNCTION("""COMPUTED_VALUE"""),5080.34999999999)</f>
        <v>5080.3499999999904</v>
      </c>
      <c r="K28" s="551">
        <f ca="1">IFERROR(__xludf.DUMMYFUNCTION("""COMPUTED_VALUE"""),160)</f>
        <v>160</v>
      </c>
      <c r="L28" s="540" t="str">
        <f ca="1">IFERROR(__xludf.DUMMYFUNCTION("""COMPUTED_VALUE"""),"Concluído")</f>
        <v>Concluído</v>
      </c>
      <c r="M28" s="552"/>
      <c r="N28" s="553"/>
      <c r="O28" s="553"/>
      <c r="P28" s="553"/>
      <c r="Q28" s="553"/>
    </row>
    <row r="29" spans="1:20">
      <c r="A29" s="509">
        <f t="shared" ca="1" si="9"/>
        <v>3</v>
      </c>
      <c r="B29" s="530"/>
      <c r="C29" s="554">
        <f ca="1">IFERROR(__xludf.DUMMYFUNCTION("""COMPUTED_VALUE"""),46097)</f>
        <v>46097</v>
      </c>
      <c r="D29" s="533">
        <f ca="1">IFERROR(__xludf.DUMMYFUNCTION("""COMPUTED_VALUE"""),3)</f>
        <v>3</v>
      </c>
      <c r="E29" s="533" t="str">
        <f ca="1">IFERROR(__xludf.DUMMYFUNCTION("""COMPUTED_VALUE"""),"Manaus")</f>
        <v>Manaus</v>
      </c>
      <c r="F29" s="533" t="str">
        <f ca="1">IFERROR(__xludf.DUMMYFUNCTION("""COMPUTED_VALUE"""),"Marcola")</f>
        <v>Marcola</v>
      </c>
      <c r="G29" s="533"/>
      <c r="H29" s="533" t="str">
        <f ca="1">IFERROR(__xludf.DUMMYFUNCTION("""COMPUTED_VALUE"""),"Expansão")</f>
        <v>Expansão</v>
      </c>
      <c r="I29" s="534">
        <f ca="1">IFERROR(__xludf.DUMMYFUNCTION("""COMPUTED_VALUE"""),5280.57)</f>
        <v>5280.57</v>
      </c>
      <c r="J29" s="555">
        <f ca="1">IFERROR(__xludf.DUMMYFUNCTION("""COMPUTED_VALUE"""),7900.37)</f>
        <v>7900.37</v>
      </c>
      <c r="K29" s="534">
        <f ca="1">IFERROR(__xludf.DUMMYFUNCTION("""COMPUTED_VALUE"""),2619.8)</f>
        <v>2619.8000000000002</v>
      </c>
      <c r="L29" s="536" t="str">
        <f ca="1">IFERROR(__xludf.DUMMYFUNCTION("""COMPUTED_VALUE"""),"Concluído")</f>
        <v>Concluído</v>
      </c>
      <c r="M29" s="556" t="str">
        <f ca="1">IFERROR(__xludf.DUMMYFUNCTION("""COMPUTED_VALUE"""),"- Alteração de data devido ao luto")</f>
        <v>- Alteração de data devido ao luto</v>
      </c>
      <c r="N29" s="557"/>
      <c r="O29" s="557"/>
      <c r="P29" s="557"/>
      <c r="Q29" s="557"/>
    </row>
    <row r="30" spans="1:20">
      <c r="A30" s="509">
        <f t="shared" ca="1" si="9"/>
        <v>3</v>
      </c>
      <c r="B30" s="510"/>
      <c r="C30" s="558">
        <f ca="1">IFERROR(__xludf.DUMMYFUNCTION("""COMPUTED_VALUE"""),46091)</f>
        <v>46091</v>
      </c>
      <c r="D30" s="539">
        <f ca="1">IFERROR(__xludf.DUMMYFUNCTION("""COMPUTED_VALUE"""),5)</f>
        <v>5</v>
      </c>
      <c r="E30" s="539" t="str">
        <f ca="1">IFERROR(__xludf.DUMMYFUNCTION("""COMPUTED_VALUE"""),"Lavras")</f>
        <v>Lavras</v>
      </c>
      <c r="F30" s="539" t="str">
        <f ca="1">IFERROR(__xludf.DUMMYFUNCTION("""COMPUTED_VALUE"""),"Thomas")</f>
        <v>Thomas</v>
      </c>
      <c r="G30" s="539"/>
      <c r="H30" s="539" t="str">
        <f ca="1">IFERROR(__xludf.DUMMYFUNCTION("""COMPUTED_VALUE"""),"Pós-vendas e CAF")</f>
        <v>Pós-vendas e CAF</v>
      </c>
      <c r="I30" s="513">
        <f ca="1">IFERROR(__xludf.DUMMYFUNCTION("""COMPUTED_VALUE"""),2310.6)</f>
        <v>2310.6</v>
      </c>
      <c r="J30" s="555">
        <f ca="1">IFERROR(__xludf.DUMMYFUNCTION("""COMPUTED_VALUE"""),245.45)</f>
        <v>245.45</v>
      </c>
      <c r="K30" s="513">
        <f ca="1">IFERROR(__xludf.DUMMYFUNCTION("""COMPUTED_VALUE"""),-2065.15)</f>
        <v>-2065.15</v>
      </c>
      <c r="L30" s="540" t="str">
        <f ca="1">IFERROR(__xludf.DUMMYFUNCTION("""COMPUTED_VALUE"""),"Cancelada")</f>
        <v>Cancelada</v>
      </c>
      <c r="M30" s="552" t="str">
        <f ca="1">IFERROR(__xludf.DUMMYFUNCTION("""COMPUTED_VALUE"""),"- Evento cancelado")</f>
        <v>- Evento cancelado</v>
      </c>
      <c r="N30" s="553"/>
      <c r="O30" s="553"/>
      <c r="P30" s="553"/>
      <c r="Q30" s="553"/>
    </row>
    <row r="31" spans="1:20">
      <c r="A31" s="509">
        <f t="shared" ca="1" si="9"/>
        <v>3</v>
      </c>
      <c r="B31" s="530"/>
      <c r="C31" s="554">
        <f ca="1">IFERROR(__xludf.DUMMYFUNCTION("""COMPUTED_VALUE"""),46093)</f>
        <v>46093</v>
      </c>
      <c r="D31" s="533">
        <f ca="1">IFERROR(__xludf.DUMMYFUNCTION("""COMPUTED_VALUE"""),3)</f>
        <v>3</v>
      </c>
      <c r="E31" s="533" t="str">
        <f ca="1">IFERROR(__xludf.DUMMYFUNCTION("""COMPUTED_VALUE"""),"Conselheiro Lafaete")</f>
        <v>Conselheiro Lafaete</v>
      </c>
      <c r="F31" s="533" t="str">
        <f ca="1">IFERROR(__xludf.DUMMYFUNCTION("""COMPUTED_VALUE"""),"Barbara 
Thomas")</f>
        <v>Barbara 
Thomas</v>
      </c>
      <c r="G31" s="533"/>
      <c r="H31" s="533" t="str">
        <f ca="1">IFERROR(__xludf.DUMMYFUNCTION("""COMPUTED_VALUE"""),"Pós-vendas e CAF")</f>
        <v>Pós-vendas e CAF</v>
      </c>
      <c r="I31" s="534">
        <f ca="1">IFERROR(__xludf.DUMMYFUNCTION("""COMPUTED_VALUE"""),3087.7)</f>
        <v>3087.7</v>
      </c>
      <c r="J31" s="555">
        <f ca="1">IFERROR(__xludf.DUMMYFUNCTION("""COMPUTED_VALUE"""),3087.7)</f>
        <v>3087.7</v>
      </c>
      <c r="K31" s="534">
        <f ca="1">IFERROR(__xludf.DUMMYFUNCTION("""COMPUTED_VALUE"""),0)</f>
        <v>0</v>
      </c>
      <c r="L31" s="556" t="str">
        <f ca="1">IFERROR(__xludf.DUMMYFUNCTION("""COMPUTED_VALUE"""),"Concluído")</f>
        <v>Concluído</v>
      </c>
      <c r="M31" s="556"/>
      <c r="N31" s="557"/>
      <c r="O31" s="557"/>
      <c r="P31" s="557"/>
      <c r="Q31" s="557"/>
    </row>
    <row r="32" spans="1:20">
      <c r="A32" s="509">
        <f t="shared" ca="1" si="9"/>
        <v>3</v>
      </c>
      <c r="B32" s="510"/>
      <c r="C32" s="559">
        <f ca="1">IFERROR(__xludf.DUMMYFUNCTION("""COMPUTED_VALUE"""),46097)</f>
        <v>46097</v>
      </c>
      <c r="D32" s="560">
        <f ca="1">IFERROR(__xludf.DUMMYFUNCTION("""COMPUTED_VALUE"""),4)</f>
        <v>4</v>
      </c>
      <c r="E32" s="560" t="str">
        <f ca="1">IFERROR(__xludf.DUMMYFUNCTION("""COMPUTED_VALUE"""),"Aracaju")</f>
        <v>Aracaju</v>
      </c>
      <c r="F32" s="560" t="str">
        <f ca="1">IFERROR(__xludf.DUMMYFUNCTION("""COMPUTED_VALUE"""),"Ronin
Gustavo
")</f>
        <v xml:space="preserve">Ronin
Gustavo
</v>
      </c>
      <c r="G32" s="560"/>
      <c r="H32" s="560" t="str">
        <f ca="1">IFERROR(__xludf.DUMMYFUNCTION("""COMPUTED_VALUE"""),"Consultoria e Perf.")</f>
        <v>Consultoria e Perf.</v>
      </c>
      <c r="I32" s="561">
        <f ca="1">IFERROR(__xludf.DUMMYFUNCTION("""COMPUTED_VALUE"""),9582.63)</f>
        <v>9582.6299999999992</v>
      </c>
      <c r="J32" s="562">
        <f ca="1">IFERROR(__xludf.DUMMYFUNCTION("""COMPUTED_VALUE"""),8182.91)</f>
        <v>8182.91</v>
      </c>
      <c r="K32" s="561">
        <f ca="1">IFERROR(__xludf.DUMMYFUNCTION("""COMPUTED_VALUE"""),-1399.71999999999)</f>
        <v>-1399.71999999999</v>
      </c>
      <c r="L32" s="563" t="str">
        <f ca="1">IFERROR(__xludf.DUMMYFUNCTION("""COMPUTED_VALUE"""),"Concluído")</f>
        <v>Concluído</v>
      </c>
      <c r="M32" s="563" t="str">
        <f ca="1">IFERROR(__xludf.DUMMYFUNCTION("""COMPUTED_VALUE"""),"- Foi cancelada a ida do Rodrigo, tendo um saldo positivo pela economia de aporte dele.")</f>
        <v>- Foi cancelada a ida do Rodrigo, tendo um saldo positivo pela economia de aporte dele.</v>
      </c>
      <c r="N32" s="564"/>
      <c r="O32" s="564"/>
      <c r="P32" s="564"/>
      <c r="Q32" s="564"/>
    </row>
    <row r="33" spans="1:17">
      <c r="A33" s="509">
        <f t="shared" ca="1" si="9"/>
        <v>3</v>
      </c>
      <c r="B33" s="530"/>
      <c r="C33" s="565">
        <f ca="1">IFERROR(__xludf.DUMMYFUNCTION("""COMPUTED_VALUE"""),46098)</f>
        <v>46098</v>
      </c>
      <c r="D33" s="566">
        <f ca="1">IFERROR(__xludf.DUMMYFUNCTION("""COMPUTED_VALUE"""),2)</f>
        <v>2</v>
      </c>
      <c r="E33" s="566" t="str">
        <f ca="1">IFERROR(__xludf.DUMMYFUNCTION("""COMPUTED_VALUE"""),"São paulo")</f>
        <v>São paulo</v>
      </c>
      <c r="F33" s="566" t="str">
        <f ca="1">IFERROR(__xludf.DUMMYFUNCTION("""COMPUTED_VALUE"""),"Barbara 
Regis")</f>
        <v>Barbara 
Regis</v>
      </c>
      <c r="G33" s="566"/>
      <c r="H33" s="566" t="str">
        <f ca="1">IFERROR(__xludf.DUMMYFUNCTION("""COMPUTED_VALUE"""),"Outro ")</f>
        <v xml:space="preserve">Outro </v>
      </c>
      <c r="I33" s="567">
        <f ca="1">IFERROR(__xludf.DUMMYFUNCTION("""COMPUTED_VALUE"""),2787.96)</f>
        <v>2787.96</v>
      </c>
      <c r="J33" s="568">
        <f ca="1">IFERROR(__xludf.DUMMYFUNCTION("""COMPUTED_VALUE"""),2801.96)</f>
        <v>2801.96</v>
      </c>
      <c r="K33" s="567">
        <f ca="1">IFERROR(__xludf.DUMMYFUNCTION("""COMPUTED_VALUE"""),14)</f>
        <v>14</v>
      </c>
      <c r="L33" s="569" t="str">
        <f ca="1">IFERROR(__xludf.DUMMYFUNCTION("""COMPUTED_VALUE"""),"Concluído")</f>
        <v>Concluído</v>
      </c>
      <c r="M33" s="569" t="str">
        <f ca="1">IFERROR(__xludf.DUMMYFUNCTION("""COMPUTED_VALUE"""),"- Diferença referente à taxa de cancelamento, troca da passagem ")</f>
        <v xml:space="preserve">- Diferença referente à taxa de cancelamento, troca da passagem </v>
      </c>
      <c r="N33" s="570"/>
      <c r="O33" s="570"/>
      <c r="P33" s="570"/>
      <c r="Q33" s="570"/>
    </row>
    <row r="34" spans="1:17">
      <c r="A34" s="509">
        <f t="shared" ca="1" si="9"/>
        <v>3</v>
      </c>
      <c r="B34" s="541"/>
      <c r="C34" s="571">
        <f ca="1">IFERROR(__xludf.DUMMYFUNCTION("""COMPUTED_VALUE"""),46102)</f>
        <v>46102</v>
      </c>
      <c r="D34" s="572">
        <f ca="1">IFERROR(__xludf.DUMMYFUNCTION("""COMPUTED_VALUE"""),6)</f>
        <v>6</v>
      </c>
      <c r="E34" s="572" t="str">
        <f ca="1">IFERROR(__xludf.DUMMYFUNCTION("""COMPUTED_VALUE"""),"Manaus")</f>
        <v>Manaus</v>
      </c>
      <c r="F34" s="572" t="str">
        <f ca="1">IFERROR(__xludf.DUMMYFUNCTION("""COMPUTED_VALUE"""),"Luiz
Gustavo")</f>
        <v>Luiz
Gustavo</v>
      </c>
      <c r="G34" s="572"/>
      <c r="H34" s="572" t="str">
        <f ca="1">IFERROR(__xludf.DUMMYFUNCTION("""COMPUTED_VALUE"""),"Consultoria e Perf.")</f>
        <v>Consultoria e Perf.</v>
      </c>
      <c r="I34" s="573">
        <f ca="1">IFERROR(__xludf.DUMMYFUNCTION("""COMPUTED_VALUE"""),8180.54999999999)</f>
        <v>8180.5499999999902</v>
      </c>
      <c r="J34" s="574">
        <f ca="1">IFERROR(__xludf.DUMMYFUNCTION("""COMPUTED_VALUE"""),8149.01999999999)</f>
        <v>8149.0199999999904</v>
      </c>
      <c r="K34" s="573">
        <f ca="1">IFERROR(__xludf.DUMMYFUNCTION("""COMPUTED_VALUE"""),-31.5299999999997)</f>
        <v>-31.529999999999699</v>
      </c>
      <c r="L34" s="575" t="str">
        <f ca="1">IFERROR(__xludf.DUMMYFUNCTION("""COMPUTED_VALUE"""),"Concluído")</f>
        <v>Concluído</v>
      </c>
      <c r="M34" s="575" t="str">
        <f ca="1">IFERROR(__xludf.DUMMYFUNCTION("""COMPUTED_VALUE"""),"- Economia na alimentação ")</f>
        <v xml:space="preserve">- Economia na alimentação </v>
      </c>
      <c r="N34" s="576"/>
      <c r="O34" s="576"/>
      <c r="P34" s="576"/>
      <c r="Q34" s="576"/>
    </row>
    <row r="35" spans="1:17">
      <c r="A35" s="509">
        <f t="shared" ca="1" si="9"/>
        <v>4</v>
      </c>
      <c r="B35" s="549" t="str">
        <f ca="1">IFERROR(__xludf.DUMMYFUNCTION("""COMPUTED_VALUE"""),"ABRIL")</f>
        <v>ABRIL</v>
      </c>
      <c r="C35" s="577">
        <f ca="1">IFERROR(__xludf.DUMMYFUNCTION("""COMPUTED_VALUE"""),46125)</f>
        <v>46125</v>
      </c>
      <c r="D35" s="578">
        <f ca="1">IFERROR(__xludf.DUMMYFUNCTION("""COMPUTED_VALUE"""),5)</f>
        <v>5</v>
      </c>
      <c r="E35" s="578" t="str">
        <f ca="1">IFERROR(__xludf.DUMMYFUNCTION("""COMPUTED_VALUE"""),"Imperatriz")</f>
        <v>Imperatriz</v>
      </c>
      <c r="F35" s="578" t="str">
        <f ca="1">IFERROR(__xludf.DUMMYFUNCTION("""COMPUTED_VALUE"""),"Marcola")</f>
        <v>Marcola</v>
      </c>
      <c r="G35" s="578"/>
      <c r="H35" s="578" t="str">
        <f ca="1">IFERROR(__xludf.DUMMYFUNCTION("""COMPUTED_VALUE"""),"Expansão")</f>
        <v>Expansão</v>
      </c>
      <c r="I35" s="579">
        <f ca="1">IFERROR(__xludf.DUMMYFUNCTION("""COMPUTED_VALUE"""),8202.33)</f>
        <v>8202.33</v>
      </c>
      <c r="J35" s="562">
        <f ca="1">IFERROR(__xludf.DUMMYFUNCTION("""COMPUTED_VALUE"""),8455.41)</f>
        <v>8455.41</v>
      </c>
      <c r="K35" s="579">
        <f ca="1">IFERROR(__xludf.DUMMYFUNCTION("""COMPUTED_VALUE"""),253.079999999999)</f>
        <v>253.07999999999899</v>
      </c>
      <c r="L35" s="580" t="str">
        <f ca="1">IFERROR(__xludf.DUMMYFUNCTION("""COMPUTED_VALUE"""),"Concluído")</f>
        <v>Concluído</v>
      </c>
      <c r="M35" s="580" t="str">
        <f ca="1">IFERROR(__xludf.DUMMYFUNCTION("""COMPUTED_VALUE"""),"- Gasto com almoço com Franqueados
- Gastro extra com taxi 
- Economia na alimentação")</f>
        <v>- Gasto com almoço com Franqueados
- Gastro extra com taxi 
- Economia na alimentação</v>
      </c>
      <c r="N35" s="581"/>
      <c r="O35" s="581"/>
      <c r="P35" s="581"/>
      <c r="Q35" s="581"/>
    </row>
    <row r="36" spans="1:17">
      <c r="A36" s="509">
        <f t="shared" ca="1" si="9"/>
        <v>4</v>
      </c>
      <c r="B36" s="510"/>
      <c r="C36" s="582">
        <f ca="1">IFERROR(__xludf.DUMMYFUNCTION("""COMPUTED_VALUE"""),46126)</f>
        <v>46126</v>
      </c>
      <c r="D36" s="583">
        <f ca="1">IFERROR(__xludf.DUMMYFUNCTION("""COMPUTED_VALUE"""),4)</f>
        <v>4</v>
      </c>
      <c r="E36" s="583" t="str">
        <f ca="1">IFERROR(__xludf.DUMMYFUNCTION("""COMPUTED_VALUE"""),"Maceió")</f>
        <v>Maceió</v>
      </c>
      <c r="F36" s="583" t="str">
        <f ca="1">IFERROR(__xludf.DUMMYFUNCTION("""COMPUTED_VALUE"""),"Marley")</f>
        <v>Marley</v>
      </c>
      <c r="G36" s="583"/>
      <c r="H36" s="583" t="str">
        <f ca="1">IFERROR(__xludf.DUMMYFUNCTION("""COMPUTED_VALUE"""),"Consultoria e Perf.")</f>
        <v>Consultoria e Perf.</v>
      </c>
      <c r="I36" s="584">
        <f ca="1">IFERROR(__xludf.DUMMYFUNCTION("""COMPUTED_VALUE"""),5181.86999999999)</f>
        <v>5181.8699999999899</v>
      </c>
      <c r="J36" s="568">
        <f ca="1">IFERROR(__xludf.DUMMYFUNCTION("""COMPUTED_VALUE"""),5140.32)</f>
        <v>5140.32</v>
      </c>
      <c r="K36" s="584">
        <f ca="1">IFERROR(__xludf.DUMMYFUNCTION("""COMPUTED_VALUE"""),-41.5499999999992)</f>
        <v>-41.549999999999201</v>
      </c>
      <c r="L36" s="585" t="str">
        <f ca="1">IFERROR(__xludf.DUMMYFUNCTION("""COMPUTED_VALUE"""),"Concluído")</f>
        <v>Concluído</v>
      </c>
      <c r="M36" s="585"/>
      <c r="N36" s="586"/>
      <c r="O36" s="586"/>
      <c r="P36" s="586"/>
      <c r="Q36" s="586"/>
    </row>
    <row r="37" spans="1:17">
      <c r="A37" s="509">
        <f t="shared" ca="1" si="9"/>
        <v>4</v>
      </c>
      <c r="B37" s="530"/>
      <c r="C37" s="565">
        <f ca="1">IFERROR(__xludf.DUMMYFUNCTION("""COMPUTED_VALUE"""),46134)</f>
        <v>46134</v>
      </c>
      <c r="D37" s="566">
        <f ca="1">IFERROR(__xludf.DUMMYFUNCTION("""COMPUTED_VALUE"""),17)</f>
        <v>17</v>
      </c>
      <c r="E37" s="566" t="str">
        <f ca="1">IFERROR(__xludf.DUMMYFUNCTION("""COMPUTED_VALUE"""),"João Pessoa - 22 a 27/04
Recife - 27/04 a 01/05
Imperatriz - 04 a 08/05")</f>
        <v>João Pessoa - 22 a 27/04
Recife - 27/04 a 01/05
Imperatriz - 04 a 08/05</v>
      </c>
      <c r="F37" s="566" t="str">
        <f ca="1">IFERROR(__xludf.DUMMYFUNCTION("""COMPUTED_VALUE"""),"Marley")</f>
        <v>Marley</v>
      </c>
      <c r="G37" s="566" t="str">
        <f ca="1">IFERROR(__xludf.DUMMYFUNCTION("""COMPUTED_VALUE"""),"SIM")</f>
        <v>SIM</v>
      </c>
      <c r="H37" s="566" t="str">
        <f ca="1">IFERROR(__xludf.DUMMYFUNCTION("""COMPUTED_VALUE"""),"Consultoria e Perf.")</f>
        <v>Consultoria e Perf.</v>
      </c>
      <c r="I37" s="567">
        <f ca="1">IFERROR(__xludf.DUMMYFUNCTION("""COMPUTED_VALUE"""),11621)</f>
        <v>11621</v>
      </c>
      <c r="J37" s="568">
        <f ca="1">IFERROR(__xludf.DUMMYFUNCTION("""COMPUTED_VALUE"""),10420.2899999999)</f>
        <v>10420.289999999901</v>
      </c>
      <c r="K37" s="567">
        <f ca="1">IFERROR(__xludf.DUMMYFUNCTION("""COMPUTED_VALUE"""),-1200.71)</f>
        <v>-1200.71</v>
      </c>
      <c r="L37" s="569" t="str">
        <f ca="1">IFERROR(__xludf.DUMMYFUNCTION("""COMPUTED_VALUE"""),"Concluído")</f>
        <v>Concluído</v>
      </c>
      <c r="M37" s="569" t="str">
        <f ca="1">IFERROR(__xludf.DUMMYFUNCTION("""COMPUTED_VALUE"""),"- Economia na alimentação")</f>
        <v>- Economia na alimentação</v>
      </c>
      <c r="N37" s="570"/>
      <c r="O37" s="570"/>
      <c r="P37" s="570"/>
      <c r="Q37" s="570"/>
    </row>
    <row r="38" spans="1:17">
      <c r="A38" s="509">
        <f t="shared" si="9"/>
        <v>1</v>
      </c>
      <c r="B38" s="510"/>
      <c r="C38" s="587"/>
      <c r="D38" s="583"/>
      <c r="E38" s="583"/>
      <c r="F38" s="583"/>
      <c r="G38" s="583"/>
      <c r="H38" s="583"/>
      <c r="I38" s="584"/>
      <c r="J38" s="568"/>
      <c r="K38" s="584"/>
      <c r="L38" s="585"/>
      <c r="M38" s="585"/>
      <c r="N38" s="586"/>
      <c r="O38" s="586"/>
      <c r="P38" s="586"/>
      <c r="Q38" s="586"/>
    </row>
    <row r="39" spans="1:17">
      <c r="A39" s="509">
        <f t="shared" ca="1" si="9"/>
        <v>4</v>
      </c>
      <c r="B39" s="519"/>
      <c r="C39" s="588">
        <f ca="1">IFERROR(__xludf.DUMMYFUNCTION("""COMPUTED_VALUE"""),46138)</f>
        <v>46138</v>
      </c>
      <c r="D39" s="589">
        <f ca="1">IFERROR(__xludf.DUMMYFUNCTION("""COMPUTED_VALUE"""),11)</f>
        <v>11</v>
      </c>
      <c r="E39" s="589" t="str">
        <f ca="1">IFERROR(__xludf.DUMMYFUNCTION("""COMPUTED_VALUE"""),"Recife 26/04 a 01/05
Imperatriz 04 a 08/05")</f>
        <v>Recife 26/04 a 01/05
Imperatriz 04 a 08/05</v>
      </c>
      <c r="F39" s="589" t="str">
        <f ca="1">IFERROR(__xludf.DUMMYFUNCTION("""COMPUTED_VALUE"""),"Ronin")</f>
        <v>Ronin</v>
      </c>
      <c r="G39" s="589"/>
      <c r="H39" s="589" t="str">
        <f ca="1">IFERROR(__xludf.DUMMYFUNCTION("""COMPUTED_VALUE"""),"Consultoria e Perf.")</f>
        <v>Consultoria e Perf.</v>
      </c>
      <c r="I39" s="590">
        <f ca="1">IFERROR(__xludf.DUMMYFUNCTION("""COMPUTED_VALUE"""),8511.15999999999)</f>
        <v>8511.1599999999908</v>
      </c>
      <c r="J39" s="574">
        <f ca="1">IFERROR(__xludf.DUMMYFUNCTION("""COMPUTED_VALUE"""),8500.4)</f>
        <v>8500.4</v>
      </c>
      <c r="K39" s="590">
        <f ca="1">IFERROR(__xludf.DUMMYFUNCTION("""COMPUTED_VALUE"""),-10.7599999999984)</f>
        <v>-10.759999999998399</v>
      </c>
      <c r="L39" s="591" t="str">
        <f ca="1">IFERROR(__xludf.DUMMYFUNCTION("""COMPUTED_VALUE"""),"Concluído")</f>
        <v>Concluído</v>
      </c>
      <c r="M39" s="591"/>
      <c r="N39" s="592"/>
      <c r="O39" s="592"/>
      <c r="P39" s="592"/>
      <c r="Q39" s="592"/>
    </row>
    <row r="40" spans="1:17">
      <c r="A40" s="509">
        <f t="shared" si="9"/>
        <v>1</v>
      </c>
      <c r="B40" s="528"/>
      <c r="C40" s="593"/>
      <c r="D40" s="560"/>
      <c r="E40" s="560"/>
      <c r="F40" s="560"/>
      <c r="G40" s="560"/>
      <c r="H40" s="560"/>
      <c r="I40" s="561"/>
      <c r="J40" s="562"/>
      <c r="K40" s="561"/>
      <c r="L40" s="563"/>
      <c r="M40" s="563"/>
      <c r="N40" s="564"/>
      <c r="O40" s="564"/>
      <c r="P40" s="564"/>
      <c r="Q40" s="564"/>
    </row>
    <row r="41" spans="1:17">
      <c r="A41" s="509">
        <f t="shared" ca="1" si="9"/>
        <v>5</v>
      </c>
      <c r="B41" s="530" t="str">
        <f ca="1">IFERROR(__xludf.DUMMYFUNCTION("""COMPUTED_VALUE"""),"MAIO")</f>
        <v>MAIO</v>
      </c>
      <c r="C41" s="565">
        <f ca="1">IFERROR(__xludf.DUMMYFUNCTION("""COMPUTED_VALUE"""),46145)</f>
        <v>46145</v>
      </c>
      <c r="D41" s="566">
        <f ca="1">IFERROR(__xludf.DUMMYFUNCTION("""COMPUTED_VALUE"""),4)</f>
        <v>4</v>
      </c>
      <c r="E41" s="566" t="str">
        <f ca="1">IFERROR(__xludf.DUMMYFUNCTION("""COMPUTED_VALUE"""),"Fortaleza")</f>
        <v>Fortaleza</v>
      </c>
      <c r="F41" s="566" t="str">
        <f ca="1">IFERROR(__xludf.DUMMYFUNCTION("""COMPUTED_VALUE"""),"Marina")</f>
        <v>Marina</v>
      </c>
      <c r="G41" s="566"/>
      <c r="H41" s="566" t="str">
        <f ca="1">IFERROR(__xludf.DUMMYFUNCTION("""COMPUTED_VALUE"""),"Consultoria e Perf.")</f>
        <v>Consultoria e Perf.</v>
      </c>
      <c r="I41" s="567">
        <f ca="1">IFERROR(__xludf.DUMMYFUNCTION("""COMPUTED_VALUE"""),4865.98)</f>
        <v>4865.9799999999996</v>
      </c>
      <c r="J41" s="568">
        <f ca="1">IFERROR(__xludf.DUMMYFUNCTION("""COMPUTED_VALUE"""),4709.45)</f>
        <v>4709.45</v>
      </c>
      <c r="K41" s="567">
        <f ca="1">IFERROR(__xludf.DUMMYFUNCTION("""COMPUTED_VALUE"""),-156.529999999999)</f>
        <v>-156.52999999999901</v>
      </c>
      <c r="L41" s="569" t="str">
        <f ca="1">IFERROR(__xludf.DUMMYFUNCTION("""COMPUTED_VALUE"""),"Concluído")</f>
        <v>Concluído</v>
      </c>
      <c r="M41" s="569"/>
      <c r="N41" s="570"/>
      <c r="O41" s="570"/>
      <c r="P41" s="570"/>
      <c r="Q41" s="570"/>
    </row>
    <row r="42" spans="1:17">
      <c r="A42" s="509">
        <f t="shared" ca="1" si="9"/>
        <v>5</v>
      </c>
      <c r="B42" s="510"/>
      <c r="C42" s="582">
        <f ca="1">IFERROR(__xludf.DUMMYFUNCTION("""COMPUTED_VALUE"""),46150)</f>
        <v>46150</v>
      </c>
      <c r="D42" s="583">
        <f ca="1">IFERROR(__xludf.DUMMYFUNCTION("""COMPUTED_VALUE"""),2)</f>
        <v>2</v>
      </c>
      <c r="E42" s="583" t="str">
        <f ca="1">IFERROR(__xludf.DUMMYFUNCTION("""COMPUTED_VALUE"""),"São paulo")</f>
        <v>São paulo</v>
      </c>
      <c r="F42" s="583" t="str">
        <f ca="1">IFERROR(__xludf.DUMMYFUNCTION("""COMPUTED_VALUE"""),"Renato 
Jhonny")</f>
        <v>Renato 
Jhonny</v>
      </c>
      <c r="G42" s="583"/>
      <c r="H42" s="583" t="str">
        <f ca="1">IFERROR(__xludf.DUMMYFUNCTION("""COMPUTED_VALUE"""),"Diretoria")</f>
        <v>Diretoria</v>
      </c>
      <c r="I42" s="584">
        <f ca="1">IFERROR(__xludf.DUMMYFUNCTION("""COMPUTED_VALUE"""),2280.13)</f>
        <v>2280.13</v>
      </c>
      <c r="J42" s="568">
        <f ca="1">IFERROR(__xludf.DUMMYFUNCTION("""COMPUTED_VALUE"""),2145.53)</f>
        <v>2145.5300000000002</v>
      </c>
      <c r="K42" s="584">
        <f ca="1">IFERROR(__xludf.DUMMYFUNCTION("""COMPUTED_VALUE"""),-134.599999999999)</f>
        <v>-134.599999999999</v>
      </c>
      <c r="L42" s="585" t="str">
        <f ca="1">IFERROR(__xludf.DUMMYFUNCTION("""COMPUTED_VALUE"""),"Concluído")</f>
        <v>Concluído</v>
      </c>
      <c r="M42" s="585"/>
      <c r="N42" s="586"/>
      <c r="O42" s="586"/>
      <c r="P42" s="586"/>
      <c r="Q42" s="586"/>
    </row>
    <row r="43" spans="1:17">
      <c r="A43" s="509">
        <f t="shared" ca="1" si="9"/>
        <v>5</v>
      </c>
      <c r="B43" s="530"/>
      <c r="C43" s="565">
        <f ca="1">IFERROR(__xludf.DUMMYFUNCTION("""COMPUTED_VALUE"""),46154)</f>
        <v>46154</v>
      </c>
      <c r="D43" s="566">
        <f ca="1">IFERROR(__xludf.DUMMYFUNCTION("""COMPUTED_VALUE"""),3)</f>
        <v>3</v>
      </c>
      <c r="E43" s="566" t="str">
        <f ca="1">IFERROR(__xludf.DUMMYFUNCTION("""COMPUTED_VALUE"""),"São paulo")</f>
        <v>São paulo</v>
      </c>
      <c r="F43" s="566" t="str">
        <f ca="1">IFERROR(__xludf.DUMMYFUNCTION("""COMPUTED_VALUE"""),"Renato 
Alexandre")</f>
        <v>Renato 
Alexandre</v>
      </c>
      <c r="G43" s="566"/>
      <c r="H43" s="566" t="str">
        <f ca="1">IFERROR(__xludf.DUMMYFUNCTION("""COMPUTED_VALUE"""),"Diretoria")</f>
        <v>Diretoria</v>
      </c>
      <c r="I43" s="567">
        <f ca="1">IFERROR(__xludf.DUMMYFUNCTION("""COMPUTED_VALUE"""),7149.07)</f>
        <v>7149.07</v>
      </c>
      <c r="J43" s="568">
        <f ca="1">IFERROR(__xludf.DUMMYFUNCTION("""COMPUTED_VALUE"""),6850.25)</f>
        <v>6850.25</v>
      </c>
      <c r="K43" s="567">
        <f ca="1">IFERROR(__xludf.DUMMYFUNCTION("""COMPUTED_VALUE"""),-298.819999999999)</f>
        <v>-298.81999999999903</v>
      </c>
      <c r="L43" s="569" t="str">
        <f ca="1">IFERROR(__xludf.DUMMYFUNCTION("""COMPUTED_VALUE"""),"Concluído")</f>
        <v>Concluído</v>
      </c>
      <c r="M43" s="569" t="str">
        <f ca="1">IFERROR(__xludf.DUMMYFUNCTION("""COMPUTED_VALUE"""),"- Economia na alimentação")</f>
        <v>- Economia na alimentação</v>
      </c>
      <c r="N43" s="570"/>
      <c r="O43" s="570"/>
      <c r="P43" s="570"/>
      <c r="Q43" s="570"/>
    </row>
    <row r="44" spans="1:17">
      <c r="A44" s="509">
        <f t="shared" ca="1" si="9"/>
        <v>5</v>
      </c>
      <c r="B44" s="510"/>
      <c r="C44" s="582">
        <f ca="1">IFERROR(__xludf.DUMMYFUNCTION("""COMPUTED_VALUE"""),46156)</f>
        <v>46156</v>
      </c>
      <c r="D44" s="583">
        <f ca="1">IFERROR(__xludf.DUMMYFUNCTION("""COMPUTED_VALUE"""),1)</f>
        <v>1</v>
      </c>
      <c r="E44" s="583" t="str">
        <f ca="1">IFERROR(__xludf.DUMMYFUNCTION("""COMPUTED_VALUE"""),"Vassouras")</f>
        <v>Vassouras</v>
      </c>
      <c r="F44" s="583" t="str">
        <f ca="1">IFERROR(__xludf.DUMMYFUNCTION("""COMPUTED_VALUE"""),"Marcola
Humberto")</f>
        <v>Marcola
Humberto</v>
      </c>
      <c r="G44" s="583"/>
      <c r="H44" s="583" t="str">
        <f ca="1">IFERROR(__xludf.DUMMYFUNCTION("""COMPUTED_VALUE"""),"Outro ")</f>
        <v xml:space="preserve">Outro </v>
      </c>
      <c r="I44" s="584">
        <f ca="1">IFERROR(__xludf.DUMMYFUNCTION("""COMPUTED_VALUE"""),710)</f>
        <v>710</v>
      </c>
      <c r="J44" s="568">
        <f ca="1">IFERROR(__xludf.DUMMYFUNCTION("""COMPUTED_VALUE"""),367)</f>
        <v>367</v>
      </c>
      <c r="K44" s="584">
        <f ca="1">IFERROR(__xludf.DUMMYFUNCTION("""COMPUTED_VALUE"""),-343)</f>
        <v>-343</v>
      </c>
      <c r="L44" s="585" t="str">
        <f ca="1">IFERROR(__xludf.DUMMYFUNCTION("""COMPUTED_VALUE"""),"Concluído")</f>
        <v>Concluído</v>
      </c>
      <c r="M44" s="585" t="str">
        <f ca="1">IFERROR(__xludf.DUMMYFUNCTION("""COMPUTED_VALUE"""),"- Economia na alimentação")</f>
        <v>- Economia na alimentação</v>
      </c>
      <c r="N44" s="586"/>
      <c r="O44" s="586"/>
      <c r="P44" s="586"/>
      <c r="Q44" s="586"/>
    </row>
    <row r="45" spans="1:17">
      <c r="A45" s="509">
        <f t="shared" ca="1" si="9"/>
        <v>5</v>
      </c>
      <c r="B45" s="530"/>
      <c r="C45" s="565">
        <f ca="1">IFERROR(__xludf.DUMMYFUNCTION("""COMPUTED_VALUE"""),46156)</f>
        <v>46156</v>
      </c>
      <c r="D45" s="566">
        <f ca="1">IFERROR(__xludf.DUMMYFUNCTION("""COMPUTED_VALUE"""),3)</f>
        <v>3</v>
      </c>
      <c r="E45" s="566" t="str">
        <f ca="1">IFERROR(__xludf.DUMMYFUNCTION("""COMPUTED_VALUE"""),"Região dos Lagos")</f>
        <v>Região dos Lagos</v>
      </c>
      <c r="F45" s="566" t="str">
        <f ca="1">IFERROR(__xludf.DUMMYFUNCTION("""COMPUTED_VALUE"""),"Marley")</f>
        <v>Marley</v>
      </c>
      <c r="G45" s="566"/>
      <c r="H45" s="566" t="str">
        <f ca="1">IFERROR(__xludf.DUMMYFUNCTION("""COMPUTED_VALUE"""),"Consultoria e Perf.")</f>
        <v>Consultoria e Perf.</v>
      </c>
      <c r="I45" s="567">
        <f ca="1">IFERROR(__xludf.DUMMYFUNCTION("""COMPUTED_VALUE"""),2389.55)</f>
        <v>2389.5500000000002</v>
      </c>
      <c r="J45" s="568">
        <f ca="1">IFERROR(__xludf.DUMMYFUNCTION("""COMPUTED_VALUE"""),2344.77)</f>
        <v>2344.77</v>
      </c>
      <c r="K45" s="567">
        <f ca="1">IFERROR(__xludf.DUMMYFUNCTION("""COMPUTED_VALUE"""),-44.7800000000002)</f>
        <v>-44.7800000000002</v>
      </c>
      <c r="L45" s="569" t="str">
        <f ca="1">IFERROR(__xludf.DUMMYFUNCTION("""COMPUTED_VALUE"""),"Concluído")</f>
        <v>Concluído</v>
      </c>
      <c r="M45" s="569"/>
      <c r="N45" s="570"/>
      <c r="O45" s="570"/>
      <c r="P45" s="570"/>
      <c r="Q45" s="570"/>
    </row>
    <row r="46" spans="1:17">
      <c r="A46" s="509">
        <f t="shared" ca="1" si="9"/>
        <v>5</v>
      </c>
      <c r="B46" s="510"/>
      <c r="C46" s="582">
        <f ca="1">IFERROR(__xludf.DUMMYFUNCTION("""COMPUTED_VALUE"""),46158)</f>
        <v>46158</v>
      </c>
      <c r="D46" s="583">
        <f ca="1">IFERROR(__xludf.DUMMYFUNCTION("""COMPUTED_VALUE"""),1)</f>
        <v>1</v>
      </c>
      <c r="E46" s="583" t="str">
        <f ca="1">IFERROR(__xludf.DUMMYFUNCTION("""COMPUTED_VALUE"""),"Vassouras")</f>
        <v>Vassouras</v>
      </c>
      <c r="F46" s="583" t="str">
        <f ca="1">IFERROR(__xludf.DUMMYFUNCTION("""COMPUTED_VALUE"""),"Marcola
Humberto
Alexandre")</f>
        <v>Marcola
Humberto
Alexandre</v>
      </c>
      <c r="G46" s="583"/>
      <c r="H46" s="583" t="str">
        <f ca="1">IFERROR(__xludf.DUMMYFUNCTION("""COMPUTED_VALUE"""),"Outro ")</f>
        <v xml:space="preserve">Outro </v>
      </c>
      <c r="I46" s="584">
        <f ca="1">IFERROR(__xludf.DUMMYFUNCTION("""COMPUTED_VALUE"""),890)</f>
        <v>890</v>
      </c>
      <c r="J46" s="568">
        <f ca="1">IFERROR(__xludf.DUMMYFUNCTION("""COMPUTED_VALUE"""),868.21)</f>
        <v>868.21</v>
      </c>
      <c r="K46" s="584">
        <f ca="1">IFERROR(__xludf.DUMMYFUNCTION("""COMPUTED_VALUE"""),-21.7899999999999)</f>
        <v>-21.7899999999999</v>
      </c>
      <c r="L46" s="585" t="str">
        <f ca="1">IFERROR(__xludf.DUMMYFUNCTION("""COMPUTED_VALUE"""),"Concluído")</f>
        <v>Concluído</v>
      </c>
      <c r="M46" s="585"/>
      <c r="N46" s="586"/>
      <c r="O46" s="586"/>
      <c r="P46" s="586"/>
      <c r="Q46" s="586"/>
    </row>
    <row r="47" spans="1:17">
      <c r="A47" s="509">
        <f t="shared" ca="1" si="9"/>
        <v>5</v>
      </c>
      <c r="B47" s="530"/>
      <c r="C47" s="565">
        <f ca="1">IFERROR(__xludf.DUMMYFUNCTION("""COMPUTED_VALUE"""),46159)</f>
        <v>46159</v>
      </c>
      <c r="D47" s="566">
        <f ca="1">IFERROR(__xludf.DUMMYFUNCTION("""COMPUTED_VALUE"""),7)</f>
        <v>7</v>
      </c>
      <c r="E47" s="566" t="str">
        <f ca="1">IFERROR(__xludf.DUMMYFUNCTION("""COMPUTED_VALUE"""),"Curitiba")</f>
        <v>Curitiba</v>
      </c>
      <c r="F47" s="566" t="str">
        <f ca="1">IFERROR(__xludf.DUMMYFUNCTION("""COMPUTED_VALUE"""),"Ronin
Luiz")</f>
        <v>Ronin
Luiz</v>
      </c>
      <c r="G47" s="566"/>
      <c r="H47" s="566" t="str">
        <f ca="1">IFERROR(__xludf.DUMMYFUNCTION("""COMPUTED_VALUE"""),"Consultoria e Perf.")</f>
        <v>Consultoria e Perf.</v>
      </c>
      <c r="I47" s="567">
        <f ca="1">IFERROR(__xludf.DUMMYFUNCTION("""COMPUTED_VALUE"""),6338.23)</f>
        <v>6338.23</v>
      </c>
      <c r="J47" s="568">
        <f ca="1">IFERROR(__xludf.DUMMYFUNCTION("""COMPUTED_VALUE"""),5538.71)</f>
        <v>5538.71</v>
      </c>
      <c r="K47" s="567">
        <f ca="1">IFERROR(__xludf.DUMMYFUNCTION("""COMPUTED_VALUE"""),-799.52)</f>
        <v>-799.52</v>
      </c>
      <c r="L47" s="569" t="str">
        <f ca="1">IFERROR(__xludf.DUMMYFUNCTION("""COMPUTED_VALUE"""),"Concluído")</f>
        <v>Concluído</v>
      </c>
      <c r="M47" s="569"/>
      <c r="N47" s="570"/>
      <c r="O47" s="570"/>
      <c r="P47" s="570"/>
      <c r="Q47" s="570"/>
    </row>
    <row r="48" spans="1:17">
      <c r="A48" s="509">
        <f t="shared" ca="1" si="9"/>
        <v>5</v>
      </c>
      <c r="B48" s="510"/>
      <c r="C48" s="582">
        <f ca="1">IFERROR(__xludf.DUMMYFUNCTION("""COMPUTED_VALUE"""),46164)</f>
        <v>46164</v>
      </c>
      <c r="D48" s="583">
        <f ca="1">IFERROR(__xludf.DUMMYFUNCTION("""COMPUTED_VALUE"""),1)</f>
        <v>1</v>
      </c>
      <c r="E48" s="583" t="str">
        <f ca="1">IFERROR(__xludf.DUMMYFUNCTION("""COMPUTED_VALUE"""),"São paulo")</f>
        <v>São paulo</v>
      </c>
      <c r="F48" s="583" t="str">
        <f ca="1">IFERROR(__xludf.DUMMYFUNCTION("""COMPUTED_VALUE"""),"Alexandre
Marcola
Humberto")</f>
        <v>Alexandre
Marcola
Humberto</v>
      </c>
      <c r="G48" s="583"/>
      <c r="H48" s="583" t="str">
        <f ca="1">IFERROR(__xludf.DUMMYFUNCTION("""COMPUTED_VALUE"""),"Outro ")</f>
        <v xml:space="preserve">Outro </v>
      </c>
      <c r="I48" s="584">
        <f ca="1">IFERROR(__xludf.DUMMYFUNCTION("""COMPUTED_VALUE"""),3697.26)</f>
        <v>3697.26</v>
      </c>
      <c r="J48" s="568">
        <f ca="1">IFERROR(__xludf.DUMMYFUNCTION("""COMPUTED_VALUE"""),3070.26)</f>
        <v>3070.26</v>
      </c>
      <c r="K48" s="584">
        <f ca="1">IFERROR(__xludf.DUMMYFUNCTION("""COMPUTED_VALUE"""),-627)</f>
        <v>-627</v>
      </c>
      <c r="L48" s="585" t="str">
        <f ca="1">IFERROR(__xludf.DUMMYFUNCTION("""COMPUTED_VALUE"""),"Concluído")</f>
        <v>Concluído</v>
      </c>
      <c r="M48" s="585"/>
      <c r="N48" s="586"/>
      <c r="O48" s="586"/>
      <c r="P48" s="586"/>
      <c r="Q48" s="586"/>
    </row>
    <row r="49" spans="1:17">
      <c r="A49" s="509">
        <f t="shared" ca="1" si="9"/>
        <v>5</v>
      </c>
      <c r="B49" s="519"/>
      <c r="C49" s="588">
        <f ca="1">IFERROR(__xludf.DUMMYFUNCTION("""COMPUTED_VALUE"""),46166)</f>
        <v>46166</v>
      </c>
      <c r="D49" s="589">
        <f ca="1">IFERROR(__xludf.DUMMYFUNCTION("""COMPUTED_VALUE"""),6)</f>
        <v>6</v>
      </c>
      <c r="E49" s="589" t="str">
        <f ca="1">IFERROR(__xludf.DUMMYFUNCTION("""COMPUTED_VALUE"""),"Londrina
Cascavel")</f>
        <v>Londrina
Cascavel</v>
      </c>
      <c r="F49" s="589" t="str">
        <f ca="1">IFERROR(__xludf.DUMMYFUNCTION("""COMPUTED_VALUE"""),"Luiz")</f>
        <v>Luiz</v>
      </c>
      <c r="G49" s="589"/>
      <c r="H49" s="589" t="str">
        <f ca="1">IFERROR(__xludf.DUMMYFUNCTION("""COMPUTED_VALUE"""),"Consultoria e Perf.")</f>
        <v>Consultoria e Perf.</v>
      </c>
      <c r="I49" s="590">
        <f ca="1">IFERROR(__xludf.DUMMYFUNCTION("""COMPUTED_VALUE"""),5156.8)</f>
        <v>5156.8</v>
      </c>
      <c r="J49" s="574">
        <f ca="1">IFERROR(__xludf.DUMMYFUNCTION("""COMPUTED_VALUE"""),4763.78)</f>
        <v>4763.78</v>
      </c>
      <c r="K49" s="590">
        <f ca="1">IFERROR(__xludf.DUMMYFUNCTION("""COMPUTED_VALUE"""),-393.019999999999)</f>
        <v>-393.01999999999902</v>
      </c>
      <c r="L49" s="591" t="str">
        <f ca="1">IFERROR(__xludf.DUMMYFUNCTION("""COMPUTED_VALUE"""),"Concluído")</f>
        <v>Concluído</v>
      </c>
      <c r="M49" s="591" t="str">
        <f ca="1">IFERROR(__xludf.DUMMYFUNCTION("""COMPUTED_VALUE"""),"- Economia na alimentação")</f>
        <v>- Economia na alimentação</v>
      </c>
      <c r="N49" s="592"/>
      <c r="O49" s="592"/>
      <c r="P49" s="592"/>
      <c r="Q49" s="592"/>
    </row>
    <row r="50" spans="1:17">
      <c r="A50" s="509">
        <f t="shared" ca="1" si="9"/>
        <v>6</v>
      </c>
      <c r="B50" s="528" t="str">
        <f ca="1">IFERROR(__xludf.DUMMYFUNCTION("""COMPUTED_VALUE"""),"JUNHO")</f>
        <v>JUNHO</v>
      </c>
      <c r="C50" s="559">
        <f ca="1">IFERROR(__xludf.DUMMYFUNCTION("""COMPUTED_VALUE"""),46182)</f>
        <v>46182</v>
      </c>
      <c r="D50" s="560">
        <f ca="1">IFERROR(__xludf.DUMMYFUNCTION("""COMPUTED_VALUE"""),2)</f>
        <v>2</v>
      </c>
      <c r="E50" s="560" t="str">
        <f ca="1">IFERROR(__xludf.DUMMYFUNCTION("""COMPUTED_VALUE"""),"Volta Redonda")</f>
        <v>Volta Redonda</v>
      </c>
      <c r="F50" s="560" t="str">
        <f ca="1">IFERROR(__xludf.DUMMYFUNCTION("""COMPUTED_VALUE"""),"Renan (GO)
Ronin")</f>
        <v>Renan (GO)
Ronin</v>
      </c>
      <c r="G50" s="560"/>
      <c r="H50" s="560" t="str">
        <f ca="1">IFERROR(__xludf.DUMMYFUNCTION("""COMPUTED_VALUE"""),"Consultoria e Perf.")</f>
        <v>Consultoria e Perf.</v>
      </c>
      <c r="I50" s="561">
        <f ca="1">IFERROR(__xludf.DUMMYFUNCTION("""COMPUTED_VALUE"""),1363.05)</f>
        <v>1363.05</v>
      </c>
      <c r="J50" s="562">
        <f ca="1">IFERROR(__xludf.DUMMYFUNCTION("""COMPUTED_VALUE"""),694.7)</f>
        <v>694.7</v>
      </c>
      <c r="K50" s="561">
        <f ca="1">IFERROR(__xludf.DUMMYFUNCTION("""COMPUTED_VALUE"""),-668.349999999999)</f>
        <v>-668.349999999999</v>
      </c>
      <c r="L50" s="563" t="str">
        <f ca="1">IFERROR(__xludf.DUMMYFUNCTION("""COMPUTED_VALUE"""),"Concluído")</f>
        <v>Concluído</v>
      </c>
      <c r="M50" s="563"/>
      <c r="N50" s="564"/>
      <c r="O50" s="564"/>
      <c r="P50" s="564"/>
      <c r="Q50" s="564"/>
    </row>
    <row r="51" spans="1:17">
      <c r="A51" s="509">
        <f t="shared" ca="1" si="9"/>
        <v>6</v>
      </c>
      <c r="B51" s="530"/>
      <c r="C51" s="565">
        <f ca="1">IFERROR(__xludf.DUMMYFUNCTION("""COMPUTED_VALUE"""),46182)</f>
        <v>46182</v>
      </c>
      <c r="D51" s="566">
        <f ca="1">IFERROR(__xludf.DUMMYFUNCTION("""COMPUTED_VALUE"""),2)</f>
        <v>2</v>
      </c>
      <c r="E51" s="566" t="str">
        <f ca="1">IFERROR(__xludf.DUMMYFUNCTION("""COMPUTED_VALUE"""),"Volta Redonda")</f>
        <v>Volta Redonda</v>
      </c>
      <c r="F51" s="566" t="str">
        <f ca="1">IFERROR(__xludf.DUMMYFUNCTION("""COMPUTED_VALUE"""),"Marley
Marina
Jéssica
Everdan
Luiz")</f>
        <v>Marley
Marina
Jéssica
Everdan
Luiz</v>
      </c>
      <c r="G51" s="566"/>
      <c r="H51" s="566" t="str">
        <f ca="1">IFERROR(__xludf.DUMMYFUNCTION("""COMPUTED_VALUE"""),"Consultoria e Perf.")</f>
        <v>Consultoria e Perf.</v>
      </c>
      <c r="I51" s="567">
        <f ca="1">IFERROR(__xludf.DUMMYFUNCTION("""COMPUTED_VALUE"""),1720.48)</f>
        <v>1720.48</v>
      </c>
      <c r="J51" s="568">
        <f ca="1">IFERROR(__xludf.DUMMYFUNCTION("""COMPUTED_VALUE"""),1168.44)</f>
        <v>1168.44</v>
      </c>
      <c r="K51" s="567">
        <f ca="1">IFERROR(__xludf.DUMMYFUNCTION("""COMPUTED_VALUE"""),-552.04)</f>
        <v>-552.04</v>
      </c>
      <c r="L51" s="569" t="str">
        <f ca="1">IFERROR(__xludf.DUMMYFUNCTION("""COMPUTED_VALUE"""),"Concluído")</f>
        <v>Concluído</v>
      </c>
      <c r="M51" s="569"/>
      <c r="N51" s="570"/>
      <c r="O51" s="570"/>
      <c r="P51" s="570"/>
      <c r="Q51" s="570"/>
    </row>
    <row r="52" spans="1:17">
      <c r="A52" s="509">
        <f t="shared" ca="1" si="9"/>
        <v>6</v>
      </c>
      <c r="B52" s="510"/>
      <c r="C52" s="582">
        <f ca="1">IFERROR(__xludf.DUMMYFUNCTION("""COMPUTED_VALUE"""),46182)</f>
        <v>46182</v>
      </c>
      <c r="D52" s="583">
        <f ca="1">IFERROR(__xludf.DUMMYFUNCTION("""COMPUTED_VALUE"""),2)</f>
        <v>2</v>
      </c>
      <c r="E52" s="583" t="str">
        <f ca="1">IFERROR(__xludf.DUMMYFUNCTION("""COMPUTED_VALUE"""),"Volta Redonda")</f>
        <v>Volta Redonda</v>
      </c>
      <c r="F52" s="583" t="str">
        <f ca="1">IFERROR(__xludf.DUMMYFUNCTION("""COMPUTED_VALUE"""),"Humberto
Renato")</f>
        <v>Humberto
Renato</v>
      </c>
      <c r="G52" s="583"/>
      <c r="H52" s="583" t="str">
        <f ca="1">IFERROR(__xludf.DUMMYFUNCTION("""COMPUTED_VALUE"""),"Outro ")</f>
        <v xml:space="preserve">Outro </v>
      </c>
      <c r="I52" s="584">
        <f ca="1">IFERROR(__xludf.DUMMYFUNCTION("""COMPUTED_VALUE"""),532.829999999999)</f>
        <v>532.82999999999902</v>
      </c>
      <c r="J52" s="568">
        <f ca="1">IFERROR(__xludf.DUMMYFUNCTION("""COMPUTED_VALUE"""),466.299999999999)</f>
        <v>466.29999999999899</v>
      </c>
      <c r="K52" s="584">
        <f ca="1">IFERROR(__xludf.DUMMYFUNCTION("""COMPUTED_VALUE"""),-66.5299999999999)</f>
        <v>-66.529999999999902</v>
      </c>
      <c r="L52" s="585" t="str">
        <f ca="1">IFERROR(__xludf.DUMMYFUNCTION("""COMPUTED_VALUE"""),"Concluído")</f>
        <v>Concluído</v>
      </c>
      <c r="M52" s="585"/>
      <c r="N52" s="586"/>
      <c r="O52" s="586"/>
      <c r="P52" s="586"/>
      <c r="Q52" s="586"/>
    </row>
    <row r="53" spans="1:17">
      <c r="A53" s="509">
        <f t="shared" ca="1" si="9"/>
        <v>6</v>
      </c>
      <c r="B53" s="530"/>
      <c r="C53" s="565">
        <f ca="1">IFERROR(__xludf.DUMMYFUNCTION("""COMPUTED_VALUE"""),46189)</f>
        <v>46189</v>
      </c>
      <c r="D53" s="566">
        <f ca="1">IFERROR(__xludf.DUMMYFUNCTION("""COMPUTED_VALUE"""),3)</f>
        <v>3</v>
      </c>
      <c r="E53" s="566" t="str">
        <f ca="1">IFERROR(__xludf.DUMMYFUNCTION("""COMPUTED_VALUE"""),"Divinópolis")</f>
        <v>Divinópolis</v>
      </c>
      <c r="F53" s="566" t="str">
        <f ca="1">IFERROR(__xludf.DUMMYFUNCTION("""COMPUTED_VALUE"""),"Marina")</f>
        <v>Marina</v>
      </c>
      <c r="G53" s="566"/>
      <c r="H53" s="566" t="str">
        <f ca="1">IFERROR(__xludf.DUMMYFUNCTION("""COMPUTED_VALUE"""),"Consultoria e Perf.")</f>
        <v>Consultoria e Perf.</v>
      </c>
      <c r="I53" s="567">
        <f ca="1">IFERROR(__xludf.DUMMYFUNCTION("""COMPUTED_VALUE"""),2240.57)</f>
        <v>2240.5700000000002</v>
      </c>
      <c r="J53" s="568">
        <f ca="1">IFERROR(__xludf.DUMMYFUNCTION("""COMPUTED_VALUE"""),2212.48)</f>
        <v>2212.48</v>
      </c>
      <c r="K53" s="567">
        <f ca="1">IFERROR(__xludf.DUMMYFUNCTION("""COMPUTED_VALUE"""),-28.0900000000001)</f>
        <v>-28.090000000000099</v>
      </c>
      <c r="L53" s="569" t="str">
        <f ca="1">IFERROR(__xludf.DUMMYFUNCTION("""COMPUTED_VALUE"""),"Concluído")</f>
        <v>Concluído</v>
      </c>
      <c r="M53" s="569"/>
      <c r="N53" s="570"/>
      <c r="O53" s="570"/>
      <c r="P53" s="570"/>
      <c r="Q53" s="570"/>
    </row>
    <row r="54" spans="1:17">
      <c r="A54" s="509">
        <f t="shared" ca="1" si="9"/>
        <v>6</v>
      </c>
      <c r="B54" s="510"/>
      <c r="C54" s="582">
        <f ca="1">IFERROR(__xludf.DUMMYFUNCTION("""COMPUTED_VALUE"""),46199)</f>
        <v>46199</v>
      </c>
      <c r="D54" s="583">
        <f ca="1">IFERROR(__xludf.DUMMYFUNCTION("""COMPUTED_VALUE"""),2)</f>
        <v>2</v>
      </c>
      <c r="E54" s="583" t="str">
        <f ca="1">IFERROR(__xludf.DUMMYFUNCTION("""COMPUTED_VALUE"""),"São paulo")</f>
        <v>São paulo</v>
      </c>
      <c r="F54" s="583" t="str">
        <f ca="1">IFERROR(__xludf.DUMMYFUNCTION("""COMPUTED_VALUE"""),"Jhonny
Dionisio")</f>
        <v>Jhonny
Dionisio</v>
      </c>
      <c r="G54" s="583"/>
      <c r="H54" s="583" t="str">
        <f ca="1">IFERROR(__xludf.DUMMYFUNCTION("""COMPUTED_VALUE"""),"Marketing")</f>
        <v>Marketing</v>
      </c>
      <c r="I54" s="584">
        <f ca="1">IFERROR(__xludf.DUMMYFUNCTION("""COMPUTED_VALUE"""),4302.92)</f>
        <v>4302.92</v>
      </c>
      <c r="J54" s="568">
        <f ca="1">IFERROR(__xludf.DUMMYFUNCTION("""COMPUTED_VALUE"""),3822.18999999999)</f>
        <v>3822.1899999999901</v>
      </c>
      <c r="K54" s="584">
        <f ca="1">IFERROR(__xludf.DUMMYFUNCTION("""COMPUTED_VALUE"""),-480.73)</f>
        <v>-480.73</v>
      </c>
      <c r="L54" s="585" t="str">
        <f ca="1">IFERROR(__xludf.DUMMYFUNCTION("""COMPUTED_VALUE"""),"Concluído")</f>
        <v>Concluído</v>
      </c>
      <c r="M54" s="585"/>
      <c r="N54" s="586"/>
      <c r="O54" s="586"/>
      <c r="P54" s="586"/>
      <c r="Q54" s="586"/>
    </row>
    <row r="55" spans="1:17">
      <c r="A55" s="509">
        <f t="shared" ca="1" si="9"/>
        <v>6</v>
      </c>
      <c r="B55" s="594"/>
      <c r="C55" s="595">
        <f ca="1">IFERROR(__xludf.DUMMYFUNCTION("""COMPUTED_VALUE"""),46197)</f>
        <v>46197</v>
      </c>
      <c r="D55" s="596">
        <f ca="1">IFERROR(__xludf.DUMMYFUNCTION("""COMPUTED_VALUE"""),3)</f>
        <v>3</v>
      </c>
      <c r="E55" s="596" t="str">
        <f ca="1">IFERROR(__xludf.DUMMYFUNCTION("""COMPUTED_VALUE"""),"Governador Valadares")</f>
        <v>Governador Valadares</v>
      </c>
      <c r="F55" s="596" t="str">
        <f ca="1">IFERROR(__xludf.DUMMYFUNCTION("""COMPUTED_VALUE"""),"Luiz")</f>
        <v>Luiz</v>
      </c>
      <c r="G55" s="596"/>
      <c r="H55" s="596" t="str">
        <f ca="1">IFERROR(__xludf.DUMMYFUNCTION("""COMPUTED_VALUE"""),"Consultoria e Perf.")</f>
        <v>Consultoria e Perf.</v>
      </c>
      <c r="I55" s="597">
        <f ca="1">IFERROR(__xludf.DUMMYFUNCTION("""COMPUTED_VALUE"""),2540.13)</f>
        <v>2540.13</v>
      </c>
      <c r="J55" s="598">
        <f ca="1">IFERROR(__xludf.DUMMYFUNCTION("""COMPUTED_VALUE"""),2522.13)</f>
        <v>2522.13</v>
      </c>
      <c r="K55" s="597">
        <f ca="1">IFERROR(__xludf.DUMMYFUNCTION("""COMPUTED_VALUE"""),-18)</f>
        <v>-18</v>
      </c>
      <c r="L55" s="599" t="str">
        <f ca="1">IFERROR(__xludf.DUMMYFUNCTION("""COMPUTED_VALUE"""),"Concluído")</f>
        <v>Concluído</v>
      </c>
      <c r="M55" s="599"/>
      <c r="N55" s="600"/>
      <c r="O55" s="600"/>
      <c r="P55" s="600"/>
      <c r="Q55" s="600"/>
    </row>
    <row r="56" spans="1:17">
      <c r="A56" s="509">
        <f t="shared" ca="1" si="9"/>
        <v>7</v>
      </c>
      <c r="B56" s="601" t="str">
        <f ca="1">IFERROR(__xludf.DUMMYFUNCTION("""COMPUTED_VALUE"""),"JULHO")</f>
        <v>JULHO</v>
      </c>
      <c r="C56" s="602">
        <f ca="1">IFERROR(__xludf.DUMMYFUNCTION("""COMPUTED_VALUE"""),46204)</f>
        <v>46204</v>
      </c>
      <c r="D56" s="603">
        <f ca="1">IFERROR(__xludf.DUMMYFUNCTION("""COMPUTED_VALUE"""),4)</f>
        <v>4</v>
      </c>
      <c r="E56" s="603" t="str">
        <f ca="1">IFERROR(__xludf.DUMMYFUNCTION("""COMPUTED_VALUE"""),"Montes Claros")</f>
        <v>Montes Claros</v>
      </c>
      <c r="F56" s="603" t="str">
        <f ca="1">IFERROR(__xludf.DUMMYFUNCTION("""COMPUTED_VALUE"""),"Luiz 
Arturo")</f>
        <v>Luiz 
Arturo</v>
      </c>
      <c r="G56" s="603"/>
      <c r="H56" s="603" t="str">
        <f ca="1">IFERROR(__xludf.DUMMYFUNCTION("""COMPUTED_VALUE"""),"Consultoria e Perf.")</f>
        <v>Consultoria e Perf.</v>
      </c>
      <c r="I56" s="604">
        <f ca="1">IFERROR(__xludf.DUMMYFUNCTION("""COMPUTED_VALUE"""),4419.63)</f>
        <v>4419.63</v>
      </c>
      <c r="J56" s="605">
        <f ca="1">IFERROR(__xludf.DUMMYFUNCTION("""COMPUTED_VALUE"""),4419.17999999999)</f>
        <v>4419.1799999999903</v>
      </c>
      <c r="K56" s="604">
        <f ca="1">IFERROR(__xludf.DUMMYFUNCTION("""COMPUTED_VALUE"""),-0.450000000000727)</f>
        <v>-0.45000000000072699</v>
      </c>
      <c r="L56" s="606" t="str">
        <f ca="1">IFERROR(__xludf.DUMMYFUNCTION("""COMPUTED_VALUE"""),"Concluído")</f>
        <v>Concluído</v>
      </c>
      <c r="M56" s="606"/>
      <c r="N56" s="607"/>
      <c r="O56" s="607"/>
      <c r="P56" s="607"/>
      <c r="Q56" s="607"/>
    </row>
    <row r="57" spans="1:17">
      <c r="A57" s="509">
        <f t="shared" ca="1" si="9"/>
        <v>7</v>
      </c>
      <c r="B57" s="530"/>
      <c r="C57" s="565">
        <f ca="1">IFERROR(__xludf.DUMMYFUNCTION("""COMPUTED_VALUE"""),46209)</f>
        <v>46209</v>
      </c>
      <c r="D57" s="566">
        <f ca="1">IFERROR(__xludf.DUMMYFUNCTION("""COMPUTED_VALUE"""),4)</f>
        <v>4</v>
      </c>
      <c r="E57" s="566" t="str">
        <f ca="1">IFERROR(__xludf.DUMMYFUNCTION("""COMPUTED_VALUE"""),"BH")</f>
        <v>BH</v>
      </c>
      <c r="F57" s="566" t="str">
        <f ca="1">IFERROR(__xludf.DUMMYFUNCTION("""COMPUTED_VALUE"""),"Ronin
Jéssica
Regis
Renato
Everdan
Humberto")</f>
        <v>Ronin
Jéssica
Regis
Renato
Everdan
Humberto</v>
      </c>
      <c r="G57" s="566"/>
      <c r="H57" s="566" t="str">
        <f ca="1">IFERROR(__xludf.DUMMYFUNCTION("""COMPUTED_VALUE"""),"Consultoria e Perf.")</f>
        <v>Consultoria e Perf.</v>
      </c>
      <c r="I57" s="567">
        <f ca="1">IFERROR(__xludf.DUMMYFUNCTION("""COMPUTED_VALUE"""),6510.33)</f>
        <v>6510.33</v>
      </c>
      <c r="J57" s="568">
        <f ca="1">IFERROR(__xludf.DUMMYFUNCTION("""COMPUTED_VALUE"""),5727.88)</f>
        <v>5727.88</v>
      </c>
      <c r="K57" s="567">
        <f ca="1">IFERROR(__xludf.DUMMYFUNCTION("""COMPUTED_VALUE"""),-782.45)</f>
        <v>-782.45</v>
      </c>
      <c r="L57" s="569" t="str">
        <f ca="1">IFERROR(__xludf.DUMMYFUNCTION("""COMPUTED_VALUE"""),"Concluído")</f>
        <v>Concluído</v>
      </c>
      <c r="M57" s="569"/>
      <c r="N57" s="570"/>
      <c r="O57" s="570"/>
      <c r="P57" s="570"/>
      <c r="Q57" s="570"/>
    </row>
    <row r="58" spans="1:17">
      <c r="A58" s="509">
        <f t="shared" ca="1" si="9"/>
        <v>7</v>
      </c>
      <c r="B58" s="510"/>
      <c r="C58" s="582">
        <f ca="1">IFERROR(__xludf.DUMMYFUNCTION("""COMPUTED_VALUE"""),46223)</f>
        <v>46223</v>
      </c>
      <c r="D58" s="583">
        <f ca="1">IFERROR(__xludf.DUMMYFUNCTION("""COMPUTED_VALUE"""),5)</f>
        <v>5</v>
      </c>
      <c r="E58" s="583" t="str">
        <f ca="1">IFERROR(__xludf.DUMMYFUNCTION("""COMPUTED_VALUE"""),"Passos
Piracicaba")</f>
        <v>Passos
Piracicaba</v>
      </c>
      <c r="F58" s="583" t="str">
        <f ca="1">IFERROR(__xludf.DUMMYFUNCTION("""COMPUTED_VALUE"""),"Marley")</f>
        <v>Marley</v>
      </c>
      <c r="G58" s="583"/>
      <c r="H58" s="583" t="str">
        <f ca="1">IFERROR(__xludf.DUMMYFUNCTION("""COMPUTED_VALUE"""),"Consultoria e Perf.")</f>
        <v>Consultoria e Perf.</v>
      </c>
      <c r="I58" s="584">
        <f ca="1">IFERROR(__xludf.DUMMYFUNCTION("""COMPUTED_VALUE"""),4760.50999999999)</f>
        <v>4760.5099999999902</v>
      </c>
      <c r="J58" s="568">
        <f ca="1">IFERROR(__xludf.DUMMYFUNCTION("""COMPUTED_VALUE"""),4869.46999999999)</f>
        <v>4869.4699999999903</v>
      </c>
      <c r="K58" s="584">
        <f ca="1">IFERROR(__xludf.DUMMYFUNCTION("""COMPUTED_VALUE"""),108.96)</f>
        <v>108.96</v>
      </c>
      <c r="L58" s="585" t="str">
        <f ca="1">IFERROR(__xludf.DUMMYFUNCTION("""COMPUTED_VALUE"""),"Concluído")</f>
        <v>Concluído</v>
      </c>
      <c r="M58" s="585"/>
      <c r="N58" s="586"/>
      <c r="O58" s="586"/>
      <c r="P58" s="586"/>
      <c r="Q58" s="586"/>
    </row>
    <row r="59" spans="1:17">
      <c r="A59" s="509">
        <f t="shared" ca="1" si="9"/>
        <v>7</v>
      </c>
      <c r="B59" s="594"/>
      <c r="C59" s="595">
        <f ca="1">IFERROR(__xludf.DUMMYFUNCTION("""COMPUTED_VALUE"""),46225)</f>
        <v>46225</v>
      </c>
      <c r="D59" s="596">
        <f ca="1">IFERROR(__xludf.DUMMYFUNCTION("""COMPUTED_VALUE"""),3)</f>
        <v>3</v>
      </c>
      <c r="E59" s="596" t="str">
        <f ca="1">IFERROR(__xludf.DUMMYFUNCTION("""COMPUTED_VALUE"""),"Ubá")</f>
        <v>Ubá</v>
      </c>
      <c r="F59" s="596" t="str">
        <f ca="1">IFERROR(__xludf.DUMMYFUNCTION("""COMPUTED_VALUE"""),"Marina Melo
Marina Nascif")</f>
        <v>Marina Melo
Marina Nascif</v>
      </c>
      <c r="G59" s="596"/>
      <c r="H59" s="596" t="str">
        <f ca="1">IFERROR(__xludf.DUMMYFUNCTION("""COMPUTED_VALUE"""),"Consultoria e Perf.")</f>
        <v>Consultoria e Perf.</v>
      </c>
      <c r="I59" s="597">
        <f ca="1">IFERROR(__xludf.DUMMYFUNCTION("""COMPUTED_VALUE"""),1542.68)</f>
        <v>1542.68</v>
      </c>
      <c r="J59" s="598">
        <f ca="1">IFERROR(__xludf.DUMMYFUNCTION("""COMPUTED_VALUE"""),1205.73)</f>
        <v>1205.73</v>
      </c>
      <c r="K59" s="597">
        <f ca="1">IFERROR(__xludf.DUMMYFUNCTION("""COMPUTED_VALUE"""),-336.95)</f>
        <v>-336.95</v>
      </c>
      <c r="L59" s="599" t="str">
        <f ca="1">IFERROR(__xludf.DUMMYFUNCTION("""COMPUTED_VALUE"""),"Concluído")</f>
        <v>Concluído</v>
      </c>
      <c r="M59" s="599"/>
      <c r="N59" s="600"/>
      <c r="O59" s="600"/>
      <c r="P59" s="600"/>
      <c r="Q59" s="600"/>
    </row>
    <row r="60" spans="1:17">
      <c r="A60" s="509">
        <f t="shared" ca="1" si="9"/>
        <v>8</v>
      </c>
      <c r="B60" s="601" t="str">
        <f ca="1">IFERROR(__xludf.DUMMYFUNCTION("""COMPUTED_VALUE"""),"AGOSTO")</f>
        <v>AGOSTO</v>
      </c>
      <c r="C60" s="602">
        <f ca="1">IFERROR(__xludf.DUMMYFUNCTION("""COMPUTED_VALUE"""),46253)</f>
        <v>46253</v>
      </c>
      <c r="D60" s="603">
        <f ca="1">IFERROR(__xludf.DUMMYFUNCTION("""COMPUTED_VALUE"""),4)</f>
        <v>4</v>
      </c>
      <c r="E60" s="603" t="str">
        <f ca="1">IFERROR(__xludf.DUMMYFUNCTION("""COMPUTED_VALUE"""),"Salvador")</f>
        <v>Salvador</v>
      </c>
      <c r="F60" s="603" t="str">
        <f ca="1">IFERROR(__xludf.DUMMYFUNCTION("""COMPUTED_VALUE"""),"Marley")</f>
        <v>Marley</v>
      </c>
      <c r="G60" s="603"/>
      <c r="H60" s="603" t="str">
        <f ca="1">IFERROR(__xludf.DUMMYFUNCTION("""COMPUTED_VALUE"""),"Consultoria e Perf.")</f>
        <v>Consultoria e Perf.</v>
      </c>
      <c r="I60" s="604">
        <f ca="1">IFERROR(__xludf.DUMMYFUNCTION("""COMPUTED_VALUE"""),2895.7)</f>
        <v>2895.7</v>
      </c>
      <c r="J60" s="605">
        <f ca="1">IFERROR(__xludf.DUMMYFUNCTION("""COMPUTED_VALUE"""),2895.68999999999)</f>
        <v>2895.6899999999901</v>
      </c>
      <c r="K60" s="604">
        <f ca="1">IFERROR(__xludf.DUMMYFUNCTION("""COMPUTED_VALUE"""),-0.0100000000002182)</f>
        <v>-1.0000000000218201E-2</v>
      </c>
      <c r="L60" s="606" t="str">
        <f ca="1">IFERROR(__xludf.DUMMYFUNCTION("""COMPUTED_VALUE"""),"Concluído")</f>
        <v>Concluído</v>
      </c>
      <c r="M60" s="606"/>
      <c r="N60" s="607"/>
      <c r="O60" s="607"/>
      <c r="P60" s="607"/>
      <c r="Q60" s="607"/>
    </row>
    <row r="61" spans="1:17">
      <c r="A61" s="509">
        <f t="shared" ca="1" si="9"/>
        <v>8</v>
      </c>
      <c r="B61" s="594"/>
      <c r="C61" s="595">
        <f ca="1">IFERROR(__xludf.DUMMYFUNCTION("""COMPUTED_VALUE"""),46259)</f>
        <v>46259</v>
      </c>
      <c r="D61" s="596">
        <f ca="1">IFERROR(__xludf.DUMMYFUNCTION("""COMPUTED_VALUE"""),2)</f>
        <v>2</v>
      </c>
      <c r="E61" s="596" t="str">
        <f ca="1">IFERROR(__xludf.DUMMYFUNCTION("""COMPUTED_VALUE"""),"Barbacena")</f>
        <v>Barbacena</v>
      </c>
      <c r="F61" s="596" t="str">
        <f ca="1">IFERROR(__xludf.DUMMYFUNCTION("""COMPUTED_VALUE"""),"Marina Melo
Marina Nascif")</f>
        <v>Marina Melo
Marina Nascif</v>
      </c>
      <c r="G61" s="596"/>
      <c r="H61" s="596" t="str">
        <f ca="1">IFERROR(__xludf.DUMMYFUNCTION("""COMPUTED_VALUE"""),"Consultoria e Perf.")</f>
        <v>Consultoria e Perf.</v>
      </c>
      <c r="I61" s="597">
        <f ca="1">IFERROR(__xludf.DUMMYFUNCTION("""COMPUTED_VALUE"""),882.9)</f>
        <v>882.9</v>
      </c>
      <c r="J61" s="598">
        <f ca="1">IFERROR(__xludf.DUMMYFUNCTION("""COMPUTED_VALUE"""),604.7)</f>
        <v>604.70000000000005</v>
      </c>
      <c r="K61" s="597">
        <f ca="1">IFERROR(__xludf.DUMMYFUNCTION("""COMPUTED_VALUE"""),-278.199999999999)</f>
        <v>-278.19999999999902</v>
      </c>
      <c r="L61" s="599" t="str">
        <f ca="1">IFERROR(__xludf.DUMMYFUNCTION("""COMPUTED_VALUE"""),"Concluído")</f>
        <v>Concluído</v>
      </c>
      <c r="M61" s="599"/>
      <c r="N61" s="600"/>
      <c r="O61" s="600"/>
      <c r="P61" s="600"/>
      <c r="Q61" s="600"/>
    </row>
    <row r="62" spans="1:17">
      <c r="A62" s="509">
        <f t="shared" ca="1" si="9"/>
        <v>9</v>
      </c>
      <c r="B62" s="601" t="str">
        <f ca="1">IFERROR(__xludf.DUMMYFUNCTION("""COMPUTED_VALUE"""),"SETEMBRO")</f>
        <v>SETEMBRO</v>
      </c>
      <c r="C62" s="602">
        <f ca="1">IFERROR(__xludf.DUMMYFUNCTION("""COMPUTED_VALUE"""),46278)</f>
        <v>46278</v>
      </c>
      <c r="D62" s="603">
        <f ca="1">IFERROR(__xludf.DUMMYFUNCTION("""COMPUTED_VALUE"""),4)</f>
        <v>4</v>
      </c>
      <c r="E62" s="603" t="str">
        <f ca="1">IFERROR(__xludf.DUMMYFUNCTION("""COMPUTED_VALUE"""),"Campo Grande ")</f>
        <v xml:space="preserve">Campo Grande </v>
      </c>
      <c r="F62" s="603" t="str">
        <f ca="1">IFERROR(__xludf.DUMMYFUNCTION("""COMPUTED_VALUE"""),"Marina Nascif
Everdan ")</f>
        <v xml:space="preserve">Marina Nascif
Everdan </v>
      </c>
      <c r="G62" s="603"/>
      <c r="H62" s="603" t="str">
        <f ca="1">IFERROR(__xludf.DUMMYFUNCTION("""COMPUTED_VALUE"""),"Consultoria e Perf.")</f>
        <v>Consultoria e Perf.</v>
      </c>
      <c r="I62" s="604">
        <f ca="1">IFERROR(__xludf.DUMMYFUNCTION("""COMPUTED_VALUE"""),6316.86)</f>
        <v>6316.86</v>
      </c>
      <c r="J62" s="605">
        <f ca="1">IFERROR(__xludf.DUMMYFUNCTION("""COMPUTED_VALUE"""),6463.4)</f>
        <v>6463.4</v>
      </c>
      <c r="K62" s="604">
        <f ca="1">IFERROR(__xludf.DUMMYFUNCTION("""COMPUTED_VALUE"""),146.539999999999)</f>
        <v>146.539999999999</v>
      </c>
      <c r="L62" s="606" t="str">
        <f ca="1">IFERROR(__xludf.DUMMYFUNCTION("""COMPUTED_VALUE"""),"Concluído")</f>
        <v>Concluído</v>
      </c>
      <c r="M62" s="606" t="str">
        <f ca="1">IFERROR(__xludf.DUMMYFUNCTION("""COMPUTED_VALUE"""),"- gastos a mais com alimentação e estacionamento ")</f>
        <v xml:space="preserve">- gastos a mais com alimentação e estacionamento </v>
      </c>
      <c r="N62" s="607"/>
      <c r="O62" s="607"/>
      <c r="P62" s="607"/>
      <c r="Q62" s="607"/>
    </row>
    <row r="63" spans="1:17">
      <c r="A63" s="509">
        <f t="shared" ca="1" si="9"/>
        <v>9</v>
      </c>
      <c r="B63" s="530"/>
      <c r="C63" s="565">
        <f ca="1">IFERROR(__xludf.DUMMYFUNCTION("""COMPUTED_VALUE"""),46287)</f>
        <v>46287</v>
      </c>
      <c r="D63" s="566">
        <f ca="1">IFERROR(__xludf.DUMMYFUNCTION("""COMPUTED_VALUE"""),3)</f>
        <v>3</v>
      </c>
      <c r="E63" s="566" t="str">
        <f ca="1">IFERROR(__xludf.DUMMYFUNCTION("""COMPUTED_VALUE"""),"Pouso Alegre")</f>
        <v>Pouso Alegre</v>
      </c>
      <c r="F63" s="566" t="str">
        <f ca="1">IFERROR(__xludf.DUMMYFUNCTION("""COMPUTED_VALUE"""),"Marina Melo
Arturo ")</f>
        <v xml:space="preserve">Marina Melo
Arturo </v>
      </c>
      <c r="G63" s="566"/>
      <c r="H63" s="566" t="str">
        <f ca="1">IFERROR(__xludf.DUMMYFUNCTION("""COMPUTED_VALUE"""),"Consultoria e Perf.")</f>
        <v>Consultoria e Perf.</v>
      </c>
      <c r="I63" s="567">
        <f ca="1">IFERROR(__xludf.DUMMYFUNCTION("""COMPUTED_VALUE"""),3234.56)</f>
        <v>3234.56</v>
      </c>
      <c r="J63" s="568">
        <f ca="1">IFERROR(__xludf.DUMMYFUNCTION("""COMPUTED_VALUE"""),3038.15)</f>
        <v>3038.15</v>
      </c>
      <c r="K63" s="567">
        <f ca="1">IFERROR(__xludf.DUMMYFUNCTION("""COMPUTED_VALUE"""),-196.41)</f>
        <v>-196.41</v>
      </c>
      <c r="L63" s="569" t="str">
        <f ca="1">IFERROR(__xludf.DUMMYFUNCTION("""COMPUTED_VALUE"""),"Concluído")</f>
        <v>Concluído</v>
      </c>
      <c r="M63" s="569"/>
      <c r="N63" s="570"/>
      <c r="O63" s="570"/>
      <c r="P63" s="570"/>
      <c r="Q63" s="570"/>
    </row>
    <row r="64" spans="1:17">
      <c r="A64" s="509">
        <f t="shared" ca="1" si="9"/>
        <v>10</v>
      </c>
      <c r="B64" s="510" t="str">
        <f ca="1">IFERROR(__xludf.DUMMYFUNCTION("""COMPUTED_VALUE"""),"OUTUBRO")</f>
        <v>OUTUBRO</v>
      </c>
      <c r="C64" s="582">
        <f ca="1">IFERROR(__xludf.DUMMYFUNCTION("""COMPUTED_VALUE"""),46299)</f>
        <v>46299</v>
      </c>
      <c r="D64" s="583">
        <f ca="1">IFERROR(__xludf.DUMMYFUNCTION("""COMPUTED_VALUE"""),3)</f>
        <v>3</v>
      </c>
      <c r="E64" s="583" t="str">
        <f ca="1">IFERROR(__xludf.DUMMYFUNCTION("""COMPUTED_VALUE"""),"São Paulo")</f>
        <v>São Paulo</v>
      </c>
      <c r="F64" s="583" t="str">
        <f ca="1">IFERROR(__xludf.DUMMYFUNCTION("""COMPUTED_VALUE"""),"Marina Melo
Everdan")</f>
        <v>Marina Melo
Everdan</v>
      </c>
      <c r="G64" s="583"/>
      <c r="H64" s="583" t="str">
        <f ca="1">IFERROR(__xludf.DUMMYFUNCTION("""COMPUTED_VALUE"""),"Consultoria e Perf.")</f>
        <v>Consultoria e Perf.</v>
      </c>
      <c r="I64" s="584">
        <f ca="1">IFERROR(__xludf.DUMMYFUNCTION("""COMPUTED_VALUE"""),2976.76)</f>
        <v>2976.76</v>
      </c>
      <c r="J64" s="568">
        <f ca="1">IFERROR(__xludf.DUMMYFUNCTION("""COMPUTED_VALUE"""),2976.76)</f>
        <v>2976.76</v>
      </c>
      <c r="K64" s="584">
        <f ca="1">IFERROR(__xludf.DUMMYFUNCTION("""COMPUTED_VALUE"""),0)</f>
        <v>0</v>
      </c>
      <c r="L64" s="585" t="str">
        <f ca="1">IFERROR(__xludf.DUMMYFUNCTION("""COMPUTED_VALUE"""),"Aguardando retorno")</f>
        <v>Aguardando retorno</v>
      </c>
      <c r="M64" s="585" t="str">
        <f ca="1">IFERROR(__xludf.DUMMYFUNCTION("""COMPUTED_VALUE"""),"- gastos a mais com alimentação e estacionamento ")</f>
        <v xml:space="preserve">- gastos a mais com alimentação e estacionamento </v>
      </c>
      <c r="N64" s="586"/>
      <c r="O64" s="586"/>
      <c r="P64" s="586"/>
      <c r="Q64" s="586"/>
    </row>
    <row r="65" spans="1:17">
      <c r="A65" s="509">
        <f t="shared" si="9"/>
        <v>1</v>
      </c>
      <c r="B65" s="530"/>
      <c r="C65" s="608"/>
      <c r="D65" s="566"/>
      <c r="E65" s="566"/>
      <c r="F65" s="566"/>
      <c r="G65" s="566"/>
      <c r="H65" s="566"/>
      <c r="I65" s="567"/>
      <c r="J65" s="568"/>
      <c r="K65" s="567">
        <f ca="1">IFERROR(__xludf.DUMMYFUNCTION("""COMPUTED_VALUE"""),0)</f>
        <v>0</v>
      </c>
      <c r="L65" s="569" t="str">
        <f ca="1">IFERROR(__xludf.DUMMYFUNCTION("""COMPUTED_VALUE"""),"Aguardando retorno")</f>
        <v>Aguardando retorno</v>
      </c>
      <c r="M65" s="569"/>
      <c r="N65" s="570"/>
      <c r="O65" s="570"/>
      <c r="P65" s="570"/>
      <c r="Q65" s="570"/>
    </row>
    <row r="66" spans="1:17">
      <c r="A66" s="509">
        <f t="shared" si="9"/>
        <v>1</v>
      </c>
      <c r="B66" s="510"/>
      <c r="C66" s="587"/>
      <c r="D66" s="583"/>
      <c r="E66" s="583"/>
      <c r="F66" s="583"/>
      <c r="G66" s="583"/>
      <c r="H66" s="583"/>
      <c r="I66" s="584"/>
      <c r="J66" s="568"/>
      <c r="K66" s="584">
        <f ca="1">IFERROR(__xludf.DUMMYFUNCTION("""COMPUTED_VALUE"""),0)</f>
        <v>0</v>
      </c>
      <c r="L66" s="585" t="str">
        <f ca="1">IFERROR(__xludf.DUMMYFUNCTION("""COMPUTED_VALUE"""),"Aguardando retorno")</f>
        <v>Aguardando retorno</v>
      </c>
      <c r="M66" s="585"/>
      <c r="N66" s="586"/>
      <c r="O66" s="586"/>
      <c r="P66" s="586"/>
      <c r="Q66" s="586"/>
    </row>
    <row r="67" spans="1:17">
      <c r="A67" s="509">
        <f t="shared" si="9"/>
        <v>1</v>
      </c>
      <c r="B67" s="530"/>
      <c r="C67" s="608"/>
      <c r="D67" s="566"/>
      <c r="E67" s="566"/>
      <c r="F67" s="566"/>
      <c r="G67" s="566"/>
      <c r="H67" s="566"/>
      <c r="I67" s="567"/>
      <c r="J67" s="568"/>
      <c r="K67" s="567"/>
      <c r="L67" s="569"/>
      <c r="M67" s="569"/>
      <c r="N67" s="570"/>
      <c r="O67" s="570"/>
      <c r="P67" s="570"/>
      <c r="Q67" s="570"/>
    </row>
    <row r="68" spans="1:17">
      <c r="A68" s="509">
        <f t="shared" si="9"/>
        <v>1</v>
      </c>
      <c r="B68" s="510"/>
      <c r="C68" s="587"/>
      <c r="D68" s="583"/>
      <c r="E68" s="583"/>
      <c r="F68" s="583"/>
      <c r="G68" s="583"/>
      <c r="H68" s="583"/>
      <c r="I68" s="584"/>
      <c r="J68" s="568"/>
      <c r="K68" s="584"/>
      <c r="L68" s="585"/>
      <c r="M68" s="585"/>
      <c r="N68" s="586"/>
      <c r="O68" s="586"/>
      <c r="P68" s="586"/>
      <c r="Q68" s="586"/>
    </row>
    <row r="69" spans="1:17">
      <c r="A69" s="509">
        <f t="shared" si="9"/>
        <v>1</v>
      </c>
      <c r="B69" s="530"/>
      <c r="C69" s="608"/>
      <c r="D69" s="566"/>
      <c r="E69" s="566"/>
      <c r="F69" s="566"/>
      <c r="G69" s="566"/>
      <c r="H69" s="566"/>
      <c r="I69" s="567"/>
      <c r="J69" s="568"/>
      <c r="K69" s="567"/>
      <c r="L69" s="569"/>
      <c r="M69" s="569"/>
      <c r="N69" s="570"/>
      <c r="O69" s="570"/>
      <c r="P69" s="570"/>
      <c r="Q69" s="570"/>
    </row>
    <row r="70" spans="1:17">
      <c r="A70" s="509">
        <f t="shared" si="9"/>
        <v>1</v>
      </c>
      <c r="B70" s="510"/>
      <c r="C70" s="587"/>
      <c r="D70" s="583"/>
      <c r="E70" s="583"/>
      <c r="F70" s="583"/>
      <c r="G70" s="583"/>
      <c r="H70" s="583"/>
      <c r="I70" s="584"/>
      <c r="J70" s="568"/>
      <c r="K70" s="584"/>
      <c r="L70" s="585"/>
      <c r="M70" s="585"/>
      <c r="N70" s="586"/>
      <c r="O70" s="586"/>
      <c r="P70" s="586"/>
      <c r="Q70" s="586"/>
    </row>
    <row r="71" spans="1:17">
      <c r="A71" s="509">
        <f t="shared" si="9"/>
        <v>1</v>
      </c>
      <c r="B71" s="530"/>
      <c r="C71" s="608"/>
      <c r="D71" s="566"/>
      <c r="E71" s="566"/>
      <c r="F71" s="566"/>
      <c r="G71" s="566"/>
      <c r="H71" s="566"/>
      <c r="I71" s="567"/>
      <c r="J71" s="568"/>
      <c r="K71" s="567"/>
      <c r="L71" s="569"/>
      <c r="M71" s="569"/>
      <c r="N71" s="570"/>
      <c r="O71" s="570"/>
      <c r="P71" s="570"/>
      <c r="Q71" s="570"/>
    </row>
    <row r="72" spans="1:17">
      <c r="A72" s="509">
        <f t="shared" si="9"/>
        <v>1</v>
      </c>
      <c r="B72" s="510"/>
      <c r="C72" s="587"/>
      <c r="D72" s="583"/>
      <c r="E72" s="583"/>
      <c r="F72" s="583"/>
      <c r="G72" s="583"/>
      <c r="H72" s="583"/>
      <c r="I72" s="584"/>
      <c r="J72" s="568"/>
      <c r="K72" s="584"/>
      <c r="L72" s="585"/>
      <c r="M72" s="585"/>
      <c r="N72" s="586"/>
      <c r="O72" s="586"/>
      <c r="P72" s="586"/>
      <c r="Q72" s="586"/>
    </row>
    <row r="73" spans="1:17">
      <c r="A73" s="509">
        <f t="shared" si="9"/>
        <v>1</v>
      </c>
      <c r="B73" s="530"/>
      <c r="C73" s="608"/>
      <c r="D73" s="566"/>
      <c r="E73" s="566"/>
      <c r="F73" s="566"/>
      <c r="G73" s="566"/>
      <c r="H73" s="566"/>
      <c r="I73" s="567"/>
      <c r="J73" s="568"/>
      <c r="K73" s="567"/>
      <c r="L73" s="569"/>
      <c r="M73" s="569"/>
      <c r="N73" s="570"/>
      <c r="O73" s="570"/>
      <c r="P73" s="570"/>
      <c r="Q73" s="570"/>
    </row>
    <row r="74" spans="1:17">
      <c r="A74" s="509">
        <f t="shared" si="9"/>
        <v>1</v>
      </c>
      <c r="B74" s="510"/>
      <c r="C74" s="583"/>
      <c r="D74" s="583"/>
      <c r="E74" s="583"/>
      <c r="F74" s="583"/>
      <c r="G74" s="583"/>
      <c r="H74" s="583"/>
      <c r="I74" s="584"/>
      <c r="J74" s="568"/>
      <c r="K74" s="584"/>
      <c r="L74" s="585"/>
      <c r="M74" s="585"/>
      <c r="N74" s="586"/>
      <c r="O74" s="586"/>
      <c r="P74" s="586"/>
      <c r="Q74" s="586"/>
    </row>
    <row r="75" spans="1:17">
      <c r="A75" s="509">
        <f t="shared" si="9"/>
        <v>1</v>
      </c>
      <c r="B75" s="530"/>
      <c r="C75" s="566"/>
      <c r="D75" s="566"/>
      <c r="E75" s="566"/>
      <c r="F75" s="566"/>
      <c r="G75" s="566"/>
      <c r="H75" s="566"/>
      <c r="I75" s="567"/>
      <c r="J75" s="568"/>
      <c r="K75" s="567"/>
      <c r="L75" s="569"/>
      <c r="M75" s="569"/>
      <c r="N75" s="570"/>
      <c r="O75" s="570"/>
      <c r="P75" s="570"/>
      <c r="Q75" s="570"/>
    </row>
    <row r="76" spans="1:17">
      <c r="A76" s="509">
        <f t="shared" si="9"/>
        <v>1</v>
      </c>
      <c r="B76" s="510"/>
      <c r="C76" s="583"/>
      <c r="D76" s="583"/>
      <c r="E76" s="583"/>
      <c r="F76" s="583"/>
      <c r="G76" s="583"/>
      <c r="H76" s="583"/>
      <c r="I76" s="584"/>
      <c r="J76" s="568"/>
      <c r="K76" s="584"/>
      <c r="L76" s="585"/>
      <c r="M76" s="585"/>
      <c r="N76" s="586"/>
      <c r="O76" s="586"/>
      <c r="P76" s="586"/>
      <c r="Q76" s="586"/>
    </row>
    <row r="77" spans="1:17">
      <c r="A77" s="509">
        <f t="shared" si="9"/>
        <v>1</v>
      </c>
      <c r="B77" s="530"/>
      <c r="C77" s="566"/>
      <c r="D77" s="566"/>
      <c r="E77" s="566"/>
      <c r="F77" s="566"/>
      <c r="G77" s="566"/>
      <c r="H77" s="566"/>
      <c r="I77" s="567"/>
      <c r="J77" s="568"/>
      <c r="K77" s="567"/>
      <c r="L77" s="569"/>
      <c r="M77" s="569"/>
      <c r="N77" s="570"/>
      <c r="O77" s="570"/>
      <c r="P77" s="570"/>
      <c r="Q77" s="570"/>
    </row>
    <row r="78" spans="1:17">
      <c r="A78" s="509">
        <f t="shared" si="9"/>
        <v>1</v>
      </c>
      <c r="B78" s="510"/>
      <c r="C78" s="583"/>
      <c r="D78" s="583"/>
      <c r="E78" s="583"/>
      <c r="F78" s="583"/>
      <c r="G78" s="583"/>
      <c r="H78" s="583"/>
      <c r="I78" s="584"/>
      <c r="J78" s="568"/>
      <c r="K78" s="584"/>
      <c r="L78" s="585"/>
      <c r="M78" s="585"/>
      <c r="N78" s="586"/>
      <c r="O78" s="586"/>
      <c r="P78" s="586"/>
      <c r="Q78" s="586"/>
    </row>
    <row r="79" spans="1:17">
      <c r="A79" s="509">
        <f t="shared" si="9"/>
        <v>1</v>
      </c>
      <c r="B79" s="530"/>
      <c r="C79" s="566"/>
      <c r="D79" s="566"/>
      <c r="E79" s="566"/>
      <c r="F79" s="566"/>
      <c r="G79" s="566"/>
      <c r="H79" s="566"/>
      <c r="I79" s="567"/>
      <c r="J79" s="568"/>
      <c r="K79" s="567"/>
      <c r="L79" s="569"/>
      <c r="M79" s="569"/>
      <c r="N79" s="570"/>
      <c r="O79" s="570"/>
      <c r="P79" s="570"/>
      <c r="Q79" s="570"/>
    </row>
    <row r="80" spans="1:17">
      <c r="A80" s="509">
        <f t="shared" si="9"/>
        <v>1</v>
      </c>
      <c r="B80" s="510"/>
      <c r="C80" s="583"/>
      <c r="D80" s="583"/>
      <c r="E80" s="583"/>
      <c r="F80" s="583"/>
      <c r="G80" s="583"/>
      <c r="H80" s="583"/>
      <c r="I80" s="584"/>
      <c r="J80" s="568"/>
      <c r="K80" s="584"/>
      <c r="L80" s="585"/>
      <c r="M80" s="585"/>
      <c r="N80" s="586"/>
      <c r="O80" s="586"/>
      <c r="P80" s="586"/>
      <c r="Q80" s="586"/>
    </row>
    <row r="81" spans="1:17">
      <c r="A81" s="509">
        <f t="shared" si="9"/>
        <v>1</v>
      </c>
      <c r="B81" s="530"/>
      <c r="C81" s="566"/>
      <c r="D81" s="566"/>
      <c r="E81" s="566"/>
      <c r="F81" s="566"/>
      <c r="G81" s="566"/>
      <c r="H81" s="566"/>
      <c r="I81" s="567"/>
      <c r="J81" s="568"/>
      <c r="K81" s="567"/>
      <c r="L81" s="569"/>
      <c r="M81" s="569"/>
      <c r="N81" s="570"/>
      <c r="O81" s="570"/>
      <c r="P81" s="570"/>
      <c r="Q81" s="570"/>
    </row>
    <row r="82" spans="1:17">
      <c r="A82" s="509">
        <f t="shared" si="9"/>
        <v>1</v>
      </c>
      <c r="B82" s="510"/>
      <c r="C82" s="583"/>
      <c r="D82" s="583"/>
      <c r="E82" s="583"/>
      <c r="F82" s="583"/>
      <c r="G82" s="583"/>
      <c r="H82" s="583"/>
      <c r="I82" s="584"/>
      <c r="J82" s="568"/>
      <c r="K82" s="584"/>
      <c r="L82" s="585"/>
      <c r="M82" s="585"/>
      <c r="N82" s="586"/>
      <c r="O82" s="586"/>
      <c r="P82" s="586"/>
      <c r="Q82" s="586"/>
    </row>
    <row r="83" spans="1:17">
      <c r="A83" s="509">
        <f t="shared" si="9"/>
        <v>1</v>
      </c>
      <c r="B83" s="530"/>
      <c r="C83" s="566"/>
      <c r="D83" s="566"/>
      <c r="E83" s="566"/>
      <c r="F83" s="566"/>
      <c r="G83" s="566"/>
      <c r="H83" s="566"/>
      <c r="I83" s="567"/>
      <c r="J83" s="568"/>
      <c r="K83" s="567"/>
      <c r="L83" s="569"/>
      <c r="M83" s="569"/>
      <c r="N83" s="570"/>
      <c r="O83" s="570"/>
      <c r="P83" s="570"/>
      <c r="Q83" s="570"/>
    </row>
    <row r="84" spans="1:17">
      <c r="A84" s="509">
        <f t="shared" si="9"/>
        <v>1</v>
      </c>
      <c r="B84" s="510"/>
      <c r="C84" s="583"/>
      <c r="D84" s="583"/>
      <c r="E84" s="583"/>
      <c r="F84" s="583"/>
      <c r="G84" s="583"/>
      <c r="H84" s="583"/>
      <c r="I84" s="584"/>
      <c r="J84" s="568"/>
      <c r="K84" s="584"/>
      <c r="L84" s="585"/>
      <c r="M84" s="585"/>
      <c r="N84" s="586"/>
      <c r="O84" s="586"/>
      <c r="P84" s="586"/>
      <c r="Q84" s="586"/>
    </row>
    <row r="85" spans="1:17">
      <c r="A85" s="509">
        <f t="shared" si="9"/>
        <v>1</v>
      </c>
      <c r="B85" s="530"/>
      <c r="C85" s="566"/>
      <c r="D85" s="566"/>
      <c r="E85" s="566"/>
      <c r="F85" s="566"/>
      <c r="G85" s="566"/>
      <c r="H85" s="566"/>
      <c r="I85" s="567"/>
      <c r="J85" s="568"/>
      <c r="K85" s="567"/>
      <c r="L85" s="569"/>
      <c r="M85" s="569"/>
      <c r="N85" s="570"/>
      <c r="O85" s="570"/>
      <c r="P85" s="570"/>
      <c r="Q85" s="570"/>
    </row>
    <row r="86" spans="1:17">
      <c r="A86" s="509">
        <f t="shared" si="9"/>
        <v>1</v>
      </c>
      <c r="B86" s="510"/>
      <c r="C86" s="583"/>
      <c r="D86" s="583"/>
      <c r="E86" s="583"/>
      <c r="F86" s="583"/>
      <c r="G86" s="583"/>
      <c r="H86" s="583"/>
      <c r="I86" s="584"/>
      <c r="J86" s="568"/>
      <c r="K86" s="584"/>
      <c r="L86" s="585"/>
      <c r="M86" s="585"/>
      <c r="N86" s="586"/>
      <c r="O86" s="586"/>
      <c r="P86" s="586"/>
      <c r="Q86" s="586"/>
    </row>
    <row r="87" spans="1:17">
      <c r="A87" s="509">
        <f t="shared" si="9"/>
        <v>1</v>
      </c>
      <c r="B87" s="530"/>
      <c r="C87" s="566"/>
      <c r="D87" s="566"/>
      <c r="E87" s="566"/>
      <c r="F87" s="566"/>
      <c r="G87" s="566"/>
      <c r="H87" s="566"/>
      <c r="I87" s="567"/>
      <c r="J87" s="568"/>
      <c r="K87" s="567"/>
      <c r="L87" s="569"/>
      <c r="M87" s="569"/>
      <c r="N87" s="570"/>
      <c r="O87" s="570"/>
      <c r="P87" s="570"/>
      <c r="Q87" s="570"/>
    </row>
    <row r="88" spans="1:17">
      <c r="A88" s="509">
        <f t="shared" si="9"/>
        <v>1</v>
      </c>
      <c r="B88" s="510"/>
      <c r="C88" s="583"/>
      <c r="D88" s="583"/>
      <c r="E88" s="583"/>
      <c r="F88" s="583"/>
      <c r="G88" s="583"/>
      <c r="H88" s="583"/>
      <c r="I88" s="584"/>
      <c r="J88" s="568"/>
      <c r="K88" s="584"/>
      <c r="L88" s="585"/>
      <c r="M88" s="585"/>
      <c r="N88" s="586"/>
      <c r="O88" s="586"/>
      <c r="P88" s="586"/>
      <c r="Q88" s="586"/>
    </row>
    <row r="89" spans="1:17">
      <c r="A89" s="509">
        <f t="shared" si="9"/>
        <v>1</v>
      </c>
      <c r="B89" s="530"/>
      <c r="C89" s="566"/>
      <c r="D89" s="566"/>
      <c r="E89" s="566"/>
      <c r="F89" s="566"/>
      <c r="G89" s="566"/>
      <c r="H89" s="566"/>
      <c r="I89" s="567"/>
      <c r="J89" s="568"/>
      <c r="K89" s="567"/>
      <c r="L89" s="569"/>
      <c r="M89" s="569"/>
      <c r="N89" s="570"/>
      <c r="O89" s="570"/>
      <c r="P89" s="570"/>
      <c r="Q89" s="570"/>
    </row>
    <row r="90" spans="1:17">
      <c r="A90" s="509">
        <f t="shared" si="9"/>
        <v>1</v>
      </c>
      <c r="B90" s="510"/>
      <c r="C90" s="583"/>
      <c r="D90" s="583"/>
      <c r="E90" s="583"/>
      <c r="F90" s="583"/>
      <c r="G90" s="583"/>
      <c r="H90" s="583"/>
      <c r="I90" s="584"/>
      <c r="J90" s="568"/>
      <c r="K90" s="584"/>
      <c r="L90" s="585"/>
      <c r="M90" s="585"/>
      <c r="N90" s="586"/>
      <c r="O90" s="586"/>
      <c r="P90" s="586"/>
      <c r="Q90" s="586"/>
    </row>
    <row r="91" spans="1:17">
      <c r="A91" s="509">
        <f t="shared" si="9"/>
        <v>1</v>
      </c>
      <c r="B91" s="530"/>
      <c r="C91" s="566"/>
      <c r="D91" s="566"/>
      <c r="E91" s="566"/>
      <c r="F91" s="566"/>
      <c r="G91" s="566"/>
      <c r="H91" s="566"/>
      <c r="I91" s="567"/>
      <c r="J91" s="568"/>
      <c r="K91" s="567"/>
      <c r="L91" s="569"/>
      <c r="M91" s="569"/>
      <c r="N91" s="570"/>
      <c r="O91" s="570"/>
      <c r="P91" s="570"/>
      <c r="Q91" s="570"/>
    </row>
    <row r="92" spans="1:17">
      <c r="A92" s="509">
        <f t="shared" si="9"/>
        <v>1</v>
      </c>
      <c r="B92" s="510"/>
      <c r="C92" s="583"/>
      <c r="D92" s="583"/>
      <c r="E92" s="583"/>
      <c r="F92" s="583"/>
      <c r="G92" s="583"/>
      <c r="H92" s="583"/>
      <c r="I92" s="584"/>
      <c r="J92" s="568"/>
      <c r="K92" s="584"/>
      <c r="L92" s="585"/>
      <c r="M92" s="585"/>
      <c r="N92" s="586"/>
      <c r="O92" s="586"/>
      <c r="P92" s="586"/>
      <c r="Q92" s="586"/>
    </row>
    <row r="93" spans="1:17">
      <c r="A93" s="509">
        <f t="shared" si="9"/>
        <v>1</v>
      </c>
      <c r="B93" s="530"/>
      <c r="C93" s="566"/>
      <c r="D93" s="566"/>
      <c r="E93" s="566"/>
      <c r="F93" s="566"/>
      <c r="G93" s="566"/>
      <c r="H93" s="566"/>
      <c r="I93" s="567"/>
      <c r="J93" s="568"/>
      <c r="K93" s="567"/>
      <c r="L93" s="569"/>
      <c r="M93" s="569"/>
      <c r="N93" s="570"/>
      <c r="O93" s="570"/>
      <c r="P93" s="570"/>
      <c r="Q93" s="570"/>
    </row>
    <row r="94" spans="1:17">
      <c r="A94" s="509">
        <f t="shared" si="9"/>
        <v>1</v>
      </c>
      <c r="B94" s="510"/>
      <c r="C94" s="583"/>
      <c r="D94" s="583"/>
      <c r="E94" s="583"/>
      <c r="F94" s="583"/>
      <c r="G94" s="583"/>
      <c r="H94" s="583"/>
      <c r="I94" s="584"/>
      <c r="J94" s="568"/>
      <c r="K94" s="584"/>
      <c r="L94" s="585"/>
      <c r="M94" s="585"/>
      <c r="N94" s="586"/>
      <c r="O94" s="586"/>
      <c r="P94" s="586"/>
      <c r="Q94" s="586"/>
    </row>
    <row r="95" spans="1:17">
      <c r="A95" s="509">
        <f t="shared" si="9"/>
        <v>1</v>
      </c>
      <c r="B95" s="530"/>
      <c r="C95" s="566"/>
      <c r="D95" s="566"/>
      <c r="E95" s="566"/>
      <c r="F95" s="566"/>
      <c r="G95" s="566"/>
      <c r="H95" s="566"/>
      <c r="I95" s="569"/>
      <c r="J95" s="609"/>
      <c r="K95" s="569"/>
      <c r="L95" s="569"/>
      <c r="M95" s="569"/>
      <c r="N95" s="570"/>
      <c r="O95" s="570"/>
      <c r="P95" s="570"/>
      <c r="Q95" s="570"/>
    </row>
    <row r="96" spans="1:17">
      <c r="A96" s="509">
        <f t="shared" si="9"/>
        <v>1</v>
      </c>
      <c r="B96" s="510"/>
      <c r="C96" s="583"/>
      <c r="D96" s="583"/>
      <c r="E96" s="583"/>
      <c r="F96" s="583"/>
      <c r="G96" s="583"/>
      <c r="H96" s="583"/>
      <c r="I96" s="585"/>
      <c r="J96" s="609"/>
      <c r="K96" s="585"/>
      <c r="L96" s="585"/>
      <c r="M96" s="585"/>
      <c r="N96" s="586"/>
      <c r="O96" s="586"/>
      <c r="P96" s="586"/>
      <c r="Q96" s="586"/>
    </row>
    <row r="97" spans="1:17">
      <c r="A97" s="509">
        <f t="shared" si="9"/>
        <v>1</v>
      </c>
      <c r="B97" s="530"/>
      <c r="C97" s="566"/>
      <c r="D97" s="566"/>
      <c r="E97" s="566"/>
      <c r="F97" s="566"/>
      <c r="G97" s="566"/>
      <c r="H97" s="566"/>
      <c r="I97" s="569"/>
      <c r="J97" s="609"/>
      <c r="K97" s="569"/>
      <c r="L97" s="569"/>
      <c r="M97" s="569"/>
      <c r="N97" s="570"/>
      <c r="O97" s="570"/>
      <c r="P97" s="570"/>
      <c r="Q97" s="570"/>
    </row>
    <row r="98" spans="1:17">
      <c r="A98" s="509">
        <f t="shared" si="9"/>
        <v>1</v>
      </c>
      <c r="B98" s="510"/>
      <c r="C98" s="583"/>
      <c r="D98" s="583"/>
      <c r="E98" s="583"/>
      <c r="F98" s="583"/>
      <c r="G98" s="583"/>
      <c r="H98" s="583"/>
      <c r="I98" s="585"/>
      <c r="J98" s="609"/>
      <c r="K98" s="585"/>
      <c r="L98" s="585"/>
      <c r="M98" s="585"/>
      <c r="N98" s="586"/>
      <c r="O98" s="586"/>
      <c r="P98" s="586"/>
      <c r="Q98" s="586"/>
    </row>
    <row r="99" spans="1:17">
      <c r="A99" s="509">
        <f t="shared" si="9"/>
        <v>1</v>
      </c>
      <c r="B99" s="530"/>
      <c r="C99" s="566"/>
      <c r="D99" s="566"/>
      <c r="E99" s="566"/>
      <c r="F99" s="566"/>
      <c r="G99" s="566"/>
      <c r="H99" s="566"/>
      <c r="I99" s="569"/>
      <c r="J99" s="609"/>
      <c r="K99" s="569"/>
      <c r="L99" s="569"/>
      <c r="M99" s="569"/>
      <c r="N99" s="570"/>
      <c r="O99" s="570"/>
      <c r="P99" s="570"/>
      <c r="Q99" s="570"/>
    </row>
    <row r="100" spans="1:17">
      <c r="A100" s="509">
        <f t="shared" si="9"/>
        <v>1</v>
      </c>
      <c r="B100" s="510"/>
      <c r="C100" s="583"/>
      <c r="D100" s="583"/>
      <c r="E100" s="583"/>
      <c r="F100" s="583"/>
      <c r="G100" s="583"/>
      <c r="H100" s="583"/>
      <c r="I100" s="585"/>
      <c r="J100" s="609"/>
      <c r="K100" s="585"/>
      <c r="L100" s="585"/>
      <c r="M100" s="585"/>
      <c r="N100" s="586"/>
      <c r="O100" s="586"/>
      <c r="P100" s="586"/>
      <c r="Q100" s="586"/>
    </row>
    <row r="101" spans="1:17">
      <c r="A101" s="509">
        <f t="shared" si="9"/>
        <v>1</v>
      </c>
      <c r="B101" s="530"/>
      <c r="C101" s="566"/>
      <c r="D101" s="566"/>
      <c r="E101" s="566"/>
      <c r="F101" s="566"/>
      <c r="G101" s="566"/>
      <c r="H101" s="566"/>
      <c r="I101" s="569"/>
      <c r="J101" s="609"/>
      <c r="K101" s="569"/>
      <c r="L101" s="569"/>
      <c r="M101" s="569"/>
      <c r="N101" s="570"/>
      <c r="O101" s="570"/>
      <c r="P101" s="570"/>
      <c r="Q101" s="570"/>
    </row>
    <row r="102" spans="1:17">
      <c r="A102" s="509">
        <f t="shared" si="9"/>
        <v>1</v>
      </c>
      <c r="B102" s="510"/>
      <c r="C102" s="583"/>
      <c r="D102" s="583"/>
      <c r="E102" s="583"/>
      <c r="F102" s="583"/>
      <c r="G102" s="583"/>
      <c r="H102" s="583"/>
      <c r="I102" s="585"/>
      <c r="J102" s="609"/>
      <c r="K102" s="585"/>
      <c r="L102" s="585"/>
      <c r="M102" s="585"/>
      <c r="N102" s="586"/>
      <c r="O102" s="586"/>
      <c r="P102" s="586"/>
      <c r="Q102" s="586"/>
    </row>
    <row r="103" spans="1:17">
      <c r="A103" s="509">
        <f t="shared" si="9"/>
        <v>1</v>
      </c>
      <c r="B103" s="530"/>
      <c r="C103" s="566"/>
      <c r="D103" s="566"/>
      <c r="E103" s="566"/>
      <c r="F103" s="566"/>
      <c r="G103" s="566"/>
      <c r="H103" s="566"/>
      <c r="I103" s="569"/>
      <c r="J103" s="609"/>
      <c r="K103" s="569"/>
      <c r="L103" s="569"/>
      <c r="M103" s="569"/>
      <c r="N103" s="570"/>
      <c r="O103" s="570"/>
      <c r="P103" s="570"/>
      <c r="Q103" s="570"/>
    </row>
    <row r="104" spans="1:17">
      <c r="A104" s="509">
        <f t="shared" si="9"/>
        <v>1</v>
      </c>
      <c r="B104" s="510"/>
      <c r="C104" s="583"/>
      <c r="D104" s="583"/>
      <c r="E104" s="583"/>
      <c r="F104" s="583"/>
      <c r="G104" s="583"/>
      <c r="H104" s="583"/>
      <c r="I104" s="585"/>
      <c r="J104" s="609"/>
      <c r="K104" s="585"/>
      <c r="L104" s="585"/>
      <c r="M104" s="585"/>
      <c r="N104" s="586"/>
      <c r="O104" s="586"/>
      <c r="P104" s="586"/>
      <c r="Q104" s="586"/>
    </row>
    <row r="105" spans="1:17">
      <c r="A105" s="509">
        <f t="shared" si="9"/>
        <v>1</v>
      </c>
      <c r="B105" s="530"/>
      <c r="C105" s="566"/>
      <c r="D105" s="566"/>
      <c r="E105" s="566"/>
      <c r="F105" s="566"/>
      <c r="G105" s="566"/>
      <c r="H105" s="566"/>
      <c r="I105" s="569"/>
      <c r="J105" s="609"/>
      <c r="K105" s="569"/>
      <c r="L105" s="569"/>
      <c r="M105" s="569"/>
      <c r="N105" s="570"/>
      <c r="O105" s="570"/>
      <c r="P105" s="570"/>
      <c r="Q105" s="570"/>
    </row>
    <row r="106" spans="1:17">
      <c r="A106" s="509">
        <f t="shared" si="9"/>
        <v>1</v>
      </c>
      <c r="B106" s="510"/>
      <c r="C106" s="583"/>
      <c r="D106" s="583"/>
      <c r="E106" s="583"/>
      <c r="F106" s="583"/>
      <c r="G106" s="583"/>
      <c r="H106" s="583"/>
      <c r="I106" s="585"/>
      <c r="J106" s="609"/>
      <c r="K106" s="585"/>
      <c r="L106" s="585"/>
      <c r="M106" s="585"/>
      <c r="N106" s="586"/>
      <c r="O106" s="586"/>
      <c r="P106" s="586"/>
      <c r="Q106" s="586"/>
    </row>
    <row r="107" spans="1:17">
      <c r="A107" s="509">
        <f t="shared" si="9"/>
        <v>1</v>
      </c>
      <c r="B107" s="530"/>
      <c r="C107" s="566"/>
      <c r="D107" s="566"/>
      <c r="E107" s="566"/>
      <c r="F107" s="566"/>
      <c r="G107" s="566"/>
      <c r="H107" s="566"/>
      <c r="I107" s="569"/>
      <c r="J107" s="609"/>
      <c r="K107" s="569"/>
      <c r="L107" s="569"/>
      <c r="M107" s="569"/>
      <c r="N107" s="570"/>
      <c r="O107" s="570"/>
      <c r="P107" s="570"/>
      <c r="Q107" s="570"/>
    </row>
    <row r="108" spans="1:17">
      <c r="A108" s="509">
        <f t="shared" si="9"/>
        <v>1</v>
      </c>
      <c r="B108" s="510"/>
      <c r="C108" s="583"/>
      <c r="D108" s="583"/>
      <c r="E108" s="583"/>
      <c r="F108" s="583"/>
      <c r="G108" s="583"/>
      <c r="H108" s="583"/>
      <c r="I108" s="585"/>
      <c r="J108" s="609"/>
      <c r="K108" s="585"/>
      <c r="L108" s="585"/>
      <c r="M108" s="585"/>
      <c r="N108" s="586"/>
      <c r="O108" s="586"/>
      <c r="P108" s="586"/>
      <c r="Q108" s="586"/>
    </row>
    <row r="109" spans="1:17">
      <c r="A109" s="509">
        <f t="shared" si="9"/>
        <v>1</v>
      </c>
      <c r="B109" s="530"/>
      <c r="C109" s="566"/>
      <c r="D109" s="566"/>
      <c r="E109" s="566"/>
      <c r="F109" s="566"/>
      <c r="G109" s="566"/>
      <c r="H109" s="566"/>
      <c r="I109" s="569"/>
      <c r="J109" s="609"/>
      <c r="K109" s="569"/>
      <c r="L109" s="569"/>
      <c r="M109" s="569"/>
      <c r="N109" s="570"/>
      <c r="O109" s="570"/>
      <c r="P109" s="570"/>
      <c r="Q109" s="570"/>
    </row>
    <row r="110" spans="1:17">
      <c r="A110" s="509">
        <f t="shared" si="9"/>
        <v>1</v>
      </c>
      <c r="B110" s="510"/>
      <c r="C110" s="583"/>
      <c r="D110" s="583"/>
      <c r="E110" s="583"/>
      <c r="F110" s="583"/>
      <c r="G110" s="583"/>
      <c r="H110" s="583"/>
      <c r="I110" s="585"/>
      <c r="J110" s="585"/>
      <c r="K110" s="585"/>
      <c r="L110" s="585"/>
      <c r="M110" s="585"/>
      <c r="N110" s="586"/>
      <c r="O110" s="586"/>
      <c r="P110" s="586"/>
      <c r="Q110" s="586"/>
    </row>
    <row r="111" spans="1:17">
      <c r="A111" s="509">
        <f t="shared" si="9"/>
        <v>1</v>
      </c>
      <c r="B111" s="530"/>
      <c r="C111" s="566"/>
      <c r="D111" s="566"/>
      <c r="E111" s="566"/>
      <c r="F111" s="566"/>
      <c r="G111" s="566"/>
      <c r="H111" s="566"/>
      <c r="I111" s="569"/>
      <c r="J111" s="569"/>
      <c r="K111" s="569"/>
      <c r="L111" s="569"/>
      <c r="M111" s="569"/>
      <c r="N111" s="570"/>
      <c r="O111" s="570"/>
      <c r="P111" s="570"/>
      <c r="Q111" s="570"/>
    </row>
    <row r="112" spans="1:17">
      <c r="A112" s="509">
        <f t="shared" si="9"/>
        <v>1</v>
      </c>
      <c r="B112" s="510"/>
      <c r="C112" s="583"/>
      <c r="D112" s="583"/>
      <c r="E112" s="583"/>
      <c r="F112" s="583"/>
      <c r="G112" s="583"/>
      <c r="H112" s="583"/>
      <c r="I112" s="585"/>
      <c r="J112" s="585"/>
      <c r="K112" s="585"/>
      <c r="L112" s="585"/>
      <c r="M112" s="585"/>
      <c r="N112" s="586"/>
      <c r="O112" s="586"/>
      <c r="P112" s="586"/>
      <c r="Q112" s="586"/>
    </row>
    <row r="113" spans="1:17">
      <c r="A113" s="509">
        <f t="shared" si="9"/>
        <v>1</v>
      </c>
      <c r="B113" s="530"/>
      <c r="C113" s="566"/>
      <c r="D113" s="566"/>
      <c r="E113" s="566"/>
      <c r="F113" s="566"/>
      <c r="G113" s="566"/>
      <c r="H113" s="566"/>
      <c r="I113" s="569"/>
      <c r="J113" s="569"/>
      <c r="K113" s="569"/>
      <c r="L113" s="569"/>
      <c r="M113" s="569"/>
      <c r="N113" s="570"/>
      <c r="O113" s="570"/>
      <c r="P113" s="570"/>
      <c r="Q113" s="570"/>
    </row>
    <row r="114" spans="1:17">
      <c r="A114" s="509">
        <f t="shared" si="9"/>
        <v>1</v>
      </c>
      <c r="B114" s="510"/>
      <c r="C114" s="583"/>
      <c r="D114" s="583"/>
      <c r="E114" s="583"/>
      <c r="F114" s="583"/>
      <c r="G114" s="583"/>
      <c r="H114" s="583"/>
      <c r="I114" s="585"/>
      <c r="J114" s="585"/>
      <c r="K114" s="585"/>
      <c r="L114" s="585"/>
      <c r="M114" s="585"/>
      <c r="N114" s="586"/>
      <c r="O114" s="586"/>
      <c r="P114" s="586"/>
      <c r="Q114" s="586"/>
    </row>
    <row r="115" spans="1:17">
      <c r="A115" s="610"/>
      <c r="B115" s="499"/>
      <c r="N115" s="611"/>
      <c r="O115" s="611"/>
    </row>
    <row r="116" spans="1:17">
      <c r="A116" s="610"/>
      <c r="B116" s="499"/>
    </row>
    <row r="117" spans="1:17">
      <c r="A117" s="610"/>
      <c r="B117" s="499"/>
    </row>
    <row r="118" spans="1:17">
      <c r="A118" s="610"/>
      <c r="B118" s="499"/>
    </row>
    <row r="119" spans="1:17">
      <c r="A119" s="610"/>
      <c r="B119" s="499"/>
    </row>
  </sheetData>
  <mergeCells count="2">
    <mergeCell ref="N16:Q16"/>
    <mergeCell ref="B18:F18"/>
  </mergeCells>
  <hyperlinks>
    <hyperlink ref="E2" r:id="rId1" location="gid=0" xr:uid="{00000000-0004-0000-0600-000000000000}"/>
    <hyperlink ref="C20" location="null!A1" display="19/01/2026" xr:uid="{00000000-0004-0000-0600-000001000000}"/>
    <hyperlink ref="C21" location="null!A1" display="20/01/2026" xr:uid="{00000000-0004-0000-0600-000002000000}"/>
    <hyperlink ref="C22" location="null!A1" display="03/02/2026" xr:uid="{00000000-0004-0000-0600-000003000000}"/>
    <hyperlink ref="C23" location="null!A1" display="22/02/2026" xr:uid="{00000000-0004-0000-0600-000004000000}"/>
    <hyperlink ref="C24" location="null!A1" display="22/02/2026" xr:uid="{00000000-0004-0000-0600-000005000000}"/>
    <hyperlink ref="C25" location="null!A1" display="23/02/2026" xr:uid="{00000000-0004-0000-0600-000006000000}"/>
    <hyperlink ref="C26" location="null!A1" display="25/02/2026" xr:uid="{00000000-0004-0000-0600-000007000000}"/>
    <hyperlink ref="C27" location="null!A1" display="01/03/2026" xr:uid="{00000000-0004-0000-0600-000008000000}"/>
    <hyperlink ref="C28" location="null!A1" display="07/03/2026" xr:uid="{00000000-0004-0000-0600-000009000000}"/>
    <hyperlink ref="C29" location="null!A1" display="16/03/2026" xr:uid="{00000000-0004-0000-0600-00000A000000}"/>
    <hyperlink ref="C30" location="null!A1" display="10/03/2026" xr:uid="{00000000-0004-0000-0600-00000B000000}"/>
    <hyperlink ref="C31" location="null!A1" display="12/03/2026" xr:uid="{00000000-0004-0000-0600-00000C000000}"/>
    <hyperlink ref="C32" location="null!A1" display="16/03/2026" xr:uid="{00000000-0004-0000-0600-00000D000000}"/>
    <hyperlink ref="C33" location="null!A1" display="17/03/2026" xr:uid="{00000000-0004-0000-0600-00000E000000}"/>
    <hyperlink ref="C34" location="null!A1" display="21/03/2026" xr:uid="{00000000-0004-0000-0600-00000F000000}"/>
    <hyperlink ref="C35" location="null!A1" display="13/04/2026" xr:uid="{00000000-0004-0000-0600-000010000000}"/>
    <hyperlink ref="C36" location="null!A1" display="14/04/2026" xr:uid="{00000000-0004-0000-0600-000011000000}"/>
    <hyperlink ref="C37" location="null!A1" display="22/04/2026" xr:uid="{00000000-0004-0000-0600-000012000000}"/>
    <hyperlink ref="C39" location="null!A1" display="26/04/2026" xr:uid="{00000000-0004-0000-0600-000013000000}"/>
    <hyperlink ref="C41" location="null!A1" display="03/05/2026" xr:uid="{00000000-0004-0000-0600-000014000000}"/>
    <hyperlink ref="C42" location="null!A1" display="08/05/2026" xr:uid="{00000000-0004-0000-0600-000015000000}"/>
    <hyperlink ref="C43" location="null!A1" display="12/05/2026" xr:uid="{00000000-0004-0000-0600-000016000000}"/>
    <hyperlink ref="C44" location="null!A1" display="14/05/2026" xr:uid="{00000000-0004-0000-0600-000017000000}"/>
    <hyperlink ref="C45" location="null!A1" display="14/05/2026" xr:uid="{00000000-0004-0000-0600-000018000000}"/>
    <hyperlink ref="C46" location="null!A1" display="16/05/2026" xr:uid="{00000000-0004-0000-0600-000019000000}"/>
    <hyperlink ref="C47" location="null!A1" display="17/05/2026" xr:uid="{00000000-0004-0000-0600-00001A000000}"/>
    <hyperlink ref="C48" location="null!A1" display="22/05/2026" xr:uid="{00000000-0004-0000-0600-00001B000000}"/>
    <hyperlink ref="C49" location="null!A1" display="24/05/2026" xr:uid="{00000000-0004-0000-0600-00001C000000}"/>
    <hyperlink ref="C50" location="null!A1" display="09/06/2026" xr:uid="{00000000-0004-0000-0600-00001D000000}"/>
    <hyperlink ref="C51" location="null!A1" display="09/06/2026" xr:uid="{00000000-0004-0000-0600-00001E000000}"/>
    <hyperlink ref="C52" location="null!A1" display="09/06/2026" xr:uid="{00000000-0004-0000-0600-00001F000000}"/>
    <hyperlink ref="C53" location="null!A1" display="16/06/2026" xr:uid="{00000000-0004-0000-0600-000020000000}"/>
    <hyperlink ref="C54" location="null!A1" display="26/06/2026" xr:uid="{00000000-0004-0000-0600-000021000000}"/>
    <hyperlink ref="C55" location="null!A1" display="24/06/2026" xr:uid="{00000000-0004-0000-0600-000022000000}"/>
    <hyperlink ref="C56" location="null!A1" display="01/07/2026" xr:uid="{00000000-0004-0000-0600-000023000000}"/>
    <hyperlink ref="C57" location="null!A1" display="06/07/2026" xr:uid="{00000000-0004-0000-0600-000024000000}"/>
    <hyperlink ref="C58" location="null!A1" display="20/07/2026" xr:uid="{00000000-0004-0000-0600-000025000000}"/>
    <hyperlink ref="C59" location="null!A1" display="22/07/2026" xr:uid="{00000000-0004-0000-0600-000026000000}"/>
    <hyperlink ref="C60" location="null!A1" display="19/08/2026" xr:uid="{00000000-0004-0000-0600-000027000000}"/>
    <hyperlink ref="C61" location="null!A1" display="25/08/2026" xr:uid="{00000000-0004-0000-0600-000028000000}"/>
    <hyperlink ref="C62" location="null!A1" display="13/09/2026" xr:uid="{00000000-0004-0000-0600-000029000000}"/>
    <hyperlink ref="C63" location="null!A1" display="22/09/2026" xr:uid="{00000000-0004-0000-0600-00002A000000}"/>
    <hyperlink ref="C64" location="null!A1" display="04/10/2026" xr:uid="{00000000-0004-0000-0600-00002B000000}"/>
  </hyperlinks>
  <pageMargins left="0.511811024" right="0.511811024" top="0.78740157499999996" bottom="0.78740157499999996" header="0.31496062000000002" footer="0.31496062000000002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41"/>
  <sheetViews>
    <sheetView showGridLines="0" workbookViewId="0"/>
  </sheetViews>
  <sheetFormatPr defaultColWidth="14.42578125" defaultRowHeight="15" customHeight="1"/>
  <cols>
    <col min="1" max="1" width="35" customWidth="1"/>
  </cols>
  <sheetData>
    <row r="1" spans="1:17" ht="9.75" customHeight="1">
      <c r="A1" s="612"/>
      <c r="B1" s="612"/>
      <c r="C1" s="612"/>
      <c r="D1" s="612"/>
      <c r="E1" s="612"/>
      <c r="F1" s="613"/>
      <c r="G1" s="612"/>
      <c r="H1" s="612"/>
      <c r="I1" s="612"/>
      <c r="J1" s="612"/>
      <c r="K1" s="614"/>
      <c r="L1" s="612"/>
      <c r="M1" s="612"/>
      <c r="N1" s="612"/>
      <c r="O1" s="612"/>
      <c r="P1" s="612"/>
      <c r="Q1" s="612"/>
    </row>
    <row r="2" spans="1:17">
      <c r="A2" s="751" t="str">
        <f ca="1">IFERROR(__xludf.DUMMYFUNCTION("importrange(""1oAjIV3sncxz_vEwRiwf3eOOGDZCFOq6wTfoVYv6m97k"",""' RIFAS REGULARES'!A1:N14"")"),"")</f>
        <v/>
      </c>
      <c r="B2" s="752"/>
      <c r="C2" s="615" t="str">
        <f ca="1">IFERROR(__xludf.DUMMYFUNCTION("""COMPUTED_VALUE"""),"JANEIRO")</f>
        <v>JANEIRO</v>
      </c>
      <c r="D2" s="615" t="str">
        <f ca="1">IFERROR(__xludf.DUMMYFUNCTION("""COMPUTED_VALUE"""),"FEVEREIRO")</f>
        <v>FEVEREIRO</v>
      </c>
      <c r="E2" s="615" t="str">
        <f ca="1">IFERROR(__xludf.DUMMYFUNCTION("""COMPUTED_VALUE"""),"MARÇO")</f>
        <v>MARÇO</v>
      </c>
      <c r="F2" s="615" t="str">
        <f ca="1">IFERROR(__xludf.DUMMYFUNCTION("""COMPUTED_VALUE"""),"ABRIL")</f>
        <v>ABRIL</v>
      </c>
      <c r="G2" s="615" t="str">
        <f ca="1">IFERROR(__xludf.DUMMYFUNCTION("""COMPUTED_VALUE"""),"MAIO")</f>
        <v>MAIO</v>
      </c>
      <c r="H2" s="615" t="str">
        <f ca="1">IFERROR(__xludf.DUMMYFUNCTION("""COMPUTED_VALUE"""),"JUNHO")</f>
        <v>JUNHO</v>
      </c>
      <c r="I2" s="615" t="str">
        <f ca="1">IFERROR(__xludf.DUMMYFUNCTION("""COMPUTED_VALUE"""),"JULHO")</f>
        <v>JULHO</v>
      </c>
      <c r="J2" s="615" t="str">
        <f ca="1">IFERROR(__xludf.DUMMYFUNCTION("""COMPUTED_VALUE"""),"AGOSTO")</f>
        <v>AGOSTO</v>
      </c>
      <c r="K2" s="615" t="str">
        <f ca="1">IFERROR(__xludf.DUMMYFUNCTION("""COMPUTED_VALUE"""),"SETEMBRO")</f>
        <v>SETEMBRO</v>
      </c>
      <c r="L2" s="615" t="str">
        <f ca="1">IFERROR(__xludf.DUMMYFUNCTION("""COMPUTED_VALUE"""),"OUTUBRO")</f>
        <v>OUTUBRO</v>
      </c>
      <c r="M2" s="615" t="str">
        <f ca="1">IFERROR(__xludf.DUMMYFUNCTION("""COMPUTED_VALUE"""),"NOVEMBRO")</f>
        <v>NOVEMBRO</v>
      </c>
      <c r="N2" s="615" t="str">
        <f ca="1">IFERROR(__xludf.DUMMYFUNCTION("""COMPUTED_VALUE"""),"DEZEMBRO")</f>
        <v>DEZEMBRO</v>
      </c>
      <c r="O2" s="612"/>
      <c r="P2" s="612"/>
      <c r="Q2" s="612"/>
    </row>
    <row r="3" spans="1:17">
      <c r="A3" s="753" t="str">
        <f ca="1">IFERROR(__xludf.DUMMYFUNCTION("""COMPUTED_VALUE"""),"RECEITAS BRUTAS")</f>
        <v>RECEITAS BRUTAS</v>
      </c>
      <c r="B3" s="747"/>
      <c r="C3" s="616">
        <f ca="1">IFERROR(__xludf.DUMMYFUNCTION("""COMPUTED_VALUE"""),3762.29)</f>
        <v>3762.29</v>
      </c>
      <c r="D3" s="616">
        <f ca="1">IFERROR(__xludf.DUMMYFUNCTION("""COMPUTED_VALUE"""),6307.8)</f>
        <v>6307.8</v>
      </c>
      <c r="E3" s="616">
        <f ca="1">IFERROR(__xludf.DUMMYFUNCTION("""COMPUTED_VALUE"""),6771.63)</f>
        <v>6771.63</v>
      </c>
      <c r="F3" s="616">
        <f ca="1">IFERROR(__xludf.DUMMYFUNCTION("""COMPUTED_VALUE"""),7115.56)</f>
        <v>7115.56</v>
      </c>
      <c r="G3" s="616">
        <f ca="1">IFERROR(__xludf.DUMMYFUNCTION("""COMPUTED_VALUE"""),12666.66)</f>
        <v>12666.66</v>
      </c>
      <c r="H3" s="616">
        <f ca="1">IFERROR(__xludf.DUMMYFUNCTION("""COMPUTED_VALUE"""),12085.48)</f>
        <v>12085.48</v>
      </c>
      <c r="I3" s="616">
        <f ca="1">IFERROR(__xludf.DUMMYFUNCTION("""COMPUTED_VALUE"""),9083.4)</f>
        <v>9083.4</v>
      </c>
      <c r="J3" s="616">
        <f ca="1">IFERROR(__xludf.DUMMYFUNCTION("""COMPUTED_VALUE"""),10163.01)</f>
        <v>10163.01</v>
      </c>
      <c r="K3" s="616">
        <f ca="1">IFERROR(__xludf.DUMMYFUNCTION("""COMPUTED_VALUE"""),0)</f>
        <v>0</v>
      </c>
      <c r="L3" s="616">
        <f ca="1">IFERROR(__xludf.DUMMYFUNCTION("""COMPUTED_VALUE"""),0)</f>
        <v>0</v>
      </c>
      <c r="M3" s="616">
        <f ca="1">IFERROR(__xludf.DUMMYFUNCTION("""COMPUTED_VALUE"""),0)</f>
        <v>0</v>
      </c>
      <c r="N3" s="616">
        <f ca="1">IFERROR(__xludf.DUMMYFUNCTION("""COMPUTED_VALUE"""),0)</f>
        <v>0</v>
      </c>
      <c r="O3" s="612"/>
      <c r="P3" s="612"/>
      <c r="Q3" s="612"/>
    </row>
    <row r="4" spans="1:17">
      <c r="A4" s="746" t="str">
        <f ca="1">IFERROR(__xludf.DUMMYFUNCTION("""COMPUTED_VALUE"""),"Taxa - Rifas Regulares")</f>
        <v>Taxa - Rifas Regulares</v>
      </c>
      <c r="B4" s="747"/>
      <c r="C4" s="617">
        <f ca="1">IFERROR(__xludf.DUMMYFUNCTION("""COMPUTED_VALUE"""),3762.29)</f>
        <v>3762.29</v>
      </c>
      <c r="D4" s="617">
        <f ca="1">IFERROR(__xludf.DUMMYFUNCTION("""COMPUTED_VALUE"""),6307.8)</f>
        <v>6307.8</v>
      </c>
      <c r="E4" s="618">
        <f ca="1">IFERROR(__xludf.DUMMYFUNCTION("""COMPUTED_VALUE"""),6771.63)</f>
        <v>6771.63</v>
      </c>
      <c r="F4" s="618">
        <f ca="1">IFERROR(__xludf.DUMMYFUNCTION("""COMPUTED_VALUE"""),7115.56)</f>
        <v>7115.56</v>
      </c>
      <c r="G4" s="618">
        <f ca="1">IFERROR(__xludf.DUMMYFUNCTION("""COMPUTED_VALUE"""),12666.66)</f>
        <v>12666.66</v>
      </c>
      <c r="H4" s="618">
        <f ca="1">IFERROR(__xludf.DUMMYFUNCTION("""COMPUTED_VALUE"""),12085.48)</f>
        <v>12085.48</v>
      </c>
      <c r="I4" s="618">
        <f ca="1">IFERROR(__xludf.DUMMYFUNCTION("""COMPUTED_VALUE"""),9083.4)</f>
        <v>9083.4</v>
      </c>
      <c r="J4" s="618">
        <f ca="1">IFERROR(__xludf.DUMMYFUNCTION("""COMPUTED_VALUE"""),10163.01)</f>
        <v>10163.01</v>
      </c>
      <c r="K4" s="618"/>
      <c r="L4" s="618"/>
      <c r="M4" s="618"/>
      <c r="N4" s="618"/>
      <c r="O4" s="612"/>
      <c r="P4" s="612"/>
      <c r="Q4" s="612"/>
    </row>
    <row r="5" spans="1:17">
      <c r="A5" s="748"/>
      <c r="B5" s="74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2"/>
      <c r="P5" s="612"/>
      <c r="Q5" s="612"/>
    </row>
    <row r="6" spans="1:17">
      <c r="A6" s="753" t="str">
        <f ca="1">IFERROR(__xludf.DUMMYFUNCTION("""COMPUTED_VALUE"""),"DESPESAS OPERACIONAIS")</f>
        <v>DESPESAS OPERACIONAIS</v>
      </c>
      <c r="B6" s="747"/>
      <c r="C6" s="620">
        <f ca="1">IFERROR(__xludf.DUMMYFUNCTION("""COMPUTED_VALUE"""),1535.494)</f>
        <v>1535.4939999999999</v>
      </c>
      <c r="D6" s="620">
        <f ca="1">IFERROR(__xludf.DUMMYFUNCTION("""COMPUTED_VALUE"""),2166.05988)</f>
        <v>2166.0598799999998</v>
      </c>
      <c r="E6" s="620">
        <f ca="1">IFERROR(__xludf.DUMMYFUNCTION("""COMPUTED_VALUE"""),2401.71645)</f>
        <v>2401.7164499999999</v>
      </c>
      <c r="F6" s="620">
        <f ca="1">IFERROR(__xludf.DUMMYFUNCTION("""COMPUTED_VALUE"""),3363.41207)</f>
        <v>3363.4120699999999</v>
      </c>
      <c r="G6" s="620">
        <f ca="1">IFERROR(__xludf.DUMMYFUNCTION("""COMPUTED_VALUE"""),5262.87108)</f>
        <v>5262.8710799999999</v>
      </c>
      <c r="H6" s="620">
        <f ca="1">IFERROR(__xludf.DUMMYFUNCTION("""COMPUTED_VALUE"""),4360.09085)</f>
        <v>4360.0908499999996</v>
      </c>
      <c r="I6" s="620">
        <f ca="1">IFERROR(__xludf.DUMMYFUNCTION("""COMPUTED_VALUE"""),5077.94464)</f>
        <v>5077.9446399999997</v>
      </c>
      <c r="J6" s="620">
        <f ca="1">IFERROR(__xludf.DUMMYFUNCTION("""COMPUTED_VALUE"""),1744.42333)</f>
        <v>1744.4233300000001</v>
      </c>
      <c r="K6" s="620">
        <f ca="1">IFERROR(__xludf.DUMMYFUNCTION("""COMPUTED_VALUE"""),0)</f>
        <v>0</v>
      </c>
      <c r="L6" s="620">
        <f ca="1">IFERROR(__xludf.DUMMYFUNCTION("""COMPUTED_VALUE"""),0)</f>
        <v>0</v>
      </c>
      <c r="M6" s="620">
        <f ca="1">IFERROR(__xludf.DUMMYFUNCTION("""COMPUTED_VALUE"""),0)</f>
        <v>0</v>
      </c>
      <c r="N6" s="620">
        <f ca="1">IFERROR(__xludf.DUMMYFUNCTION("""COMPUTED_VALUE"""),0)</f>
        <v>0</v>
      </c>
      <c r="O6" s="612"/>
      <c r="P6" s="612"/>
      <c r="Q6" s="612"/>
    </row>
    <row r="7" spans="1:17">
      <c r="A7" s="746" t="str">
        <f ca="1">IFERROR(__xludf.DUMMYFUNCTION("""COMPUTED_VALUE"""),"Servidor")</f>
        <v>Servidor</v>
      </c>
      <c r="B7" s="747"/>
      <c r="C7" s="621">
        <f ca="1">IFERROR(__xludf.DUMMYFUNCTION("""COMPUTED_VALUE"""),3.68)</f>
        <v>3.68</v>
      </c>
      <c r="D7" s="622">
        <f ca="1">IFERROR(__xludf.DUMMYFUNCTION("""COMPUTED_VALUE"""),0)</f>
        <v>0</v>
      </c>
      <c r="E7" s="623">
        <f ca="1">IFERROR(__xludf.DUMMYFUNCTION("""COMPUTED_VALUE"""),0)</f>
        <v>0</v>
      </c>
      <c r="F7" s="623">
        <f ca="1">IFERROR(__xludf.DUMMYFUNCTION("""COMPUTED_VALUE"""),0)</f>
        <v>0</v>
      </c>
      <c r="G7" s="623">
        <f ca="1">IFERROR(__xludf.DUMMYFUNCTION("""COMPUTED_VALUE"""),0)</f>
        <v>0</v>
      </c>
      <c r="H7" s="623">
        <f ca="1">IFERROR(__xludf.DUMMYFUNCTION("""COMPUTED_VALUE"""),0)</f>
        <v>0</v>
      </c>
      <c r="I7" s="623">
        <f ca="1">IFERROR(__xludf.DUMMYFUNCTION("""COMPUTED_VALUE"""),0)</f>
        <v>0</v>
      </c>
      <c r="J7" s="623">
        <f ca="1">IFERROR(__xludf.DUMMYFUNCTION("""COMPUTED_VALUE"""),0)</f>
        <v>0</v>
      </c>
      <c r="K7" s="623"/>
      <c r="L7" s="623"/>
      <c r="M7" s="623"/>
      <c r="N7" s="623"/>
      <c r="O7" s="612"/>
      <c r="P7" s="612"/>
      <c r="Q7" s="612"/>
    </row>
    <row r="8" spans="1:17">
      <c r="A8" s="746" t="str">
        <f ca="1">IFERROR(__xludf.DUMMYFUNCTION("""COMPUTED_VALUE"""),"Zoop Pix [R$0,99 fixo]")</f>
        <v>Zoop Pix [R$0,99 fixo]</v>
      </c>
      <c r="B8" s="747"/>
      <c r="C8" s="622">
        <f ca="1">IFERROR(__xludf.DUMMYFUNCTION("""COMPUTED_VALUE"""),1397.87999999999)</f>
        <v>1397.8799999999901</v>
      </c>
      <c r="D8" s="622">
        <f ca="1">IFERROR(__xludf.DUMMYFUNCTION("""COMPUTED_VALUE"""),1901.79)</f>
        <v>1901.79</v>
      </c>
      <c r="E8" s="624">
        <f ca="1">IFERROR(__xludf.DUMMYFUNCTION("""COMPUTED_VALUE"""),2138.4)</f>
        <v>2138.4</v>
      </c>
      <c r="F8" s="624">
        <f ca="1">IFERROR(__xludf.DUMMYFUNCTION("""COMPUTED_VALUE"""),3108.6)</f>
        <v>3108.6</v>
      </c>
      <c r="G8" s="624">
        <f ca="1">IFERROR(__xludf.DUMMYFUNCTION("""COMPUTED_VALUE"""),4557.96)</f>
        <v>4557.96</v>
      </c>
      <c r="H8" s="624">
        <f ca="1">IFERROR(__xludf.DUMMYFUNCTION("""COMPUTED_VALUE"""),3731.31)</f>
        <v>3731.31</v>
      </c>
      <c r="I8" s="624">
        <f ca="1">IFERROR(__xludf.DUMMYFUNCTION("""COMPUTED_VALUE"""),4848.03)</f>
        <v>4848.03</v>
      </c>
      <c r="J8" s="624">
        <f ca="1">IFERROR(__xludf.DUMMYFUNCTION("""COMPUTED_VALUE"""),1329.27)</f>
        <v>1329.27</v>
      </c>
      <c r="K8" s="624"/>
      <c r="L8" s="624"/>
      <c r="M8" s="624"/>
      <c r="N8" s="624"/>
      <c r="O8" s="612"/>
      <c r="P8" s="612"/>
      <c r="Q8" s="612"/>
    </row>
    <row r="9" spans="1:17">
      <c r="A9" s="746" t="str">
        <f ca="1">IFERROR(__xludf.DUMMYFUNCTION("""COMPUTED_VALUE"""),"Zoop Cartão Visa [4,23%]")</f>
        <v>Zoop Cartão Visa [4,23%]</v>
      </c>
      <c r="B9" s="747"/>
      <c r="C9" s="622">
        <f ca="1">IFERROR(__xludf.DUMMYFUNCTION("""COMPUTED_VALUE"""),81.9774)</f>
        <v>81.977400000000003</v>
      </c>
      <c r="D9" s="622">
        <f ca="1">IFERROR(__xludf.DUMMYFUNCTION("""COMPUTED_VALUE"""),99.70533)</f>
        <v>99.705330000000004</v>
      </c>
      <c r="E9" s="624">
        <f ca="1">IFERROR(__xludf.DUMMYFUNCTION("""COMPUTED_VALUE"""),85.446)</f>
        <v>85.445999999999998</v>
      </c>
      <c r="F9" s="624">
        <f ca="1">IFERROR(__xludf.DUMMYFUNCTION("""COMPUTED_VALUE"""),93.67335)</f>
        <v>93.673349999999999</v>
      </c>
      <c r="G9" s="624">
        <f ca="1">IFERROR(__xludf.DUMMYFUNCTION("""COMPUTED_VALUE"""),268.86303)</f>
        <v>268.86302999999998</v>
      </c>
      <c r="H9" s="624">
        <f ca="1">IFERROR(__xludf.DUMMYFUNCTION("""COMPUTED_VALUE"""),262.9791)</f>
        <v>262.97910000000002</v>
      </c>
      <c r="I9" s="624">
        <f ca="1">IFERROR(__xludf.DUMMYFUNCTION("""COMPUTED_VALUE"""),74.45646)</f>
        <v>74.456460000000007</v>
      </c>
      <c r="J9" s="624">
        <f ca="1">IFERROR(__xludf.DUMMYFUNCTION("""COMPUTED_VALUE"""),197.84133)</f>
        <v>197.84133</v>
      </c>
      <c r="K9" s="624"/>
      <c r="L9" s="624"/>
      <c r="M9" s="624"/>
      <c r="N9" s="624"/>
      <c r="O9" s="612"/>
      <c r="P9" s="612"/>
      <c r="Q9" s="612"/>
    </row>
    <row r="10" spans="1:17">
      <c r="A10" s="746" t="str">
        <f ca="1">IFERROR(__xludf.DUMMYFUNCTION("""COMPUTED_VALUE"""),"Zoop Cartão Master [3,75%]")</f>
        <v>Zoop Cartão Master [3,75%]</v>
      </c>
      <c r="B10" s="747"/>
      <c r="C10" s="622">
        <f ca="1">IFERROR(__xludf.DUMMYFUNCTION("""COMPUTED_VALUE"""),42.795)</f>
        <v>42.795000000000002</v>
      </c>
      <c r="D10" s="622">
        <f ca="1">IFERROR(__xludf.DUMMYFUNCTION("""COMPUTED_VALUE"""),154.143749999999)</f>
        <v>154.14374999999899</v>
      </c>
      <c r="E10" s="624">
        <f ca="1">IFERROR(__xludf.DUMMYFUNCTION("""COMPUTED_VALUE"""),162.49125)</f>
        <v>162.49125000000001</v>
      </c>
      <c r="F10" s="624">
        <f ca="1">IFERROR(__xludf.DUMMYFUNCTION("""COMPUTED_VALUE"""),151.98)</f>
        <v>151.97999999999999</v>
      </c>
      <c r="G10" s="624">
        <f ca="1">IFERROR(__xludf.DUMMYFUNCTION("""COMPUTED_VALUE"""),416.771249999999)</f>
        <v>416.77124999999899</v>
      </c>
      <c r="H10" s="624">
        <f ca="1">IFERROR(__xludf.DUMMYFUNCTION("""COMPUTED_VALUE"""),351.99375)</f>
        <v>351.99374999999998</v>
      </c>
      <c r="I10" s="624">
        <f ca="1">IFERROR(__xludf.DUMMYFUNCTION("""COMPUTED_VALUE"""),142.4025)</f>
        <v>142.4025</v>
      </c>
      <c r="J10" s="624">
        <f ca="1">IFERROR(__xludf.DUMMYFUNCTION("""COMPUTED_VALUE"""),162.239999999999)</f>
        <v>162.23999999999899</v>
      </c>
      <c r="K10" s="624"/>
      <c r="L10" s="624"/>
      <c r="M10" s="624"/>
      <c r="N10" s="624"/>
      <c r="O10" s="612"/>
      <c r="P10" s="612"/>
      <c r="Q10" s="612"/>
    </row>
    <row r="11" spans="1:17">
      <c r="A11" s="746" t="str">
        <f ca="1">IFERROR(__xludf.DUMMYFUNCTION("""COMPUTED_VALUE"""),"Zoop Cartão ELO [4,64%]")</f>
        <v>Zoop Cartão ELO [4,64%]</v>
      </c>
      <c r="B11" s="747"/>
      <c r="C11" s="622">
        <f ca="1">IFERROR(__xludf.DUMMYFUNCTION("""COMPUTED_VALUE"""),4.36159999999999)</f>
        <v>4.3615999999999904</v>
      </c>
      <c r="D11" s="622">
        <f ca="1">IFERROR(__xludf.DUMMYFUNCTION("""COMPUTED_VALUE"""),6.82079999999999)</f>
        <v>6.8207999999999904</v>
      </c>
      <c r="E11" s="624">
        <f ca="1">IFERROR(__xludf.DUMMYFUNCTION("""COMPUTED_VALUE"""),10.5792)</f>
        <v>10.5792</v>
      </c>
      <c r="F11" s="624">
        <f ca="1">IFERROR(__xludf.DUMMYFUNCTION("""COMPUTED_VALUE"""),5.55871999999999)</f>
        <v>5.5587199999999903</v>
      </c>
      <c r="G11" s="624">
        <f ca="1">IFERROR(__xludf.DUMMYFUNCTION("""COMPUTED_VALUE"""),14.4767999999999)</f>
        <v>14.4767999999999</v>
      </c>
      <c r="H11" s="624">
        <f ca="1">IFERROR(__xludf.DUMMYFUNCTION("""COMPUTED_VALUE"""),10.2079999999999)</f>
        <v>10.207999999999901</v>
      </c>
      <c r="I11" s="624">
        <f ca="1">IFERROR(__xludf.DUMMYFUNCTION("""COMPUTED_VALUE"""),5.85567999999999)</f>
        <v>5.8556799999999898</v>
      </c>
      <c r="J11" s="624">
        <f ca="1">IFERROR(__xludf.DUMMYFUNCTION("""COMPUTED_VALUE"""),4.872)</f>
        <v>4.8719999999999999</v>
      </c>
      <c r="K11" s="624"/>
      <c r="L11" s="624"/>
      <c r="M11" s="624"/>
      <c r="N11" s="624"/>
      <c r="O11" s="612"/>
      <c r="P11" s="612"/>
      <c r="Q11" s="612"/>
    </row>
    <row r="12" spans="1:17">
      <c r="A12" s="746" t="str">
        <f ca="1">IFERROR(__xludf.DUMMYFUNCTION("""COMPUTED_VALUE"""),"Custo tarifa bancária")</f>
        <v>Custo tarifa bancária</v>
      </c>
      <c r="B12" s="747"/>
      <c r="C12" s="622">
        <f ca="1">IFERROR(__xludf.DUMMYFUNCTION("""COMPUTED_VALUE"""),4.8)</f>
        <v>4.8</v>
      </c>
      <c r="D12" s="622">
        <f ca="1">IFERROR(__xludf.DUMMYFUNCTION("""COMPUTED_VALUE"""),3.6)</f>
        <v>3.6</v>
      </c>
      <c r="E12" s="624">
        <f ca="1">IFERROR(__xludf.DUMMYFUNCTION("""COMPUTED_VALUE"""),4.8)</f>
        <v>4.8</v>
      </c>
      <c r="F12" s="624">
        <f ca="1">IFERROR(__xludf.DUMMYFUNCTION("""COMPUTED_VALUE"""),3.59999999999999)</f>
        <v>3.5999999999999899</v>
      </c>
      <c r="G12" s="624">
        <f ca="1">IFERROR(__xludf.DUMMYFUNCTION("""COMPUTED_VALUE"""),4.8)</f>
        <v>4.8</v>
      </c>
      <c r="H12" s="624">
        <f ca="1">IFERROR(__xludf.DUMMYFUNCTION("""COMPUTED_VALUE"""),3.6)</f>
        <v>3.6</v>
      </c>
      <c r="I12" s="624">
        <f ca="1">IFERROR(__xludf.DUMMYFUNCTION("""COMPUTED_VALUE"""),7.2)</f>
        <v>7.2</v>
      </c>
      <c r="J12" s="624">
        <f ca="1">IFERROR(__xludf.DUMMYFUNCTION("""COMPUTED_VALUE"""),50.2)</f>
        <v>50.2</v>
      </c>
      <c r="K12" s="624"/>
      <c r="L12" s="624"/>
      <c r="M12" s="624"/>
      <c r="N12" s="624"/>
      <c r="O12" s="612"/>
      <c r="P12" s="612"/>
      <c r="Q12" s="612"/>
    </row>
    <row r="13" spans="1:17">
      <c r="A13" s="746" t="str">
        <f ca="1">IFERROR(__xludf.DUMMYFUNCTION("""COMPUTED_VALUE"""),"Tarifa Pacote de serviços")</f>
        <v>Tarifa Pacote de serviços</v>
      </c>
      <c r="B13" s="747"/>
      <c r="C13" s="625">
        <f ca="1">IFERROR(__xludf.DUMMYFUNCTION("""COMPUTED_VALUE"""),0)</f>
        <v>0</v>
      </c>
      <c r="D13" s="625">
        <f ca="1">IFERROR(__xludf.DUMMYFUNCTION("""COMPUTED_VALUE"""),0)</f>
        <v>0</v>
      </c>
      <c r="E13" s="626">
        <f ca="1">IFERROR(__xludf.DUMMYFUNCTION("""COMPUTED_VALUE"""),0)</f>
        <v>0</v>
      </c>
      <c r="F13" s="626">
        <f ca="1">IFERROR(__xludf.DUMMYFUNCTION("""COMPUTED_VALUE"""),0)</f>
        <v>0</v>
      </c>
      <c r="G13" s="626">
        <f ca="1">IFERROR(__xludf.DUMMYFUNCTION("""COMPUTED_VALUE"""),0)</f>
        <v>0</v>
      </c>
      <c r="H13" s="626">
        <f ca="1">IFERROR(__xludf.DUMMYFUNCTION("""COMPUTED_VALUE"""),0)</f>
        <v>0</v>
      </c>
      <c r="I13" s="626">
        <f ca="1">IFERROR(__xludf.DUMMYFUNCTION("""COMPUTED_VALUE"""),0)</f>
        <v>0</v>
      </c>
      <c r="J13" s="626">
        <f ca="1">IFERROR(__xludf.DUMMYFUNCTION("""COMPUTED_VALUE"""),0)</f>
        <v>0</v>
      </c>
      <c r="K13" s="626"/>
      <c r="L13" s="626"/>
      <c r="M13" s="626"/>
      <c r="N13" s="626"/>
      <c r="O13" s="612"/>
      <c r="P13" s="612"/>
      <c r="Q13" s="612"/>
    </row>
    <row r="14" spans="1:17">
      <c r="A14" s="748"/>
      <c r="B14" s="749"/>
      <c r="C14" s="619"/>
      <c r="D14" s="619"/>
      <c r="E14" s="619"/>
      <c r="F14" s="619"/>
      <c r="G14" s="619"/>
      <c r="H14" s="619"/>
      <c r="I14" s="619"/>
      <c r="J14" s="619"/>
      <c r="K14" s="619"/>
      <c r="L14" s="619"/>
      <c r="M14" s="619"/>
      <c r="N14" s="619"/>
      <c r="O14" s="612"/>
      <c r="P14" s="612"/>
      <c r="Q14" s="612"/>
    </row>
    <row r="15" spans="1:17">
      <c r="A15" s="750" t="str">
        <f ca="1">IFERROR(__xludf.DUMMYFUNCTION("""COMPUTED_VALUE"""),"SALDO")</f>
        <v>SALDO</v>
      </c>
      <c r="B15" s="747"/>
      <c r="C15" s="627">
        <f ca="1">IFERROR(__xludf.DUMMYFUNCTION("""COMPUTED_VALUE"""),2226.796)</f>
        <v>2226.7959999999998</v>
      </c>
      <c r="D15" s="627">
        <f ca="1">IFERROR(__xludf.DUMMYFUNCTION("""COMPUTED_VALUE"""),4141.74012)</f>
        <v>4141.7401200000004</v>
      </c>
      <c r="E15" s="627">
        <f ca="1">IFERROR(__xludf.DUMMYFUNCTION("""COMPUTED_VALUE"""),4369.91355)</f>
        <v>4369.9135500000002</v>
      </c>
      <c r="F15" s="627">
        <f ca="1">IFERROR(__xludf.DUMMYFUNCTION("""COMPUTED_VALUE"""),3752.14793)</f>
        <v>3752.1479300000001</v>
      </c>
      <c r="G15" s="627">
        <f ca="1">IFERROR(__xludf.DUMMYFUNCTION("""COMPUTED_VALUE"""),7403.78892)</f>
        <v>7403.78892</v>
      </c>
      <c r="H15" s="627">
        <f ca="1">IFERROR(__xludf.DUMMYFUNCTION("""COMPUTED_VALUE"""),7725.38915)</f>
        <v>7725.38915</v>
      </c>
      <c r="I15" s="627">
        <f ca="1">IFERROR(__xludf.DUMMYFUNCTION("""COMPUTED_VALUE"""),4005.45536)</f>
        <v>4005.4553599999999</v>
      </c>
      <c r="J15" s="627">
        <f ca="1">IFERROR(__xludf.DUMMYFUNCTION("""COMPUTED_VALUE"""),8418.58667)</f>
        <v>8418.5866700000006</v>
      </c>
      <c r="K15" s="627">
        <f ca="1">IFERROR(__xludf.DUMMYFUNCTION("""COMPUTED_VALUE"""),0)</f>
        <v>0</v>
      </c>
      <c r="L15" s="627">
        <f ca="1">IFERROR(__xludf.DUMMYFUNCTION("""COMPUTED_VALUE"""),0)</f>
        <v>0</v>
      </c>
      <c r="M15" s="627">
        <f ca="1">IFERROR(__xludf.DUMMYFUNCTION("""COMPUTED_VALUE"""),0)</f>
        <v>0</v>
      </c>
      <c r="N15" s="627">
        <f ca="1">IFERROR(__xludf.DUMMYFUNCTION("""COMPUTED_VALUE"""),0)</f>
        <v>0</v>
      </c>
      <c r="O15" s="612"/>
      <c r="P15" s="612"/>
      <c r="Q15" s="612"/>
    </row>
    <row r="16" spans="1:17">
      <c r="A16" s="628"/>
      <c r="B16" s="612"/>
      <c r="C16" s="629"/>
      <c r="D16" s="629"/>
      <c r="E16" s="629"/>
      <c r="F16" s="629"/>
      <c r="G16" s="629"/>
      <c r="H16" s="629"/>
      <c r="I16" s="629"/>
      <c r="J16" s="629"/>
      <c r="K16" s="629"/>
      <c r="L16" s="629"/>
      <c r="M16" s="629"/>
      <c r="N16" s="612"/>
      <c r="O16" s="612"/>
      <c r="P16" s="612"/>
      <c r="Q16" s="612"/>
    </row>
    <row r="17" spans="1:17">
      <c r="A17" s="630"/>
      <c r="B17" s="631"/>
      <c r="C17" s="631"/>
      <c r="D17" s="631"/>
      <c r="E17" s="631"/>
      <c r="F17" s="631"/>
      <c r="G17" s="631"/>
      <c r="H17" s="631"/>
      <c r="I17" s="631"/>
      <c r="J17" s="631"/>
      <c r="K17" s="631"/>
      <c r="L17" s="631"/>
      <c r="M17" s="631"/>
      <c r="N17" s="612"/>
      <c r="O17" s="612"/>
      <c r="P17" s="612"/>
      <c r="Q17" s="612"/>
    </row>
    <row r="18" spans="1:17">
      <c r="A18" s="614"/>
      <c r="B18" s="614"/>
      <c r="C18" s="614"/>
      <c r="D18" s="614"/>
      <c r="E18" s="614"/>
      <c r="F18" s="614"/>
      <c r="G18" s="614"/>
      <c r="H18" s="614"/>
      <c r="I18" s="614"/>
      <c r="J18" s="614"/>
      <c r="K18" s="614"/>
      <c r="L18" s="614"/>
      <c r="M18" s="614"/>
      <c r="N18" s="613"/>
      <c r="O18" s="612"/>
      <c r="P18" s="612"/>
      <c r="Q18" s="612"/>
    </row>
    <row r="19" spans="1:17" ht="10.5" customHeight="1">
      <c r="A19" s="612"/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12"/>
      <c r="O19" s="612"/>
      <c r="P19" s="612"/>
      <c r="Q19" s="612"/>
    </row>
    <row r="20" spans="1:17">
      <c r="A20" s="633" t="s">
        <v>3203</v>
      </c>
      <c r="B20" s="629"/>
      <c r="C20" s="629"/>
      <c r="D20" s="629"/>
      <c r="E20" s="629"/>
      <c r="F20" s="629"/>
      <c r="G20" s="629"/>
      <c r="H20" s="629"/>
      <c r="I20" s="629"/>
      <c r="J20" s="629"/>
      <c r="K20" s="629"/>
      <c r="L20" s="629"/>
      <c r="M20" s="629"/>
      <c r="N20" s="612"/>
      <c r="O20" s="612"/>
      <c r="P20" s="612"/>
      <c r="Q20" s="612"/>
    </row>
    <row r="21" spans="1:17">
      <c r="A21" s="634" t="s">
        <v>3204</v>
      </c>
      <c r="B21" s="635">
        <f t="shared" ref="B21:M21" si="0">SUM(B22:B24)</f>
        <v>0</v>
      </c>
      <c r="C21" s="635">
        <f t="shared" si="0"/>
        <v>0</v>
      </c>
      <c r="D21" s="635">
        <f t="shared" si="0"/>
        <v>0</v>
      </c>
      <c r="E21" s="635">
        <f t="shared" si="0"/>
        <v>0</v>
      </c>
      <c r="F21" s="635">
        <f t="shared" ca="1" si="0"/>
        <v>250873.75</v>
      </c>
      <c r="G21" s="635">
        <f t="shared" si="0"/>
        <v>0</v>
      </c>
      <c r="H21" s="635">
        <f t="shared" si="0"/>
        <v>0</v>
      </c>
      <c r="I21" s="635">
        <f t="shared" si="0"/>
        <v>0</v>
      </c>
      <c r="J21" s="635">
        <f t="shared" si="0"/>
        <v>0</v>
      </c>
      <c r="K21" s="635">
        <f t="shared" si="0"/>
        <v>0</v>
      </c>
      <c r="L21" s="635">
        <f t="shared" si="0"/>
        <v>0</v>
      </c>
      <c r="M21" s="635">
        <f t="shared" si="0"/>
        <v>0</v>
      </c>
      <c r="N21" s="636">
        <f t="shared" ref="N21:N23" ca="1" si="1">SUM(B21:M21)</f>
        <v>250873.75</v>
      </c>
    </row>
    <row r="22" spans="1:17">
      <c r="A22" s="637" t="s">
        <v>3205</v>
      </c>
      <c r="B22" s="481"/>
      <c r="C22" s="481"/>
      <c r="D22" s="481"/>
      <c r="E22" s="481"/>
      <c r="F22" s="638">
        <f ca="1">IFERROR(__xludf.DUMMYFUNCTION("importrange(""1aNtuXMQHWWuTvb6HS5U-qYhDtxVTGJwjKdTMdOrYr4E"",""'FECHAMENTO FINAL '!F4:F5"")"),159750)</f>
        <v>159750</v>
      </c>
      <c r="G22" s="481"/>
      <c r="H22" s="481"/>
      <c r="I22" s="481"/>
      <c r="J22" s="481"/>
      <c r="K22" s="481"/>
      <c r="L22" s="481"/>
      <c r="M22" s="481"/>
      <c r="N22" s="639">
        <f t="shared" ca="1" si="1"/>
        <v>159750</v>
      </c>
    </row>
    <row r="23" spans="1:17">
      <c r="A23" s="637" t="s">
        <v>3206</v>
      </c>
      <c r="B23" s="481"/>
      <c r="C23" s="481"/>
      <c r="D23" s="481"/>
      <c r="E23" s="481"/>
      <c r="F23" s="638">
        <f ca="1">IFERROR(__xludf.DUMMYFUNCTION("""COMPUTED_VALUE"""),85000)</f>
        <v>85000</v>
      </c>
      <c r="G23" s="481"/>
      <c r="H23" s="481"/>
      <c r="I23" s="481"/>
      <c r="J23" s="481"/>
      <c r="K23" s="481"/>
      <c r="L23" s="481"/>
      <c r="M23" s="481"/>
      <c r="N23" s="639">
        <f t="shared" ca="1" si="1"/>
        <v>85000</v>
      </c>
    </row>
    <row r="24" spans="1:17">
      <c r="A24" s="637" t="s">
        <v>3207</v>
      </c>
      <c r="B24" s="481"/>
      <c r="C24" s="481"/>
      <c r="D24" s="481"/>
      <c r="E24" s="481"/>
      <c r="F24" s="640">
        <f ca="1">F27</f>
        <v>6123.75</v>
      </c>
      <c r="G24" s="481"/>
      <c r="H24" s="481"/>
      <c r="I24" s="481"/>
      <c r="J24" s="481"/>
      <c r="K24" s="481"/>
      <c r="L24" s="481"/>
      <c r="M24" s="481"/>
      <c r="N24" s="639"/>
    </row>
    <row r="25" spans="1:17">
      <c r="A25" s="641" t="s">
        <v>3208</v>
      </c>
      <c r="B25" s="642">
        <f t="shared" ref="B25:M25" si="2">SUM(B26:B34)</f>
        <v>0</v>
      </c>
      <c r="C25" s="642">
        <f t="shared" si="2"/>
        <v>0</v>
      </c>
      <c r="D25" s="642">
        <f t="shared" si="2"/>
        <v>0</v>
      </c>
      <c r="E25" s="642">
        <f t="shared" si="2"/>
        <v>0</v>
      </c>
      <c r="F25" s="642">
        <f t="shared" ca="1" si="2"/>
        <v>183324.93080000003</v>
      </c>
      <c r="G25" s="642">
        <f t="shared" si="2"/>
        <v>0</v>
      </c>
      <c r="H25" s="642">
        <f t="shared" si="2"/>
        <v>0</v>
      </c>
      <c r="I25" s="642">
        <f t="shared" si="2"/>
        <v>0</v>
      </c>
      <c r="J25" s="642">
        <f t="shared" si="2"/>
        <v>0</v>
      </c>
      <c r="K25" s="642">
        <f t="shared" si="2"/>
        <v>0</v>
      </c>
      <c r="L25" s="642">
        <f t="shared" si="2"/>
        <v>0</v>
      </c>
      <c r="M25" s="642">
        <f t="shared" si="2"/>
        <v>0</v>
      </c>
      <c r="N25" s="639">
        <f ca="1">SUM(B25:M25)</f>
        <v>183324.93080000003</v>
      </c>
    </row>
    <row r="26" spans="1:17">
      <c r="A26" s="637" t="s">
        <v>3209</v>
      </c>
      <c r="B26" s="481"/>
      <c r="C26" s="481"/>
      <c r="D26" s="481"/>
      <c r="E26" s="481"/>
      <c r="F26" s="638">
        <f ca="1">IFERROR(__xludf.DUMMYFUNCTION("importrange(""1aNtuXMQHWWuTvb6HS5U-qYhDtxVTGJwjKdTMdOrYr4E"",""'FECHAMENTO FINAL '!F8:F16"")"),133125)</f>
        <v>133125</v>
      </c>
      <c r="G26" s="481"/>
      <c r="H26" s="481"/>
      <c r="I26" s="481"/>
      <c r="J26" s="481"/>
      <c r="K26" s="481"/>
      <c r="L26" s="481"/>
      <c r="M26" s="481"/>
      <c r="N26" s="643"/>
    </row>
    <row r="27" spans="1:17">
      <c r="A27" s="637" t="s">
        <v>3207</v>
      </c>
      <c r="B27" s="481"/>
      <c r="C27" s="481"/>
      <c r="D27" s="481"/>
      <c r="E27" s="481"/>
      <c r="F27" s="481">
        <f ca="1">IFERROR(__xludf.DUMMYFUNCTION("""COMPUTED_VALUE"""),6123.75)</f>
        <v>6123.75</v>
      </c>
      <c r="G27" s="481"/>
      <c r="H27" s="481"/>
      <c r="I27" s="481"/>
      <c r="J27" s="481"/>
      <c r="K27" s="481"/>
      <c r="L27" s="481"/>
      <c r="M27" s="481"/>
      <c r="N27" s="643"/>
    </row>
    <row r="28" spans="1:17">
      <c r="A28" s="637" t="s">
        <v>3210</v>
      </c>
      <c r="B28" s="481"/>
      <c r="C28" s="481"/>
      <c r="D28" s="481"/>
      <c r="E28" s="481"/>
      <c r="F28" s="481">
        <f ca="1">IFERROR(__xludf.DUMMYFUNCTION("""COMPUTED_VALUE"""),5131.17)</f>
        <v>5131.17</v>
      </c>
      <c r="G28" s="481"/>
      <c r="H28" s="481"/>
      <c r="I28" s="481"/>
      <c r="J28" s="481"/>
      <c r="K28" s="481"/>
      <c r="L28" s="481"/>
      <c r="M28" s="481"/>
      <c r="N28" s="643"/>
    </row>
    <row r="29" spans="1:17">
      <c r="A29" s="637" t="s">
        <v>3211</v>
      </c>
      <c r="B29" s="481"/>
      <c r="C29" s="481"/>
      <c r="D29" s="481"/>
      <c r="E29" s="481"/>
      <c r="F29" s="481">
        <f ca="1">IFERROR(__xludf.DUMMYFUNCTION("""COMPUTED_VALUE"""),342.883799999999)</f>
        <v>342.88379999999898</v>
      </c>
      <c r="G29" s="481"/>
      <c r="H29" s="481"/>
      <c r="I29" s="481"/>
      <c r="J29" s="481"/>
      <c r="K29" s="481"/>
      <c r="L29" s="481"/>
      <c r="M29" s="481"/>
      <c r="N29" s="643"/>
    </row>
    <row r="30" spans="1:17">
      <c r="A30" s="637" t="s">
        <v>3212</v>
      </c>
      <c r="B30" s="481"/>
      <c r="C30" s="481"/>
      <c r="D30" s="481"/>
      <c r="E30" s="481"/>
      <c r="F30" s="481">
        <f ca="1">IFERROR(__xludf.DUMMYFUNCTION("""COMPUTED_VALUE"""),496.125)</f>
        <v>496.125</v>
      </c>
      <c r="G30" s="481"/>
      <c r="H30" s="481"/>
      <c r="I30" s="481"/>
      <c r="J30" s="481"/>
      <c r="K30" s="481"/>
      <c r="L30" s="481"/>
      <c r="M30" s="481"/>
      <c r="N30" s="643"/>
    </row>
    <row r="31" spans="1:17">
      <c r="A31" s="637" t="s">
        <v>3213</v>
      </c>
      <c r="B31" s="481"/>
      <c r="C31" s="481"/>
      <c r="D31" s="481"/>
      <c r="E31" s="481"/>
      <c r="F31" s="481">
        <f ca="1">IFERROR(__xludf.DUMMYFUNCTION("""COMPUTED_VALUE"""),8.352)</f>
        <v>8.3520000000000003</v>
      </c>
      <c r="G31" s="481"/>
      <c r="H31" s="481"/>
      <c r="I31" s="481"/>
      <c r="J31" s="481"/>
      <c r="K31" s="481"/>
      <c r="L31" s="481"/>
      <c r="M31" s="481"/>
      <c r="N31" s="639">
        <f t="shared" ref="N31:N35" ca="1" si="3">SUM(B31:M31)</f>
        <v>8.3520000000000003</v>
      </c>
    </row>
    <row r="32" spans="1:17">
      <c r="A32" s="637" t="s">
        <v>3214</v>
      </c>
      <c r="B32" s="481"/>
      <c r="C32" s="481"/>
      <c r="D32" s="481"/>
      <c r="E32" s="481"/>
      <c r="F32" s="481">
        <f ca="1">IFERROR(__xludf.DUMMYFUNCTION("""COMPUTED_VALUE"""),13312.5)</f>
        <v>13312.5</v>
      </c>
      <c r="G32" s="481"/>
      <c r="H32" s="481"/>
      <c r="I32" s="481"/>
      <c r="J32" s="481"/>
      <c r="K32" s="481"/>
      <c r="L32" s="481"/>
      <c r="M32" s="481"/>
      <c r="N32" s="639">
        <f t="shared" ca="1" si="3"/>
        <v>13312.5</v>
      </c>
    </row>
    <row r="33" spans="1:17">
      <c r="A33" s="637" t="s">
        <v>3215</v>
      </c>
      <c r="B33" s="481"/>
      <c r="C33" s="481"/>
      <c r="D33" s="481"/>
      <c r="E33" s="481"/>
      <c r="F33" s="481">
        <f ca="1">IFERROR(__xludf.DUMMYFUNCTION("""COMPUTED_VALUE"""),0)</f>
        <v>0</v>
      </c>
      <c r="G33" s="481"/>
      <c r="H33" s="481"/>
      <c r="I33" s="481"/>
      <c r="J33" s="481"/>
      <c r="K33" s="481"/>
      <c r="L33" s="481"/>
      <c r="M33" s="481"/>
      <c r="N33" s="639">
        <f t="shared" ca="1" si="3"/>
        <v>0</v>
      </c>
    </row>
    <row r="34" spans="1:17">
      <c r="A34" s="637" t="s">
        <v>3216</v>
      </c>
      <c r="B34" s="481"/>
      <c r="C34" s="481"/>
      <c r="D34" s="481"/>
      <c r="E34" s="481"/>
      <c r="F34" s="481">
        <f ca="1">IFERROR(__xludf.DUMMYFUNCTION("""COMPUTED_VALUE"""),24785.15)</f>
        <v>24785.15</v>
      </c>
      <c r="G34" s="481"/>
      <c r="H34" s="481"/>
      <c r="I34" s="481"/>
      <c r="J34" s="481"/>
      <c r="K34" s="481"/>
      <c r="L34" s="481"/>
      <c r="M34" s="481"/>
      <c r="N34" s="639">
        <f t="shared" ca="1" si="3"/>
        <v>24785.15</v>
      </c>
    </row>
    <row r="35" spans="1:17">
      <c r="A35" s="644" t="s">
        <v>3217</v>
      </c>
      <c r="B35" s="645">
        <f t="shared" ref="B35:E35" si="4">B21-B25</f>
        <v>0</v>
      </c>
      <c r="C35" s="645">
        <f t="shared" si="4"/>
        <v>0</v>
      </c>
      <c r="D35" s="645">
        <f t="shared" si="4"/>
        <v>0</v>
      </c>
      <c r="E35" s="645">
        <f t="shared" si="4"/>
        <v>0</v>
      </c>
      <c r="F35" s="645">
        <f ca="1">F21-F25-F24</f>
        <v>61425.069199999969</v>
      </c>
      <c r="G35" s="645">
        <f t="shared" ref="G35:M35" si="5">G21-G25</f>
        <v>0</v>
      </c>
      <c r="H35" s="645">
        <f t="shared" si="5"/>
        <v>0</v>
      </c>
      <c r="I35" s="645">
        <f t="shared" si="5"/>
        <v>0</v>
      </c>
      <c r="J35" s="645">
        <f t="shared" si="5"/>
        <v>0</v>
      </c>
      <c r="K35" s="645">
        <f t="shared" si="5"/>
        <v>0</v>
      </c>
      <c r="L35" s="645">
        <f t="shared" si="5"/>
        <v>0</v>
      </c>
      <c r="M35" s="645">
        <f t="shared" si="5"/>
        <v>0</v>
      </c>
      <c r="N35" s="646">
        <f t="shared" ca="1" si="3"/>
        <v>61425.069199999969</v>
      </c>
      <c r="O35" s="440"/>
      <c r="P35" s="440"/>
      <c r="Q35" s="440"/>
    </row>
    <row r="38" spans="1:17">
      <c r="A38" s="647" t="s">
        <v>3218</v>
      </c>
      <c r="B38" s="648"/>
    </row>
    <row r="39" spans="1:17" ht="18.75">
      <c r="A39" s="649" t="s">
        <v>3219</v>
      </c>
      <c r="B39" s="650" t="s">
        <v>0</v>
      </c>
      <c r="C39" s="650" t="s">
        <v>1</v>
      </c>
      <c r="D39" s="650" t="s">
        <v>2</v>
      </c>
      <c r="E39" s="650" t="s">
        <v>3</v>
      </c>
      <c r="F39" s="650" t="s">
        <v>4</v>
      </c>
      <c r="G39" s="650" t="s">
        <v>5</v>
      </c>
      <c r="H39" s="650" t="s">
        <v>6</v>
      </c>
      <c r="I39" s="650" t="s">
        <v>7</v>
      </c>
      <c r="J39" s="650" t="s">
        <v>8</v>
      </c>
      <c r="K39" s="650" t="s">
        <v>9</v>
      </c>
      <c r="L39" s="650" t="s">
        <v>10</v>
      </c>
      <c r="M39" s="650" t="s">
        <v>11</v>
      </c>
      <c r="N39" s="651" t="s">
        <v>3199</v>
      </c>
    </row>
    <row r="40" spans="1:17">
      <c r="A40" s="652" t="s">
        <v>3220</v>
      </c>
      <c r="B40" s="653">
        <f ca="1">IFERROR(__xludf.DUMMYFUNCTION("importrange(""1e34JqOlsNV4UTKU_vPOQbbaESNZ9V4dT0h3SzwWLv7c"",""'Fechamento'!B35:i35"")"),1640.578202)</f>
        <v>1640.5782019999999</v>
      </c>
      <c r="C40" s="653">
        <f ca="1">IFERROR(__xludf.DUMMYFUNCTION("""COMPUTED_VALUE"""),1146.608842)</f>
        <v>1146.6088420000001</v>
      </c>
      <c r="D40" s="653">
        <f ca="1">IFERROR(__xludf.DUMMYFUNCTION("""COMPUTED_VALUE"""),1200.185182)</f>
        <v>1200.1851819999999</v>
      </c>
      <c r="E40" s="653">
        <f ca="1">IFERROR(__xludf.DUMMYFUNCTION("""COMPUTED_VALUE"""),220.52859)</f>
        <v>220.52859000000001</v>
      </c>
      <c r="F40" s="653">
        <f ca="1">IFERROR(__xludf.DUMMYFUNCTION("""COMPUTED_VALUE"""),146.884295)</f>
        <v>146.88429500000001</v>
      </c>
      <c r="G40" s="653">
        <f ca="1">IFERROR(__xludf.DUMMYFUNCTION("""COMPUTED_VALUE"""),984.602457)</f>
        <v>984.60245699999996</v>
      </c>
      <c r="H40" s="653">
        <f ca="1">IFERROR(__xludf.DUMMYFUNCTION("""COMPUTED_VALUE"""),2093.05958)</f>
        <v>2093.0595800000001</v>
      </c>
      <c r="I40" s="653">
        <f ca="1">IFERROR(__xludf.DUMMYFUNCTION("""COMPUTED_VALUE"""),1140.342974)</f>
        <v>1140.3429739999999</v>
      </c>
      <c r="J40" s="653"/>
      <c r="K40" s="653"/>
      <c r="L40" s="653"/>
      <c r="M40" s="653"/>
      <c r="N40" s="654">
        <f ca="1">SUM(B40:M40)</f>
        <v>8572.7901220000003</v>
      </c>
      <c r="O40" s="655" t="s">
        <v>3221</v>
      </c>
    </row>
    <row r="41" spans="1:17">
      <c r="G41" s="656"/>
    </row>
  </sheetData>
  <mergeCells count="14">
    <mergeCell ref="A14:B14"/>
    <mergeCell ref="A15:B15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hyperlinks>
    <hyperlink ref="A20" r:id="rId1" location="gid=1296483353" xr:uid="{00000000-0004-0000-0700-000000000000}"/>
    <hyperlink ref="O40" r:id="rId2" location="gid=1632824091" xr:uid="{00000000-0004-0000-0700-000001000000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639"/>
  <sheetViews>
    <sheetView showGridLines="0"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outlineLevelRow="1" outlineLevelCol="1"/>
  <cols>
    <col min="1" max="1" width="48.28515625" customWidth="1"/>
    <col min="2" max="2" width="17.28515625" customWidth="1" outlineLevel="1"/>
    <col min="3" max="3" width="14.5703125" customWidth="1" outlineLevel="1"/>
    <col min="4" max="16" width="14.42578125" outlineLevel="1"/>
  </cols>
  <sheetData>
    <row r="1" spans="1:16">
      <c r="C1" s="657" t="s">
        <v>964</v>
      </c>
      <c r="D1" s="658">
        <f t="shared" ref="D1:P1" si="0">D2+D88+D174+D260+D346+D432+D517+D603+D612</f>
        <v>39214.116900000008</v>
      </c>
      <c r="E1" s="658">
        <f t="shared" si="0"/>
        <v>39339.116900000008</v>
      </c>
      <c r="F1" s="658">
        <f t="shared" si="0"/>
        <v>39339.116900000008</v>
      </c>
      <c r="G1" s="658">
        <f t="shared" si="0"/>
        <v>39545.167300000001</v>
      </c>
      <c r="H1" s="658">
        <f t="shared" si="0"/>
        <v>39606.201059999999</v>
      </c>
      <c r="I1" s="658">
        <f t="shared" si="0"/>
        <v>39613.556900000003</v>
      </c>
      <c r="J1" s="658">
        <f t="shared" si="0"/>
        <v>39618.811071428572</v>
      </c>
      <c r="K1" s="658">
        <f t="shared" si="0"/>
        <v>40093.841108333334</v>
      </c>
      <c r="L1" s="658">
        <f t="shared" si="0"/>
        <v>10261.239108333335</v>
      </c>
      <c r="M1" s="658">
        <f t="shared" si="0"/>
        <v>10261.239108333335</v>
      </c>
      <c r="N1" s="658">
        <f t="shared" si="0"/>
        <v>10261.239108333335</v>
      </c>
      <c r="O1" s="658">
        <f t="shared" si="0"/>
        <v>10261.239108333335</v>
      </c>
      <c r="P1" s="658">
        <f t="shared" si="0"/>
        <v>357414.88457309525</v>
      </c>
    </row>
    <row r="2" spans="1:16" ht="19.5">
      <c r="A2" s="659" t="s">
        <v>63</v>
      </c>
      <c r="C2" s="660" t="str">
        <f>$C$1</f>
        <v>TI</v>
      </c>
      <c r="D2" s="661">
        <f t="shared" ref="D2:P2" si="1">SUMIF($C5:$C85,$C2,D5:D85)</f>
        <v>24078.57</v>
      </c>
      <c r="E2" s="661">
        <f t="shared" si="1"/>
        <v>24078.57</v>
      </c>
      <c r="F2" s="661">
        <f t="shared" si="1"/>
        <v>24078.57</v>
      </c>
      <c r="G2" s="661">
        <f t="shared" si="1"/>
        <v>24252.33</v>
      </c>
      <c r="H2" s="661">
        <f t="shared" si="1"/>
        <v>24252.33</v>
      </c>
      <c r="I2" s="661">
        <f t="shared" si="1"/>
        <v>24252.33</v>
      </c>
      <c r="J2" s="661">
        <f t="shared" si="1"/>
        <v>24252.33</v>
      </c>
      <c r="K2" s="661">
        <f t="shared" si="1"/>
        <v>24668.15</v>
      </c>
      <c r="L2" s="661">
        <f t="shared" si="1"/>
        <v>0</v>
      </c>
      <c r="M2" s="661">
        <f t="shared" si="1"/>
        <v>0</v>
      </c>
      <c r="N2" s="661">
        <f t="shared" si="1"/>
        <v>0</v>
      </c>
      <c r="O2" s="661">
        <f t="shared" si="1"/>
        <v>0</v>
      </c>
      <c r="P2" s="661">
        <f t="shared" si="1"/>
        <v>193913.18000000002</v>
      </c>
    </row>
    <row r="3" spans="1:16" ht="30">
      <c r="A3" s="662" t="s">
        <v>3222</v>
      </c>
      <c r="B3" s="663" t="s">
        <v>3223</v>
      </c>
      <c r="C3" s="664" t="s">
        <v>135</v>
      </c>
      <c r="D3" s="665" t="s">
        <v>0</v>
      </c>
      <c r="E3" s="662" t="s">
        <v>1</v>
      </c>
      <c r="F3" s="662" t="s">
        <v>2</v>
      </c>
      <c r="G3" s="662" t="s">
        <v>3</v>
      </c>
      <c r="H3" s="662" t="s">
        <v>4</v>
      </c>
      <c r="I3" s="662" t="s">
        <v>5</v>
      </c>
      <c r="J3" s="662" t="s">
        <v>6</v>
      </c>
      <c r="K3" s="662" t="s">
        <v>7</v>
      </c>
      <c r="L3" s="662" t="s">
        <v>8</v>
      </c>
      <c r="M3" s="662" t="s">
        <v>9</v>
      </c>
      <c r="N3" s="662" t="s">
        <v>10</v>
      </c>
      <c r="O3" s="662" t="s">
        <v>11</v>
      </c>
      <c r="P3" s="666" t="s">
        <v>3199</v>
      </c>
    </row>
    <row r="4" spans="1:16" collapsed="1">
      <c r="A4" s="667" t="s">
        <v>3199</v>
      </c>
      <c r="B4" s="667"/>
      <c r="C4" s="668"/>
      <c r="D4" s="669">
        <f t="shared" ref="D4:P4" si="2">SUBTOTAL(9,D5:D85)</f>
        <v>233346.98000000004</v>
      </c>
      <c r="E4" s="669">
        <f t="shared" si="2"/>
        <v>242102.74000000002</v>
      </c>
      <c r="F4" s="669">
        <f t="shared" si="2"/>
        <v>236025.11000000004</v>
      </c>
      <c r="G4" s="669">
        <f t="shared" si="2"/>
        <v>225382.29</v>
      </c>
      <c r="H4" s="669">
        <f t="shared" si="2"/>
        <v>225809.01000000004</v>
      </c>
      <c r="I4" s="669">
        <f t="shared" si="2"/>
        <v>232624.79000000004</v>
      </c>
      <c r="J4" s="669">
        <f t="shared" si="2"/>
        <v>236097.42000000007</v>
      </c>
      <c r="K4" s="669">
        <f t="shared" si="2"/>
        <v>237979.84000000005</v>
      </c>
      <c r="L4" s="669">
        <f t="shared" si="2"/>
        <v>0</v>
      </c>
      <c r="M4" s="669">
        <f t="shared" si="2"/>
        <v>0</v>
      </c>
      <c r="N4" s="669">
        <f t="shared" si="2"/>
        <v>0</v>
      </c>
      <c r="O4" s="669">
        <f t="shared" si="2"/>
        <v>0</v>
      </c>
      <c r="P4" s="669">
        <f t="shared" si="2"/>
        <v>1821062.86</v>
      </c>
    </row>
    <row r="5" spans="1:16" hidden="1" outlineLevel="1">
      <c r="A5" s="670" t="s">
        <v>3224</v>
      </c>
      <c r="B5" s="336" t="s">
        <v>243</v>
      </c>
      <c r="C5" s="657" t="s">
        <v>192</v>
      </c>
      <c r="D5" s="671">
        <v>3003.69</v>
      </c>
      <c r="E5" s="671">
        <v>3003.69</v>
      </c>
      <c r="F5" s="671">
        <v>3003.69</v>
      </c>
      <c r="G5" s="672">
        <v>3003.69</v>
      </c>
      <c r="H5" s="673">
        <v>3003.69</v>
      </c>
      <c r="I5" s="671">
        <v>3003.69</v>
      </c>
      <c r="J5" s="673">
        <v>3003.69</v>
      </c>
      <c r="K5" s="673">
        <v>3003.69</v>
      </c>
      <c r="L5" s="671"/>
      <c r="M5" s="671"/>
      <c r="N5" s="671"/>
      <c r="O5" s="671"/>
      <c r="P5" s="674">
        <f t="shared" ref="P5:P30" si="3">SUM(D5:O5)</f>
        <v>24029.519999999997</v>
      </c>
    </row>
    <row r="6" spans="1:16" hidden="1" outlineLevel="1">
      <c r="A6" s="670" t="s">
        <v>3225</v>
      </c>
      <c r="B6" s="336" t="s">
        <v>243</v>
      </c>
      <c r="C6" s="657" t="s">
        <v>192</v>
      </c>
      <c r="D6" s="675">
        <v>2029.28</v>
      </c>
      <c r="E6" s="675">
        <v>2029.28</v>
      </c>
      <c r="F6" s="675">
        <v>2029.28</v>
      </c>
      <c r="G6" s="676">
        <v>2029.28</v>
      </c>
      <c r="H6" s="673">
        <v>2029.28</v>
      </c>
      <c r="I6" s="675">
        <v>2029.28</v>
      </c>
      <c r="J6" s="673">
        <v>2029.28</v>
      </c>
      <c r="K6" s="673">
        <v>2029.28</v>
      </c>
      <c r="L6" s="677"/>
      <c r="M6" s="677"/>
      <c r="N6" s="677"/>
      <c r="O6" s="677"/>
      <c r="P6" s="674">
        <f t="shared" si="3"/>
        <v>16234.240000000002</v>
      </c>
    </row>
    <row r="7" spans="1:16" hidden="1" outlineLevel="1">
      <c r="A7" s="670" t="s">
        <v>3226</v>
      </c>
      <c r="B7" s="336" t="s">
        <v>3227</v>
      </c>
      <c r="C7" s="657" t="s">
        <v>192</v>
      </c>
      <c r="D7" s="675">
        <v>2480.23</v>
      </c>
      <c r="E7" s="675">
        <v>2480.23</v>
      </c>
      <c r="F7" s="675">
        <v>2480.23</v>
      </c>
      <c r="G7" s="676">
        <v>2480.23</v>
      </c>
      <c r="H7" s="673">
        <v>2480.23</v>
      </c>
      <c r="I7" s="675">
        <v>2480.23</v>
      </c>
      <c r="J7" s="673">
        <v>2480.23</v>
      </c>
      <c r="K7" s="673">
        <v>2480.23</v>
      </c>
      <c r="L7" s="677"/>
      <c r="M7" s="677"/>
      <c r="N7" s="677"/>
      <c r="O7" s="677"/>
      <c r="P7" s="674">
        <f t="shared" si="3"/>
        <v>19841.84</v>
      </c>
    </row>
    <row r="8" spans="1:16" hidden="1" outlineLevel="1">
      <c r="A8" s="670" t="s">
        <v>3228</v>
      </c>
      <c r="B8" s="336" t="s">
        <v>243</v>
      </c>
      <c r="C8" s="657" t="s">
        <v>192</v>
      </c>
      <c r="D8" s="675">
        <v>2480.23</v>
      </c>
      <c r="E8" s="675">
        <v>2480.23</v>
      </c>
      <c r="F8" s="675">
        <v>2480.23</v>
      </c>
      <c r="G8" s="676">
        <v>2480.23</v>
      </c>
      <c r="H8" s="673">
        <v>2480.23</v>
      </c>
      <c r="I8" s="675">
        <v>2480.23</v>
      </c>
      <c r="J8" s="673">
        <v>2480.23</v>
      </c>
      <c r="K8" s="673">
        <v>2480.23</v>
      </c>
      <c r="L8" s="678"/>
      <c r="M8" s="678"/>
      <c r="N8" s="678"/>
      <c r="O8" s="678"/>
      <c r="P8" s="674">
        <f t="shared" si="3"/>
        <v>19841.84</v>
      </c>
    </row>
    <row r="9" spans="1:16" hidden="1" outlineLevel="1">
      <c r="A9" s="679" t="s">
        <v>3229</v>
      </c>
      <c r="B9" s="336" t="s">
        <v>243</v>
      </c>
      <c r="C9" s="657" t="s">
        <v>192</v>
      </c>
      <c r="D9" s="675">
        <v>2705.71</v>
      </c>
      <c r="E9" s="675">
        <v>2705.71</v>
      </c>
      <c r="F9" s="675">
        <v>2705.71</v>
      </c>
      <c r="G9" s="676">
        <v>2705.71</v>
      </c>
      <c r="H9" s="680">
        <v>0</v>
      </c>
      <c r="I9" s="678">
        <v>0</v>
      </c>
      <c r="J9" s="680">
        <v>0</v>
      </c>
      <c r="K9" s="681">
        <v>0</v>
      </c>
      <c r="L9" s="677"/>
      <c r="M9" s="677"/>
      <c r="N9" s="677"/>
      <c r="O9" s="677"/>
      <c r="P9" s="674">
        <f t="shared" si="3"/>
        <v>10822.84</v>
      </c>
    </row>
    <row r="10" spans="1:16" hidden="1" outlineLevel="1">
      <c r="A10" s="670" t="s">
        <v>3230</v>
      </c>
      <c r="B10" s="336" t="s">
        <v>243</v>
      </c>
      <c r="C10" s="657" t="s">
        <v>192</v>
      </c>
      <c r="D10" s="675">
        <v>3379.53</v>
      </c>
      <c r="E10" s="675">
        <v>3379.53</v>
      </c>
      <c r="F10" s="675">
        <v>3379.53</v>
      </c>
      <c r="G10" s="676">
        <v>3379.53</v>
      </c>
      <c r="H10" s="673">
        <v>3379.53</v>
      </c>
      <c r="I10" s="675">
        <v>3379.53</v>
      </c>
      <c r="J10" s="673">
        <v>3379.53</v>
      </c>
      <c r="K10" s="673">
        <v>3379.53</v>
      </c>
      <c r="L10" s="677"/>
      <c r="M10" s="677"/>
      <c r="N10" s="677"/>
      <c r="O10" s="677"/>
      <c r="P10" s="674">
        <f t="shared" si="3"/>
        <v>27036.239999999998</v>
      </c>
    </row>
    <row r="11" spans="1:16" hidden="1" outlineLevel="1">
      <c r="A11" s="670" t="s">
        <v>3231</v>
      </c>
      <c r="B11" s="336" t="s">
        <v>243</v>
      </c>
      <c r="C11" s="657" t="s">
        <v>192</v>
      </c>
      <c r="D11" s="675">
        <v>3662.75</v>
      </c>
      <c r="E11" s="675">
        <v>3662.75</v>
      </c>
      <c r="F11" s="675">
        <v>3662.75</v>
      </c>
      <c r="G11" s="676">
        <v>3662.75</v>
      </c>
      <c r="H11" s="673">
        <v>3662.75</v>
      </c>
      <c r="I11" s="675">
        <v>3662.75</v>
      </c>
      <c r="J11" s="673">
        <v>3662.75</v>
      </c>
      <c r="K11" s="673">
        <v>3662.75</v>
      </c>
      <c r="L11" s="677"/>
      <c r="M11" s="677"/>
      <c r="N11" s="677"/>
      <c r="O11" s="677"/>
      <c r="P11" s="674">
        <f t="shared" si="3"/>
        <v>29302</v>
      </c>
    </row>
    <row r="12" spans="1:16" hidden="1" outlineLevel="1">
      <c r="A12" s="670" t="s">
        <v>3232</v>
      </c>
      <c r="B12" s="336" t="s">
        <v>243</v>
      </c>
      <c r="C12" s="657" t="s">
        <v>192</v>
      </c>
      <c r="D12" s="675">
        <v>2480.23</v>
      </c>
      <c r="E12" s="675">
        <v>2480.23</v>
      </c>
      <c r="F12" s="675">
        <v>2480.23</v>
      </c>
      <c r="G12" s="676">
        <v>2480.23</v>
      </c>
      <c r="H12" s="673">
        <v>2480.23</v>
      </c>
      <c r="I12" s="675">
        <v>2480.23</v>
      </c>
      <c r="J12" s="673">
        <v>2480.23</v>
      </c>
      <c r="K12" s="673">
        <v>2480.23</v>
      </c>
      <c r="L12" s="677"/>
      <c r="M12" s="677"/>
      <c r="N12" s="677"/>
      <c r="O12" s="677"/>
      <c r="P12" s="674">
        <f t="shared" si="3"/>
        <v>19841.84</v>
      </c>
    </row>
    <row r="13" spans="1:16" hidden="1" outlineLevel="1">
      <c r="A13" s="670" t="s">
        <v>190</v>
      </c>
      <c r="B13" s="336" t="s">
        <v>243</v>
      </c>
      <c r="C13" s="657" t="s">
        <v>192</v>
      </c>
      <c r="D13" s="675">
        <v>4613.53</v>
      </c>
      <c r="E13" s="675">
        <v>4613.53</v>
      </c>
      <c r="F13" s="675">
        <v>4613.53</v>
      </c>
      <c r="G13" s="676">
        <v>4613.53</v>
      </c>
      <c r="H13" s="673">
        <v>4613.53</v>
      </c>
      <c r="I13" s="675">
        <v>4613.53</v>
      </c>
      <c r="J13" s="673">
        <v>4613.53</v>
      </c>
      <c r="K13" s="673">
        <v>4613.53</v>
      </c>
      <c r="L13" s="677"/>
      <c r="M13" s="677"/>
      <c r="N13" s="677"/>
      <c r="O13" s="677"/>
      <c r="P13" s="674">
        <f t="shared" si="3"/>
        <v>36908.239999999998</v>
      </c>
    </row>
    <row r="14" spans="1:16" hidden="1" outlineLevel="1">
      <c r="A14" s="670" t="s">
        <v>3233</v>
      </c>
      <c r="B14" s="336" t="s">
        <v>243</v>
      </c>
      <c r="C14" s="657" t="s">
        <v>192</v>
      </c>
      <c r="D14" s="675">
        <v>2029.28</v>
      </c>
      <c r="E14" s="675">
        <v>2029.28</v>
      </c>
      <c r="F14" s="675">
        <v>2029.28</v>
      </c>
      <c r="G14" s="676">
        <v>2029.28</v>
      </c>
      <c r="H14" s="673">
        <v>2254.7600000000002</v>
      </c>
      <c r="I14" s="675">
        <v>2254.7600000000002</v>
      </c>
      <c r="J14" s="673">
        <v>2254.7600000000002</v>
      </c>
      <c r="K14" s="673">
        <v>2254.7600000000002</v>
      </c>
      <c r="L14" s="677"/>
      <c r="M14" s="677"/>
      <c r="N14" s="677"/>
      <c r="O14" s="677"/>
      <c r="P14" s="674">
        <f t="shared" si="3"/>
        <v>17136.160000000003</v>
      </c>
    </row>
    <row r="15" spans="1:16" hidden="1" outlineLevel="1">
      <c r="A15" s="670" t="s">
        <v>224</v>
      </c>
      <c r="B15" s="336" t="s">
        <v>243</v>
      </c>
      <c r="C15" s="657" t="s">
        <v>192</v>
      </c>
      <c r="D15" s="675">
        <v>2480.23</v>
      </c>
      <c r="E15" s="675">
        <v>2480.23</v>
      </c>
      <c r="F15" s="675">
        <v>2480.23</v>
      </c>
      <c r="G15" s="676">
        <v>2480.23</v>
      </c>
      <c r="H15" s="673">
        <v>2480.23</v>
      </c>
      <c r="I15" s="675">
        <v>2480.23</v>
      </c>
      <c r="J15" s="673">
        <v>2480.23</v>
      </c>
      <c r="K15" s="673">
        <v>2480.23</v>
      </c>
      <c r="L15" s="677"/>
      <c r="M15" s="677"/>
      <c r="N15" s="677"/>
      <c r="O15" s="677"/>
      <c r="P15" s="674">
        <f t="shared" si="3"/>
        <v>19841.84</v>
      </c>
    </row>
    <row r="16" spans="1:16" hidden="1" outlineLevel="1">
      <c r="A16" s="670" t="s">
        <v>3234</v>
      </c>
      <c r="B16" s="336" t="s">
        <v>243</v>
      </c>
      <c r="C16" s="657" t="s">
        <v>3235</v>
      </c>
      <c r="D16" s="675">
        <v>2480.23</v>
      </c>
      <c r="E16" s="675">
        <v>2480.23</v>
      </c>
      <c r="F16" s="675">
        <v>2480.23</v>
      </c>
      <c r="G16" s="676">
        <v>2480.23</v>
      </c>
      <c r="H16" s="673">
        <v>2480.23</v>
      </c>
      <c r="I16" s="675">
        <v>2480.23</v>
      </c>
      <c r="J16" s="673">
        <v>2480.23</v>
      </c>
      <c r="K16" s="673">
        <v>2705.71</v>
      </c>
      <c r="L16" s="677"/>
      <c r="M16" s="677"/>
      <c r="N16" s="677"/>
      <c r="O16" s="677"/>
      <c r="P16" s="674">
        <f t="shared" si="3"/>
        <v>20067.32</v>
      </c>
    </row>
    <row r="17" spans="1:16" hidden="1" outlineLevel="1">
      <c r="A17" s="679" t="s">
        <v>3236</v>
      </c>
      <c r="B17" s="336" t="s">
        <v>3227</v>
      </c>
      <c r="C17" s="657" t="s">
        <v>3235</v>
      </c>
      <c r="D17" s="675">
        <v>1000</v>
      </c>
      <c r="E17" s="675">
        <v>1000</v>
      </c>
      <c r="F17" s="675">
        <v>1000</v>
      </c>
      <c r="G17" s="676">
        <v>1000</v>
      </c>
      <c r="H17" s="680">
        <v>0</v>
      </c>
      <c r="I17" s="678">
        <v>0</v>
      </c>
      <c r="J17" s="680">
        <v>0</v>
      </c>
      <c r="K17" s="681">
        <v>0</v>
      </c>
      <c r="L17" s="677"/>
      <c r="M17" s="677"/>
      <c r="N17" s="677"/>
      <c r="O17" s="677"/>
      <c r="P17" s="674">
        <f t="shared" si="3"/>
        <v>4000</v>
      </c>
    </row>
    <row r="18" spans="1:16" hidden="1" outlineLevel="1">
      <c r="A18" s="670" t="s">
        <v>3237</v>
      </c>
      <c r="B18" s="336" t="s">
        <v>243</v>
      </c>
      <c r="C18" s="657" t="s">
        <v>3235</v>
      </c>
      <c r="D18" s="675">
        <v>2480.23</v>
      </c>
      <c r="E18" s="675">
        <v>2480.23</v>
      </c>
      <c r="F18" s="675">
        <v>2480.23</v>
      </c>
      <c r="G18" s="676">
        <v>2480.23</v>
      </c>
      <c r="H18" s="673">
        <v>2480.23</v>
      </c>
      <c r="I18" s="675">
        <v>2480.23</v>
      </c>
      <c r="J18" s="673">
        <v>2480.23</v>
      </c>
      <c r="K18" s="673">
        <v>2480.23</v>
      </c>
      <c r="L18" s="677"/>
      <c r="M18" s="677"/>
      <c r="N18" s="677"/>
      <c r="O18" s="677"/>
      <c r="P18" s="674">
        <f t="shared" si="3"/>
        <v>19841.84</v>
      </c>
    </row>
    <row r="19" spans="1:16" hidden="1" outlineLevel="1">
      <c r="A19" s="682" t="s">
        <v>3238</v>
      </c>
      <c r="B19" s="336" t="s">
        <v>3227</v>
      </c>
      <c r="C19" s="657" t="s">
        <v>3235</v>
      </c>
      <c r="D19" s="675">
        <v>1000</v>
      </c>
      <c r="E19" s="675">
        <v>1000</v>
      </c>
      <c r="F19" s="675">
        <v>1000</v>
      </c>
      <c r="G19" s="676">
        <v>1000</v>
      </c>
      <c r="H19" s="673">
        <v>1000</v>
      </c>
      <c r="I19" s="675">
        <v>1000</v>
      </c>
      <c r="J19" s="673">
        <v>2254.7600000000002</v>
      </c>
      <c r="K19" s="673">
        <v>2254.7600000000002</v>
      </c>
      <c r="L19" s="678"/>
      <c r="M19" s="678"/>
      <c r="N19" s="678"/>
      <c r="O19" s="678"/>
      <c r="P19" s="674">
        <f t="shared" si="3"/>
        <v>10509.52</v>
      </c>
    </row>
    <row r="20" spans="1:16" hidden="1" outlineLevel="1">
      <c r="A20" s="670" t="s">
        <v>3239</v>
      </c>
      <c r="B20" s="336" t="s">
        <v>243</v>
      </c>
      <c r="C20" s="657" t="s">
        <v>3235</v>
      </c>
      <c r="D20" s="675">
        <v>2480.23</v>
      </c>
      <c r="E20" s="675">
        <v>2480.23</v>
      </c>
      <c r="F20" s="675">
        <v>2480.23</v>
      </c>
      <c r="G20" s="676">
        <v>2480.23</v>
      </c>
      <c r="H20" s="673">
        <v>2480.23</v>
      </c>
      <c r="I20" s="675">
        <v>2480.23</v>
      </c>
      <c r="J20" s="673">
        <v>2480.23</v>
      </c>
      <c r="K20" s="673">
        <v>2480.23</v>
      </c>
      <c r="L20" s="677"/>
      <c r="M20" s="677"/>
      <c r="N20" s="677"/>
      <c r="O20" s="677"/>
      <c r="P20" s="674">
        <f t="shared" si="3"/>
        <v>19841.84</v>
      </c>
    </row>
    <row r="21" spans="1:16" hidden="1" outlineLevel="1">
      <c r="A21" s="682" t="s">
        <v>3240</v>
      </c>
      <c r="B21" s="336" t="s">
        <v>3227</v>
      </c>
      <c r="C21" s="657" t="s">
        <v>3235</v>
      </c>
      <c r="D21" s="675">
        <v>1000</v>
      </c>
      <c r="E21" s="675">
        <v>1000</v>
      </c>
      <c r="F21" s="675">
        <v>1000</v>
      </c>
      <c r="G21" s="676">
        <v>1000</v>
      </c>
      <c r="H21" s="673">
        <v>1000</v>
      </c>
      <c r="I21" s="675">
        <v>1000</v>
      </c>
      <c r="J21" s="673">
        <v>1000</v>
      </c>
      <c r="K21" s="673">
        <v>1000</v>
      </c>
      <c r="L21" s="677"/>
      <c r="M21" s="677"/>
      <c r="N21" s="677"/>
      <c r="O21" s="677"/>
      <c r="P21" s="674">
        <f t="shared" si="3"/>
        <v>8000</v>
      </c>
    </row>
    <row r="22" spans="1:16" hidden="1" outlineLevel="1">
      <c r="A22" s="682" t="s">
        <v>3241</v>
      </c>
      <c r="B22" s="336" t="s">
        <v>3227</v>
      </c>
      <c r="C22" s="657" t="s">
        <v>3235</v>
      </c>
      <c r="D22" s="675">
        <v>1000</v>
      </c>
      <c r="E22" s="675">
        <v>1000</v>
      </c>
      <c r="F22" s="675">
        <v>1000</v>
      </c>
      <c r="G22" s="676">
        <v>1000</v>
      </c>
      <c r="H22" s="673">
        <v>1000</v>
      </c>
      <c r="I22" s="675">
        <v>1000</v>
      </c>
      <c r="J22" s="673">
        <v>1000</v>
      </c>
      <c r="K22" s="673">
        <v>1000</v>
      </c>
      <c r="L22" s="677"/>
      <c r="M22" s="677"/>
      <c r="N22" s="677"/>
      <c r="O22" s="678"/>
      <c r="P22" s="674">
        <f t="shared" si="3"/>
        <v>8000</v>
      </c>
    </row>
    <row r="23" spans="1:16" hidden="1" outlineLevel="1">
      <c r="A23" s="682" t="s">
        <v>3242</v>
      </c>
      <c r="B23" s="336" t="s">
        <v>3227</v>
      </c>
      <c r="C23" s="657" t="s">
        <v>3235</v>
      </c>
      <c r="D23" s="675">
        <v>1000</v>
      </c>
      <c r="E23" s="675">
        <v>1000</v>
      </c>
      <c r="F23" s="675">
        <v>1000</v>
      </c>
      <c r="G23" s="676">
        <v>1000</v>
      </c>
      <c r="H23" s="673">
        <v>1000</v>
      </c>
      <c r="I23" s="675">
        <v>1000</v>
      </c>
      <c r="J23" s="673">
        <v>1000</v>
      </c>
      <c r="K23" s="673">
        <v>1000</v>
      </c>
      <c r="L23" s="677"/>
      <c r="M23" s="677"/>
      <c r="N23" s="677"/>
      <c r="O23" s="677"/>
      <c r="P23" s="674">
        <f t="shared" si="3"/>
        <v>8000</v>
      </c>
    </row>
    <row r="24" spans="1:16" hidden="1" outlineLevel="1">
      <c r="A24" s="683" t="s">
        <v>3243</v>
      </c>
      <c r="B24" s="336" t="s">
        <v>243</v>
      </c>
      <c r="C24" s="657" t="s">
        <v>3235</v>
      </c>
      <c r="D24" s="678">
        <v>0</v>
      </c>
      <c r="E24" s="678">
        <v>0</v>
      </c>
      <c r="F24" s="678">
        <v>0</v>
      </c>
      <c r="G24" s="684">
        <v>0</v>
      </c>
      <c r="H24" s="684">
        <v>0</v>
      </c>
      <c r="I24" s="678">
        <v>0</v>
      </c>
      <c r="J24" s="680">
        <v>0</v>
      </c>
      <c r="K24" s="681">
        <v>0</v>
      </c>
      <c r="L24" s="677"/>
      <c r="M24" s="677"/>
      <c r="N24" s="677"/>
      <c r="O24" s="677"/>
      <c r="P24" s="685">
        <f t="shared" si="3"/>
        <v>0</v>
      </c>
    </row>
    <row r="25" spans="1:16" hidden="1" outlineLevel="1">
      <c r="A25" s="670" t="s">
        <v>3244</v>
      </c>
      <c r="B25" s="336" t="s">
        <v>3227</v>
      </c>
      <c r="C25" s="657" t="s">
        <v>476</v>
      </c>
      <c r="D25" s="675">
        <v>3662.75</v>
      </c>
      <c r="E25" s="675">
        <v>3662.75</v>
      </c>
      <c r="F25" s="675">
        <v>3662.75</v>
      </c>
      <c r="G25" s="676">
        <v>3662.75</v>
      </c>
      <c r="H25" s="673">
        <v>3662.75</v>
      </c>
      <c r="I25" s="675">
        <v>3662.75</v>
      </c>
      <c r="J25" s="673">
        <v>3662.75</v>
      </c>
      <c r="K25" s="673">
        <v>3662.75</v>
      </c>
      <c r="L25" s="677"/>
      <c r="M25" s="677"/>
      <c r="N25" s="677"/>
      <c r="O25" s="677"/>
      <c r="P25" s="674">
        <f t="shared" si="3"/>
        <v>29302</v>
      </c>
    </row>
    <row r="26" spans="1:16" hidden="1" outlineLevel="1">
      <c r="A26" s="670" t="s">
        <v>3245</v>
      </c>
      <c r="B26" s="336" t="s">
        <v>3227</v>
      </c>
      <c r="C26" s="657" t="s">
        <v>476</v>
      </c>
      <c r="D26" s="675">
        <v>5766.66</v>
      </c>
      <c r="E26" s="675">
        <v>5766.66</v>
      </c>
      <c r="F26" s="675">
        <v>5766.66</v>
      </c>
      <c r="G26" s="676">
        <v>5766.66</v>
      </c>
      <c r="H26" s="673">
        <v>5766.66</v>
      </c>
      <c r="I26" s="675">
        <v>5766.66</v>
      </c>
      <c r="J26" s="673">
        <v>5766.66</v>
      </c>
      <c r="K26" s="673">
        <v>5766.66</v>
      </c>
      <c r="L26" s="677"/>
      <c r="M26" s="677"/>
      <c r="N26" s="677"/>
      <c r="O26" s="677"/>
      <c r="P26" s="674">
        <f t="shared" si="3"/>
        <v>46133.279999999999</v>
      </c>
    </row>
    <row r="27" spans="1:16" hidden="1" outlineLevel="1">
      <c r="A27" s="670" t="s">
        <v>3246</v>
      </c>
      <c r="B27" s="336" t="s">
        <v>3227</v>
      </c>
      <c r="C27" s="657" t="s">
        <v>476</v>
      </c>
      <c r="D27" s="675">
        <v>3844.44</v>
      </c>
      <c r="E27" s="675">
        <v>3844.44</v>
      </c>
      <c r="F27" s="675">
        <v>3844.44</v>
      </c>
      <c r="G27" s="676">
        <v>3844.44</v>
      </c>
      <c r="H27" s="673">
        <v>3844.44</v>
      </c>
      <c r="I27" s="675">
        <v>3844.44</v>
      </c>
      <c r="J27" s="673">
        <v>3844.44</v>
      </c>
      <c r="K27" s="673">
        <v>3844.44</v>
      </c>
      <c r="L27" s="677"/>
      <c r="M27" s="677"/>
      <c r="N27" s="677"/>
      <c r="O27" s="677"/>
      <c r="P27" s="674">
        <f t="shared" si="3"/>
        <v>30755.519999999997</v>
      </c>
    </row>
    <row r="28" spans="1:16" hidden="1" outlineLevel="1">
      <c r="A28" s="670" t="s">
        <v>3247</v>
      </c>
      <c r="B28" s="336" t="s">
        <v>3227</v>
      </c>
      <c r="C28" s="657" t="s">
        <v>476</v>
      </c>
      <c r="D28" s="675">
        <v>5125.92</v>
      </c>
      <c r="E28" s="675">
        <v>5125.92</v>
      </c>
      <c r="F28" s="675">
        <v>5125.92</v>
      </c>
      <c r="G28" s="676">
        <v>5125.92</v>
      </c>
      <c r="H28" s="673">
        <v>5125.92</v>
      </c>
      <c r="I28" s="675">
        <v>5125.92</v>
      </c>
      <c r="J28" s="673">
        <v>5125.92</v>
      </c>
      <c r="K28" s="673">
        <v>5125.92</v>
      </c>
      <c r="L28" s="677"/>
      <c r="M28" s="677"/>
      <c r="N28" s="677"/>
      <c r="O28" s="677"/>
      <c r="P28" s="674">
        <f t="shared" si="3"/>
        <v>41007.359999999993</v>
      </c>
    </row>
    <row r="29" spans="1:16" hidden="1" outlineLevel="1">
      <c r="A29" s="679" t="s">
        <v>3248</v>
      </c>
      <c r="B29" s="336" t="s">
        <v>3227</v>
      </c>
      <c r="C29" s="657" t="s">
        <v>476</v>
      </c>
      <c r="D29" s="675">
        <v>4805.55</v>
      </c>
      <c r="E29" s="675">
        <v>4805.55</v>
      </c>
      <c r="F29" s="675">
        <v>4805.55</v>
      </c>
      <c r="G29" s="676">
        <v>0</v>
      </c>
      <c r="H29" s="680">
        <v>0</v>
      </c>
      <c r="I29" s="678">
        <v>0</v>
      </c>
      <c r="J29" s="680">
        <v>0</v>
      </c>
      <c r="K29" s="681">
        <v>0</v>
      </c>
      <c r="L29" s="677"/>
      <c r="M29" s="677"/>
      <c r="N29" s="677"/>
      <c r="O29" s="677"/>
      <c r="P29" s="674">
        <f t="shared" si="3"/>
        <v>14416.650000000001</v>
      </c>
    </row>
    <row r="30" spans="1:16" hidden="1" outlineLevel="1">
      <c r="A30" s="679" t="s">
        <v>3249</v>
      </c>
      <c r="B30" s="336" t="s">
        <v>3227</v>
      </c>
      <c r="C30" s="657" t="s">
        <v>476</v>
      </c>
      <c r="D30" s="675">
        <v>3714.95</v>
      </c>
      <c r="E30" s="675">
        <v>3714.95</v>
      </c>
      <c r="F30" s="675">
        <v>3714.95</v>
      </c>
      <c r="G30" s="676">
        <v>0</v>
      </c>
      <c r="H30" s="680">
        <v>0</v>
      </c>
      <c r="I30" s="678">
        <v>0</v>
      </c>
      <c r="J30" s="680">
        <v>0</v>
      </c>
      <c r="K30" s="681">
        <v>0</v>
      </c>
      <c r="L30" s="677"/>
      <c r="M30" s="677"/>
      <c r="N30" s="677"/>
      <c r="O30" s="677"/>
      <c r="P30" s="674">
        <f t="shared" si="3"/>
        <v>11144.849999999999</v>
      </c>
    </row>
    <row r="31" spans="1:16" hidden="1" outlineLevel="1">
      <c r="A31" s="686" t="s">
        <v>3250</v>
      </c>
      <c r="B31" s="336" t="s">
        <v>3227</v>
      </c>
      <c r="C31" s="657" t="s">
        <v>476</v>
      </c>
      <c r="D31" s="675">
        <v>0</v>
      </c>
      <c r="E31" s="675">
        <v>0</v>
      </c>
      <c r="F31" s="675">
        <v>0</v>
      </c>
      <c r="G31" s="675">
        <v>0</v>
      </c>
      <c r="H31" s="675">
        <v>0</v>
      </c>
      <c r="I31" s="675">
        <v>5125.92</v>
      </c>
      <c r="J31" s="673">
        <v>5125.92</v>
      </c>
      <c r="K31" s="673">
        <v>5125.92</v>
      </c>
      <c r="L31" s="677"/>
      <c r="M31" s="677"/>
      <c r="N31" s="677"/>
      <c r="O31" s="677"/>
      <c r="P31" s="685"/>
    </row>
    <row r="32" spans="1:16" hidden="1" outlineLevel="1">
      <c r="A32" s="686" t="s">
        <v>3251</v>
      </c>
      <c r="B32" s="336" t="s">
        <v>243</v>
      </c>
      <c r="C32" s="657" t="s">
        <v>476</v>
      </c>
      <c r="D32" s="675"/>
      <c r="E32" s="675"/>
      <c r="F32" s="675"/>
      <c r="G32" s="676"/>
      <c r="H32" s="673"/>
      <c r="I32" s="675"/>
      <c r="J32" s="673">
        <v>4325</v>
      </c>
      <c r="K32" s="673">
        <v>4325</v>
      </c>
      <c r="L32" s="677"/>
      <c r="M32" s="677"/>
      <c r="N32" s="677"/>
      <c r="O32" s="677"/>
      <c r="P32" s="685"/>
    </row>
    <row r="33" spans="1:16" hidden="1" outlineLevel="1">
      <c r="A33" s="670" t="s">
        <v>3252</v>
      </c>
      <c r="B33" s="336" t="s">
        <v>3227</v>
      </c>
      <c r="C33" s="657" t="s">
        <v>422</v>
      </c>
      <c r="D33" s="675">
        <v>3403.22</v>
      </c>
      <c r="E33" s="675">
        <v>3403.22</v>
      </c>
      <c r="F33" s="675">
        <v>3403.22</v>
      </c>
      <c r="G33" s="676">
        <v>3403.22</v>
      </c>
      <c r="H33" s="673">
        <v>3403.22</v>
      </c>
      <c r="I33" s="675">
        <v>3828.62</v>
      </c>
      <c r="J33" s="673">
        <v>3828.62</v>
      </c>
      <c r="K33" s="673">
        <v>3828.62</v>
      </c>
      <c r="L33" s="677"/>
      <c r="M33" s="677"/>
      <c r="N33" s="677"/>
      <c r="O33" s="677"/>
      <c r="P33" s="674">
        <f t="shared" ref="P33:P57" si="4">SUM(D33:O33)</f>
        <v>28501.959999999995</v>
      </c>
    </row>
    <row r="34" spans="1:16" hidden="1" outlineLevel="1">
      <c r="A34" s="670" t="s">
        <v>3253</v>
      </c>
      <c r="B34" s="336" t="s">
        <v>3227</v>
      </c>
      <c r="C34" s="657" t="s">
        <v>422</v>
      </c>
      <c r="D34" s="675">
        <v>4055.31</v>
      </c>
      <c r="E34" s="675">
        <v>4055.31</v>
      </c>
      <c r="F34" s="675">
        <v>4055.31</v>
      </c>
      <c r="G34" s="676">
        <v>4055.31</v>
      </c>
      <c r="H34" s="673">
        <v>4055.31</v>
      </c>
      <c r="I34" s="675">
        <v>4055.31</v>
      </c>
      <c r="J34" s="673">
        <v>4055.31</v>
      </c>
      <c r="K34" s="673">
        <v>4055.31</v>
      </c>
      <c r="L34" s="677"/>
      <c r="M34" s="677"/>
      <c r="N34" s="677"/>
      <c r="O34" s="677"/>
      <c r="P34" s="674">
        <f t="shared" si="4"/>
        <v>32442.480000000003</v>
      </c>
    </row>
    <row r="35" spans="1:16" hidden="1" outlineLevel="1">
      <c r="A35" s="679" t="s">
        <v>3254</v>
      </c>
      <c r="B35" s="336" t="s">
        <v>3227</v>
      </c>
      <c r="C35" s="657" t="s">
        <v>422</v>
      </c>
      <c r="D35" s="675">
        <v>1000</v>
      </c>
      <c r="E35" s="675">
        <v>1000</v>
      </c>
      <c r="F35" s="675">
        <v>0</v>
      </c>
      <c r="G35" s="684">
        <v>0</v>
      </c>
      <c r="H35" s="680">
        <v>0</v>
      </c>
      <c r="I35" s="678">
        <v>0</v>
      </c>
      <c r="J35" s="680">
        <v>0</v>
      </c>
      <c r="K35" s="681">
        <v>0</v>
      </c>
      <c r="L35" s="678"/>
      <c r="M35" s="678"/>
      <c r="N35" s="678"/>
      <c r="O35" s="678"/>
      <c r="P35" s="674">
        <f t="shared" si="4"/>
        <v>2000</v>
      </c>
    </row>
    <row r="36" spans="1:16" hidden="1" outlineLevel="1">
      <c r="A36" s="686" t="s">
        <v>3255</v>
      </c>
      <c r="B36" s="336" t="s">
        <v>3227</v>
      </c>
      <c r="C36" s="657" t="s">
        <v>422</v>
      </c>
      <c r="D36" s="678">
        <v>0</v>
      </c>
      <c r="E36" s="678">
        <v>0</v>
      </c>
      <c r="F36" s="678">
        <v>0</v>
      </c>
      <c r="G36" s="684">
        <v>0</v>
      </c>
      <c r="H36" s="684">
        <v>0</v>
      </c>
      <c r="I36" s="678">
        <v>0</v>
      </c>
      <c r="J36" s="680">
        <v>0</v>
      </c>
      <c r="K36" s="681">
        <v>0</v>
      </c>
      <c r="L36" s="677"/>
      <c r="M36" s="677"/>
      <c r="N36" s="677"/>
      <c r="O36" s="677"/>
      <c r="P36" s="685">
        <f t="shared" si="4"/>
        <v>0</v>
      </c>
    </row>
    <row r="37" spans="1:16" hidden="1" outlineLevel="1">
      <c r="A37" s="683" t="s">
        <v>2809</v>
      </c>
      <c r="B37" s="336" t="s">
        <v>3227</v>
      </c>
      <c r="C37" s="657" t="s">
        <v>422</v>
      </c>
      <c r="D37" s="678">
        <v>0</v>
      </c>
      <c r="E37" s="675">
        <v>4179.32</v>
      </c>
      <c r="F37" s="675">
        <v>4179.32</v>
      </c>
      <c r="G37" s="676">
        <v>4179.32</v>
      </c>
      <c r="H37" s="673">
        <v>4179.32</v>
      </c>
      <c r="I37" s="675">
        <v>4179.32</v>
      </c>
      <c r="J37" s="673">
        <v>4179.32</v>
      </c>
      <c r="K37" s="673">
        <v>4179.32</v>
      </c>
      <c r="L37" s="677"/>
      <c r="M37" s="677"/>
      <c r="N37" s="677"/>
      <c r="O37" s="677"/>
      <c r="P37" s="685">
        <f t="shared" si="4"/>
        <v>29255.239999999998</v>
      </c>
    </row>
    <row r="38" spans="1:16" hidden="1" outlineLevel="1">
      <c r="A38" s="670" t="s">
        <v>3256</v>
      </c>
      <c r="B38" s="336" t="s">
        <v>243</v>
      </c>
      <c r="C38" s="657" t="s">
        <v>164</v>
      </c>
      <c r="D38" s="675">
        <v>3686.76</v>
      </c>
      <c r="E38" s="675">
        <v>3686.76</v>
      </c>
      <c r="F38" s="675">
        <v>3686.76</v>
      </c>
      <c r="G38" s="676">
        <v>3686.76</v>
      </c>
      <c r="H38" s="673">
        <v>4069.72</v>
      </c>
      <c r="I38" s="675">
        <v>4069.72</v>
      </c>
      <c r="J38" s="673">
        <v>4069.72</v>
      </c>
      <c r="K38" s="673">
        <v>4069.72</v>
      </c>
      <c r="L38" s="677"/>
      <c r="M38" s="677"/>
      <c r="N38" s="677"/>
      <c r="O38" s="677"/>
      <c r="P38" s="674">
        <f t="shared" si="4"/>
        <v>31025.920000000006</v>
      </c>
    </row>
    <row r="39" spans="1:16" hidden="1" outlineLevel="1">
      <c r="A39" s="670" t="s">
        <v>3257</v>
      </c>
      <c r="B39" s="336" t="s">
        <v>243</v>
      </c>
      <c r="C39" s="657" t="s">
        <v>164</v>
      </c>
      <c r="D39" s="675">
        <v>3686.76</v>
      </c>
      <c r="E39" s="675">
        <v>3686.76</v>
      </c>
      <c r="F39" s="675">
        <v>3686.76</v>
      </c>
      <c r="G39" s="676">
        <v>3686.76</v>
      </c>
      <c r="H39" s="673">
        <v>3686.76</v>
      </c>
      <c r="I39" s="675">
        <v>3686.76</v>
      </c>
      <c r="J39" s="673">
        <v>3686.76</v>
      </c>
      <c r="K39" s="673">
        <v>3686.76</v>
      </c>
      <c r="L39" s="677"/>
      <c r="M39" s="677"/>
      <c r="N39" s="677"/>
      <c r="O39" s="677"/>
      <c r="P39" s="674">
        <f t="shared" si="4"/>
        <v>29494.080000000009</v>
      </c>
    </row>
    <row r="40" spans="1:16" hidden="1" outlineLevel="1">
      <c r="A40" s="670" t="s">
        <v>669</v>
      </c>
      <c r="B40" s="336" t="s">
        <v>243</v>
      </c>
      <c r="C40" s="657" t="s">
        <v>164</v>
      </c>
      <c r="D40" s="675">
        <v>2705.71</v>
      </c>
      <c r="E40" s="675">
        <v>2705.71</v>
      </c>
      <c r="F40" s="675">
        <v>2705.71</v>
      </c>
      <c r="G40" s="676">
        <v>2705.71</v>
      </c>
      <c r="H40" s="673">
        <v>2705.71</v>
      </c>
      <c r="I40" s="675">
        <v>2705.71</v>
      </c>
      <c r="J40" s="673">
        <v>2705.71</v>
      </c>
      <c r="K40" s="673">
        <v>2705.71</v>
      </c>
      <c r="L40" s="677"/>
      <c r="M40" s="677"/>
      <c r="N40" s="677"/>
      <c r="O40" s="677"/>
      <c r="P40" s="674">
        <f t="shared" si="4"/>
        <v>21645.679999999997</v>
      </c>
    </row>
    <row r="41" spans="1:16" hidden="1" outlineLevel="1">
      <c r="A41" s="670" t="s">
        <v>176</v>
      </c>
      <c r="B41" s="336" t="s">
        <v>243</v>
      </c>
      <c r="C41" s="657" t="s">
        <v>164</v>
      </c>
      <c r="D41" s="675">
        <v>3686.76</v>
      </c>
      <c r="E41" s="675">
        <v>3686.76</v>
      </c>
      <c r="F41" s="675">
        <v>3686.76</v>
      </c>
      <c r="G41" s="676">
        <v>3686.76</v>
      </c>
      <c r="H41" s="673">
        <v>4069.72</v>
      </c>
      <c r="I41" s="675">
        <v>4069.72</v>
      </c>
      <c r="J41" s="673">
        <v>4069.72</v>
      </c>
      <c r="K41" s="673">
        <v>4069.72</v>
      </c>
      <c r="L41" s="677"/>
      <c r="M41" s="677"/>
      <c r="N41" s="677"/>
      <c r="O41" s="677"/>
      <c r="P41" s="674">
        <f t="shared" si="4"/>
        <v>31025.920000000006</v>
      </c>
    </row>
    <row r="42" spans="1:16" hidden="1" outlineLevel="1">
      <c r="A42" s="670" t="s">
        <v>178</v>
      </c>
      <c r="B42" s="336" t="s">
        <v>243</v>
      </c>
      <c r="C42" s="657" t="s">
        <v>164</v>
      </c>
      <c r="D42" s="675">
        <v>3379.53</v>
      </c>
      <c r="E42" s="675">
        <v>3379.53</v>
      </c>
      <c r="F42" s="675">
        <v>3379.53</v>
      </c>
      <c r="G42" s="676">
        <v>3379.53</v>
      </c>
      <c r="H42" s="673">
        <v>3379.53</v>
      </c>
      <c r="I42" s="675">
        <v>3379.53</v>
      </c>
      <c r="J42" s="673">
        <v>3379.53</v>
      </c>
      <c r="K42" s="673">
        <v>3379.53</v>
      </c>
      <c r="L42" s="677"/>
      <c r="M42" s="677"/>
      <c r="N42" s="677"/>
      <c r="O42" s="677"/>
      <c r="P42" s="674">
        <f t="shared" si="4"/>
        <v>27036.239999999998</v>
      </c>
    </row>
    <row r="43" spans="1:16" hidden="1" outlineLevel="1">
      <c r="A43" s="670" t="s">
        <v>3258</v>
      </c>
      <c r="B43" s="336" t="s">
        <v>243</v>
      </c>
      <c r="C43" s="657" t="s">
        <v>164</v>
      </c>
      <c r="D43" s="675">
        <v>3686.76</v>
      </c>
      <c r="E43" s="675">
        <v>3686.76</v>
      </c>
      <c r="F43" s="675">
        <v>3686.76</v>
      </c>
      <c r="G43" s="676">
        <v>3686.76</v>
      </c>
      <c r="H43" s="673">
        <v>3686.76</v>
      </c>
      <c r="I43" s="675">
        <v>3686.76</v>
      </c>
      <c r="J43" s="673">
        <v>4069.72</v>
      </c>
      <c r="K43" s="673">
        <v>4069.72</v>
      </c>
      <c r="L43" s="677"/>
      <c r="M43" s="677"/>
      <c r="N43" s="677"/>
      <c r="O43" s="677"/>
      <c r="P43" s="674">
        <f t="shared" si="4"/>
        <v>30260.000000000007</v>
      </c>
    </row>
    <row r="44" spans="1:16" hidden="1" outlineLevel="1">
      <c r="A44" s="670" t="s">
        <v>3259</v>
      </c>
      <c r="B44" s="336" t="s">
        <v>243</v>
      </c>
      <c r="C44" s="657" t="s">
        <v>164</v>
      </c>
      <c r="D44" s="675">
        <v>3379.53</v>
      </c>
      <c r="E44" s="675">
        <v>3379.53</v>
      </c>
      <c r="F44" s="675">
        <v>3379.53</v>
      </c>
      <c r="G44" s="676">
        <v>3379.53</v>
      </c>
      <c r="H44" s="673">
        <v>3379.53</v>
      </c>
      <c r="I44" s="675">
        <v>3379.53</v>
      </c>
      <c r="J44" s="673">
        <v>3379.53</v>
      </c>
      <c r="K44" s="673">
        <v>3379.53</v>
      </c>
      <c r="L44" s="677"/>
      <c r="M44" s="677"/>
      <c r="N44" s="677"/>
      <c r="O44" s="677"/>
      <c r="P44" s="674">
        <f t="shared" si="4"/>
        <v>27036.239999999998</v>
      </c>
    </row>
    <row r="45" spans="1:16" hidden="1" outlineLevel="1">
      <c r="A45" s="670" t="s">
        <v>3260</v>
      </c>
      <c r="B45" s="336" t="s">
        <v>243</v>
      </c>
      <c r="C45" s="657" t="s">
        <v>164</v>
      </c>
      <c r="D45" s="675">
        <v>3072.3</v>
      </c>
      <c r="E45" s="675">
        <v>3072.3</v>
      </c>
      <c r="F45" s="675">
        <v>3072.3</v>
      </c>
      <c r="G45" s="676">
        <v>3072.3</v>
      </c>
      <c r="H45" s="673">
        <v>3379.53</v>
      </c>
      <c r="I45" s="675">
        <v>3379.53</v>
      </c>
      <c r="J45" s="673">
        <v>3379.53</v>
      </c>
      <c r="K45" s="673">
        <v>3379.53</v>
      </c>
      <c r="L45" s="677"/>
      <c r="M45" s="677"/>
      <c r="N45" s="677"/>
      <c r="O45" s="677"/>
      <c r="P45" s="674">
        <f t="shared" si="4"/>
        <v>25807.32</v>
      </c>
    </row>
    <row r="46" spans="1:16" hidden="1" outlineLevel="1">
      <c r="A46" s="670" t="s">
        <v>3261</v>
      </c>
      <c r="B46" s="336" t="s">
        <v>243</v>
      </c>
      <c r="C46" s="657" t="s">
        <v>169</v>
      </c>
      <c r="D46" s="675">
        <v>3379.53</v>
      </c>
      <c r="E46" s="675">
        <v>3379.53</v>
      </c>
      <c r="F46" s="675">
        <v>4069.72</v>
      </c>
      <c r="G46" s="676">
        <v>4069.72</v>
      </c>
      <c r="H46" s="673">
        <v>4069.72</v>
      </c>
      <c r="I46" s="675">
        <v>4069.72</v>
      </c>
      <c r="J46" s="673">
        <v>4069.72</v>
      </c>
      <c r="K46" s="673">
        <v>4069.72</v>
      </c>
      <c r="L46" s="677"/>
      <c r="M46" s="677"/>
      <c r="N46" s="677"/>
      <c r="O46" s="677"/>
      <c r="P46" s="674">
        <f t="shared" si="4"/>
        <v>31177.380000000005</v>
      </c>
    </row>
    <row r="47" spans="1:16" hidden="1" outlineLevel="1">
      <c r="A47" s="679" t="s">
        <v>3262</v>
      </c>
      <c r="B47" s="336" t="s">
        <v>3154</v>
      </c>
      <c r="C47" s="657" t="s">
        <v>169</v>
      </c>
      <c r="D47" s="675">
        <v>3072.29</v>
      </c>
      <c r="E47" s="675">
        <v>3072.29</v>
      </c>
      <c r="F47" s="675">
        <v>3072.29</v>
      </c>
      <c r="G47" s="676">
        <v>3072.29</v>
      </c>
      <c r="H47" s="673">
        <v>3686.76</v>
      </c>
      <c r="I47" s="675">
        <v>3686.76</v>
      </c>
      <c r="J47" s="681">
        <v>0</v>
      </c>
      <c r="K47" s="681">
        <v>0</v>
      </c>
      <c r="L47" s="677"/>
      <c r="M47" s="677"/>
      <c r="N47" s="677"/>
      <c r="O47" s="677"/>
      <c r="P47" s="674">
        <f t="shared" si="4"/>
        <v>19662.68</v>
      </c>
    </row>
    <row r="48" spans="1:16" hidden="1" outlineLevel="1">
      <c r="A48" s="687" t="s">
        <v>3263</v>
      </c>
      <c r="B48" s="336" t="s">
        <v>243</v>
      </c>
      <c r="C48" s="657" t="s">
        <v>169</v>
      </c>
      <c r="D48" s="675">
        <v>3686.76</v>
      </c>
      <c r="E48" s="675">
        <v>3686.76</v>
      </c>
      <c r="F48" s="688"/>
      <c r="G48" s="688"/>
      <c r="H48" s="688"/>
      <c r="I48" s="688"/>
      <c r="J48" s="673">
        <v>3686.76</v>
      </c>
      <c r="K48" s="673">
        <v>3686.76</v>
      </c>
      <c r="L48" s="677"/>
      <c r="M48" s="677"/>
      <c r="N48" s="677"/>
      <c r="O48" s="677"/>
      <c r="P48" s="674">
        <f t="shared" si="4"/>
        <v>14747.04</v>
      </c>
    </row>
    <row r="49" spans="1:16" hidden="1" outlineLevel="1">
      <c r="A49" s="670" t="s">
        <v>3264</v>
      </c>
      <c r="B49" s="336" t="s">
        <v>243</v>
      </c>
      <c r="C49" s="657" t="s">
        <v>169</v>
      </c>
      <c r="D49" s="675">
        <v>2765.07</v>
      </c>
      <c r="E49" s="675">
        <v>2765.07</v>
      </c>
      <c r="F49" s="675">
        <v>2765.07</v>
      </c>
      <c r="G49" s="676">
        <v>2765.07</v>
      </c>
      <c r="H49" s="673">
        <v>2765.07</v>
      </c>
      <c r="I49" s="675">
        <v>2765.07</v>
      </c>
      <c r="J49" s="673">
        <v>2765.07</v>
      </c>
      <c r="K49" s="673">
        <v>2765.07</v>
      </c>
      <c r="L49" s="677"/>
      <c r="M49" s="677"/>
      <c r="N49" s="677"/>
      <c r="O49" s="677"/>
      <c r="P49" s="674">
        <f t="shared" si="4"/>
        <v>22120.560000000001</v>
      </c>
    </row>
    <row r="50" spans="1:16" hidden="1" outlineLevel="1">
      <c r="A50" s="670" t="s">
        <v>1860</v>
      </c>
      <c r="B50" s="336" t="s">
        <v>243</v>
      </c>
      <c r="C50" s="657" t="s">
        <v>169</v>
      </c>
      <c r="D50" s="675">
        <v>3379.53</v>
      </c>
      <c r="E50" s="675">
        <v>3379.53</v>
      </c>
      <c r="F50" s="675">
        <v>3379.53</v>
      </c>
      <c r="G50" s="676">
        <v>3379.53</v>
      </c>
      <c r="H50" s="673">
        <v>3379.53</v>
      </c>
      <c r="I50" s="675">
        <v>3686.76</v>
      </c>
      <c r="J50" s="673">
        <v>3686.76</v>
      </c>
      <c r="K50" s="673">
        <v>3686.76</v>
      </c>
      <c r="L50" s="677"/>
      <c r="M50" s="678"/>
      <c r="N50" s="678"/>
      <c r="O50" s="678"/>
      <c r="P50" s="674">
        <f t="shared" si="4"/>
        <v>27957.930000000008</v>
      </c>
    </row>
    <row r="51" spans="1:16" hidden="1" outlineLevel="1">
      <c r="A51" s="670" t="s">
        <v>186</v>
      </c>
      <c r="B51" s="336" t="s">
        <v>243</v>
      </c>
      <c r="C51" s="657" t="s">
        <v>169</v>
      </c>
      <c r="D51" s="675">
        <v>4069.72</v>
      </c>
      <c r="E51" s="675">
        <v>4069.72</v>
      </c>
      <c r="F51" s="675">
        <v>4069.72</v>
      </c>
      <c r="G51" s="676">
        <v>4069.72</v>
      </c>
      <c r="H51" s="673">
        <v>4069.72</v>
      </c>
      <c r="I51" s="675">
        <v>4883.67</v>
      </c>
      <c r="J51" s="673">
        <v>4883.67</v>
      </c>
      <c r="K51" s="673">
        <v>4883.67</v>
      </c>
      <c r="L51" s="677"/>
      <c r="M51" s="677"/>
      <c r="N51" s="677"/>
      <c r="O51" s="677"/>
      <c r="P51" s="674">
        <f t="shared" si="4"/>
        <v>34999.609999999993</v>
      </c>
    </row>
    <row r="52" spans="1:16" hidden="1" outlineLevel="1">
      <c r="A52" s="683" t="s">
        <v>3265</v>
      </c>
      <c r="B52" s="336" t="s">
        <v>243</v>
      </c>
      <c r="C52" s="657" t="s">
        <v>169</v>
      </c>
      <c r="D52" s="678">
        <v>0</v>
      </c>
      <c r="E52" s="678">
        <v>0</v>
      </c>
      <c r="F52" s="675">
        <v>2457.84</v>
      </c>
      <c r="G52" s="676">
        <v>2457.84</v>
      </c>
      <c r="H52" s="673">
        <v>2457.84</v>
      </c>
      <c r="I52" s="675">
        <v>2457.84</v>
      </c>
      <c r="J52" s="673">
        <v>2457.84</v>
      </c>
      <c r="K52" s="673">
        <v>2457.84</v>
      </c>
      <c r="L52" s="677"/>
      <c r="M52" s="677"/>
      <c r="N52" s="677"/>
      <c r="O52" s="677"/>
      <c r="P52" s="685">
        <f t="shared" si="4"/>
        <v>14747.04</v>
      </c>
    </row>
    <row r="53" spans="1:16" hidden="1" outlineLevel="1">
      <c r="A53" s="670" t="s">
        <v>3266</v>
      </c>
      <c r="B53" s="336" t="s">
        <v>3227</v>
      </c>
      <c r="C53" s="657" t="s">
        <v>162</v>
      </c>
      <c r="D53" s="675">
        <v>3255.78</v>
      </c>
      <c r="E53" s="675">
        <v>3255.78</v>
      </c>
      <c r="F53" s="675">
        <v>3255.78</v>
      </c>
      <c r="G53" s="676">
        <v>3255.78</v>
      </c>
      <c r="H53" s="673">
        <v>3662.75</v>
      </c>
      <c r="I53" s="675">
        <v>3662.75</v>
      </c>
      <c r="J53" s="673">
        <v>3662.75</v>
      </c>
      <c r="K53" s="673">
        <v>3662.75</v>
      </c>
      <c r="L53" s="677"/>
      <c r="M53" s="677"/>
      <c r="N53" s="677"/>
      <c r="O53" s="677"/>
      <c r="P53" s="674">
        <f t="shared" si="4"/>
        <v>27674.120000000003</v>
      </c>
    </row>
    <row r="54" spans="1:16" hidden="1" outlineLevel="1">
      <c r="A54" s="679" t="s">
        <v>3267</v>
      </c>
      <c r="B54" s="336" t="s">
        <v>3227</v>
      </c>
      <c r="C54" s="657" t="s">
        <v>162</v>
      </c>
      <c r="D54" s="675">
        <v>4964.78</v>
      </c>
      <c r="E54" s="675">
        <v>4964.78</v>
      </c>
      <c r="F54" s="675">
        <v>4964.78</v>
      </c>
      <c r="G54" s="676">
        <v>4964.78</v>
      </c>
      <c r="H54" s="673">
        <v>4964.78</v>
      </c>
      <c r="I54" s="678">
        <v>0</v>
      </c>
      <c r="J54" s="681">
        <v>0</v>
      </c>
      <c r="K54" s="681">
        <v>0</v>
      </c>
      <c r="L54" s="677"/>
      <c r="M54" s="677"/>
      <c r="N54" s="677"/>
      <c r="O54" s="677"/>
      <c r="P54" s="674">
        <f t="shared" si="4"/>
        <v>24823.899999999998</v>
      </c>
    </row>
    <row r="55" spans="1:16" hidden="1" outlineLevel="1">
      <c r="A55" s="670" t="s">
        <v>523</v>
      </c>
      <c r="B55" s="336" t="s">
        <v>3227</v>
      </c>
      <c r="C55" s="657" t="s">
        <v>162</v>
      </c>
      <c r="D55" s="675">
        <v>4111.42</v>
      </c>
      <c r="E55" s="675">
        <v>4111.42</v>
      </c>
      <c r="F55" s="675">
        <v>4111.42</v>
      </c>
      <c r="G55" s="676">
        <v>4111.42</v>
      </c>
      <c r="H55" s="673">
        <v>4111.42</v>
      </c>
      <c r="I55" s="675">
        <v>4111.42</v>
      </c>
      <c r="J55" s="673">
        <v>4111.42</v>
      </c>
      <c r="K55" s="673">
        <v>4111.42</v>
      </c>
      <c r="L55" s="678"/>
      <c r="M55" s="678"/>
      <c r="N55" s="678"/>
      <c r="O55" s="678"/>
      <c r="P55" s="674">
        <f t="shared" si="4"/>
        <v>32891.359999999993</v>
      </c>
    </row>
    <row r="56" spans="1:16" hidden="1" outlineLevel="1">
      <c r="A56" s="670" t="s">
        <v>2791</v>
      </c>
      <c r="B56" s="336" t="s">
        <v>243</v>
      </c>
      <c r="C56" s="336" t="s">
        <v>162</v>
      </c>
      <c r="D56" s="675">
        <v>3662.75</v>
      </c>
      <c r="E56" s="675">
        <v>3662.75</v>
      </c>
      <c r="F56" s="675">
        <v>3662.75</v>
      </c>
      <c r="G56" s="676">
        <v>3662.75</v>
      </c>
      <c r="H56" s="673">
        <v>3662.75</v>
      </c>
      <c r="I56" s="675">
        <v>3662.75</v>
      </c>
      <c r="J56" s="673">
        <v>3662.75</v>
      </c>
      <c r="K56" s="673">
        <v>3662.75</v>
      </c>
      <c r="L56" s="677"/>
      <c r="M56" s="677"/>
      <c r="N56" s="677"/>
      <c r="O56" s="677"/>
      <c r="P56" s="674">
        <f t="shared" si="4"/>
        <v>29302</v>
      </c>
    </row>
    <row r="57" spans="1:16" hidden="1" outlineLevel="1">
      <c r="A57" s="689" t="s">
        <v>3268</v>
      </c>
      <c r="B57" s="336" t="s">
        <v>3227</v>
      </c>
      <c r="C57" s="657" t="s">
        <v>162</v>
      </c>
      <c r="D57" s="675">
        <v>1000</v>
      </c>
      <c r="E57" s="675">
        <v>1000</v>
      </c>
      <c r="F57" s="675">
        <v>1000</v>
      </c>
      <c r="G57" s="676">
        <v>1000</v>
      </c>
      <c r="H57" s="673">
        <v>1000</v>
      </c>
      <c r="I57" s="675">
        <v>1000</v>
      </c>
      <c r="J57" s="673">
        <v>1000</v>
      </c>
      <c r="K57" s="673">
        <v>1000</v>
      </c>
      <c r="L57" s="677"/>
      <c r="M57" s="677"/>
      <c r="N57" s="677"/>
      <c r="O57" s="677"/>
      <c r="P57" s="674">
        <f t="shared" si="4"/>
        <v>8000</v>
      </c>
    </row>
    <row r="58" spans="1:16" hidden="1" outlineLevel="1">
      <c r="A58" s="683" t="s">
        <v>3269</v>
      </c>
      <c r="B58" s="336" t="s">
        <v>3227</v>
      </c>
      <c r="C58" s="657" t="s">
        <v>162</v>
      </c>
      <c r="D58" s="675"/>
      <c r="E58" s="675"/>
      <c r="F58" s="675"/>
      <c r="G58" s="676"/>
      <c r="H58" s="673"/>
      <c r="I58" s="675"/>
      <c r="J58" s="673">
        <v>4476.6899999999996</v>
      </c>
      <c r="K58" s="673">
        <v>4476.6899999999996</v>
      </c>
      <c r="L58" s="677"/>
      <c r="M58" s="677"/>
      <c r="N58" s="677"/>
      <c r="O58" s="677"/>
      <c r="P58" s="685"/>
    </row>
    <row r="59" spans="1:16" hidden="1" outlineLevel="1">
      <c r="A59" s="690" t="s">
        <v>3270</v>
      </c>
      <c r="B59" s="336" t="s">
        <v>3227</v>
      </c>
      <c r="C59" s="657" t="s">
        <v>143</v>
      </c>
      <c r="D59" s="675">
        <v>3379.54</v>
      </c>
      <c r="E59" s="675">
        <v>3379.54</v>
      </c>
      <c r="F59" s="675">
        <v>3379.54</v>
      </c>
      <c r="G59" s="676">
        <v>3379.54</v>
      </c>
      <c r="H59" s="673">
        <v>3379.54</v>
      </c>
      <c r="I59" s="675">
        <v>3379.54</v>
      </c>
      <c r="J59" s="673">
        <v>3379.54</v>
      </c>
      <c r="K59" s="673">
        <v>3379.54</v>
      </c>
      <c r="L59" s="677"/>
      <c r="M59" s="677"/>
      <c r="N59" s="677"/>
      <c r="O59" s="677"/>
      <c r="P59" s="674">
        <f t="shared" ref="P59:P68" si="5">SUM(D59:O59)</f>
        <v>27036.320000000003</v>
      </c>
    </row>
    <row r="60" spans="1:16" hidden="1" outlineLevel="1">
      <c r="A60" s="690" t="s">
        <v>3271</v>
      </c>
      <c r="B60" s="336" t="s">
        <v>3227</v>
      </c>
      <c r="C60" s="657" t="s">
        <v>143</v>
      </c>
      <c r="D60" s="675">
        <v>3255.78</v>
      </c>
      <c r="E60" s="675">
        <v>3255.78</v>
      </c>
      <c r="F60" s="675">
        <v>3255.78</v>
      </c>
      <c r="G60" s="676">
        <v>3255.78</v>
      </c>
      <c r="H60" s="673">
        <v>3662.75</v>
      </c>
      <c r="I60" s="675">
        <v>3662.75</v>
      </c>
      <c r="J60" s="673">
        <v>3662.75</v>
      </c>
      <c r="K60" s="673">
        <v>3662.75</v>
      </c>
      <c r="L60" s="677"/>
      <c r="M60" s="677"/>
      <c r="N60" s="677"/>
      <c r="O60" s="677"/>
      <c r="P60" s="674">
        <f t="shared" si="5"/>
        <v>27674.120000000003</v>
      </c>
    </row>
    <row r="61" spans="1:16" hidden="1" outlineLevel="1">
      <c r="A61" s="690" t="s">
        <v>3272</v>
      </c>
      <c r="B61" s="336" t="s">
        <v>3227</v>
      </c>
      <c r="C61" s="657" t="s">
        <v>143</v>
      </c>
      <c r="D61" s="675">
        <v>2480.23</v>
      </c>
      <c r="E61" s="675">
        <v>2480.23</v>
      </c>
      <c r="F61" s="675">
        <v>2480.23</v>
      </c>
      <c r="G61" s="676">
        <v>2480.23</v>
      </c>
      <c r="H61" s="673">
        <v>2480.23</v>
      </c>
      <c r="I61" s="675">
        <v>2480.23</v>
      </c>
      <c r="J61" s="673">
        <v>2765.07</v>
      </c>
      <c r="K61" s="673">
        <v>2765.07</v>
      </c>
      <c r="L61" s="677"/>
      <c r="M61" s="677"/>
      <c r="N61" s="677"/>
      <c r="O61" s="677"/>
      <c r="P61" s="674">
        <f t="shared" si="5"/>
        <v>20411.52</v>
      </c>
    </row>
    <row r="62" spans="1:16" hidden="1" outlineLevel="1">
      <c r="A62" s="691" t="s">
        <v>3273</v>
      </c>
      <c r="B62" s="336" t="s">
        <v>3227</v>
      </c>
      <c r="C62" s="657" t="s">
        <v>143</v>
      </c>
      <c r="D62" s="675">
        <v>4179.32</v>
      </c>
      <c r="E62" s="675">
        <v>4179.32</v>
      </c>
      <c r="F62" s="675">
        <v>4179.32</v>
      </c>
      <c r="G62" s="676">
        <v>4179.32</v>
      </c>
      <c r="H62" s="673">
        <v>4179.32</v>
      </c>
      <c r="I62" s="675">
        <v>4179.32</v>
      </c>
      <c r="J62" s="681">
        <v>0</v>
      </c>
      <c r="K62" s="681">
        <v>0</v>
      </c>
      <c r="L62" s="678"/>
      <c r="M62" s="678"/>
      <c r="N62" s="678"/>
      <c r="O62" s="678"/>
      <c r="P62" s="674">
        <f t="shared" si="5"/>
        <v>25075.919999999998</v>
      </c>
    </row>
    <row r="63" spans="1:16" hidden="1" outlineLevel="1">
      <c r="A63" s="690" t="s">
        <v>1643</v>
      </c>
      <c r="B63" s="336" t="s">
        <v>3227</v>
      </c>
      <c r="C63" s="657" t="s">
        <v>143</v>
      </c>
      <c r="D63" s="675">
        <v>2576.64</v>
      </c>
      <c r="E63" s="675">
        <v>2576.64</v>
      </c>
      <c r="F63" s="675">
        <v>2576.64</v>
      </c>
      <c r="G63" s="676">
        <v>2576.64</v>
      </c>
      <c r="H63" s="673">
        <v>2576.64</v>
      </c>
      <c r="I63" s="675">
        <v>2576.64</v>
      </c>
      <c r="J63" s="673">
        <v>2576.64</v>
      </c>
      <c r="K63" s="673">
        <v>2576.64</v>
      </c>
      <c r="L63" s="677"/>
      <c r="M63" s="677"/>
      <c r="N63" s="677"/>
      <c r="O63" s="677"/>
      <c r="P63" s="674">
        <f t="shared" si="5"/>
        <v>20613.12</v>
      </c>
    </row>
    <row r="64" spans="1:16" hidden="1" outlineLevel="1">
      <c r="A64" s="690" t="s">
        <v>3274</v>
      </c>
      <c r="B64" s="336" t="s">
        <v>3227</v>
      </c>
      <c r="C64" s="657" t="s">
        <v>143</v>
      </c>
      <c r="D64" s="675">
        <v>2705.71</v>
      </c>
      <c r="E64" s="675">
        <v>2705.71</v>
      </c>
      <c r="F64" s="675">
        <v>2705.71</v>
      </c>
      <c r="G64" s="676">
        <v>3379.54</v>
      </c>
      <c r="H64" s="673">
        <v>3379.54</v>
      </c>
      <c r="I64" s="675">
        <v>3379.54</v>
      </c>
      <c r="J64" s="673">
        <v>3379.54</v>
      </c>
      <c r="K64" s="673">
        <v>3379.54</v>
      </c>
      <c r="L64" s="678"/>
      <c r="M64" s="678"/>
      <c r="N64" s="678"/>
      <c r="O64" s="678"/>
      <c r="P64" s="674">
        <f t="shared" si="5"/>
        <v>25014.83</v>
      </c>
    </row>
    <row r="65" spans="1:16" hidden="1" outlineLevel="1">
      <c r="A65" s="692" t="s">
        <v>3275</v>
      </c>
      <c r="B65" s="336" t="s">
        <v>3227</v>
      </c>
      <c r="C65" s="657" t="s">
        <v>143</v>
      </c>
      <c r="D65" s="675">
        <v>2765.07</v>
      </c>
      <c r="E65" s="675">
        <v>2765.07</v>
      </c>
      <c r="F65" s="675">
        <v>2765.07</v>
      </c>
      <c r="G65" s="688"/>
      <c r="H65" s="688"/>
      <c r="I65" s="688"/>
      <c r="J65" s="688"/>
      <c r="K65" s="688"/>
      <c r="L65" s="677"/>
      <c r="M65" s="677"/>
      <c r="N65" s="677"/>
      <c r="O65" s="677"/>
      <c r="P65" s="674">
        <f t="shared" si="5"/>
        <v>8295.2100000000009</v>
      </c>
    </row>
    <row r="66" spans="1:16" hidden="1" outlineLevel="1">
      <c r="A66" s="690" t="s">
        <v>3276</v>
      </c>
      <c r="B66" s="336" t="s">
        <v>243</v>
      </c>
      <c r="C66" s="657" t="s">
        <v>143</v>
      </c>
      <c r="D66" s="675">
        <v>4476.6899999999996</v>
      </c>
      <c r="E66" s="675">
        <v>4476.6899999999996</v>
      </c>
      <c r="F66" s="675">
        <v>4476.6899999999996</v>
      </c>
      <c r="G66" s="676">
        <v>4476.6899999999996</v>
      </c>
      <c r="H66" s="673">
        <v>4964.79</v>
      </c>
      <c r="I66" s="675">
        <v>4964.79</v>
      </c>
      <c r="J66" s="673">
        <v>4964.79</v>
      </c>
      <c r="K66" s="673">
        <v>4964.79</v>
      </c>
      <c r="L66" s="677"/>
      <c r="M66" s="677"/>
      <c r="N66" s="677"/>
      <c r="O66" s="677"/>
      <c r="P66" s="674">
        <f t="shared" si="5"/>
        <v>37765.919999999998</v>
      </c>
    </row>
    <row r="67" spans="1:16" hidden="1" outlineLevel="1">
      <c r="A67" s="690" t="s">
        <v>3277</v>
      </c>
      <c r="B67" s="336" t="s">
        <v>3227</v>
      </c>
      <c r="C67" s="657" t="s">
        <v>143</v>
      </c>
      <c r="D67" s="675">
        <v>1747.61</v>
      </c>
      <c r="E67" s="675">
        <v>1747.61</v>
      </c>
      <c r="F67" s="675">
        <v>1747.61</v>
      </c>
      <c r="G67" s="676">
        <v>1747.61</v>
      </c>
      <c r="H67" s="673">
        <v>1747.61</v>
      </c>
      <c r="I67" s="675">
        <v>1747.61</v>
      </c>
      <c r="J67" s="673">
        <v>1747.61</v>
      </c>
      <c r="K67" s="673">
        <v>1747.61</v>
      </c>
      <c r="L67" s="677"/>
      <c r="M67" s="677"/>
      <c r="N67" s="677"/>
      <c r="O67" s="677"/>
      <c r="P67" s="674">
        <f t="shared" si="5"/>
        <v>13980.880000000001</v>
      </c>
    </row>
    <row r="68" spans="1:16" hidden="1" outlineLevel="1">
      <c r="A68" s="683" t="s">
        <v>3278</v>
      </c>
      <c r="B68" s="336" t="s">
        <v>3227</v>
      </c>
      <c r="C68" s="657" t="s">
        <v>143</v>
      </c>
      <c r="D68" s="678">
        <v>0</v>
      </c>
      <c r="E68" s="675">
        <v>3072.3</v>
      </c>
      <c r="F68" s="675">
        <v>3072.3</v>
      </c>
      <c r="G68" s="676">
        <v>3072.3</v>
      </c>
      <c r="H68" s="673">
        <v>3072.3</v>
      </c>
      <c r="I68" s="675">
        <v>3072.3</v>
      </c>
      <c r="J68" s="673">
        <v>3072.3</v>
      </c>
      <c r="K68" s="673">
        <v>3072.3</v>
      </c>
      <c r="L68" s="677"/>
      <c r="M68" s="677"/>
      <c r="N68" s="677"/>
      <c r="O68" s="677"/>
      <c r="P68" s="685">
        <f t="shared" si="5"/>
        <v>21506.1</v>
      </c>
    </row>
    <row r="69" spans="1:16" hidden="1" outlineLevel="1">
      <c r="A69" s="683" t="s">
        <v>3279</v>
      </c>
      <c r="B69" s="336" t="s">
        <v>3227</v>
      </c>
      <c r="C69" s="657" t="s">
        <v>143</v>
      </c>
      <c r="D69" s="678">
        <v>0</v>
      </c>
      <c r="E69" s="678">
        <v>0</v>
      </c>
      <c r="F69" s="678">
        <v>0</v>
      </c>
      <c r="G69" s="678">
        <v>0</v>
      </c>
      <c r="H69" s="678">
        <v>0</v>
      </c>
      <c r="I69" s="675">
        <v>5108.0600000000004</v>
      </c>
      <c r="J69" s="673">
        <v>5108.0600000000004</v>
      </c>
      <c r="K69" s="673">
        <v>5108.0600000000004</v>
      </c>
      <c r="L69" s="677"/>
      <c r="M69" s="677"/>
      <c r="N69" s="677"/>
      <c r="O69" s="677"/>
      <c r="P69" s="685"/>
    </row>
    <row r="70" spans="1:16" hidden="1" outlineLevel="1">
      <c r="A70" s="679" t="s">
        <v>3280</v>
      </c>
      <c r="B70" s="336" t="s">
        <v>3227</v>
      </c>
      <c r="C70" s="657" t="s">
        <v>159</v>
      </c>
      <c r="D70" s="675">
        <v>5358.19</v>
      </c>
      <c r="E70" s="675">
        <v>5358.19</v>
      </c>
      <c r="F70" s="693">
        <v>0</v>
      </c>
      <c r="G70" s="684">
        <v>0</v>
      </c>
      <c r="H70" s="684">
        <v>0</v>
      </c>
      <c r="I70" s="678">
        <v>0</v>
      </c>
      <c r="J70" s="681">
        <v>0</v>
      </c>
      <c r="K70" s="681">
        <v>0</v>
      </c>
      <c r="L70" s="677"/>
      <c r="M70" s="677"/>
      <c r="N70" s="677"/>
      <c r="O70" s="677"/>
      <c r="P70" s="674">
        <f t="shared" ref="P70:P85" si="6">SUM(D70:O70)</f>
        <v>10716.38</v>
      </c>
    </row>
    <row r="71" spans="1:16" hidden="1" outlineLevel="1">
      <c r="A71" s="670" t="s">
        <v>3281</v>
      </c>
      <c r="B71" s="336" t="s">
        <v>3227</v>
      </c>
      <c r="C71" s="657" t="s">
        <v>159</v>
      </c>
      <c r="D71" s="675">
        <v>2254.75</v>
      </c>
      <c r="E71" s="675">
        <v>2254.75</v>
      </c>
      <c r="F71" s="675">
        <v>2254.75</v>
      </c>
      <c r="G71" s="676">
        <v>2254.75</v>
      </c>
      <c r="H71" s="673">
        <v>2765.07</v>
      </c>
      <c r="I71" s="675">
        <v>2765.07</v>
      </c>
      <c r="J71" s="673">
        <v>2765.07</v>
      </c>
      <c r="K71" s="673">
        <v>2765.07</v>
      </c>
      <c r="L71" s="678"/>
      <c r="M71" s="678"/>
      <c r="N71" s="678"/>
      <c r="O71" s="678"/>
      <c r="P71" s="674">
        <f t="shared" si="6"/>
        <v>20079.28</v>
      </c>
    </row>
    <row r="72" spans="1:16" hidden="1" outlineLevel="1">
      <c r="A72" s="670" t="s">
        <v>3282</v>
      </c>
      <c r="B72" s="336" t="s">
        <v>3227</v>
      </c>
      <c r="C72" s="657" t="s">
        <v>159</v>
      </c>
      <c r="D72" s="675">
        <v>4762.83</v>
      </c>
      <c r="E72" s="675">
        <v>4762.83</v>
      </c>
      <c r="F72" s="675">
        <v>4762.83</v>
      </c>
      <c r="G72" s="676">
        <v>4762.83</v>
      </c>
      <c r="H72" s="673">
        <v>4762.83</v>
      </c>
      <c r="I72" s="675">
        <v>4762.83</v>
      </c>
      <c r="J72" s="673">
        <v>4762.83</v>
      </c>
      <c r="K72" s="673">
        <v>4762.83</v>
      </c>
      <c r="L72" s="677"/>
      <c r="M72" s="677"/>
      <c r="N72" s="677"/>
      <c r="O72" s="677"/>
      <c r="P72" s="674">
        <f t="shared" si="6"/>
        <v>38102.640000000007</v>
      </c>
    </row>
    <row r="73" spans="1:16" hidden="1" outlineLevel="1">
      <c r="A73" s="670" t="s">
        <v>3283</v>
      </c>
      <c r="B73" s="336" t="s">
        <v>3227</v>
      </c>
      <c r="C73" s="657" t="s">
        <v>159</v>
      </c>
      <c r="D73" s="675">
        <v>4069.72</v>
      </c>
      <c r="E73" s="675">
        <v>4883.67</v>
      </c>
      <c r="F73" s="675">
        <v>4883.67</v>
      </c>
      <c r="G73" s="676">
        <v>4883.67</v>
      </c>
      <c r="H73" s="673">
        <v>4883.67</v>
      </c>
      <c r="I73" s="675">
        <v>4883.67</v>
      </c>
      <c r="J73" s="673">
        <v>4883.67</v>
      </c>
      <c r="K73" s="673">
        <v>4883.67</v>
      </c>
      <c r="L73" s="675"/>
      <c r="M73" s="678"/>
      <c r="N73" s="678"/>
      <c r="O73" s="678"/>
      <c r="P73" s="674">
        <f t="shared" si="6"/>
        <v>38255.409999999996</v>
      </c>
    </row>
    <row r="74" spans="1:16" hidden="1" outlineLevel="1">
      <c r="A74" s="679" t="s">
        <v>3284</v>
      </c>
      <c r="B74" s="336" t="s">
        <v>3227</v>
      </c>
      <c r="C74" s="657" t="s">
        <v>159</v>
      </c>
      <c r="D74" s="675">
        <v>2457.85</v>
      </c>
      <c r="E74" s="675">
        <v>2457.85</v>
      </c>
      <c r="F74" s="675">
        <v>2457.85</v>
      </c>
      <c r="G74" s="694">
        <v>0</v>
      </c>
      <c r="H74" s="676">
        <v>0</v>
      </c>
      <c r="I74" s="678">
        <v>0</v>
      </c>
      <c r="J74" s="681">
        <v>0</v>
      </c>
      <c r="K74" s="681">
        <v>0</v>
      </c>
      <c r="L74" s="677"/>
      <c r="M74" s="677"/>
      <c r="N74" s="677"/>
      <c r="O74" s="677"/>
      <c r="P74" s="674">
        <f t="shared" si="6"/>
        <v>7373.5499999999993</v>
      </c>
    </row>
    <row r="75" spans="1:16" hidden="1" outlineLevel="1">
      <c r="A75" s="670" t="s">
        <v>3285</v>
      </c>
      <c r="B75" s="336" t="s">
        <v>3227</v>
      </c>
      <c r="C75" s="657" t="s">
        <v>159</v>
      </c>
      <c r="D75" s="675">
        <v>5585.38</v>
      </c>
      <c r="E75" s="675">
        <v>5585.38</v>
      </c>
      <c r="F75" s="675">
        <v>5585.38</v>
      </c>
      <c r="G75" s="676">
        <v>5585.38</v>
      </c>
      <c r="H75" s="673">
        <v>5585.38</v>
      </c>
      <c r="I75" s="675">
        <v>5585.38</v>
      </c>
      <c r="J75" s="673">
        <v>5585.38</v>
      </c>
      <c r="K75" s="673">
        <v>6826.5</v>
      </c>
      <c r="L75" s="677"/>
      <c r="M75" s="677"/>
      <c r="N75" s="677"/>
      <c r="O75" s="677"/>
      <c r="P75" s="674">
        <f t="shared" si="6"/>
        <v>45924.159999999996</v>
      </c>
    </row>
    <row r="76" spans="1:16" hidden="1" outlineLevel="1">
      <c r="A76" s="686" t="s">
        <v>3286</v>
      </c>
      <c r="B76" s="336" t="s">
        <v>3227</v>
      </c>
      <c r="C76" s="657" t="s">
        <v>159</v>
      </c>
      <c r="D76" s="675">
        <v>2712.15</v>
      </c>
      <c r="E76" s="675">
        <v>2712.15</v>
      </c>
      <c r="F76" s="675">
        <v>2712.15</v>
      </c>
      <c r="G76" s="676">
        <v>2712.15</v>
      </c>
      <c r="H76" s="673">
        <v>2712.15</v>
      </c>
      <c r="I76" s="675">
        <v>2712.15</v>
      </c>
      <c r="J76" s="673">
        <v>2712.15</v>
      </c>
      <c r="K76" s="673">
        <v>2712.15</v>
      </c>
      <c r="L76" s="677"/>
      <c r="M76" s="678"/>
      <c r="N76" s="678"/>
      <c r="O76" s="678"/>
      <c r="P76" s="674">
        <f t="shared" si="6"/>
        <v>21697.200000000001</v>
      </c>
    </row>
    <row r="77" spans="1:16" hidden="1" outlineLevel="1">
      <c r="A77" s="679" t="s">
        <v>3287</v>
      </c>
      <c r="B77" s="336" t="s">
        <v>243</v>
      </c>
      <c r="C77" s="657" t="s">
        <v>159</v>
      </c>
      <c r="D77" s="678">
        <v>0</v>
      </c>
      <c r="E77" s="678">
        <v>0</v>
      </c>
      <c r="F77" s="675">
        <v>819.29</v>
      </c>
      <c r="G77" s="676">
        <v>3072.3</v>
      </c>
      <c r="H77" s="673">
        <v>3072.3</v>
      </c>
      <c r="I77" s="675">
        <v>3072.3</v>
      </c>
      <c r="J77" s="673">
        <v>0</v>
      </c>
      <c r="K77" s="681">
        <v>0</v>
      </c>
      <c r="L77" s="677"/>
      <c r="M77" s="677"/>
      <c r="N77" s="677"/>
      <c r="O77" s="677"/>
      <c r="P77" s="685">
        <f t="shared" si="6"/>
        <v>10036.19</v>
      </c>
    </row>
    <row r="78" spans="1:16" hidden="1" outlineLevel="1">
      <c r="A78" s="670" t="s">
        <v>3288</v>
      </c>
      <c r="B78" s="336" t="s">
        <v>3227</v>
      </c>
      <c r="C78" s="657" t="s">
        <v>2109</v>
      </c>
      <c r="D78" s="675">
        <v>4069.72</v>
      </c>
      <c r="E78" s="675">
        <v>4069.72</v>
      </c>
      <c r="F78" s="675">
        <v>4069.72</v>
      </c>
      <c r="G78" s="676">
        <v>4069.72</v>
      </c>
      <c r="H78" s="673">
        <v>4476.6899999999996</v>
      </c>
      <c r="I78" s="675">
        <v>4476.6899999999996</v>
      </c>
      <c r="J78" s="673">
        <v>4476.6899999999996</v>
      </c>
      <c r="K78" s="673">
        <v>4476.6899999999996</v>
      </c>
      <c r="L78" s="677"/>
      <c r="M78" s="677"/>
      <c r="N78" s="677"/>
      <c r="O78" s="677"/>
      <c r="P78" s="674">
        <f t="shared" si="6"/>
        <v>34185.64</v>
      </c>
    </row>
    <row r="79" spans="1:16" hidden="1" outlineLevel="1">
      <c r="A79" s="670" t="s">
        <v>3289</v>
      </c>
      <c r="B79" s="336" t="s">
        <v>3227</v>
      </c>
      <c r="C79" s="657" t="s">
        <v>2109</v>
      </c>
      <c r="D79" s="675">
        <v>3255.78</v>
      </c>
      <c r="E79" s="675">
        <v>3662.75</v>
      </c>
      <c r="F79" s="675">
        <v>3662.75</v>
      </c>
      <c r="G79" s="676">
        <v>3662.75</v>
      </c>
      <c r="H79" s="673">
        <v>3662.75</v>
      </c>
      <c r="I79" s="675">
        <v>3662.75</v>
      </c>
      <c r="J79" s="673">
        <v>3662.75</v>
      </c>
      <c r="K79" s="673">
        <v>3662.75</v>
      </c>
      <c r="L79" s="678"/>
      <c r="M79" s="678"/>
      <c r="N79" s="678"/>
      <c r="O79" s="678"/>
      <c r="P79" s="674">
        <f t="shared" si="6"/>
        <v>28895.03</v>
      </c>
    </row>
    <row r="80" spans="1:16" hidden="1" outlineLevel="1">
      <c r="A80" s="690" t="s">
        <v>1682</v>
      </c>
      <c r="B80" s="336" t="s">
        <v>3227</v>
      </c>
      <c r="C80" s="657" t="s">
        <v>2109</v>
      </c>
      <c r="D80" s="675">
        <v>3379.53</v>
      </c>
      <c r="E80" s="675">
        <v>3662.75</v>
      </c>
      <c r="F80" s="675">
        <v>3662.75</v>
      </c>
      <c r="G80" s="676">
        <v>3662.75</v>
      </c>
      <c r="H80" s="673">
        <v>3662.75</v>
      </c>
      <c r="I80" s="675">
        <v>3662.75</v>
      </c>
      <c r="J80" s="673">
        <v>3662.75</v>
      </c>
      <c r="K80" s="673">
        <v>3662.75</v>
      </c>
      <c r="L80" s="678"/>
      <c r="M80" s="678"/>
      <c r="N80" s="678"/>
      <c r="O80" s="678"/>
      <c r="P80" s="674">
        <f t="shared" si="6"/>
        <v>29018.78</v>
      </c>
    </row>
    <row r="81" spans="1:16" hidden="1" outlineLevel="1">
      <c r="A81" s="690" t="s">
        <v>3290</v>
      </c>
      <c r="B81" s="336" t="s">
        <v>3227</v>
      </c>
      <c r="C81" s="657" t="s">
        <v>964</v>
      </c>
      <c r="D81" s="675">
        <v>4158</v>
      </c>
      <c r="E81" s="675">
        <v>4158</v>
      </c>
      <c r="F81" s="675">
        <v>4158</v>
      </c>
      <c r="G81" s="676">
        <v>4158</v>
      </c>
      <c r="H81" s="673">
        <v>4158</v>
      </c>
      <c r="I81" s="675">
        <v>4158</v>
      </c>
      <c r="J81" s="673">
        <v>4158</v>
      </c>
      <c r="K81" s="673">
        <v>4573.82</v>
      </c>
      <c r="L81" s="678"/>
      <c r="M81" s="678"/>
      <c r="N81" s="678"/>
      <c r="O81" s="678"/>
      <c r="P81" s="674">
        <f t="shared" si="6"/>
        <v>33679.82</v>
      </c>
    </row>
    <row r="82" spans="1:16" hidden="1" outlineLevel="1">
      <c r="A82" s="690" t="s">
        <v>3291</v>
      </c>
      <c r="B82" s="336" t="s">
        <v>3227</v>
      </c>
      <c r="C82" s="657" t="s">
        <v>964</v>
      </c>
      <c r="D82" s="675">
        <v>4989.62</v>
      </c>
      <c r="E82" s="675">
        <v>4989.62</v>
      </c>
      <c r="F82" s="675">
        <v>4989.62</v>
      </c>
      <c r="G82" s="676">
        <v>5163.38</v>
      </c>
      <c r="H82" s="673">
        <v>5163.38</v>
      </c>
      <c r="I82" s="675">
        <v>5163.38</v>
      </c>
      <c r="J82" s="673">
        <v>5163.38</v>
      </c>
      <c r="K82" s="673">
        <v>5163.38</v>
      </c>
      <c r="L82" s="677"/>
      <c r="M82" s="677"/>
      <c r="N82" s="677"/>
      <c r="O82" s="677"/>
      <c r="P82" s="674">
        <f t="shared" si="6"/>
        <v>40785.760000000002</v>
      </c>
    </row>
    <row r="83" spans="1:16" hidden="1" outlineLevel="1">
      <c r="A83" s="690" t="s">
        <v>3292</v>
      </c>
      <c r="B83" s="336" t="s">
        <v>3227</v>
      </c>
      <c r="C83" s="657" t="s">
        <v>964</v>
      </c>
      <c r="D83" s="675">
        <v>4480.07</v>
      </c>
      <c r="E83" s="675">
        <v>4480.07</v>
      </c>
      <c r="F83" s="675">
        <v>4480.07</v>
      </c>
      <c r="G83" s="676">
        <v>4480.07</v>
      </c>
      <c r="H83" s="673">
        <v>4480.07</v>
      </c>
      <c r="I83" s="675">
        <v>4480.07</v>
      </c>
      <c r="J83" s="673">
        <v>4480.07</v>
      </c>
      <c r="K83" s="673">
        <v>4480.07</v>
      </c>
      <c r="L83" s="678"/>
      <c r="M83" s="678"/>
      <c r="N83" s="678"/>
      <c r="O83" s="678"/>
      <c r="P83" s="674">
        <f t="shared" si="6"/>
        <v>35840.559999999998</v>
      </c>
    </row>
    <row r="84" spans="1:16" hidden="1" outlineLevel="1">
      <c r="A84" s="690" t="s">
        <v>3293</v>
      </c>
      <c r="B84" s="336" t="s">
        <v>3227</v>
      </c>
      <c r="C84" s="657" t="s">
        <v>964</v>
      </c>
      <c r="D84" s="675">
        <v>4989.62</v>
      </c>
      <c r="E84" s="675">
        <v>4989.62</v>
      </c>
      <c r="F84" s="675">
        <v>4989.62</v>
      </c>
      <c r="G84" s="676">
        <v>4989.62</v>
      </c>
      <c r="H84" s="673">
        <v>4989.62</v>
      </c>
      <c r="I84" s="675">
        <v>4989.62</v>
      </c>
      <c r="J84" s="673">
        <v>4989.62</v>
      </c>
      <c r="K84" s="673">
        <v>4989.62</v>
      </c>
      <c r="L84" s="677"/>
      <c r="M84" s="677"/>
      <c r="N84" s="677"/>
      <c r="O84" s="677"/>
      <c r="P84" s="674">
        <f t="shared" si="6"/>
        <v>39916.959999999999</v>
      </c>
    </row>
    <row r="85" spans="1:16" hidden="1" outlineLevel="1">
      <c r="A85" s="690" t="s">
        <v>3294</v>
      </c>
      <c r="B85" s="336" t="s">
        <v>3227</v>
      </c>
      <c r="C85" s="657" t="s">
        <v>964</v>
      </c>
      <c r="D85" s="675">
        <v>5461.26</v>
      </c>
      <c r="E85" s="675">
        <v>5461.26</v>
      </c>
      <c r="F85" s="675">
        <v>5461.26</v>
      </c>
      <c r="G85" s="676">
        <v>5461.26</v>
      </c>
      <c r="H85" s="673">
        <v>5461.26</v>
      </c>
      <c r="I85" s="675">
        <v>5461.26</v>
      </c>
      <c r="J85" s="673">
        <v>5461.26</v>
      </c>
      <c r="K85" s="673">
        <v>5461.26</v>
      </c>
      <c r="L85" s="677"/>
      <c r="M85" s="677"/>
      <c r="N85" s="677"/>
      <c r="O85" s="677"/>
      <c r="P85" s="674">
        <f t="shared" si="6"/>
        <v>43690.080000000009</v>
      </c>
    </row>
    <row r="86" spans="1:16">
      <c r="C86" s="695"/>
      <c r="D86" s="696"/>
      <c r="M86" s="675"/>
      <c r="P86" s="685"/>
    </row>
    <row r="87" spans="1:16">
      <c r="C87" s="695"/>
      <c r="D87" s="675"/>
      <c r="E87" s="483"/>
      <c r="F87" s="483"/>
      <c r="G87" s="483"/>
      <c r="H87" s="483"/>
      <c r="I87" s="483"/>
      <c r="J87" s="483"/>
      <c r="K87" s="483"/>
      <c r="L87" s="483"/>
      <c r="M87" s="483"/>
      <c r="N87" s="483"/>
      <c r="O87" s="483"/>
      <c r="P87" s="685"/>
    </row>
    <row r="88" spans="1:16" ht="19.5">
      <c r="A88" s="659" t="s">
        <v>64</v>
      </c>
      <c r="C88" s="660" t="str">
        <f>$C$1</f>
        <v>TI</v>
      </c>
      <c r="D88" s="658">
        <f t="shared" ref="D88:P88" si="7">SUMIF($C91:$C171,$C88,D91:D171)</f>
        <v>904.9529225</v>
      </c>
      <c r="E88" s="658">
        <f t="shared" si="7"/>
        <v>904.9529225</v>
      </c>
      <c r="F88" s="658">
        <f t="shared" si="7"/>
        <v>904.9529225</v>
      </c>
      <c r="G88" s="658">
        <f t="shared" si="7"/>
        <v>906.58554250000009</v>
      </c>
      <c r="H88" s="658">
        <f t="shared" si="7"/>
        <v>907.56511450000005</v>
      </c>
      <c r="I88" s="658">
        <f t="shared" si="7"/>
        <v>908.21816250000018</v>
      </c>
      <c r="J88" s="658">
        <f t="shared" si="7"/>
        <v>908.68462535714309</v>
      </c>
      <c r="K88" s="658">
        <f t="shared" si="7"/>
        <v>910.98796020833345</v>
      </c>
      <c r="L88" s="658">
        <f t="shared" si="7"/>
        <v>910.98796020833345</v>
      </c>
      <c r="M88" s="658">
        <f t="shared" si="7"/>
        <v>910.98796020833345</v>
      </c>
      <c r="N88" s="658">
        <f t="shared" si="7"/>
        <v>910.98796020833345</v>
      </c>
      <c r="O88" s="658">
        <f t="shared" si="7"/>
        <v>910.98796020833345</v>
      </c>
      <c r="P88" s="658">
        <f t="shared" si="7"/>
        <v>10900.852013398811</v>
      </c>
    </row>
    <row r="89" spans="1:16" ht="30">
      <c r="A89" s="662" t="s">
        <v>3222</v>
      </c>
      <c r="B89" s="663" t="s">
        <v>3223</v>
      </c>
      <c r="C89" s="664" t="s">
        <v>135</v>
      </c>
      <c r="D89" s="665" t="s">
        <v>0</v>
      </c>
      <c r="E89" s="662" t="s">
        <v>1</v>
      </c>
      <c r="F89" s="662" t="s">
        <v>2</v>
      </c>
      <c r="G89" s="662" t="s">
        <v>3</v>
      </c>
      <c r="H89" s="662" t="s">
        <v>4</v>
      </c>
      <c r="I89" s="662" t="s">
        <v>5</v>
      </c>
      <c r="J89" s="662" t="s">
        <v>6</v>
      </c>
      <c r="K89" s="662" t="s">
        <v>7</v>
      </c>
      <c r="L89" s="662" t="s">
        <v>8</v>
      </c>
      <c r="M89" s="662" t="s">
        <v>9</v>
      </c>
      <c r="N89" s="662" t="s">
        <v>10</v>
      </c>
      <c r="O89" s="662" t="s">
        <v>11</v>
      </c>
      <c r="P89" s="666" t="s">
        <v>3199</v>
      </c>
    </row>
    <row r="90" spans="1:16" collapsed="1">
      <c r="A90" s="667" t="s">
        <v>3199</v>
      </c>
      <c r="B90" s="667"/>
      <c r="C90" s="668"/>
      <c r="D90" s="669">
        <f t="shared" ref="D90:P90" si="8">SUBTOTAL(9,D91:D171)</f>
        <v>7808.5885316666654</v>
      </c>
      <c r="E90" s="669">
        <f t="shared" si="8"/>
        <v>8109.3938808333305</v>
      </c>
      <c r="F90" s="669">
        <f t="shared" si="8"/>
        <v>8022.6528058333306</v>
      </c>
      <c r="G90" s="669">
        <f t="shared" si="8"/>
        <v>7659.9706156249986</v>
      </c>
      <c r="H90" s="669">
        <f t="shared" si="8"/>
        <v>7627.1600328333307</v>
      </c>
      <c r="I90" s="669">
        <f t="shared" si="8"/>
        <v>7863.8276609722216</v>
      </c>
      <c r="J90" s="669">
        <f t="shared" si="8"/>
        <v>7856.1560849999978</v>
      </c>
      <c r="K90" s="669">
        <f t="shared" si="8"/>
        <v>7883.5261209374967</v>
      </c>
      <c r="L90" s="669">
        <f t="shared" si="8"/>
        <v>7611.3566409374971</v>
      </c>
      <c r="M90" s="669">
        <f t="shared" si="8"/>
        <v>7611.3566409374971</v>
      </c>
      <c r="N90" s="669">
        <f t="shared" si="8"/>
        <v>7611.3566409374971</v>
      </c>
      <c r="O90" s="669">
        <f t="shared" si="8"/>
        <v>7611.3566409374971</v>
      </c>
      <c r="P90" s="669">
        <f t="shared" si="8"/>
        <v>93276.702297451353</v>
      </c>
    </row>
    <row r="91" spans="1:16" hidden="1" outlineLevel="1">
      <c r="A91" s="670" t="s">
        <v>3224</v>
      </c>
      <c r="B91" s="336" t="s">
        <v>243</v>
      </c>
      <c r="C91" s="657" t="s">
        <v>192</v>
      </c>
      <c r="D91" s="483">
        <f t="shared" ref="D91:O91" si="9">IFERROR(IF($B91="FRANQUEADORA",(AVERAGE($D5:D5)/3+(0.2+0.058+0.01+0.005)*(AVERAGE($D5:D5)/3)+0.08*(AVERAGE($D5:D5)/3))/12,(AVERAGE($D5:D5)/3+0.08*(AVERAGE($D5:D5)/3))/12),"")</f>
        <v>90.110700000000008</v>
      </c>
      <c r="E91" s="483">
        <f t="shared" si="9"/>
        <v>90.110700000000008</v>
      </c>
      <c r="F91" s="483">
        <f t="shared" si="9"/>
        <v>90.110700000000008</v>
      </c>
      <c r="G91" s="483">
        <f t="shared" si="9"/>
        <v>90.110700000000008</v>
      </c>
      <c r="H91" s="483">
        <f t="shared" si="9"/>
        <v>90.110700000000008</v>
      </c>
      <c r="I91" s="483">
        <f t="shared" si="9"/>
        <v>90.110700000000008</v>
      </c>
      <c r="J91" s="483">
        <f t="shared" si="9"/>
        <v>90.110699999999994</v>
      </c>
      <c r="K91" s="483">
        <f t="shared" si="9"/>
        <v>90.110699999999994</v>
      </c>
      <c r="L91" s="483">
        <f t="shared" si="9"/>
        <v>90.110699999999994</v>
      </c>
      <c r="M91" s="483">
        <f t="shared" si="9"/>
        <v>90.110699999999994</v>
      </c>
      <c r="N91" s="483">
        <f t="shared" si="9"/>
        <v>90.110699999999994</v>
      </c>
      <c r="O91" s="483">
        <f t="shared" si="9"/>
        <v>90.110699999999994</v>
      </c>
      <c r="P91" s="674">
        <f t="shared" ref="P91:P171" si="10">SUM(D91:O91)</f>
        <v>1081.3283999999999</v>
      </c>
    </row>
    <row r="92" spans="1:16" hidden="1" outlineLevel="1">
      <c r="A92" s="670" t="s">
        <v>3225</v>
      </c>
      <c r="B92" s="336" t="s">
        <v>243</v>
      </c>
      <c r="C92" s="657" t="s">
        <v>192</v>
      </c>
      <c r="D92" s="483">
        <f t="shared" ref="D92:O92" si="11">IFERROR(IF($B92="FRANQUEADORA",(AVERAGE($D6:D6)/3+(0.2+0.058+0.01+0.005)*(AVERAGE($D6:D6)/3)+0.08*(AVERAGE($D6:D6)/3))/12,(AVERAGE($D6:D6)/3+0.08*(AVERAGE($D6:D6)/3))/12),"")</f>
        <v>60.878399999999999</v>
      </c>
      <c r="E92" s="483">
        <f t="shared" si="11"/>
        <v>60.878399999999999</v>
      </c>
      <c r="F92" s="483">
        <f t="shared" si="11"/>
        <v>60.878399999999999</v>
      </c>
      <c r="G92" s="483">
        <f t="shared" si="11"/>
        <v>60.878399999999999</v>
      </c>
      <c r="H92" s="483">
        <f t="shared" si="11"/>
        <v>60.878399999999999</v>
      </c>
      <c r="I92" s="483">
        <f t="shared" si="11"/>
        <v>60.878399999999999</v>
      </c>
      <c r="J92" s="483">
        <f t="shared" si="11"/>
        <v>60.878400000000006</v>
      </c>
      <c r="K92" s="483">
        <f t="shared" si="11"/>
        <v>60.878400000000006</v>
      </c>
      <c r="L92" s="483">
        <f t="shared" si="11"/>
        <v>60.878400000000006</v>
      </c>
      <c r="M92" s="483">
        <f t="shared" si="11"/>
        <v>60.878400000000006</v>
      </c>
      <c r="N92" s="483">
        <f t="shared" si="11"/>
        <v>60.878400000000006</v>
      </c>
      <c r="O92" s="483">
        <f t="shared" si="11"/>
        <v>60.878400000000006</v>
      </c>
      <c r="P92" s="674">
        <f t="shared" si="10"/>
        <v>730.54080000000022</v>
      </c>
    </row>
    <row r="93" spans="1:16" hidden="1" outlineLevel="1">
      <c r="A93" s="670" t="s">
        <v>3226</v>
      </c>
      <c r="B93" s="336" t="s">
        <v>3227</v>
      </c>
      <c r="C93" s="657" t="s">
        <v>192</v>
      </c>
      <c r="D93" s="483">
        <f t="shared" ref="D93:O93" si="12">IFERROR(IF($B93="FRANQUEADORA",(AVERAGE($D7:D7)/3+(0.2+0.058+0.01+0.005)*(AVERAGE($D7:D7)/3)+0.08*(AVERAGE($D7:D7)/3))/12,(AVERAGE($D7:D7)/3+0.08*(AVERAGE($D7:D7)/3))/12),"")</f>
        <v>93.215310833333334</v>
      </c>
      <c r="E93" s="483">
        <f t="shared" si="12"/>
        <v>93.215310833333334</v>
      </c>
      <c r="F93" s="483">
        <f t="shared" si="12"/>
        <v>93.215310833333334</v>
      </c>
      <c r="G93" s="483">
        <f t="shared" si="12"/>
        <v>93.215310833333334</v>
      </c>
      <c r="H93" s="483">
        <f t="shared" si="12"/>
        <v>93.215310833333334</v>
      </c>
      <c r="I93" s="483">
        <f t="shared" si="12"/>
        <v>93.215310833333334</v>
      </c>
      <c r="J93" s="483">
        <f t="shared" si="12"/>
        <v>93.215310833333334</v>
      </c>
      <c r="K93" s="483">
        <f t="shared" si="12"/>
        <v>93.215310833333334</v>
      </c>
      <c r="L93" s="483">
        <f t="shared" si="12"/>
        <v>93.215310833333334</v>
      </c>
      <c r="M93" s="483">
        <f t="shared" si="12"/>
        <v>93.215310833333334</v>
      </c>
      <c r="N93" s="483">
        <f t="shared" si="12"/>
        <v>93.215310833333334</v>
      </c>
      <c r="O93" s="483">
        <f t="shared" si="12"/>
        <v>93.215310833333334</v>
      </c>
      <c r="P93" s="674">
        <f t="shared" si="10"/>
        <v>1118.5837300000001</v>
      </c>
    </row>
    <row r="94" spans="1:16" hidden="1" outlineLevel="1">
      <c r="A94" s="670" t="s">
        <v>3228</v>
      </c>
      <c r="B94" s="336" t="s">
        <v>243</v>
      </c>
      <c r="C94" s="657" t="s">
        <v>192</v>
      </c>
      <c r="D94" s="483">
        <f t="shared" ref="D94:O94" si="13">IFERROR(IF($B94="FRANQUEADORA",(AVERAGE($D8:D8)/3+(0.2+0.058+0.01+0.005)*(AVERAGE($D8:D8)/3)+0.08*(AVERAGE($D8:D8)/3))/12,(AVERAGE($D8:D8)/3+0.08*(AVERAGE($D8:D8)/3))/12),"")</f>
        <v>74.406899999999993</v>
      </c>
      <c r="E94" s="483">
        <f t="shared" si="13"/>
        <v>74.406899999999993</v>
      </c>
      <c r="F94" s="483">
        <f t="shared" si="13"/>
        <v>74.406899999999993</v>
      </c>
      <c r="G94" s="483">
        <f t="shared" si="13"/>
        <v>74.406899999999993</v>
      </c>
      <c r="H94" s="483">
        <f t="shared" si="13"/>
        <v>74.406899999999993</v>
      </c>
      <c r="I94" s="483">
        <f t="shared" si="13"/>
        <v>74.406899999999993</v>
      </c>
      <c r="J94" s="483">
        <f t="shared" si="13"/>
        <v>74.406899999999993</v>
      </c>
      <c r="K94" s="483">
        <f t="shared" si="13"/>
        <v>74.406899999999993</v>
      </c>
      <c r="L94" s="483">
        <f t="shared" si="13"/>
        <v>74.406899999999993</v>
      </c>
      <c r="M94" s="483">
        <f t="shared" si="13"/>
        <v>74.406899999999993</v>
      </c>
      <c r="N94" s="483">
        <f t="shared" si="13"/>
        <v>74.406899999999993</v>
      </c>
      <c r="O94" s="483">
        <f t="shared" si="13"/>
        <v>74.406899999999993</v>
      </c>
      <c r="P94" s="674">
        <f t="shared" si="10"/>
        <v>892.88279999999975</v>
      </c>
    </row>
    <row r="95" spans="1:16" hidden="1" outlineLevel="1">
      <c r="A95" s="679" t="s">
        <v>3229</v>
      </c>
      <c r="B95" s="336" t="s">
        <v>243</v>
      </c>
      <c r="C95" s="657" t="s">
        <v>192</v>
      </c>
      <c r="D95" s="483">
        <f t="shared" ref="D95:G95" si="14">IFERROR(IF($B95="FRANQUEADORA",(AVERAGE($D9:D9)/3+(0.2+0.058+0.01+0.005)*(AVERAGE($D9:D9)/3)+0.08*(AVERAGE($D9:D9)/3))/12,(AVERAGE($D9:D9)/3+0.08*(AVERAGE($D9:D9)/3))/12),"")</f>
        <v>81.171299999999988</v>
      </c>
      <c r="E95" s="483">
        <f t="shared" si="14"/>
        <v>81.171299999999988</v>
      </c>
      <c r="F95" s="483">
        <f t="shared" si="14"/>
        <v>81.171299999999988</v>
      </c>
      <c r="G95" s="483">
        <f t="shared" si="14"/>
        <v>81.171299999999988</v>
      </c>
      <c r="H95" s="483"/>
      <c r="I95" s="483"/>
      <c r="J95" s="483"/>
      <c r="K95" s="483"/>
      <c r="L95" s="483"/>
      <c r="M95" s="483"/>
      <c r="N95" s="483"/>
      <c r="O95" s="483"/>
      <c r="P95" s="674">
        <f t="shared" si="10"/>
        <v>324.68519999999995</v>
      </c>
    </row>
    <row r="96" spans="1:16" hidden="1" outlineLevel="1">
      <c r="A96" s="670" t="s">
        <v>3230</v>
      </c>
      <c r="B96" s="336" t="s">
        <v>243</v>
      </c>
      <c r="C96" s="657" t="s">
        <v>192</v>
      </c>
      <c r="D96" s="483">
        <f t="shared" ref="D96:O96" si="15">IFERROR(IF($B96="FRANQUEADORA",(AVERAGE($D10:D10)/3+(0.2+0.058+0.01+0.005)*(AVERAGE($D10:D10)/3)+0.08*(AVERAGE($D10:D10)/3))/12,(AVERAGE($D10:D10)/3+0.08*(AVERAGE($D10:D10)/3))/12),"")</f>
        <v>101.38589999999999</v>
      </c>
      <c r="E96" s="483">
        <f t="shared" si="15"/>
        <v>101.38589999999999</v>
      </c>
      <c r="F96" s="483">
        <f t="shared" si="15"/>
        <v>101.38589999999999</v>
      </c>
      <c r="G96" s="483">
        <f t="shared" si="15"/>
        <v>101.38589999999999</v>
      </c>
      <c r="H96" s="483">
        <f t="shared" si="15"/>
        <v>101.38589999999999</v>
      </c>
      <c r="I96" s="483">
        <f t="shared" si="15"/>
        <v>101.38589999999999</v>
      </c>
      <c r="J96" s="483">
        <f t="shared" si="15"/>
        <v>101.38589999999999</v>
      </c>
      <c r="K96" s="483">
        <f t="shared" si="15"/>
        <v>101.38589999999999</v>
      </c>
      <c r="L96" s="483">
        <f t="shared" si="15"/>
        <v>101.38589999999999</v>
      </c>
      <c r="M96" s="483">
        <f t="shared" si="15"/>
        <v>101.38589999999999</v>
      </c>
      <c r="N96" s="483">
        <f t="shared" si="15"/>
        <v>101.38589999999999</v>
      </c>
      <c r="O96" s="483">
        <f t="shared" si="15"/>
        <v>101.38589999999999</v>
      </c>
      <c r="P96" s="674">
        <f t="shared" si="10"/>
        <v>1216.6307999999999</v>
      </c>
    </row>
    <row r="97" spans="1:16" hidden="1" outlineLevel="1">
      <c r="A97" s="670" t="s">
        <v>3231</v>
      </c>
      <c r="B97" s="336" t="s">
        <v>243</v>
      </c>
      <c r="C97" s="657" t="s">
        <v>192</v>
      </c>
      <c r="D97" s="483">
        <f t="shared" ref="D97:O97" si="16">IFERROR(IF($B97="FRANQUEADORA",(AVERAGE($D11:D11)/3+(0.2+0.058+0.01+0.005)*(AVERAGE($D11:D11)/3)+0.08*(AVERAGE($D11:D11)/3))/12,(AVERAGE($D11:D11)/3+0.08*(AVERAGE($D11:D11)/3))/12),"")</f>
        <v>109.88250000000001</v>
      </c>
      <c r="E97" s="483">
        <f t="shared" si="16"/>
        <v>109.88250000000001</v>
      </c>
      <c r="F97" s="483">
        <f t="shared" si="16"/>
        <v>109.88250000000001</v>
      </c>
      <c r="G97" s="483">
        <f t="shared" si="16"/>
        <v>109.88250000000001</v>
      </c>
      <c r="H97" s="483">
        <f t="shared" si="16"/>
        <v>109.88250000000001</v>
      </c>
      <c r="I97" s="483">
        <f t="shared" si="16"/>
        <v>109.88250000000001</v>
      </c>
      <c r="J97" s="483">
        <f t="shared" si="16"/>
        <v>109.88250000000001</v>
      </c>
      <c r="K97" s="483">
        <f t="shared" si="16"/>
        <v>109.88250000000001</v>
      </c>
      <c r="L97" s="483">
        <f t="shared" si="16"/>
        <v>109.88250000000001</v>
      </c>
      <c r="M97" s="483">
        <f t="shared" si="16"/>
        <v>109.88250000000001</v>
      </c>
      <c r="N97" s="483">
        <f t="shared" si="16"/>
        <v>109.88250000000001</v>
      </c>
      <c r="O97" s="483">
        <f t="shared" si="16"/>
        <v>109.88250000000001</v>
      </c>
      <c r="P97" s="674">
        <f t="shared" si="10"/>
        <v>1318.5900000000001</v>
      </c>
    </row>
    <row r="98" spans="1:16" hidden="1" outlineLevel="1">
      <c r="A98" s="670" t="s">
        <v>3232</v>
      </c>
      <c r="B98" s="336" t="s">
        <v>243</v>
      </c>
      <c r="C98" s="657" t="s">
        <v>192</v>
      </c>
      <c r="D98" s="483">
        <f t="shared" ref="D98:O98" si="17">IFERROR(IF($B98="FRANQUEADORA",(AVERAGE($D12:D12)/3+(0.2+0.058+0.01+0.005)*(AVERAGE($D12:D12)/3)+0.08*(AVERAGE($D12:D12)/3))/12,(AVERAGE($D12:D12)/3+0.08*(AVERAGE($D12:D12)/3))/12),"")</f>
        <v>74.406899999999993</v>
      </c>
      <c r="E98" s="483">
        <f t="shared" si="17"/>
        <v>74.406899999999993</v>
      </c>
      <c r="F98" s="483">
        <f t="shared" si="17"/>
        <v>74.406899999999993</v>
      </c>
      <c r="G98" s="483">
        <f t="shared" si="17"/>
        <v>74.406899999999993</v>
      </c>
      <c r="H98" s="483">
        <f t="shared" si="17"/>
        <v>74.406899999999993</v>
      </c>
      <c r="I98" s="483">
        <f t="shared" si="17"/>
        <v>74.406899999999993</v>
      </c>
      <c r="J98" s="483">
        <f t="shared" si="17"/>
        <v>74.406899999999993</v>
      </c>
      <c r="K98" s="483">
        <f t="shared" si="17"/>
        <v>74.406899999999993</v>
      </c>
      <c r="L98" s="483">
        <f t="shared" si="17"/>
        <v>74.406899999999993</v>
      </c>
      <c r="M98" s="483">
        <f t="shared" si="17"/>
        <v>74.406899999999993</v>
      </c>
      <c r="N98" s="483">
        <f t="shared" si="17"/>
        <v>74.406899999999993</v>
      </c>
      <c r="O98" s="483">
        <f t="shared" si="17"/>
        <v>74.406899999999993</v>
      </c>
      <c r="P98" s="674">
        <f t="shared" si="10"/>
        <v>892.88279999999975</v>
      </c>
    </row>
    <row r="99" spans="1:16" hidden="1" outlineLevel="1">
      <c r="A99" s="670" t="s">
        <v>190</v>
      </c>
      <c r="B99" s="336" t="s">
        <v>243</v>
      </c>
      <c r="C99" s="657" t="s">
        <v>192</v>
      </c>
      <c r="D99" s="483">
        <f t="shared" ref="D99:O99" si="18">IFERROR(IF($B99="FRANQUEADORA",(AVERAGE($D13:D13)/3+(0.2+0.058+0.01+0.005)*(AVERAGE($D13:D13)/3)+0.08*(AVERAGE($D13:D13)/3))/12,(AVERAGE($D13:D13)/3+0.08*(AVERAGE($D13:D13)/3))/12),"")</f>
        <v>138.4059</v>
      </c>
      <c r="E99" s="483">
        <f t="shared" si="18"/>
        <v>138.4059</v>
      </c>
      <c r="F99" s="483">
        <f t="shared" si="18"/>
        <v>138.4059</v>
      </c>
      <c r="G99" s="483">
        <f t="shared" si="18"/>
        <v>138.4059</v>
      </c>
      <c r="H99" s="483">
        <f t="shared" si="18"/>
        <v>138.4059</v>
      </c>
      <c r="I99" s="483">
        <f t="shared" si="18"/>
        <v>138.4059</v>
      </c>
      <c r="J99" s="483">
        <f t="shared" si="18"/>
        <v>138.4059</v>
      </c>
      <c r="K99" s="483">
        <f t="shared" si="18"/>
        <v>138.4059</v>
      </c>
      <c r="L99" s="483">
        <f t="shared" si="18"/>
        <v>138.4059</v>
      </c>
      <c r="M99" s="483">
        <f t="shared" si="18"/>
        <v>138.4059</v>
      </c>
      <c r="N99" s="483">
        <f t="shared" si="18"/>
        <v>138.4059</v>
      </c>
      <c r="O99" s="483">
        <f t="shared" si="18"/>
        <v>138.4059</v>
      </c>
      <c r="P99" s="674">
        <f t="shared" si="10"/>
        <v>1660.8707999999999</v>
      </c>
    </row>
    <row r="100" spans="1:16" hidden="1" outlineLevel="1">
      <c r="A100" s="670" t="s">
        <v>3233</v>
      </c>
      <c r="B100" s="336" t="s">
        <v>243</v>
      </c>
      <c r="C100" s="657" t="s">
        <v>192</v>
      </c>
      <c r="D100" s="483">
        <f t="shared" ref="D100:O100" si="19">IFERROR(IF($B100="FRANQUEADORA",(AVERAGE($D14:D14)/3+(0.2+0.058+0.01+0.005)*(AVERAGE($D14:D14)/3)+0.08*(AVERAGE($D14:D14)/3))/12,(AVERAGE($D14:D14)/3+0.08*(AVERAGE($D14:D14)/3))/12),"")</f>
        <v>60.878399999999999</v>
      </c>
      <c r="E100" s="483">
        <f t="shared" si="19"/>
        <v>60.878399999999999</v>
      </c>
      <c r="F100" s="483">
        <f t="shared" si="19"/>
        <v>60.878399999999999</v>
      </c>
      <c r="G100" s="483">
        <f t="shared" si="19"/>
        <v>60.878399999999999</v>
      </c>
      <c r="H100" s="483">
        <f t="shared" si="19"/>
        <v>62.231280000000005</v>
      </c>
      <c r="I100" s="483">
        <f t="shared" si="19"/>
        <v>63.133199999999995</v>
      </c>
      <c r="J100" s="483">
        <f t="shared" si="19"/>
        <v>63.77742857142858</v>
      </c>
      <c r="K100" s="483">
        <f t="shared" si="19"/>
        <v>64.260600000000011</v>
      </c>
      <c r="L100" s="483">
        <f t="shared" si="19"/>
        <v>64.260600000000011</v>
      </c>
      <c r="M100" s="483">
        <f t="shared" si="19"/>
        <v>64.260600000000011</v>
      </c>
      <c r="N100" s="483">
        <f t="shared" si="19"/>
        <v>64.260600000000011</v>
      </c>
      <c r="O100" s="483">
        <f t="shared" si="19"/>
        <v>64.260600000000011</v>
      </c>
      <c r="P100" s="674">
        <f t="shared" si="10"/>
        <v>753.95850857142887</v>
      </c>
    </row>
    <row r="101" spans="1:16" hidden="1" outlineLevel="1">
      <c r="A101" s="670" t="s">
        <v>224</v>
      </c>
      <c r="B101" s="336" t="s">
        <v>243</v>
      </c>
      <c r="C101" s="657" t="s">
        <v>192</v>
      </c>
      <c r="D101" s="483">
        <f t="shared" ref="D101:O101" si="20">IFERROR(IF($B101="FRANQUEADORA",(AVERAGE($D15:D15)/3+(0.2+0.058+0.01+0.005)*(AVERAGE($D15:D15)/3)+0.08*(AVERAGE($D15:D15)/3))/12,(AVERAGE($D15:D15)/3+0.08*(AVERAGE($D15:D15)/3))/12),"")</f>
        <v>74.406899999999993</v>
      </c>
      <c r="E101" s="483">
        <f t="shared" si="20"/>
        <v>74.406899999999993</v>
      </c>
      <c r="F101" s="483">
        <f t="shared" si="20"/>
        <v>74.406899999999993</v>
      </c>
      <c r="G101" s="483">
        <f t="shared" si="20"/>
        <v>74.406899999999993</v>
      </c>
      <c r="H101" s="483">
        <f t="shared" si="20"/>
        <v>74.406899999999993</v>
      </c>
      <c r="I101" s="483">
        <f t="shared" si="20"/>
        <v>74.406899999999993</v>
      </c>
      <c r="J101" s="483">
        <f t="shared" si="20"/>
        <v>74.406899999999993</v>
      </c>
      <c r="K101" s="483">
        <f t="shared" si="20"/>
        <v>74.406899999999993</v>
      </c>
      <c r="L101" s="483">
        <f t="shared" si="20"/>
        <v>74.406899999999993</v>
      </c>
      <c r="M101" s="483">
        <f t="shared" si="20"/>
        <v>74.406899999999993</v>
      </c>
      <c r="N101" s="483">
        <f t="shared" si="20"/>
        <v>74.406899999999993</v>
      </c>
      <c r="O101" s="483">
        <f t="shared" si="20"/>
        <v>74.406899999999993</v>
      </c>
      <c r="P101" s="674">
        <f t="shared" si="10"/>
        <v>892.88279999999975</v>
      </c>
    </row>
    <row r="102" spans="1:16" hidden="1" outlineLevel="1">
      <c r="A102" s="670" t="s">
        <v>3234</v>
      </c>
      <c r="B102" s="336" t="s">
        <v>243</v>
      </c>
      <c r="C102" s="657" t="s">
        <v>3235</v>
      </c>
      <c r="D102" s="483">
        <f t="shared" ref="D102:O102" si="21">IFERROR(IF($B102="FRANQUEADORA",(AVERAGE($D16:D16)/3+(0.2+0.058+0.01+0.005)*(AVERAGE($D16:D16)/3)+0.08*(AVERAGE($D16:D16)/3))/12,(AVERAGE($D16:D16)/3+0.08*(AVERAGE($D16:D16)/3))/12),"")</f>
        <v>74.406899999999993</v>
      </c>
      <c r="E102" s="483">
        <f t="shared" si="21"/>
        <v>74.406899999999993</v>
      </c>
      <c r="F102" s="483">
        <f t="shared" si="21"/>
        <v>74.406899999999993</v>
      </c>
      <c r="G102" s="483">
        <f t="shared" si="21"/>
        <v>74.406899999999993</v>
      </c>
      <c r="H102" s="483">
        <f t="shared" si="21"/>
        <v>74.406899999999993</v>
      </c>
      <c r="I102" s="483">
        <f t="shared" si="21"/>
        <v>74.406899999999993</v>
      </c>
      <c r="J102" s="483">
        <f t="shared" si="21"/>
        <v>74.406899999999993</v>
      </c>
      <c r="K102" s="483">
        <f t="shared" si="21"/>
        <v>75.252449999999996</v>
      </c>
      <c r="L102" s="483">
        <f t="shared" si="21"/>
        <v>75.252449999999996</v>
      </c>
      <c r="M102" s="483">
        <f t="shared" si="21"/>
        <v>75.252449999999996</v>
      </c>
      <c r="N102" s="483">
        <f t="shared" si="21"/>
        <v>75.252449999999996</v>
      </c>
      <c r="O102" s="483">
        <f t="shared" si="21"/>
        <v>75.252449999999996</v>
      </c>
      <c r="P102" s="674">
        <f t="shared" si="10"/>
        <v>897.11054999999976</v>
      </c>
    </row>
    <row r="103" spans="1:16" hidden="1" outlineLevel="1">
      <c r="A103" s="679" t="s">
        <v>3236</v>
      </c>
      <c r="B103" s="336" t="s">
        <v>3227</v>
      </c>
      <c r="C103" s="657" t="s">
        <v>3235</v>
      </c>
      <c r="D103" s="483"/>
      <c r="E103" s="483"/>
      <c r="F103" s="483"/>
      <c r="G103" s="483"/>
      <c r="H103" s="483"/>
      <c r="I103" s="483"/>
      <c r="J103" s="483"/>
      <c r="K103" s="483"/>
      <c r="L103" s="483"/>
      <c r="M103" s="483"/>
      <c r="N103" s="483"/>
      <c r="O103" s="483"/>
      <c r="P103" s="674">
        <f t="shared" si="10"/>
        <v>0</v>
      </c>
    </row>
    <row r="104" spans="1:16" hidden="1" outlineLevel="1">
      <c r="A104" s="670" t="s">
        <v>3237</v>
      </c>
      <c r="B104" s="336" t="s">
        <v>243</v>
      </c>
      <c r="C104" s="657" t="s">
        <v>3235</v>
      </c>
      <c r="D104" s="483">
        <f t="shared" ref="D104:O104" si="22">IFERROR(IF($B104="FRANQUEADORA",(AVERAGE($D18:D18)/3+(0.2+0.058+0.01+0.005)*(AVERAGE($D18:D18)/3)+0.08*(AVERAGE($D18:D18)/3))/12,(AVERAGE($D18:D18)/3+0.08*(AVERAGE($D18:D18)/3))/12),"")</f>
        <v>74.406899999999993</v>
      </c>
      <c r="E104" s="483">
        <f t="shared" si="22"/>
        <v>74.406899999999993</v>
      </c>
      <c r="F104" s="483">
        <f t="shared" si="22"/>
        <v>74.406899999999993</v>
      </c>
      <c r="G104" s="483">
        <f t="shared" si="22"/>
        <v>74.406899999999993</v>
      </c>
      <c r="H104" s="483">
        <f t="shared" si="22"/>
        <v>74.406899999999993</v>
      </c>
      <c r="I104" s="483">
        <f t="shared" si="22"/>
        <v>74.406899999999993</v>
      </c>
      <c r="J104" s="483">
        <f t="shared" si="22"/>
        <v>74.406899999999993</v>
      </c>
      <c r="K104" s="483">
        <f t="shared" si="22"/>
        <v>74.406899999999993</v>
      </c>
      <c r="L104" s="483">
        <f t="shared" si="22"/>
        <v>74.406899999999993</v>
      </c>
      <c r="M104" s="483">
        <f t="shared" si="22"/>
        <v>74.406899999999993</v>
      </c>
      <c r="N104" s="483">
        <f t="shared" si="22"/>
        <v>74.406899999999993</v>
      </c>
      <c r="O104" s="483">
        <f t="shared" si="22"/>
        <v>74.406899999999993</v>
      </c>
      <c r="P104" s="674">
        <f t="shared" si="10"/>
        <v>892.88279999999975</v>
      </c>
    </row>
    <row r="105" spans="1:16" hidden="1" outlineLevel="1">
      <c r="A105" s="682" t="s">
        <v>3238</v>
      </c>
      <c r="B105" s="336" t="s">
        <v>3227</v>
      </c>
      <c r="C105" s="657" t="s">
        <v>3235</v>
      </c>
      <c r="D105" s="483"/>
      <c r="E105" s="483"/>
      <c r="F105" s="483"/>
      <c r="G105" s="483"/>
      <c r="H105" s="483"/>
      <c r="I105" s="483"/>
      <c r="J105" s="483"/>
      <c r="K105" s="483"/>
      <c r="L105" s="483"/>
      <c r="M105" s="483"/>
      <c r="N105" s="483"/>
      <c r="O105" s="483"/>
      <c r="P105" s="674">
        <f t="shared" si="10"/>
        <v>0</v>
      </c>
    </row>
    <row r="106" spans="1:16" hidden="1" outlineLevel="1">
      <c r="A106" s="670" t="s">
        <v>3239</v>
      </c>
      <c r="B106" s="336" t="s">
        <v>243</v>
      </c>
      <c r="C106" s="657" t="s">
        <v>3235</v>
      </c>
      <c r="D106" s="483">
        <f t="shared" ref="D106:O106" si="23">IFERROR(IF($B106="FRANQUEADORA",(AVERAGE($D20:D20)/3+(0.2+0.058+0.01+0.005)*(AVERAGE($D20:D20)/3)+0.08*(AVERAGE($D20:D20)/3))/12,(AVERAGE($D20:D20)/3+0.08*(AVERAGE($D20:D20)/3))/12),"")</f>
        <v>74.406899999999993</v>
      </c>
      <c r="E106" s="483">
        <f t="shared" si="23"/>
        <v>74.406899999999993</v>
      </c>
      <c r="F106" s="483">
        <f t="shared" si="23"/>
        <v>74.406899999999993</v>
      </c>
      <c r="G106" s="483">
        <f t="shared" si="23"/>
        <v>74.406899999999993</v>
      </c>
      <c r="H106" s="483">
        <f t="shared" si="23"/>
        <v>74.406899999999993</v>
      </c>
      <c r="I106" s="483">
        <f t="shared" si="23"/>
        <v>74.406899999999993</v>
      </c>
      <c r="J106" s="483">
        <f t="shared" si="23"/>
        <v>74.406899999999993</v>
      </c>
      <c r="K106" s="483">
        <f t="shared" si="23"/>
        <v>74.406899999999993</v>
      </c>
      <c r="L106" s="483">
        <f t="shared" si="23"/>
        <v>74.406899999999993</v>
      </c>
      <c r="M106" s="483">
        <f t="shared" si="23"/>
        <v>74.406899999999993</v>
      </c>
      <c r="N106" s="483">
        <f t="shared" si="23"/>
        <v>74.406899999999993</v>
      </c>
      <c r="O106" s="483">
        <f t="shared" si="23"/>
        <v>74.406899999999993</v>
      </c>
      <c r="P106" s="674">
        <f t="shared" si="10"/>
        <v>892.88279999999975</v>
      </c>
    </row>
    <row r="107" spans="1:16" hidden="1" outlineLevel="1">
      <c r="A107" s="682" t="s">
        <v>3240</v>
      </c>
      <c r="B107" s="336" t="s">
        <v>3227</v>
      </c>
      <c r="C107" s="657" t="s">
        <v>3235</v>
      </c>
      <c r="D107" s="483"/>
      <c r="E107" s="483"/>
      <c r="F107" s="483"/>
      <c r="G107" s="483"/>
      <c r="H107" s="483"/>
      <c r="I107" s="483"/>
      <c r="J107" s="483"/>
      <c r="K107" s="483"/>
      <c r="L107" s="483"/>
      <c r="M107" s="483"/>
      <c r="N107" s="483"/>
      <c r="O107" s="483"/>
      <c r="P107" s="674">
        <f t="shared" si="10"/>
        <v>0</v>
      </c>
    </row>
    <row r="108" spans="1:16" hidden="1" outlineLevel="1">
      <c r="A108" s="682" t="s">
        <v>3241</v>
      </c>
      <c r="B108" s="336" t="s">
        <v>3227</v>
      </c>
      <c r="C108" s="657" t="s">
        <v>3235</v>
      </c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674">
        <f t="shared" si="10"/>
        <v>0</v>
      </c>
    </row>
    <row r="109" spans="1:16" hidden="1" outlineLevel="1">
      <c r="A109" s="682" t="s">
        <v>3242</v>
      </c>
      <c r="B109" s="336" t="s">
        <v>3227</v>
      </c>
      <c r="C109" s="657" t="s">
        <v>3235</v>
      </c>
      <c r="D109" s="483"/>
      <c r="E109" s="483"/>
      <c r="F109" s="483"/>
      <c r="G109" s="483"/>
      <c r="H109" s="483"/>
      <c r="I109" s="483"/>
      <c r="J109" s="483"/>
      <c r="K109" s="483"/>
      <c r="L109" s="483"/>
      <c r="M109" s="483"/>
      <c r="N109" s="483"/>
      <c r="O109" s="483"/>
      <c r="P109" s="674">
        <f t="shared" si="10"/>
        <v>0</v>
      </c>
    </row>
    <row r="110" spans="1:16" hidden="1" outlineLevel="1">
      <c r="A110" s="683" t="s">
        <v>3243</v>
      </c>
      <c r="B110" s="336" t="s">
        <v>243</v>
      </c>
      <c r="C110" s="657" t="s">
        <v>3235</v>
      </c>
      <c r="D110" s="483">
        <f t="shared" ref="D110:O110" si="24">IFERROR(IF($B110="FRANQUEADORA",(AVERAGE($D24:D24)/3+(0.2+0.058+0.01+0.005)*(AVERAGE($D24:D24)/3)+0.08*(AVERAGE($D24:D24)/3))/12,(AVERAGE($D24:D24)/3+0.08*(AVERAGE($D24:D24)/3))/12),"")</f>
        <v>0</v>
      </c>
      <c r="E110" s="483">
        <f t="shared" si="24"/>
        <v>0</v>
      </c>
      <c r="F110" s="483">
        <f t="shared" si="24"/>
        <v>0</v>
      </c>
      <c r="G110" s="483">
        <f t="shared" si="24"/>
        <v>0</v>
      </c>
      <c r="H110" s="483">
        <f t="shared" si="24"/>
        <v>0</v>
      </c>
      <c r="I110" s="483">
        <f t="shared" si="24"/>
        <v>0</v>
      </c>
      <c r="J110" s="483">
        <f t="shared" si="24"/>
        <v>0</v>
      </c>
      <c r="K110" s="483">
        <f t="shared" si="24"/>
        <v>0</v>
      </c>
      <c r="L110" s="483">
        <f t="shared" si="24"/>
        <v>0</v>
      </c>
      <c r="M110" s="483">
        <f t="shared" si="24"/>
        <v>0</v>
      </c>
      <c r="N110" s="483">
        <f t="shared" si="24"/>
        <v>0</v>
      </c>
      <c r="O110" s="483">
        <f t="shared" si="24"/>
        <v>0</v>
      </c>
      <c r="P110" s="674">
        <f t="shared" si="10"/>
        <v>0</v>
      </c>
    </row>
    <row r="111" spans="1:16" hidden="1" outlineLevel="1">
      <c r="A111" s="670" t="s">
        <v>3244</v>
      </c>
      <c r="B111" s="336" t="s">
        <v>3227</v>
      </c>
      <c r="C111" s="657" t="s">
        <v>476</v>
      </c>
      <c r="D111" s="483">
        <f t="shared" ref="D111:O111" si="25">IFERROR(IF($B111="FRANQUEADORA",(AVERAGE($D25:D25)/3+(0.2+0.058+0.01+0.005)*(AVERAGE($D25:D25)/3)+0.08*(AVERAGE($D25:D25)/3))/12,(AVERAGE($D25:D25)/3+0.08*(AVERAGE($D25:D25)/3))/12),"")</f>
        <v>137.65835416666667</v>
      </c>
      <c r="E111" s="483">
        <f t="shared" si="25"/>
        <v>137.65835416666667</v>
      </c>
      <c r="F111" s="483">
        <f t="shared" si="25"/>
        <v>137.65835416666667</v>
      </c>
      <c r="G111" s="483">
        <f t="shared" si="25"/>
        <v>137.65835416666667</v>
      </c>
      <c r="H111" s="483">
        <f t="shared" si="25"/>
        <v>137.65835416666667</v>
      </c>
      <c r="I111" s="483">
        <f t="shared" si="25"/>
        <v>137.65835416666667</v>
      </c>
      <c r="J111" s="483">
        <f t="shared" si="25"/>
        <v>137.65835416666667</v>
      </c>
      <c r="K111" s="483">
        <f t="shared" si="25"/>
        <v>137.65835416666667</v>
      </c>
      <c r="L111" s="483">
        <f t="shared" si="25"/>
        <v>137.65835416666667</v>
      </c>
      <c r="M111" s="483">
        <f t="shared" si="25"/>
        <v>137.65835416666667</v>
      </c>
      <c r="N111" s="483">
        <f t="shared" si="25"/>
        <v>137.65835416666667</v>
      </c>
      <c r="O111" s="483">
        <f t="shared" si="25"/>
        <v>137.65835416666667</v>
      </c>
      <c r="P111" s="674">
        <f t="shared" si="10"/>
        <v>1651.9002499999999</v>
      </c>
    </row>
    <row r="112" spans="1:16" hidden="1" outlineLevel="1">
      <c r="A112" s="670" t="s">
        <v>3245</v>
      </c>
      <c r="B112" s="336" t="s">
        <v>3227</v>
      </c>
      <c r="C112" s="657" t="s">
        <v>476</v>
      </c>
      <c r="D112" s="483">
        <f t="shared" ref="D112:O112" si="26">IFERROR(IF($B112="FRANQUEADORA",(AVERAGE($D26:D26)/3+(0.2+0.058+0.01+0.005)*(AVERAGE($D26:D26)/3)+0.08*(AVERAGE($D26:D26)/3))/12,(AVERAGE($D26:D26)/3+0.08*(AVERAGE($D26:D26)/3))/12),"")</f>
        <v>216.73030500000002</v>
      </c>
      <c r="E112" s="483">
        <f t="shared" si="26"/>
        <v>216.73030500000002</v>
      </c>
      <c r="F112" s="483">
        <f t="shared" si="26"/>
        <v>216.73030500000002</v>
      </c>
      <c r="G112" s="483">
        <f t="shared" si="26"/>
        <v>216.73030500000002</v>
      </c>
      <c r="H112" s="483">
        <f t="shared" si="26"/>
        <v>216.73030500000002</v>
      </c>
      <c r="I112" s="483">
        <f t="shared" si="26"/>
        <v>216.73030500000002</v>
      </c>
      <c r="J112" s="483">
        <f t="shared" si="26"/>
        <v>216.73030499999993</v>
      </c>
      <c r="K112" s="483">
        <f t="shared" si="26"/>
        <v>216.73030500000002</v>
      </c>
      <c r="L112" s="483">
        <f t="shared" si="26"/>
        <v>216.73030500000002</v>
      </c>
      <c r="M112" s="483">
        <f t="shared" si="26"/>
        <v>216.73030500000002</v>
      </c>
      <c r="N112" s="483">
        <f t="shared" si="26"/>
        <v>216.73030500000002</v>
      </c>
      <c r="O112" s="483">
        <f t="shared" si="26"/>
        <v>216.73030500000002</v>
      </c>
      <c r="P112" s="674">
        <f t="shared" si="10"/>
        <v>2600.7636600000001</v>
      </c>
    </row>
    <row r="113" spans="1:16" hidden="1" outlineLevel="1">
      <c r="A113" s="670" t="s">
        <v>3246</v>
      </c>
      <c r="B113" s="336" t="s">
        <v>3227</v>
      </c>
      <c r="C113" s="657" t="s">
        <v>476</v>
      </c>
      <c r="D113" s="483">
        <f t="shared" ref="D113:O113" si="27">IFERROR(IF($B113="FRANQUEADORA",(AVERAGE($D27:D27)/3+(0.2+0.058+0.01+0.005)*(AVERAGE($D27:D27)/3)+0.08*(AVERAGE($D27:D27)/3))/12,(AVERAGE($D27:D27)/3+0.08*(AVERAGE($D27:D27)/3))/12),"")</f>
        <v>144.48686999999998</v>
      </c>
      <c r="E113" s="483">
        <f t="shared" si="27"/>
        <v>144.48686999999998</v>
      </c>
      <c r="F113" s="483">
        <f t="shared" si="27"/>
        <v>144.48686999999998</v>
      </c>
      <c r="G113" s="483">
        <f t="shared" si="27"/>
        <v>144.48686999999998</v>
      </c>
      <c r="H113" s="483">
        <f t="shared" si="27"/>
        <v>144.48686999999998</v>
      </c>
      <c r="I113" s="483">
        <f t="shared" si="27"/>
        <v>144.48686999999998</v>
      </c>
      <c r="J113" s="483">
        <f t="shared" si="27"/>
        <v>144.48686999999998</v>
      </c>
      <c r="K113" s="483">
        <f t="shared" si="27"/>
        <v>144.48686999999998</v>
      </c>
      <c r="L113" s="483">
        <f t="shared" si="27"/>
        <v>144.48686999999998</v>
      </c>
      <c r="M113" s="483">
        <f t="shared" si="27"/>
        <v>144.48686999999998</v>
      </c>
      <c r="N113" s="483">
        <f t="shared" si="27"/>
        <v>144.48686999999998</v>
      </c>
      <c r="O113" s="483">
        <f t="shared" si="27"/>
        <v>144.48686999999998</v>
      </c>
      <c r="P113" s="674">
        <f t="shared" si="10"/>
        <v>1733.8424399999997</v>
      </c>
    </row>
    <row r="114" spans="1:16" hidden="1" outlineLevel="1">
      <c r="A114" s="670" t="s">
        <v>3247</v>
      </c>
      <c r="B114" s="336" t="s">
        <v>3227</v>
      </c>
      <c r="C114" s="657" t="s">
        <v>476</v>
      </c>
      <c r="D114" s="483">
        <f t="shared" ref="D114:O114" si="28">IFERROR(IF($B114="FRANQUEADORA",(AVERAGE($D28:D28)/3+(0.2+0.058+0.01+0.005)*(AVERAGE($D28:D28)/3)+0.08*(AVERAGE($D28:D28)/3))/12,(AVERAGE($D28:D28)/3+0.08*(AVERAGE($D28:D28)/3))/12),"")</f>
        <v>192.64916000000002</v>
      </c>
      <c r="E114" s="483">
        <f t="shared" si="28"/>
        <v>192.64916000000002</v>
      </c>
      <c r="F114" s="483">
        <f t="shared" si="28"/>
        <v>192.64916000000002</v>
      </c>
      <c r="G114" s="483">
        <f t="shared" si="28"/>
        <v>192.64916000000002</v>
      </c>
      <c r="H114" s="483">
        <f t="shared" si="28"/>
        <v>192.64916000000002</v>
      </c>
      <c r="I114" s="483">
        <f t="shared" si="28"/>
        <v>192.64915999999994</v>
      </c>
      <c r="J114" s="483">
        <f t="shared" si="28"/>
        <v>192.64915999999994</v>
      </c>
      <c r="K114" s="483">
        <f t="shared" si="28"/>
        <v>192.64915999999994</v>
      </c>
      <c r="L114" s="483">
        <f t="shared" si="28"/>
        <v>192.64915999999994</v>
      </c>
      <c r="M114" s="483">
        <f t="shared" si="28"/>
        <v>192.64915999999994</v>
      </c>
      <c r="N114" s="483">
        <f t="shared" si="28"/>
        <v>192.64915999999994</v>
      </c>
      <c r="O114" s="483">
        <f t="shared" si="28"/>
        <v>192.64915999999994</v>
      </c>
      <c r="P114" s="674">
        <f t="shared" si="10"/>
        <v>2311.7899199999997</v>
      </c>
    </row>
    <row r="115" spans="1:16" hidden="1" outlineLevel="1">
      <c r="A115" s="679" t="s">
        <v>3248</v>
      </c>
      <c r="B115" s="336" t="s">
        <v>3227</v>
      </c>
      <c r="C115" s="657" t="s">
        <v>476</v>
      </c>
      <c r="D115" s="483">
        <f t="shared" ref="D115:F115" si="29">IFERROR(IF($B115="FRANQUEADORA",(AVERAGE($D29:D29)/3+(0.2+0.058+0.01+0.005)*(AVERAGE($D29:D29)/3)+0.08*(AVERAGE($D29:D29)/3))/12,(AVERAGE($D29:D29)/3+0.08*(AVERAGE($D29:D29)/3))/12),"")</f>
        <v>180.60858750000003</v>
      </c>
      <c r="E115" s="483">
        <f t="shared" si="29"/>
        <v>180.60858750000003</v>
      </c>
      <c r="F115" s="483">
        <f t="shared" si="29"/>
        <v>180.60858750000003</v>
      </c>
      <c r="G115" s="483"/>
      <c r="H115" s="483"/>
      <c r="I115" s="483"/>
      <c r="J115" s="483"/>
      <c r="K115" s="483"/>
      <c r="L115" s="483"/>
      <c r="M115" s="483"/>
      <c r="N115" s="483"/>
      <c r="O115" s="483"/>
      <c r="P115" s="674">
        <f t="shared" si="10"/>
        <v>541.82576250000011</v>
      </c>
    </row>
    <row r="116" spans="1:16" hidden="1" outlineLevel="1">
      <c r="A116" s="679" t="s">
        <v>3249</v>
      </c>
      <c r="B116" s="336" t="s">
        <v>3227</v>
      </c>
      <c r="C116" s="657" t="s">
        <v>476</v>
      </c>
      <c r="D116" s="483">
        <f t="shared" ref="D116:F116" si="30">IFERROR(IF($B116="FRANQUEADORA",(AVERAGE($D30:D30)/3+(0.2+0.058+0.01+0.005)*(AVERAGE($D30:D30)/3)+0.08*(AVERAGE($D30:D30)/3))/12,(AVERAGE($D30:D30)/3+0.08*(AVERAGE($D30:D30)/3))/12),"")</f>
        <v>139.62020416666664</v>
      </c>
      <c r="E116" s="483">
        <f t="shared" si="30"/>
        <v>139.62020416666664</v>
      </c>
      <c r="F116" s="483">
        <f t="shared" si="30"/>
        <v>139.62020416666664</v>
      </c>
      <c r="G116" s="483"/>
      <c r="H116" s="483"/>
      <c r="I116" s="483"/>
      <c r="J116" s="483"/>
      <c r="K116" s="483"/>
      <c r="L116" s="483"/>
      <c r="M116" s="483"/>
      <c r="N116" s="483"/>
      <c r="O116" s="483"/>
      <c r="P116" s="674">
        <f t="shared" si="10"/>
        <v>418.86061249999989</v>
      </c>
    </row>
    <row r="117" spans="1:16" hidden="1" outlineLevel="1">
      <c r="A117" s="686" t="s">
        <v>3250</v>
      </c>
      <c r="B117" s="336" t="s">
        <v>3227</v>
      </c>
      <c r="C117" s="657" t="s">
        <v>476</v>
      </c>
      <c r="D117" s="483"/>
      <c r="E117" s="483"/>
      <c r="F117" s="483"/>
      <c r="G117" s="483"/>
      <c r="H117" s="483"/>
      <c r="I117" s="697">
        <f t="shared" ref="I117:O117" si="31">IFERROR(IF($B117="FRANQUEADORA",(AVERAGE($I31:I31)/3+(0.2+0.058+0.01+0.005)*(AVERAGE($I31:I31)/3)+0.08*(AVERAGE($I31:I31)/3))/12,(AVERAGE($I31:I31)/3+0.08*(AVERAGE($I31:I31)/3))/12),"")</f>
        <v>192.64916000000002</v>
      </c>
      <c r="J117" s="483">
        <f t="shared" si="31"/>
        <v>192.64916000000002</v>
      </c>
      <c r="K117" s="483">
        <f t="shared" si="31"/>
        <v>192.64916000000002</v>
      </c>
      <c r="L117" s="483">
        <f t="shared" si="31"/>
        <v>192.64916000000002</v>
      </c>
      <c r="M117" s="483">
        <f t="shared" si="31"/>
        <v>192.64916000000002</v>
      </c>
      <c r="N117" s="483">
        <f t="shared" si="31"/>
        <v>192.64916000000002</v>
      </c>
      <c r="O117" s="483">
        <f t="shared" si="31"/>
        <v>192.64916000000002</v>
      </c>
      <c r="P117" s="674">
        <f t="shared" si="10"/>
        <v>1348.54412</v>
      </c>
    </row>
    <row r="118" spans="1:16" hidden="1" outlineLevel="1">
      <c r="A118" s="686" t="s">
        <v>3251</v>
      </c>
      <c r="B118" s="336" t="s">
        <v>243</v>
      </c>
      <c r="C118" s="657" t="s">
        <v>476</v>
      </c>
      <c r="D118" s="483"/>
      <c r="E118" s="483"/>
      <c r="F118" s="483"/>
      <c r="G118" s="483"/>
      <c r="H118" s="483"/>
      <c r="I118" s="483"/>
      <c r="J118" s="697">
        <f t="shared" ref="J118:O118" si="32">IFERROR(IF($B118="FRANQUEADORA",(AVERAGE($J32:J32)/3+(0.2+0.058+0.01+0.005)*(AVERAGE(J32:JI32)/3)+0.08*(AVERAGE($J32:J32)/3))/12,(AVERAGE($J32:J32)/3+0.08*(AVERAGE($J32:J32)/3))/12),"")</f>
        <v>129.75</v>
      </c>
      <c r="K118" s="483">
        <f t="shared" si="32"/>
        <v>129.75</v>
      </c>
      <c r="L118" s="483">
        <f t="shared" si="32"/>
        <v>129.75</v>
      </c>
      <c r="M118" s="483">
        <f t="shared" si="32"/>
        <v>129.75</v>
      </c>
      <c r="N118" s="483">
        <f t="shared" si="32"/>
        <v>129.75</v>
      </c>
      <c r="O118" s="483">
        <f t="shared" si="32"/>
        <v>129.75</v>
      </c>
      <c r="P118" s="674">
        <f t="shared" si="10"/>
        <v>778.5</v>
      </c>
    </row>
    <row r="119" spans="1:16" hidden="1" outlineLevel="1">
      <c r="A119" s="670" t="s">
        <v>3252</v>
      </c>
      <c r="B119" s="336" t="s">
        <v>3227</v>
      </c>
      <c r="C119" s="657" t="s">
        <v>422</v>
      </c>
      <c r="D119" s="483">
        <f t="shared" ref="D119:O119" si="33">IFERROR(IF($B119="FRANQUEADORA",(AVERAGE($D33:D33)/3+(0.2+0.058+0.01+0.005)*(AVERAGE($D33:D33)/3)+0.08*(AVERAGE($D33:D33)/3))/12,(AVERAGE($D33:D33)/3+0.08*(AVERAGE($D33:D33)/3))/12),"")</f>
        <v>127.90435166666664</v>
      </c>
      <c r="E119" s="483">
        <f t="shared" si="33"/>
        <v>127.90435166666664</v>
      </c>
      <c r="F119" s="483">
        <f t="shared" si="33"/>
        <v>127.90435166666664</v>
      </c>
      <c r="G119" s="483">
        <f t="shared" si="33"/>
        <v>127.90435166666664</v>
      </c>
      <c r="H119" s="483">
        <f t="shared" si="33"/>
        <v>127.90435166666664</v>
      </c>
      <c r="I119" s="483">
        <f t="shared" si="33"/>
        <v>130.56900999999996</v>
      </c>
      <c r="J119" s="483">
        <f t="shared" si="33"/>
        <v>132.47233738095238</v>
      </c>
      <c r="K119" s="483">
        <f t="shared" si="33"/>
        <v>133.89983291666667</v>
      </c>
      <c r="L119" s="483">
        <f t="shared" si="33"/>
        <v>133.89983291666667</v>
      </c>
      <c r="M119" s="483">
        <f t="shared" si="33"/>
        <v>133.89983291666667</v>
      </c>
      <c r="N119" s="483">
        <f t="shared" si="33"/>
        <v>133.89983291666667</v>
      </c>
      <c r="O119" s="483">
        <f t="shared" si="33"/>
        <v>133.89983291666667</v>
      </c>
      <c r="P119" s="674">
        <f t="shared" si="10"/>
        <v>1572.0622702976184</v>
      </c>
    </row>
    <row r="120" spans="1:16" hidden="1" outlineLevel="1">
      <c r="A120" s="670" t="s">
        <v>3253</v>
      </c>
      <c r="B120" s="336" t="s">
        <v>3227</v>
      </c>
      <c r="C120" s="657" t="s">
        <v>422</v>
      </c>
      <c r="D120" s="483">
        <f t="shared" ref="D120:O120" si="34">IFERROR(IF($B120="FRANQUEADORA",(AVERAGE($D34:D34)/3+(0.2+0.058+0.01+0.005)*(AVERAGE($D34:D34)/3)+0.08*(AVERAGE($D34:D34)/3))/12,(AVERAGE($D34:D34)/3+0.08*(AVERAGE($D34:D34)/3))/12),"")</f>
        <v>152.41206750000001</v>
      </c>
      <c r="E120" s="483">
        <f t="shared" si="34"/>
        <v>152.41206750000001</v>
      </c>
      <c r="F120" s="483">
        <f t="shared" si="34"/>
        <v>152.41206750000001</v>
      </c>
      <c r="G120" s="483">
        <f t="shared" si="34"/>
        <v>152.41206750000001</v>
      </c>
      <c r="H120" s="483">
        <f t="shared" si="34"/>
        <v>152.41206750000001</v>
      </c>
      <c r="I120" s="483">
        <f t="shared" si="34"/>
        <v>152.41206750000001</v>
      </c>
      <c r="J120" s="483">
        <f t="shared" si="34"/>
        <v>152.41206750000001</v>
      </c>
      <c r="K120" s="483">
        <f t="shared" si="34"/>
        <v>152.41206750000001</v>
      </c>
      <c r="L120" s="483">
        <f t="shared" si="34"/>
        <v>152.41206750000001</v>
      </c>
      <c r="M120" s="483">
        <f t="shared" si="34"/>
        <v>152.41206750000001</v>
      </c>
      <c r="N120" s="483">
        <f t="shared" si="34"/>
        <v>152.41206750000001</v>
      </c>
      <c r="O120" s="483">
        <f t="shared" si="34"/>
        <v>152.41206750000001</v>
      </c>
      <c r="P120" s="674">
        <f t="shared" si="10"/>
        <v>1828.9448099999997</v>
      </c>
    </row>
    <row r="121" spans="1:16" hidden="1" outlineLevel="1">
      <c r="A121" s="679" t="s">
        <v>3254</v>
      </c>
      <c r="B121" s="336" t="s">
        <v>3227</v>
      </c>
      <c r="C121" s="657" t="s">
        <v>422</v>
      </c>
      <c r="D121" s="483"/>
      <c r="E121" s="483"/>
      <c r="F121" s="483"/>
      <c r="G121" s="483"/>
      <c r="H121" s="483"/>
      <c r="I121" s="483"/>
      <c r="J121" s="483"/>
      <c r="K121" s="483"/>
      <c r="L121" s="483"/>
      <c r="M121" s="483"/>
      <c r="N121" s="483"/>
      <c r="O121" s="483"/>
      <c r="P121" s="674">
        <f t="shared" si="10"/>
        <v>0</v>
      </c>
    </row>
    <row r="122" spans="1:16" hidden="1" outlineLevel="1">
      <c r="A122" s="686" t="s">
        <v>3255</v>
      </c>
      <c r="B122" s="336" t="s">
        <v>3227</v>
      </c>
      <c r="C122" s="657" t="s">
        <v>422</v>
      </c>
      <c r="D122" s="483">
        <f t="shared" ref="D122:O122" si="35">IFERROR(IF($B122="FRANQUEADORA",(AVERAGE($D36:D36)/3+(0.2+0.058+0.01+0.005)*(AVERAGE($D36:D36)/3)+0.08*(AVERAGE($D36:D36)/3))/12,(AVERAGE($D36:D36)/3+0.08*(AVERAGE($D36:D36)/3))/12),"")</f>
        <v>0</v>
      </c>
      <c r="E122" s="483">
        <f t="shared" si="35"/>
        <v>0</v>
      </c>
      <c r="F122" s="483">
        <f t="shared" si="35"/>
        <v>0</v>
      </c>
      <c r="G122" s="483">
        <f t="shared" si="35"/>
        <v>0</v>
      </c>
      <c r="H122" s="483">
        <f t="shared" si="35"/>
        <v>0</v>
      </c>
      <c r="I122" s="483">
        <f t="shared" si="35"/>
        <v>0</v>
      </c>
      <c r="J122" s="483">
        <f t="shared" si="35"/>
        <v>0</v>
      </c>
      <c r="K122" s="483">
        <f t="shared" si="35"/>
        <v>0</v>
      </c>
      <c r="L122" s="483">
        <f t="shared" si="35"/>
        <v>0</v>
      </c>
      <c r="M122" s="483">
        <f t="shared" si="35"/>
        <v>0</v>
      </c>
      <c r="N122" s="483">
        <f t="shared" si="35"/>
        <v>0</v>
      </c>
      <c r="O122" s="483">
        <f t="shared" si="35"/>
        <v>0</v>
      </c>
      <c r="P122" s="674">
        <f t="shared" si="10"/>
        <v>0</v>
      </c>
    </row>
    <row r="123" spans="1:16" hidden="1" outlineLevel="1">
      <c r="A123" s="683" t="s">
        <v>2809</v>
      </c>
      <c r="B123" s="336" t="s">
        <v>3227</v>
      </c>
      <c r="C123" s="657" t="s">
        <v>422</v>
      </c>
      <c r="D123" s="483">
        <f t="shared" ref="D123:D137" si="36">IFERROR(IF($B123="FRANQUEADORA",(AVERAGE($D37:D37)/3+(0.2+0.058+0.01+0.005)*(AVERAGE($D37:D37)/3)+0.08*(AVERAGE($D37:D37)/3))/12,(AVERAGE($D37:D37)/3+0.08*(AVERAGE($D37:D37)/3))/12),"")</f>
        <v>0</v>
      </c>
      <c r="E123" s="697">
        <f t="shared" ref="E123:O123" si="37">IFERROR(IF($B123="FRANQUEADORA",(AVERAGE($E37:E37)/3+(0.2+0.058+0.01+0.005)*(AVERAGE($E37:E37)/3)+0.08*(AVERAGE($E37:E37)/3))/12,(AVERAGE($E37:E37)/3+0.08*(AVERAGE($E37:E37)/3))/12),"")</f>
        <v>157.07277666666664</v>
      </c>
      <c r="F123" s="483">
        <f t="shared" si="37"/>
        <v>157.07277666666664</v>
      </c>
      <c r="G123" s="483">
        <f t="shared" si="37"/>
        <v>157.07277666666664</v>
      </c>
      <c r="H123" s="483">
        <f t="shared" si="37"/>
        <v>157.07277666666664</v>
      </c>
      <c r="I123" s="483">
        <f t="shared" si="37"/>
        <v>157.07277666666664</v>
      </c>
      <c r="J123" s="483">
        <f t="shared" si="37"/>
        <v>157.07277666666664</v>
      </c>
      <c r="K123" s="483">
        <f t="shared" si="37"/>
        <v>157.07277666666664</v>
      </c>
      <c r="L123" s="483">
        <f t="shared" si="37"/>
        <v>157.07277666666664</v>
      </c>
      <c r="M123" s="483">
        <f t="shared" si="37"/>
        <v>157.07277666666664</v>
      </c>
      <c r="N123" s="483">
        <f t="shared" si="37"/>
        <v>157.07277666666664</v>
      </c>
      <c r="O123" s="483">
        <f t="shared" si="37"/>
        <v>157.07277666666664</v>
      </c>
      <c r="P123" s="674">
        <f t="shared" si="10"/>
        <v>1727.8005433333331</v>
      </c>
    </row>
    <row r="124" spans="1:16" hidden="1" outlineLevel="1">
      <c r="A124" s="670" t="s">
        <v>3256</v>
      </c>
      <c r="B124" s="336" t="s">
        <v>243</v>
      </c>
      <c r="C124" s="657" t="s">
        <v>164</v>
      </c>
      <c r="D124" s="483">
        <f t="shared" si="36"/>
        <v>110.6028</v>
      </c>
      <c r="E124" s="483">
        <f t="shared" ref="E124:O124" si="38">IFERROR(IF($B124="FRANQUEADORA",(AVERAGE($D38:E38)/3+(0.2+0.058+0.01+0.005)*(AVERAGE($D38:E38)/3)+0.08*(AVERAGE($D38:E38)/3))/12,(AVERAGE($D38:E38)/3+0.08*(AVERAGE($D38:E38)/3))/12),"")</f>
        <v>110.6028</v>
      </c>
      <c r="F124" s="483">
        <f t="shared" si="38"/>
        <v>110.6028</v>
      </c>
      <c r="G124" s="483">
        <f t="shared" si="38"/>
        <v>110.6028</v>
      </c>
      <c r="H124" s="483">
        <f t="shared" si="38"/>
        <v>112.90056000000003</v>
      </c>
      <c r="I124" s="483">
        <f t="shared" si="38"/>
        <v>114.43240000000002</v>
      </c>
      <c r="J124" s="483">
        <f t="shared" si="38"/>
        <v>115.52657142857144</v>
      </c>
      <c r="K124" s="483">
        <f t="shared" si="38"/>
        <v>116.34720000000003</v>
      </c>
      <c r="L124" s="483">
        <f t="shared" si="38"/>
        <v>116.34720000000003</v>
      </c>
      <c r="M124" s="483">
        <f t="shared" si="38"/>
        <v>116.34720000000003</v>
      </c>
      <c r="N124" s="483">
        <f t="shared" si="38"/>
        <v>116.34720000000003</v>
      </c>
      <c r="O124" s="483">
        <f t="shared" si="38"/>
        <v>116.34720000000003</v>
      </c>
      <c r="P124" s="674">
        <f t="shared" si="10"/>
        <v>1367.0067314285714</v>
      </c>
    </row>
    <row r="125" spans="1:16" hidden="1" outlineLevel="1">
      <c r="A125" s="670" t="s">
        <v>3257</v>
      </c>
      <c r="B125" s="336" t="s">
        <v>243</v>
      </c>
      <c r="C125" s="657" t="s">
        <v>164</v>
      </c>
      <c r="D125" s="483">
        <f t="shared" si="36"/>
        <v>110.6028</v>
      </c>
      <c r="E125" s="483">
        <f t="shared" ref="E125:O125" si="39">IFERROR(IF($B125="FRANQUEADORA",(AVERAGE($D39:E39)/3+(0.2+0.058+0.01+0.005)*(AVERAGE($D39:E39)/3)+0.08*(AVERAGE($D39:E39)/3))/12,(AVERAGE($D39:E39)/3+0.08*(AVERAGE($D39:E39)/3))/12),"")</f>
        <v>110.6028</v>
      </c>
      <c r="F125" s="483">
        <f t="shared" si="39"/>
        <v>110.6028</v>
      </c>
      <c r="G125" s="483">
        <f t="shared" si="39"/>
        <v>110.6028</v>
      </c>
      <c r="H125" s="483">
        <f t="shared" si="39"/>
        <v>110.60280000000002</v>
      </c>
      <c r="I125" s="483">
        <f t="shared" si="39"/>
        <v>110.60280000000002</v>
      </c>
      <c r="J125" s="483">
        <f t="shared" si="39"/>
        <v>110.60280000000002</v>
      </c>
      <c r="K125" s="483">
        <f t="shared" si="39"/>
        <v>110.60280000000002</v>
      </c>
      <c r="L125" s="483">
        <f t="shared" si="39"/>
        <v>110.60280000000002</v>
      </c>
      <c r="M125" s="483">
        <f t="shared" si="39"/>
        <v>110.60280000000002</v>
      </c>
      <c r="N125" s="483">
        <f t="shared" si="39"/>
        <v>110.60280000000002</v>
      </c>
      <c r="O125" s="483">
        <f t="shared" si="39"/>
        <v>110.60280000000002</v>
      </c>
      <c r="P125" s="674">
        <f t="shared" si="10"/>
        <v>1327.2336000000003</v>
      </c>
    </row>
    <row r="126" spans="1:16" hidden="1" outlineLevel="1">
      <c r="A126" s="670" t="s">
        <v>669</v>
      </c>
      <c r="B126" s="336" t="s">
        <v>243</v>
      </c>
      <c r="C126" s="657" t="s">
        <v>164</v>
      </c>
      <c r="D126" s="483">
        <f t="shared" si="36"/>
        <v>81.171299999999988</v>
      </c>
      <c r="E126" s="483">
        <f t="shared" ref="E126:O126" si="40">IFERROR(IF($B126="FRANQUEADORA",(AVERAGE($D40:E40)/3+(0.2+0.058+0.01+0.005)*(AVERAGE($D40:E40)/3)+0.08*(AVERAGE($D40:E40)/3))/12,(AVERAGE($D40:E40)/3+0.08*(AVERAGE($D40:E40)/3))/12),"")</f>
        <v>81.171299999999988</v>
      </c>
      <c r="F126" s="483">
        <f t="shared" si="40"/>
        <v>81.171299999999988</v>
      </c>
      <c r="G126" s="483">
        <f t="shared" si="40"/>
        <v>81.171299999999988</v>
      </c>
      <c r="H126" s="483">
        <f t="shared" si="40"/>
        <v>81.171299999999988</v>
      </c>
      <c r="I126" s="483">
        <f t="shared" si="40"/>
        <v>81.171299999999988</v>
      </c>
      <c r="J126" s="483">
        <f t="shared" si="40"/>
        <v>81.171299999999988</v>
      </c>
      <c r="K126" s="483">
        <f t="shared" si="40"/>
        <v>81.171299999999988</v>
      </c>
      <c r="L126" s="483">
        <f t="shared" si="40"/>
        <v>81.171299999999988</v>
      </c>
      <c r="M126" s="483">
        <f t="shared" si="40"/>
        <v>81.171299999999988</v>
      </c>
      <c r="N126" s="483">
        <f t="shared" si="40"/>
        <v>81.171299999999988</v>
      </c>
      <c r="O126" s="483">
        <f t="shared" si="40"/>
        <v>81.171299999999988</v>
      </c>
      <c r="P126" s="674">
        <f t="shared" si="10"/>
        <v>974.0555999999998</v>
      </c>
    </row>
    <row r="127" spans="1:16" hidden="1" outlineLevel="1">
      <c r="A127" s="670" t="s">
        <v>176</v>
      </c>
      <c r="B127" s="336" t="s">
        <v>243</v>
      </c>
      <c r="C127" s="657" t="s">
        <v>164</v>
      </c>
      <c r="D127" s="483">
        <f t="shared" si="36"/>
        <v>110.6028</v>
      </c>
      <c r="E127" s="483">
        <f t="shared" ref="E127:O127" si="41">IFERROR(IF($B127="FRANQUEADORA",(AVERAGE($D41:E41)/3+(0.2+0.058+0.01+0.005)*(AVERAGE($D41:E41)/3)+0.08*(AVERAGE($D41:E41)/3))/12,(AVERAGE($D41:E41)/3+0.08*(AVERAGE($D41:E41)/3))/12),"")</f>
        <v>110.6028</v>
      </c>
      <c r="F127" s="483">
        <f t="shared" si="41"/>
        <v>110.6028</v>
      </c>
      <c r="G127" s="483">
        <f t="shared" si="41"/>
        <v>110.6028</v>
      </c>
      <c r="H127" s="483">
        <f t="shared" si="41"/>
        <v>112.90056000000003</v>
      </c>
      <c r="I127" s="483">
        <f t="shared" si="41"/>
        <v>114.43240000000002</v>
      </c>
      <c r="J127" s="483">
        <f t="shared" si="41"/>
        <v>115.52657142857144</v>
      </c>
      <c r="K127" s="483">
        <f t="shared" si="41"/>
        <v>116.34720000000003</v>
      </c>
      <c r="L127" s="483">
        <f t="shared" si="41"/>
        <v>116.34720000000003</v>
      </c>
      <c r="M127" s="483">
        <f t="shared" si="41"/>
        <v>116.34720000000003</v>
      </c>
      <c r="N127" s="483">
        <f t="shared" si="41"/>
        <v>116.34720000000003</v>
      </c>
      <c r="O127" s="483">
        <f t="shared" si="41"/>
        <v>116.34720000000003</v>
      </c>
      <c r="P127" s="674">
        <f t="shared" si="10"/>
        <v>1367.0067314285714</v>
      </c>
    </row>
    <row r="128" spans="1:16" hidden="1" outlineLevel="1">
      <c r="A128" s="670" t="s">
        <v>178</v>
      </c>
      <c r="B128" s="336" t="s">
        <v>243</v>
      </c>
      <c r="C128" s="657" t="s">
        <v>164</v>
      </c>
      <c r="D128" s="483">
        <f t="shared" si="36"/>
        <v>101.38589999999999</v>
      </c>
      <c r="E128" s="483">
        <f t="shared" ref="E128:O128" si="42">IFERROR(IF($B128="FRANQUEADORA",(AVERAGE($D42:E42)/3+(0.2+0.058+0.01+0.005)*(AVERAGE($D42:E42)/3)+0.08*(AVERAGE($D42:E42)/3))/12,(AVERAGE($D42:E42)/3+0.08*(AVERAGE($D42:E42)/3))/12),"")</f>
        <v>101.38589999999999</v>
      </c>
      <c r="F128" s="483">
        <f t="shared" si="42"/>
        <v>101.38589999999999</v>
      </c>
      <c r="G128" s="483">
        <f t="shared" si="42"/>
        <v>101.38589999999999</v>
      </c>
      <c r="H128" s="483">
        <f t="shared" si="42"/>
        <v>101.38589999999999</v>
      </c>
      <c r="I128" s="483">
        <f t="shared" si="42"/>
        <v>101.38589999999999</v>
      </c>
      <c r="J128" s="483">
        <f t="shared" si="42"/>
        <v>101.38589999999999</v>
      </c>
      <c r="K128" s="483">
        <f t="shared" si="42"/>
        <v>101.38589999999999</v>
      </c>
      <c r="L128" s="483">
        <f t="shared" si="42"/>
        <v>101.38589999999999</v>
      </c>
      <c r="M128" s="483">
        <f t="shared" si="42"/>
        <v>101.38589999999999</v>
      </c>
      <c r="N128" s="483">
        <f t="shared" si="42"/>
        <v>101.38589999999999</v>
      </c>
      <c r="O128" s="483">
        <f t="shared" si="42"/>
        <v>101.38589999999999</v>
      </c>
      <c r="P128" s="674">
        <f t="shared" si="10"/>
        <v>1216.6307999999999</v>
      </c>
    </row>
    <row r="129" spans="1:16" hidden="1" outlineLevel="1">
      <c r="A129" s="670" t="s">
        <v>3258</v>
      </c>
      <c r="B129" s="336" t="s">
        <v>243</v>
      </c>
      <c r="C129" s="657" t="s">
        <v>164</v>
      </c>
      <c r="D129" s="483">
        <f t="shared" si="36"/>
        <v>110.6028</v>
      </c>
      <c r="E129" s="483">
        <f t="shared" ref="E129:O129" si="43">IFERROR(IF($B129="FRANQUEADORA",(AVERAGE($D43:E43)/3+(0.2+0.058+0.01+0.005)*(AVERAGE($D43:E43)/3)+0.08*(AVERAGE($D43:E43)/3))/12,(AVERAGE($D43:E43)/3+0.08*(AVERAGE($D43:E43)/3))/12),"")</f>
        <v>110.6028</v>
      </c>
      <c r="F129" s="483">
        <f t="shared" si="43"/>
        <v>110.6028</v>
      </c>
      <c r="G129" s="483">
        <f t="shared" si="43"/>
        <v>110.6028</v>
      </c>
      <c r="H129" s="483">
        <f t="shared" si="43"/>
        <v>110.60280000000002</v>
      </c>
      <c r="I129" s="483">
        <f t="shared" si="43"/>
        <v>110.60280000000002</v>
      </c>
      <c r="J129" s="483">
        <f t="shared" si="43"/>
        <v>112.24405714285717</v>
      </c>
      <c r="K129" s="483">
        <f t="shared" si="43"/>
        <v>113.47500000000004</v>
      </c>
      <c r="L129" s="483">
        <f t="shared" si="43"/>
        <v>113.47500000000004</v>
      </c>
      <c r="M129" s="483">
        <f t="shared" si="43"/>
        <v>113.47500000000004</v>
      </c>
      <c r="N129" s="483">
        <f t="shared" si="43"/>
        <v>113.47500000000004</v>
      </c>
      <c r="O129" s="483">
        <f t="shared" si="43"/>
        <v>113.47500000000004</v>
      </c>
      <c r="P129" s="674">
        <f t="shared" si="10"/>
        <v>1343.2358571428576</v>
      </c>
    </row>
    <row r="130" spans="1:16" hidden="1" outlineLevel="1">
      <c r="A130" s="670" t="s">
        <v>3259</v>
      </c>
      <c r="B130" s="336" t="s">
        <v>243</v>
      </c>
      <c r="C130" s="657" t="s">
        <v>164</v>
      </c>
      <c r="D130" s="483">
        <f t="shared" si="36"/>
        <v>101.38589999999999</v>
      </c>
      <c r="E130" s="483">
        <f t="shared" ref="E130:O130" si="44">IFERROR(IF($B130="FRANQUEADORA",(AVERAGE($D44:E44)/3+(0.2+0.058+0.01+0.005)*(AVERAGE($D44:E44)/3)+0.08*(AVERAGE($D44:E44)/3))/12,(AVERAGE($D44:E44)/3+0.08*(AVERAGE($D44:E44)/3))/12),"")</f>
        <v>101.38589999999999</v>
      </c>
      <c r="F130" s="483">
        <f t="shared" si="44"/>
        <v>101.38589999999999</v>
      </c>
      <c r="G130" s="483">
        <f t="shared" si="44"/>
        <v>101.38589999999999</v>
      </c>
      <c r="H130" s="483">
        <f t="shared" si="44"/>
        <v>101.38589999999999</v>
      </c>
      <c r="I130" s="483">
        <f t="shared" si="44"/>
        <v>101.38589999999999</v>
      </c>
      <c r="J130" s="483">
        <f t="shared" si="44"/>
        <v>101.38589999999999</v>
      </c>
      <c r="K130" s="483">
        <f t="shared" si="44"/>
        <v>101.38589999999999</v>
      </c>
      <c r="L130" s="483">
        <f t="shared" si="44"/>
        <v>101.38589999999999</v>
      </c>
      <c r="M130" s="483">
        <f t="shared" si="44"/>
        <v>101.38589999999999</v>
      </c>
      <c r="N130" s="483">
        <f t="shared" si="44"/>
        <v>101.38589999999999</v>
      </c>
      <c r="O130" s="483">
        <f t="shared" si="44"/>
        <v>101.38589999999999</v>
      </c>
      <c r="P130" s="674">
        <f t="shared" si="10"/>
        <v>1216.6307999999999</v>
      </c>
    </row>
    <row r="131" spans="1:16" hidden="1" outlineLevel="1">
      <c r="A131" s="670" t="s">
        <v>3260</v>
      </c>
      <c r="B131" s="336" t="s">
        <v>243</v>
      </c>
      <c r="C131" s="657" t="s">
        <v>164</v>
      </c>
      <c r="D131" s="483">
        <f t="shared" si="36"/>
        <v>92.169000000000025</v>
      </c>
      <c r="E131" s="483">
        <f t="shared" ref="E131:O131" si="45">IFERROR(IF($B131="FRANQUEADORA",(AVERAGE($D45:E45)/3+(0.2+0.058+0.01+0.005)*(AVERAGE($D45:E45)/3)+0.08*(AVERAGE($D45:E45)/3))/12,(AVERAGE($D45:E45)/3+0.08*(AVERAGE($D45:E45)/3))/12),"")</f>
        <v>92.169000000000025</v>
      </c>
      <c r="F131" s="483">
        <f t="shared" si="45"/>
        <v>92.169000000000025</v>
      </c>
      <c r="G131" s="483">
        <f t="shared" si="45"/>
        <v>92.169000000000025</v>
      </c>
      <c r="H131" s="483">
        <f t="shared" si="45"/>
        <v>94.012380000000007</v>
      </c>
      <c r="I131" s="483">
        <f t="shared" si="45"/>
        <v>95.241300000000024</v>
      </c>
      <c r="J131" s="483">
        <f t="shared" si="45"/>
        <v>96.119100000000003</v>
      </c>
      <c r="K131" s="483">
        <f t="shared" si="45"/>
        <v>96.777450000000002</v>
      </c>
      <c r="L131" s="483">
        <f t="shared" si="45"/>
        <v>96.777450000000002</v>
      </c>
      <c r="M131" s="483">
        <f t="shared" si="45"/>
        <v>96.777450000000002</v>
      </c>
      <c r="N131" s="483">
        <f t="shared" si="45"/>
        <v>96.777450000000002</v>
      </c>
      <c r="O131" s="483">
        <f t="shared" si="45"/>
        <v>96.777450000000002</v>
      </c>
      <c r="P131" s="674">
        <f t="shared" si="10"/>
        <v>1137.9360300000003</v>
      </c>
    </row>
    <row r="132" spans="1:16" hidden="1" outlineLevel="1">
      <c r="A132" s="670" t="s">
        <v>3261</v>
      </c>
      <c r="B132" s="336" t="s">
        <v>243</v>
      </c>
      <c r="C132" s="657" t="s">
        <v>169</v>
      </c>
      <c r="D132" s="483">
        <f t="shared" si="36"/>
        <v>101.38589999999999</v>
      </c>
      <c r="E132" s="483">
        <f t="shared" ref="E132:O132" si="46">IFERROR(IF($B132="FRANQUEADORA",(AVERAGE($D46:E46)/3+(0.2+0.058+0.01+0.005)*(AVERAGE($D46:E46)/3)+0.08*(AVERAGE($D46:E46)/3))/12,(AVERAGE($D46:E46)/3+0.08*(AVERAGE($D46:E46)/3))/12),"")</f>
        <v>101.38589999999999</v>
      </c>
      <c r="F132" s="483">
        <f t="shared" si="46"/>
        <v>108.2878</v>
      </c>
      <c r="G132" s="483">
        <f t="shared" si="46"/>
        <v>111.73875</v>
      </c>
      <c r="H132" s="483">
        <f t="shared" si="46"/>
        <v>113.80932</v>
      </c>
      <c r="I132" s="483">
        <f t="shared" si="46"/>
        <v>115.18970000000002</v>
      </c>
      <c r="J132" s="483">
        <f t="shared" si="46"/>
        <v>116.17568571428573</v>
      </c>
      <c r="K132" s="483">
        <f t="shared" si="46"/>
        <v>116.91517500000002</v>
      </c>
      <c r="L132" s="483">
        <f t="shared" si="46"/>
        <v>116.91517500000002</v>
      </c>
      <c r="M132" s="483">
        <f t="shared" si="46"/>
        <v>116.91517500000002</v>
      </c>
      <c r="N132" s="483">
        <f t="shared" si="46"/>
        <v>116.91517500000002</v>
      </c>
      <c r="O132" s="483">
        <f t="shared" si="46"/>
        <v>116.91517500000002</v>
      </c>
      <c r="P132" s="674">
        <f t="shared" si="10"/>
        <v>1352.5489307142859</v>
      </c>
    </row>
    <row r="133" spans="1:16" hidden="1" outlineLevel="1">
      <c r="A133" s="679" t="s">
        <v>3262</v>
      </c>
      <c r="B133" s="336" t="s">
        <v>3154</v>
      </c>
      <c r="C133" s="657" t="s">
        <v>169</v>
      </c>
      <c r="D133" s="483">
        <f t="shared" si="36"/>
        <v>92.168699999999987</v>
      </c>
      <c r="E133" s="483">
        <f t="shared" ref="E133:I133" si="47">IFERROR(IF($B133="FRANQUEADORA",(AVERAGE($D47:E47)/3+(0.2+0.058+0.01+0.005)*(AVERAGE($D47:E47)/3)+0.08*(AVERAGE($D47:E47)/3))/12,(AVERAGE($D47:E47)/3+0.08*(AVERAGE($D47:E47)/3))/12),"")</f>
        <v>92.168699999999987</v>
      </c>
      <c r="F133" s="483">
        <f t="shared" si="47"/>
        <v>92.168699999999987</v>
      </c>
      <c r="G133" s="483">
        <f t="shared" si="47"/>
        <v>92.168699999999987</v>
      </c>
      <c r="H133" s="483">
        <f t="shared" si="47"/>
        <v>95.855519999999999</v>
      </c>
      <c r="I133" s="483">
        <f t="shared" si="47"/>
        <v>98.313400000000001</v>
      </c>
      <c r="J133" s="483"/>
      <c r="K133" s="483"/>
      <c r="L133" s="483"/>
      <c r="M133" s="483"/>
      <c r="N133" s="483"/>
      <c r="O133" s="483"/>
      <c r="P133" s="674">
        <f t="shared" si="10"/>
        <v>562.84371999999996</v>
      </c>
    </row>
    <row r="134" spans="1:16" hidden="1" outlineLevel="1">
      <c r="A134" s="687" t="s">
        <v>3263</v>
      </c>
      <c r="B134" s="336" t="s">
        <v>243</v>
      </c>
      <c r="C134" s="657" t="s">
        <v>169</v>
      </c>
      <c r="D134" s="483">
        <f t="shared" si="36"/>
        <v>110.6028</v>
      </c>
      <c r="E134" s="483">
        <f t="shared" ref="E134:O134" si="48">IFERROR(IF($B134="FRANQUEADORA",(AVERAGE($D48:E48)/3+(0.2+0.058+0.01+0.005)*(AVERAGE($D48:E48)/3)+0.08*(AVERAGE($D48:E48)/3))/12,(AVERAGE($D48:E48)/3+0.08*(AVERAGE($D48:E48)/3))/12),"")</f>
        <v>110.6028</v>
      </c>
      <c r="F134" s="483">
        <f t="shared" si="48"/>
        <v>110.6028</v>
      </c>
      <c r="G134" s="483">
        <f t="shared" si="48"/>
        <v>110.6028</v>
      </c>
      <c r="H134" s="483">
        <f t="shared" si="48"/>
        <v>110.6028</v>
      </c>
      <c r="I134" s="483">
        <f t="shared" si="48"/>
        <v>110.6028</v>
      </c>
      <c r="J134" s="483">
        <f t="shared" si="48"/>
        <v>110.6028</v>
      </c>
      <c r="K134" s="483">
        <f t="shared" si="48"/>
        <v>110.6028</v>
      </c>
      <c r="L134" s="483">
        <f t="shared" si="48"/>
        <v>110.6028</v>
      </c>
      <c r="M134" s="483">
        <f t="shared" si="48"/>
        <v>110.6028</v>
      </c>
      <c r="N134" s="483">
        <f t="shared" si="48"/>
        <v>110.6028</v>
      </c>
      <c r="O134" s="483">
        <f t="shared" si="48"/>
        <v>110.6028</v>
      </c>
      <c r="P134" s="674">
        <f t="shared" si="10"/>
        <v>1327.2336</v>
      </c>
    </row>
    <row r="135" spans="1:16" hidden="1" outlineLevel="1">
      <c r="A135" s="670" t="s">
        <v>3264</v>
      </c>
      <c r="B135" s="336" t="s">
        <v>243</v>
      </c>
      <c r="C135" s="657" t="s">
        <v>169</v>
      </c>
      <c r="D135" s="483">
        <f t="shared" si="36"/>
        <v>82.952100000000002</v>
      </c>
      <c r="E135" s="483">
        <f t="shared" ref="E135:O135" si="49">IFERROR(IF($B135="FRANQUEADORA",(AVERAGE($D49:E49)/3+(0.2+0.058+0.01+0.005)*(AVERAGE($D49:E49)/3)+0.08*(AVERAGE($D49:E49)/3))/12,(AVERAGE($D49:E49)/3+0.08*(AVERAGE($D49:E49)/3))/12),"")</f>
        <v>82.952100000000002</v>
      </c>
      <c r="F135" s="483">
        <f t="shared" si="49"/>
        <v>82.952100000000002</v>
      </c>
      <c r="G135" s="483">
        <f t="shared" si="49"/>
        <v>82.952100000000002</v>
      </c>
      <c r="H135" s="483">
        <f t="shared" si="49"/>
        <v>82.952100000000002</v>
      </c>
      <c r="I135" s="483">
        <f t="shared" si="49"/>
        <v>82.952100000000002</v>
      </c>
      <c r="J135" s="483">
        <f t="shared" si="49"/>
        <v>82.952100000000002</v>
      </c>
      <c r="K135" s="483">
        <f t="shared" si="49"/>
        <v>82.952100000000002</v>
      </c>
      <c r="L135" s="483">
        <f t="shared" si="49"/>
        <v>82.952100000000002</v>
      </c>
      <c r="M135" s="483">
        <f t="shared" si="49"/>
        <v>82.952100000000002</v>
      </c>
      <c r="N135" s="483">
        <f t="shared" si="49"/>
        <v>82.952100000000002</v>
      </c>
      <c r="O135" s="483">
        <f t="shared" si="49"/>
        <v>82.952100000000002</v>
      </c>
      <c r="P135" s="674">
        <f t="shared" si="10"/>
        <v>995.42519999999979</v>
      </c>
    </row>
    <row r="136" spans="1:16" hidden="1" outlineLevel="1">
      <c r="A136" s="670" t="s">
        <v>1860</v>
      </c>
      <c r="B136" s="336" t="s">
        <v>243</v>
      </c>
      <c r="C136" s="657" t="s">
        <v>169</v>
      </c>
      <c r="D136" s="483">
        <f t="shared" si="36"/>
        <v>101.38589999999999</v>
      </c>
      <c r="E136" s="483">
        <f t="shared" ref="E136:O136" si="50">IFERROR(IF($B136="FRANQUEADORA",(AVERAGE($D50:E50)/3+(0.2+0.058+0.01+0.005)*(AVERAGE($D50:E50)/3)+0.08*(AVERAGE($D50:E50)/3))/12,(AVERAGE($D50:E50)/3+0.08*(AVERAGE($D50:E50)/3))/12),"")</f>
        <v>101.38589999999999</v>
      </c>
      <c r="F136" s="483">
        <f t="shared" si="50"/>
        <v>101.38589999999999</v>
      </c>
      <c r="G136" s="483">
        <f t="shared" si="50"/>
        <v>101.38589999999999</v>
      </c>
      <c r="H136" s="483">
        <f t="shared" si="50"/>
        <v>101.38589999999999</v>
      </c>
      <c r="I136" s="483">
        <f t="shared" si="50"/>
        <v>102.92205000000003</v>
      </c>
      <c r="J136" s="483">
        <f t="shared" si="50"/>
        <v>104.01930000000003</v>
      </c>
      <c r="K136" s="483">
        <f t="shared" si="50"/>
        <v>104.84223750000002</v>
      </c>
      <c r="L136" s="483">
        <f t="shared" si="50"/>
        <v>104.84223750000002</v>
      </c>
      <c r="M136" s="483">
        <f t="shared" si="50"/>
        <v>104.84223750000002</v>
      </c>
      <c r="N136" s="483">
        <f t="shared" si="50"/>
        <v>104.84223750000002</v>
      </c>
      <c r="O136" s="483">
        <f t="shared" si="50"/>
        <v>104.84223750000002</v>
      </c>
      <c r="P136" s="674">
        <f t="shared" si="10"/>
        <v>1238.0820375000001</v>
      </c>
    </row>
    <row r="137" spans="1:16" hidden="1" outlineLevel="1">
      <c r="A137" s="670" t="s">
        <v>186</v>
      </c>
      <c r="B137" s="336" t="s">
        <v>243</v>
      </c>
      <c r="C137" s="657" t="s">
        <v>169</v>
      </c>
      <c r="D137" s="483">
        <f t="shared" si="36"/>
        <v>122.09159999999999</v>
      </c>
      <c r="E137" s="483">
        <f t="shared" ref="E137:O137" si="51">IFERROR(IF($B137="FRANQUEADORA",(AVERAGE($D51:E51)/3+(0.2+0.058+0.01+0.005)*(AVERAGE($D51:E51)/3)+0.08*(AVERAGE($D51:E51)/3))/12,(AVERAGE($D51:E51)/3+0.08*(AVERAGE($D51:E51)/3))/12),"")</f>
        <v>122.09159999999999</v>
      </c>
      <c r="F137" s="483">
        <f t="shared" si="51"/>
        <v>122.09159999999999</v>
      </c>
      <c r="G137" s="483">
        <f t="shared" si="51"/>
        <v>122.09159999999999</v>
      </c>
      <c r="H137" s="483">
        <f t="shared" si="51"/>
        <v>122.09159999999999</v>
      </c>
      <c r="I137" s="483">
        <f t="shared" si="51"/>
        <v>126.16134999999998</v>
      </c>
      <c r="J137" s="483">
        <f t="shared" si="51"/>
        <v>129.06831428571428</v>
      </c>
      <c r="K137" s="483">
        <f t="shared" si="51"/>
        <v>131.24853749999997</v>
      </c>
      <c r="L137" s="483">
        <f t="shared" si="51"/>
        <v>131.24853749999997</v>
      </c>
      <c r="M137" s="483">
        <f t="shared" si="51"/>
        <v>131.24853749999997</v>
      </c>
      <c r="N137" s="483">
        <f t="shared" si="51"/>
        <v>131.24853749999997</v>
      </c>
      <c r="O137" s="483">
        <f t="shared" si="51"/>
        <v>131.24853749999997</v>
      </c>
      <c r="P137" s="674">
        <f t="shared" si="10"/>
        <v>1521.9303517857138</v>
      </c>
    </row>
    <row r="138" spans="1:16" hidden="1" outlineLevel="1">
      <c r="A138" s="683" t="s">
        <v>3265</v>
      </c>
      <c r="B138" s="336" t="s">
        <v>243</v>
      </c>
      <c r="C138" s="657" t="s">
        <v>169</v>
      </c>
      <c r="D138" s="483">
        <v>0</v>
      </c>
      <c r="E138" s="483">
        <v>0</v>
      </c>
      <c r="F138" s="697">
        <f t="shared" ref="F138:O138" si="52">IFERROR(IF($B138="FRANQUEADORA",(AVERAGE($F52:F52)/3+(0.2+0.058+0.01+0.005)*(AVERAGE($F52:F52)/3)+0.08*(AVERAGE($F52:F52)/3))/12,(AVERAGE($F52:F52)/3+0.08*(AVERAGE($F52:F52)/3))/12),"")</f>
        <v>73.735200000000006</v>
      </c>
      <c r="G138" s="483">
        <f t="shared" si="52"/>
        <v>73.735200000000006</v>
      </c>
      <c r="H138" s="483">
        <f t="shared" si="52"/>
        <v>73.735200000000006</v>
      </c>
      <c r="I138" s="483">
        <f t="shared" si="52"/>
        <v>73.735200000000006</v>
      </c>
      <c r="J138" s="483">
        <f t="shared" si="52"/>
        <v>73.735200000000006</v>
      </c>
      <c r="K138" s="483">
        <f t="shared" si="52"/>
        <v>73.735200000000006</v>
      </c>
      <c r="L138" s="483">
        <f t="shared" si="52"/>
        <v>73.735200000000006</v>
      </c>
      <c r="M138" s="483">
        <f t="shared" si="52"/>
        <v>73.735200000000006</v>
      </c>
      <c r="N138" s="483">
        <f t="shared" si="52"/>
        <v>73.735200000000006</v>
      </c>
      <c r="O138" s="483">
        <f t="shared" si="52"/>
        <v>73.735200000000006</v>
      </c>
      <c r="P138" s="674">
        <f t="shared" si="10"/>
        <v>737.35199999999998</v>
      </c>
    </row>
    <row r="139" spans="1:16" hidden="1" outlineLevel="1">
      <c r="A139" s="670" t="s">
        <v>3266</v>
      </c>
      <c r="B139" s="336" t="s">
        <v>3227</v>
      </c>
      <c r="C139" s="657" t="s">
        <v>162</v>
      </c>
      <c r="D139" s="483">
        <f t="shared" ref="D139:O139" si="53">IFERROR(IF($B139="FRANQUEADORA",(AVERAGE($D53:D53)/3+(0.2+0.058+0.01+0.005)*(AVERAGE($D53:D53)/3)+0.08*(AVERAGE($D53:D53)/3))/12,(AVERAGE($D53:D53)/3+0.08*(AVERAGE($D53:D53)/3))/12),"")</f>
        <v>122.36306500000001</v>
      </c>
      <c r="E139" s="483">
        <f t="shared" si="53"/>
        <v>122.36306500000001</v>
      </c>
      <c r="F139" s="483">
        <f t="shared" si="53"/>
        <v>122.36306500000001</v>
      </c>
      <c r="G139" s="483">
        <f t="shared" si="53"/>
        <v>122.36306500000001</v>
      </c>
      <c r="H139" s="483">
        <f t="shared" si="53"/>
        <v>125.42212283333338</v>
      </c>
      <c r="I139" s="483">
        <f t="shared" si="53"/>
        <v>127.46149472222224</v>
      </c>
      <c r="J139" s="483">
        <f t="shared" si="53"/>
        <v>128.91818892857145</v>
      </c>
      <c r="K139" s="483">
        <f t="shared" si="53"/>
        <v>130.01070958333335</v>
      </c>
      <c r="L139" s="483">
        <f t="shared" si="53"/>
        <v>130.01070958333335</v>
      </c>
      <c r="M139" s="483">
        <f t="shared" si="53"/>
        <v>130.01070958333335</v>
      </c>
      <c r="N139" s="483">
        <f t="shared" si="53"/>
        <v>130.01070958333335</v>
      </c>
      <c r="O139" s="483">
        <f t="shared" si="53"/>
        <v>130.01070958333335</v>
      </c>
      <c r="P139" s="674">
        <f t="shared" si="10"/>
        <v>1521.3076144007941</v>
      </c>
    </row>
    <row r="140" spans="1:16" hidden="1" outlineLevel="1">
      <c r="A140" s="679" t="s">
        <v>3267</v>
      </c>
      <c r="B140" s="336" t="s">
        <v>3227</v>
      </c>
      <c r="C140" s="657" t="s">
        <v>162</v>
      </c>
      <c r="D140" s="483">
        <f t="shared" ref="D140:H140" si="54">IFERROR(IF($B140="FRANQUEADORA",(AVERAGE($D54:D54)/3+(0.2+0.058+0.01+0.005)*(AVERAGE($D54:D54)/3)+0.08*(AVERAGE($D54:D54)/3))/12,(AVERAGE($D54:D54)/3+0.08*(AVERAGE($D54:D54)/3))/12),"")</f>
        <v>186.59298166666665</v>
      </c>
      <c r="E140" s="483">
        <f t="shared" si="54"/>
        <v>186.59298166666665</v>
      </c>
      <c r="F140" s="483">
        <f t="shared" si="54"/>
        <v>186.59298166666665</v>
      </c>
      <c r="G140" s="483">
        <f t="shared" si="54"/>
        <v>186.59298166666665</v>
      </c>
      <c r="H140" s="483">
        <f t="shared" si="54"/>
        <v>186.59298166666665</v>
      </c>
      <c r="I140" s="483"/>
      <c r="J140" s="483"/>
      <c r="K140" s="483"/>
      <c r="L140" s="483"/>
      <c r="M140" s="483"/>
      <c r="N140" s="483"/>
      <c r="O140" s="483"/>
      <c r="P140" s="674">
        <f t="shared" si="10"/>
        <v>932.96490833333326</v>
      </c>
    </row>
    <row r="141" spans="1:16" hidden="1" outlineLevel="1">
      <c r="A141" s="670" t="s">
        <v>523</v>
      </c>
      <c r="B141" s="336" t="s">
        <v>3227</v>
      </c>
      <c r="C141" s="657" t="s">
        <v>162</v>
      </c>
      <c r="D141" s="483">
        <f t="shared" ref="D141:O141" si="55">IFERROR(IF($B141="FRANQUEADORA",(AVERAGE($D55:D55)/3+(0.2+0.058+0.01+0.005)*(AVERAGE($D55:D55)/3)+0.08*(AVERAGE($D55:D55)/3))/12,(AVERAGE($D55:D55)/3+0.08*(AVERAGE($D55:D55)/3))/12),"")</f>
        <v>154.52086833333334</v>
      </c>
      <c r="E141" s="483">
        <f t="shared" si="55"/>
        <v>154.52086833333334</v>
      </c>
      <c r="F141" s="483">
        <f t="shared" si="55"/>
        <v>154.52086833333334</v>
      </c>
      <c r="G141" s="483">
        <f t="shared" si="55"/>
        <v>154.52086833333334</v>
      </c>
      <c r="H141" s="483">
        <f t="shared" si="55"/>
        <v>154.52086833333334</v>
      </c>
      <c r="I141" s="483">
        <f t="shared" si="55"/>
        <v>154.52086833333331</v>
      </c>
      <c r="J141" s="483">
        <f t="shared" si="55"/>
        <v>154.52086833333331</v>
      </c>
      <c r="K141" s="483">
        <f t="shared" si="55"/>
        <v>154.52086833333331</v>
      </c>
      <c r="L141" s="483">
        <f t="shared" si="55"/>
        <v>154.52086833333331</v>
      </c>
      <c r="M141" s="483">
        <f t="shared" si="55"/>
        <v>154.52086833333331</v>
      </c>
      <c r="N141" s="483">
        <f t="shared" si="55"/>
        <v>154.52086833333331</v>
      </c>
      <c r="O141" s="483">
        <f t="shared" si="55"/>
        <v>154.52086833333331</v>
      </c>
      <c r="P141" s="674">
        <f t="shared" si="10"/>
        <v>1854.2504199999996</v>
      </c>
    </row>
    <row r="142" spans="1:16" hidden="1" outlineLevel="1">
      <c r="A142" s="670" t="s">
        <v>2791</v>
      </c>
      <c r="B142" s="336" t="s">
        <v>243</v>
      </c>
      <c r="C142" s="336" t="s">
        <v>162</v>
      </c>
      <c r="D142" s="483">
        <f t="shared" ref="D142:O142" si="56">IFERROR(IF($B142="FRANQUEADORA",(AVERAGE($D56:D56)/3+(0.2+0.058+0.01+0.005)*(AVERAGE($D56:D56)/3)+0.08*(AVERAGE($D56:D56)/3))/12,(AVERAGE($D56:D56)/3+0.08*(AVERAGE($D56:D56)/3))/12),"")</f>
        <v>109.88250000000001</v>
      </c>
      <c r="E142" s="483">
        <f t="shared" si="56"/>
        <v>109.88250000000001</v>
      </c>
      <c r="F142" s="483">
        <f t="shared" si="56"/>
        <v>109.88250000000001</v>
      </c>
      <c r="G142" s="483">
        <f t="shared" si="56"/>
        <v>109.88250000000001</v>
      </c>
      <c r="H142" s="483">
        <f t="shared" si="56"/>
        <v>109.88250000000001</v>
      </c>
      <c r="I142" s="483">
        <f t="shared" si="56"/>
        <v>109.88250000000001</v>
      </c>
      <c r="J142" s="483">
        <f t="shared" si="56"/>
        <v>109.88250000000001</v>
      </c>
      <c r="K142" s="483">
        <f t="shared" si="56"/>
        <v>109.88250000000001</v>
      </c>
      <c r="L142" s="483">
        <f t="shared" si="56"/>
        <v>109.88250000000001</v>
      </c>
      <c r="M142" s="483">
        <f t="shared" si="56"/>
        <v>109.88250000000001</v>
      </c>
      <c r="N142" s="483">
        <f t="shared" si="56"/>
        <v>109.88250000000001</v>
      </c>
      <c r="O142" s="483">
        <f t="shared" si="56"/>
        <v>109.88250000000001</v>
      </c>
      <c r="P142" s="674">
        <f t="shared" si="10"/>
        <v>1318.5900000000001</v>
      </c>
    </row>
    <row r="143" spans="1:16" hidden="1" outlineLevel="1">
      <c r="A143" s="689" t="s">
        <v>3268</v>
      </c>
      <c r="B143" s="336" t="s">
        <v>3227</v>
      </c>
      <c r="C143" s="657" t="s">
        <v>162</v>
      </c>
      <c r="D143" s="483"/>
      <c r="E143" s="483"/>
      <c r="F143" s="483"/>
      <c r="G143" s="483"/>
      <c r="H143" s="483"/>
      <c r="I143" s="483"/>
      <c r="J143" s="483"/>
      <c r="K143" s="483"/>
      <c r="L143" s="483"/>
      <c r="M143" s="483"/>
      <c r="N143" s="483"/>
      <c r="O143" s="483"/>
      <c r="P143" s="674">
        <f t="shared" si="10"/>
        <v>0</v>
      </c>
    </row>
    <row r="144" spans="1:16" hidden="1" outlineLevel="1">
      <c r="A144" s="683" t="s">
        <v>3269</v>
      </c>
      <c r="B144" s="336" t="s">
        <v>3227</v>
      </c>
      <c r="C144" s="657" t="s">
        <v>162</v>
      </c>
      <c r="D144" s="483"/>
      <c r="E144" s="483"/>
      <c r="F144" s="483"/>
      <c r="G144" s="483"/>
      <c r="H144" s="483"/>
      <c r="I144" s="483"/>
      <c r="J144" s="697">
        <f t="shared" ref="J144:O144" si="57">IFERROR(IF($B144="FRANQUEADORA",(AVERAGE($J58:J58)/3+(0.2+0.058+0.01+0.005)*(AVERAGE(J58:JI58)/3)+0.08*(AVERAGE($J58:J58)/3))/12,(AVERAGE($J58:J58)/3+0.08*(AVERAGE($J58:J58)/3))/12),"")</f>
        <v>168.2489325</v>
      </c>
      <c r="K144" s="483">
        <f t="shared" si="57"/>
        <v>168.2489325</v>
      </c>
      <c r="L144" s="483" t="str">
        <f t="shared" si="57"/>
        <v/>
      </c>
      <c r="M144" s="483" t="str">
        <f t="shared" si="57"/>
        <v/>
      </c>
      <c r="N144" s="483" t="str">
        <f t="shared" si="57"/>
        <v/>
      </c>
      <c r="O144" s="483" t="str">
        <f t="shared" si="57"/>
        <v/>
      </c>
      <c r="P144" s="674">
        <f t="shared" si="10"/>
        <v>336.49786499999999</v>
      </c>
    </row>
    <row r="145" spans="1:16" hidden="1" outlineLevel="1">
      <c r="A145" s="690" t="s">
        <v>3270</v>
      </c>
      <c r="B145" s="336" t="s">
        <v>3227</v>
      </c>
      <c r="C145" s="657" t="s">
        <v>143</v>
      </c>
      <c r="D145" s="483">
        <f t="shared" ref="D145:O145" si="58">IFERROR(IF($B145="FRANQUEADORA",(AVERAGE($D59:D59)/3+(0.2+0.058+0.01+0.005)*(AVERAGE($D59:D59)/3)+0.08*(AVERAGE($D59:D59)/3))/12,(AVERAGE($D59:D59)/3+0.08*(AVERAGE($D59:D59)/3))/12),"")</f>
        <v>127.01437833333334</v>
      </c>
      <c r="E145" s="483">
        <f t="shared" si="58"/>
        <v>127.01437833333334</v>
      </c>
      <c r="F145" s="483">
        <f t="shared" si="58"/>
        <v>127.0143783333333</v>
      </c>
      <c r="G145" s="483">
        <f t="shared" si="58"/>
        <v>127.01437833333334</v>
      </c>
      <c r="H145" s="483">
        <f t="shared" si="58"/>
        <v>127.01437833333334</v>
      </c>
      <c r="I145" s="483">
        <f t="shared" si="58"/>
        <v>127.01437833333335</v>
      </c>
      <c r="J145" s="483">
        <f t="shared" si="58"/>
        <v>127.01437833333335</v>
      </c>
      <c r="K145" s="483">
        <f t="shared" si="58"/>
        <v>127.01437833333335</v>
      </c>
      <c r="L145" s="483">
        <f t="shared" si="58"/>
        <v>127.01437833333335</v>
      </c>
      <c r="M145" s="483">
        <f t="shared" si="58"/>
        <v>127.01437833333335</v>
      </c>
      <c r="N145" s="483">
        <f t="shared" si="58"/>
        <v>127.01437833333335</v>
      </c>
      <c r="O145" s="483">
        <f t="shared" si="58"/>
        <v>127.01437833333335</v>
      </c>
      <c r="P145" s="674">
        <f t="shared" si="10"/>
        <v>1524.1725399999998</v>
      </c>
    </row>
    <row r="146" spans="1:16" hidden="1" outlineLevel="1">
      <c r="A146" s="690" t="s">
        <v>3271</v>
      </c>
      <c r="B146" s="336" t="s">
        <v>3227</v>
      </c>
      <c r="C146" s="657" t="s">
        <v>143</v>
      </c>
      <c r="D146" s="483">
        <f t="shared" ref="D146:O146" si="59">IFERROR(IF($B146="FRANQUEADORA",(AVERAGE($D60:D60)/3+(0.2+0.058+0.01+0.005)*(AVERAGE($D60:D60)/3)+0.08*(AVERAGE($D60:D60)/3))/12,(AVERAGE($D60:D60)/3+0.08*(AVERAGE($D60:D60)/3))/12),"")</f>
        <v>122.36306500000001</v>
      </c>
      <c r="E146" s="483">
        <f t="shared" si="59"/>
        <v>122.36306500000001</v>
      </c>
      <c r="F146" s="483">
        <f t="shared" si="59"/>
        <v>122.36306500000001</v>
      </c>
      <c r="G146" s="483">
        <f t="shared" si="59"/>
        <v>122.36306500000001</v>
      </c>
      <c r="H146" s="483">
        <f t="shared" si="59"/>
        <v>125.42212283333338</v>
      </c>
      <c r="I146" s="483">
        <f t="shared" si="59"/>
        <v>127.46149472222224</v>
      </c>
      <c r="J146" s="483">
        <f t="shared" si="59"/>
        <v>128.91818892857145</v>
      </c>
      <c r="K146" s="483">
        <f t="shared" si="59"/>
        <v>130.01070958333335</v>
      </c>
      <c r="L146" s="483">
        <f t="shared" si="59"/>
        <v>130.01070958333335</v>
      </c>
      <c r="M146" s="483">
        <f t="shared" si="59"/>
        <v>130.01070958333335</v>
      </c>
      <c r="N146" s="483">
        <f t="shared" si="59"/>
        <v>130.01070958333335</v>
      </c>
      <c r="O146" s="483">
        <f t="shared" si="59"/>
        <v>130.01070958333335</v>
      </c>
      <c r="P146" s="674">
        <f t="shared" si="10"/>
        <v>1521.3076144007941</v>
      </c>
    </row>
    <row r="147" spans="1:16" hidden="1" outlineLevel="1">
      <c r="A147" s="690" t="s">
        <v>3272</v>
      </c>
      <c r="B147" s="336" t="s">
        <v>3227</v>
      </c>
      <c r="C147" s="657" t="s">
        <v>143</v>
      </c>
      <c r="D147" s="483">
        <f t="shared" ref="D147:O147" si="60">IFERROR(IF($B147="FRANQUEADORA",(AVERAGE($D61:D61)/3+(0.2+0.058+0.01+0.005)*(AVERAGE($D61:D61)/3)+0.08*(AVERAGE($D61:D61)/3))/12,(AVERAGE($D61:D61)/3+0.08*(AVERAGE($D61:D61)/3))/12),"")</f>
        <v>93.215310833333334</v>
      </c>
      <c r="E147" s="483">
        <f t="shared" si="60"/>
        <v>93.215310833333334</v>
      </c>
      <c r="F147" s="483">
        <f t="shared" si="60"/>
        <v>93.215310833333334</v>
      </c>
      <c r="G147" s="483">
        <f t="shared" si="60"/>
        <v>93.215310833333334</v>
      </c>
      <c r="H147" s="483">
        <f t="shared" si="60"/>
        <v>93.215310833333334</v>
      </c>
      <c r="I147" s="483">
        <f t="shared" si="60"/>
        <v>93.215310833333334</v>
      </c>
      <c r="J147" s="483">
        <f t="shared" si="60"/>
        <v>94.744630357142867</v>
      </c>
      <c r="K147" s="483">
        <f t="shared" si="60"/>
        <v>95.891619999999989</v>
      </c>
      <c r="L147" s="483">
        <f t="shared" si="60"/>
        <v>95.891619999999989</v>
      </c>
      <c r="M147" s="483">
        <f t="shared" si="60"/>
        <v>95.891619999999989</v>
      </c>
      <c r="N147" s="483">
        <f t="shared" si="60"/>
        <v>95.891619999999989</v>
      </c>
      <c r="O147" s="483">
        <f t="shared" si="60"/>
        <v>95.891619999999989</v>
      </c>
      <c r="P147" s="674">
        <f t="shared" si="10"/>
        <v>1133.4945953571428</v>
      </c>
    </row>
    <row r="148" spans="1:16" hidden="1" outlineLevel="1">
      <c r="A148" s="691" t="s">
        <v>3273</v>
      </c>
      <c r="B148" s="336" t="s">
        <v>3227</v>
      </c>
      <c r="C148" s="657" t="s">
        <v>143</v>
      </c>
      <c r="D148" s="483">
        <f t="shared" ref="D148:I148" si="61">IFERROR(IF($B148="FRANQUEADORA",(AVERAGE($D62:D62)/3+(0.2+0.058+0.01+0.005)*(AVERAGE($D62:D62)/3)+0.08*(AVERAGE($D62:D62)/3))/12,(AVERAGE($D62:D62)/3+0.08*(AVERAGE($D62:D62)/3))/12),"")</f>
        <v>157.07277666666664</v>
      </c>
      <c r="E148" s="483">
        <f t="shared" si="61"/>
        <v>157.07277666666664</v>
      </c>
      <c r="F148" s="483">
        <f t="shared" si="61"/>
        <v>157.07277666666664</v>
      </c>
      <c r="G148" s="483">
        <f t="shared" si="61"/>
        <v>157.07277666666664</v>
      </c>
      <c r="H148" s="483">
        <f t="shared" si="61"/>
        <v>157.07277666666664</v>
      </c>
      <c r="I148" s="483">
        <f t="shared" si="61"/>
        <v>157.07277666666664</v>
      </c>
      <c r="J148" s="483"/>
      <c r="K148" s="483"/>
      <c r="L148" s="483"/>
      <c r="M148" s="483"/>
      <c r="N148" s="483"/>
      <c r="O148" s="483"/>
      <c r="P148" s="674">
        <f t="shared" si="10"/>
        <v>942.43665999999985</v>
      </c>
    </row>
    <row r="149" spans="1:16" hidden="1" outlineLevel="1">
      <c r="A149" s="690" t="s">
        <v>1643</v>
      </c>
      <c r="B149" s="336" t="s">
        <v>3227</v>
      </c>
      <c r="C149" s="657" t="s">
        <v>143</v>
      </c>
      <c r="D149" s="483">
        <f t="shared" ref="D149:O149" si="62">IFERROR(IF($B149="FRANQUEADORA",(AVERAGE($D63:D63)/3+(0.2+0.058+0.01+0.005)*(AVERAGE($D63:D63)/3)+0.08*(AVERAGE($D63:D63)/3))/12,(AVERAGE($D63:D63)/3+0.08*(AVERAGE($D63:D63)/3))/12),"")</f>
        <v>96.838720000000009</v>
      </c>
      <c r="E149" s="483">
        <f t="shared" si="62"/>
        <v>96.838720000000009</v>
      </c>
      <c r="F149" s="483">
        <f t="shared" si="62"/>
        <v>96.838720000000009</v>
      </c>
      <c r="G149" s="483">
        <f t="shared" si="62"/>
        <v>96.838720000000009</v>
      </c>
      <c r="H149" s="483">
        <f t="shared" si="62"/>
        <v>96.838720000000009</v>
      </c>
      <c r="I149" s="483">
        <f t="shared" si="62"/>
        <v>96.838720000000009</v>
      </c>
      <c r="J149" s="483">
        <f t="shared" si="62"/>
        <v>96.838720000000009</v>
      </c>
      <c r="K149" s="483">
        <f t="shared" si="62"/>
        <v>96.838720000000009</v>
      </c>
      <c r="L149" s="483">
        <f t="shared" si="62"/>
        <v>96.838720000000009</v>
      </c>
      <c r="M149" s="483">
        <f t="shared" si="62"/>
        <v>96.838720000000009</v>
      </c>
      <c r="N149" s="483">
        <f t="shared" si="62"/>
        <v>96.838720000000009</v>
      </c>
      <c r="O149" s="483">
        <f t="shared" si="62"/>
        <v>96.838720000000009</v>
      </c>
      <c r="P149" s="674">
        <f t="shared" si="10"/>
        <v>1162.0646399999998</v>
      </c>
    </row>
    <row r="150" spans="1:16" hidden="1" outlineLevel="1">
      <c r="A150" s="690" t="s">
        <v>3274</v>
      </c>
      <c r="B150" s="336" t="s">
        <v>3227</v>
      </c>
      <c r="C150" s="657" t="s">
        <v>143</v>
      </c>
      <c r="D150" s="483">
        <f t="shared" ref="D150:O150" si="63">IFERROR(IF($B150="FRANQUEADORA",(AVERAGE($D64:D64)/3+(0.2+0.058+0.01+0.005)*(AVERAGE($D64:D64)/3)+0.08*(AVERAGE($D64:D64)/3))/12,(AVERAGE($D64:D64)/3+0.08*(AVERAGE($D64:D64)/3))/12),"")</f>
        <v>101.68960083333333</v>
      </c>
      <c r="E150" s="483">
        <f t="shared" si="63"/>
        <v>101.68960083333333</v>
      </c>
      <c r="F150" s="483">
        <f t="shared" si="63"/>
        <v>101.68960083333333</v>
      </c>
      <c r="G150" s="483">
        <f t="shared" si="63"/>
        <v>108.02079520833333</v>
      </c>
      <c r="H150" s="483">
        <f t="shared" si="63"/>
        <v>111.81951183333332</v>
      </c>
      <c r="I150" s="483">
        <f t="shared" si="63"/>
        <v>114.35198958333335</v>
      </c>
      <c r="J150" s="483">
        <f t="shared" si="63"/>
        <v>116.16090226190477</v>
      </c>
      <c r="K150" s="483">
        <f t="shared" si="63"/>
        <v>117.51758677083332</v>
      </c>
      <c r="L150" s="483">
        <f t="shared" si="63"/>
        <v>117.51758677083332</v>
      </c>
      <c r="M150" s="483">
        <f t="shared" si="63"/>
        <v>117.51758677083332</v>
      </c>
      <c r="N150" s="483">
        <f t="shared" si="63"/>
        <v>117.51758677083332</v>
      </c>
      <c r="O150" s="483">
        <f t="shared" si="63"/>
        <v>117.51758677083332</v>
      </c>
      <c r="P150" s="674">
        <f t="shared" si="10"/>
        <v>1343.0099352410714</v>
      </c>
    </row>
    <row r="151" spans="1:16" hidden="1" outlineLevel="1">
      <c r="A151" s="692" t="s">
        <v>3275</v>
      </c>
      <c r="B151" s="336" t="s">
        <v>3227</v>
      </c>
      <c r="C151" s="657" t="s">
        <v>143</v>
      </c>
      <c r="D151" s="483">
        <f t="shared" ref="D151:K151" si="64">IFERROR(IF($B151="FRANQUEADORA",(AVERAGE($D65:D65)/3+(0.2+0.058+0.01+0.005)*(AVERAGE($D65:D65)/3)+0.08*(AVERAGE($D65:D65)/3))/12,(AVERAGE($D65:D65)/3+0.08*(AVERAGE($D65:D65)/3))/12),"")</f>
        <v>103.92054750000001</v>
      </c>
      <c r="E151" s="483">
        <f t="shared" si="64"/>
        <v>103.92054750000001</v>
      </c>
      <c r="F151" s="483">
        <f t="shared" si="64"/>
        <v>103.92054750000001</v>
      </c>
      <c r="G151" s="483">
        <f t="shared" si="64"/>
        <v>103.92054750000001</v>
      </c>
      <c r="H151" s="483">
        <f t="shared" si="64"/>
        <v>103.92054750000001</v>
      </c>
      <c r="I151" s="483">
        <f t="shared" si="64"/>
        <v>103.92054750000001</v>
      </c>
      <c r="J151" s="483">
        <f t="shared" si="64"/>
        <v>103.92054750000001</v>
      </c>
      <c r="K151" s="483">
        <f t="shared" si="64"/>
        <v>103.92054750000001</v>
      </c>
      <c r="L151" s="698"/>
      <c r="M151" s="698"/>
      <c r="N151" s="698"/>
      <c r="O151" s="698"/>
      <c r="P151" s="674">
        <f t="shared" si="10"/>
        <v>831.3643800000001</v>
      </c>
    </row>
    <row r="152" spans="1:16" hidden="1" outlineLevel="1">
      <c r="A152" s="690" t="s">
        <v>3276</v>
      </c>
      <c r="B152" s="336" t="s">
        <v>243</v>
      </c>
      <c r="C152" s="657" t="s">
        <v>143</v>
      </c>
      <c r="D152" s="483">
        <f t="shared" ref="D152:O152" si="65">IFERROR(IF($B152="FRANQUEADORA",(AVERAGE($D66:D66)/3+(0.2+0.058+0.01+0.005)*(AVERAGE($D66:D66)/3)+0.08*(AVERAGE($D66:D66)/3))/12,(AVERAGE($D66:D66)/3+0.08*(AVERAGE($D66:D66)/3))/12),"")</f>
        <v>134.30069999999998</v>
      </c>
      <c r="E152" s="483">
        <f t="shared" si="65"/>
        <v>134.30069999999998</v>
      </c>
      <c r="F152" s="483">
        <f t="shared" si="65"/>
        <v>134.30069999999998</v>
      </c>
      <c r="G152" s="483">
        <f t="shared" si="65"/>
        <v>134.30069999999998</v>
      </c>
      <c r="H152" s="483">
        <f t="shared" si="65"/>
        <v>137.22929999999999</v>
      </c>
      <c r="I152" s="483">
        <f t="shared" si="65"/>
        <v>139.18170000000001</v>
      </c>
      <c r="J152" s="483">
        <f t="shared" si="65"/>
        <v>140.5762714285714</v>
      </c>
      <c r="K152" s="483">
        <f t="shared" si="65"/>
        <v>141.62219999999999</v>
      </c>
      <c r="L152" s="483">
        <f t="shared" si="65"/>
        <v>141.62219999999999</v>
      </c>
      <c r="M152" s="483">
        <f t="shared" si="65"/>
        <v>141.62219999999999</v>
      </c>
      <c r="N152" s="483">
        <f t="shared" si="65"/>
        <v>141.62219999999999</v>
      </c>
      <c r="O152" s="483">
        <f t="shared" si="65"/>
        <v>141.62219999999999</v>
      </c>
      <c r="P152" s="674">
        <f t="shared" si="10"/>
        <v>1662.3010714285713</v>
      </c>
    </row>
    <row r="153" spans="1:16" hidden="1" outlineLevel="1">
      <c r="A153" s="690" t="s">
        <v>3277</v>
      </c>
      <c r="B153" s="336" t="s">
        <v>3227</v>
      </c>
      <c r="C153" s="657" t="s">
        <v>143</v>
      </c>
      <c r="D153" s="483">
        <f t="shared" ref="D153:O153" si="66">IFERROR(IF($B153="FRANQUEADORA",(AVERAGE($D67:D67)/3+(0.2+0.058+0.01+0.005)*(AVERAGE($D67:D67)/3)+0.08*(AVERAGE($D67:D67)/3))/12,(AVERAGE($D67:D67)/3+0.08*(AVERAGE($D67:D67)/3))/12),"")</f>
        <v>65.681009166666669</v>
      </c>
      <c r="E153" s="483">
        <f t="shared" si="66"/>
        <v>65.681009166666669</v>
      </c>
      <c r="F153" s="483">
        <f t="shared" si="66"/>
        <v>65.681009166666669</v>
      </c>
      <c r="G153" s="483">
        <f t="shared" si="66"/>
        <v>65.681009166666669</v>
      </c>
      <c r="H153" s="483">
        <f t="shared" si="66"/>
        <v>65.681009166666669</v>
      </c>
      <c r="I153" s="483">
        <f t="shared" si="66"/>
        <v>65.681009166666669</v>
      </c>
      <c r="J153" s="483">
        <f t="shared" si="66"/>
        <v>65.681009166666669</v>
      </c>
      <c r="K153" s="483">
        <f t="shared" si="66"/>
        <v>65.681009166666669</v>
      </c>
      <c r="L153" s="483">
        <f t="shared" si="66"/>
        <v>65.681009166666669</v>
      </c>
      <c r="M153" s="483">
        <f t="shared" si="66"/>
        <v>65.681009166666669</v>
      </c>
      <c r="N153" s="483">
        <f t="shared" si="66"/>
        <v>65.681009166666669</v>
      </c>
      <c r="O153" s="483">
        <f t="shared" si="66"/>
        <v>65.681009166666669</v>
      </c>
      <c r="P153" s="674">
        <f t="shared" si="10"/>
        <v>788.17210999999986</v>
      </c>
    </row>
    <row r="154" spans="1:16" hidden="1" outlineLevel="1">
      <c r="A154" s="683" t="s">
        <v>3278</v>
      </c>
      <c r="B154" s="336" t="s">
        <v>3227</v>
      </c>
      <c r="C154" s="657" t="s">
        <v>143</v>
      </c>
      <c r="D154" s="483">
        <f>IFERROR(IF($B154="FRANQUEADORA",(AVERAGE($D68:D68)/3+(0.2+0.058+0.01+0.005)*(AVERAGE($D68:D68)/3)+0.08*(AVERAGE($D68:D68)/3))/12,(AVERAGE($D68:D68)/3+0.08*(AVERAGE($D68:D68)/3))/12),"")</f>
        <v>0</v>
      </c>
      <c r="E154" s="697">
        <f t="shared" ref="E154:O154" si="67">IFERROR(IF($B154="FRANQUEADORA",(AVERAGE($E68:E68)/3+(0.2+0.058+0.01+0.005)*(AVERAGE($E68:E68)/3)+0.08*(AVERAGE($E68:E68)/3))/12,(AVERAGE($E68:E68)/3+0.08*(AVERAGE($E68:E68)/3))/12),"")</f>
        <v>115.46727500000003</v>
      </c>
      <c r="F154" s="483">
        <f t="shared" si="67"/>
        <v>115.46727500000003</v>
      </c>
      <c r="G154" s="483">
        <f t="shared" si="67"/>
        <v>115.46727500000003</v>
      </c>
      <c r="H154" s="483">
        <f t="shared" si="67"/>
        <v>115.46727500000003</v>
      </c>
      <c r="I154" s="483">
        <f t="shared" si="67"/>
        <v>115.46727500000003</v>
      </c>
      <c r="J154" s="483">
        <f t="shared" si="67"/>
        <v>115.46727499999997</v>
      </c>
      <c r="K154" s="483">
        <f t="shared" si="67"/>
        <v>115.46727499999997</v>
      </c>
      <c r="L154" s="483">
        <f t="shared" si="67"/>
        <v>115.46727499999997</v>
      </c>
      <c r="M154" s="483">
        <f t="shared" si="67"/>
        <v>115.46727499999997</v>
      </c>
      <c r="N154" s="483">
        <f t="shared" si="67"/>
        <v>115.46727499999997</v>
      </c>
      <c r="O154" s="483">
        <f t="shared" si="67"/>
        <v>115.46727499999997</v>
      </c>
      <c r="P154" s="674">
        <f t="shared" si="10"/>
        <v>1270.1400249999999</v>
      </c>
    </row>
    <row r="155" spans="1:16" hidden="1" outlineLevel="1">
      <c r="A155" s="683" t="s">
        <v>3279</v>
      </c>
      <c r="B155" s="336" t="s">
        <v>3227</v>
      </c>
      <c r="C155" s="657" t="s">
        <v>143</v>
      </c>
      <c r="D155" s="483"/>
      <c r="E155" s="483"/>
      <c r="F155" s="483"/>
      <c r="G155" s="483"/>
      <c r="H155" s="483"/>
      <c r="I155" s="697">
        <f t="shared" ref="I155:O155" si="68">IFERROR(IF($B155="FRANQUEADORA",(AVERAGE($I69:I69)/3+(0.2+0.058+0.01+0.005)*(AVERAGE($I69:I69)/3)+0.08*(AVERAGE($I69:I69)/3))/12,(AVERAGE($I69:I69)/3+0.08*(AVERAGE($I69:I69)/3))/12),"")</f>
        <v>191.97792166666667</v>
      </c>
      <c r="J155" s="483">
        <f t="shared" si="68"/>
        <v>191.97792166666667</v>
      </c>
      <c r="K155" s="483">
        <f t="shared" si="68"/>
        <v>191.97792166666667</v>
      </c>
      <c r="L155" s="483">
        <f t="shared" si="68"/>
        <v>191.97792166666667</v>
      </c>
      <c r="M155" s="483">
        <f t="shared" si="68"/>
        <v>191.97792166666667</v>
      </c>
      <c r="N155" s="483">
        <f t="shared" si="68"/>
        <v>191.97792166666667</v>
      </c>
      <c r="O155" s="483">
        <f t="shared" si="68"/>
        <v>191.97792166666667</v>
      </c>
      <c r="P155" s="674">
        <f t="shared" si="10"/>
        <v>1343.8454516666666</v>
      </c>
    </row>
    <row r="156" spans="1:16" hidden="1" outlineLevel="1">
      <c r="A156" s="679" t="s">
        <v>3280</v>
      </c>
      <c r="B156" s="336" t="s">
        <v>3227</v>
      </c>
      <c r="C156" s="657" t="s">
        <v>159</v>
      </c>
      <c r="D156" s="483">
        <f t="shared" ref="D156:E156" si="69">IFERROR(IF($B156="FRANQUEADORA",(AVERAGE($D70:D70)/3+(0.2+0.058+0.01+0.005)*(AVERAGE($D70:D70)/3)+0.08*(AVERAGE($D70:D70)/3))/12,(AVERAGE($D70:D70)/3+0.08*(AVERAGE($D70:D70)/3))/12),"")</f>
        <v>201.37864083333332</v>
      </c>
      <c r="E156" s="483">
        <f t="shared" si="69"/>
        <v>201.37864083333332</v>
      </c>
      <c r="F156" s="483"/>
      <c r="G156" s="483"/>
      <c r="H156" s="483"/>
      <c r="I156" s="483"/>
      <c r="J156" s="483"/>
      <c r="K156" s="483"/>
      <c r="L156" s="483"/>
      <c r="M156" s="483"/>
      <c r="N156" s="483"/>
      <c r="O156" s="483"/>
      <c r="P156" s="674">
        <f t="shared" si="10"/>
        <v>402.75728166666664</v>
      </c>
    </row>
    <row r="157" spans="1:16" hidden="1" outlineLevel="1">
      <c r="A157" s="670" t="s">
        <v>3281</v>
      </c>
      <c r="B157" s="336" t="s">
        <v>3227</v>
      </c>
      <c r="C157" s="657" t="s">
        <v>159</v>
      </c>
      <c r="D157" s="483">
        <f t="shared" ref="D157:O157" si="70">IFERROR(IF($B157="FRANQUEADORA",(AVERAGE($D71:D71)/3+(0.2+0.058+0.01+0.005)*(AVERAGE($D71:D71)/3)+0.08*(AVERAGE($D71:D71)/3))/12,(AVERAGE($D71:D71)/3+0.08*(AVERAGE($D71:D71)/3))/12),"")</f>
        <v>84.741020833333337</v>
      </c>
      <c r="E157" s="483">
        <f t="shared" si="70"/>
        <v>84.741020833333337</v>
      </c>
      <c r="F157" s="483">
        <f t="shared" si="70"/>
        <v>84.741020833333337</v>
      </c>
      <c r="G157" s="483">
        <f t="shared" si="70"/>
        <v>84.741020833333337</v>
      </c>
      <c r="H157" s="483">
        <f t="shared" si="70"/>
        <v>88.576926166666667</v>
      </c>
      <c r="I157" s="483">
        <f t="shared" si="70"/>
        <v>91.134196388888896</v>
      </c>
      <c r="J157" s="483">
        <f t="shared" si="70"/>
        <v>92.960817976190469</v>
      </c>
      <c r="K157" s="483">
        <f t="shared" si="70"/>
        <v>94.33078416666666</v>
      </c>
      <c r="L157" s="483">
        <f t="shared" si="70"/>
        <v>94.33078416666666</v>
      </c>
      <c r="M157" s="483">
        <f t="shared" si="70"/>
        <v>94.33078416666666</v>
      </c>
      <c r="N157" s="483">
        <f t="shared" si="70"/>
        <v>94.33078416666666</v>
      </c>
      <c r="O157" s="483">
        <f t="shared" si="70"/>
        <v>94.33078416666666</v>
      </c>
      <c r="P157" s="674">
        <f t="shared" si="10"/>
        <v>1083.2899446984129</v>
      </c>
    </row>
    <row r="158" spans="1:16" hidden="1" outlineLevel="1">
      <c r="A158" s="670" t="s">
        <v>3282</v>
      </c>
      <c r="B158" s="336" t="s">
        <v>3227</v>
      </c>
      <c r="C158" s="657" t="s">
        <v>159</v>
      </c>
      <c r="D158" s="483">
        <f t="shared" ref="D158:O158" si="71">IFERROR(IF($B158="FRANQUEADORA",(AVERAGE($D72:D72)/3+(0.2+0.058+0.01+0.005)*(AVERAGE($D72:D72)/3)+0.08*(AVERAGE($D72:D72)/3))/12,(AVERAGE($D72:D72)/3+0.08*(AVERAGE($D72:D72)/3))/12),"")</f>
        <v>179.0030275</v>
      </c>
      <c r="E158" s="483">
        <f t="shared" si="71"/>
        <v>179.0030275</v>
      </c>
      <c r="F158" s="483">
        <f t="shared" si="71"/>
        <v>179.0030275</v>
      </c>
      <c r="G158" s="483">
        <f t="shared" si="71"/>
        <v>179.0030275</v>
      </c>
      <c r="H158" s="483">
        <f t="shared" si="71"/>
        <v>179.0030275</v>
      </c>
      <c r="I158" s="483">
        <f t="shared" si="71"/>
        <v>179.00302750000003</v>
      </c>
      <c r="J158" s="483">
        <f t="shared" si="71"/>
        <v>179.00302750000003</v>
      </c>
      <c r="K158" s="483">
        <f t="shared" si="71"/>
        <v>179.00302750000003</v>
      </c>
      <c r="L158" s="483">
        <f t="shared" si="71"/>
        <v>179.00302750000003</v>
      </c>
      <c r="M158" s="483">
        <f t="shared" si="71"/>
        <v>179.00302750000003</v>
      </c>
      <c r="N158" s="483">
        <f t="shared" si="71"/>
        <v>179.00302750000003</v>
      </c>
      <c r="O158" s="483">
        <f t="shared" si="71"/>
        <v>179.00302750000003</v>
      </c>
      <c r="P158" s="674">
        <f t="shared" si="10"/>
        <v>2148.0363299999995</v>
      </c>
    </row>
    <row r="159" spans="1:16" hidden="1" outlineLevel="1">
      <c r="A159" s="670" t="s">
        <v>3283</v>
      </c>
      <c r="B159" s="336" t="s">
        <v>3227</v>
      </c>
      <c r="C159" s="657" t="s">
        <v>159</v>
      </c>
      <c r="D159" s="483">
        <f t="shared" ref="D159:O159" si="72">IFERROR(IF($B159="FRANQUEADORA",(AVERAGE($D73:D73)/3+(0.2+0.058+0.01+0.005)*(AVERAGE($D73:D73)/3)+0.08*(AVERAGE($D73:D73)/3))/12,(AVERAGE($D73:D73)/3+0.08*(AVERAGE($D73:D73)/3))/12),"")</f>
        <v>152.95364333333333</v>
      </c>
      <c r="E159" s="483">
        <f t="shared" si="72"/>
        <v>168.24912041666667</v>
      </c>
      <c r="F159" s="483">
        <f t="shared" si="72"/>
        <v>173.34761277777781</v>
      </c>
      <c r="G159" s="483">
        <f t="shared" si="72"/>
        <v>175.89685895833335</v>
      </c>
      <c r="H159" s="483">
        <f t="shared" si="72"/>
        <v>177.42640666666668</v>
      </c>
      <c r="I159" s="483">
        <f t="shared" si="72"/>
        <v>178.4461051388889</v>
      </c>
      <c r="J159" s="483">
        <f t="shared" si="72"/>
        <v>179.17446119047614</v>
      </c>
      <c r="K159" s="483">
        <f t="shared" si="72"/>
        <v>179.72072822916664</v>
      </c>
      <c r="L159" s="483">
        <f t="shared" si="72"/>
        <v>179.72072822916664</v>
      </c>
      <c r="M159" s="483">
        <f t="shared" si="72"/>
        <v>179.72072822916664</v>
      </c>
      <c r="N159" s="483">
        <f t="shared" si="72"/>
        <v>179.72072822916664</v>
      </c>
      <c r="O159" s="483">
        <f t="shared" si="72"/>
        <v>179.72072822916664</v>
      </c>
      <c r="P159" s="674">
        <f t="shared" si="10"/>
        <v>2104.0978496279758</v>
      </c>
    </row>
    <row r="160" spans="1:16" hidden="1" outlineLevel="1">
      <c r="A160" s="679" t="s">
        <v>3284</v>
      </c>
      <c r="B160" s="336" t="s">
        <v>3227</v>
      </c>
      <c r="C160" s="657" t="s">
        <v>159</v>
      </c>
      <c r="D160" s="483">
        <f t="shared" ref="D160:F160" si="73">IFERROR(IF($B160="FRANQUEADORA",(AVERAGE($D74:D74)/3+(0.2+0.058+0.01+0.005)*(AVERAGE($D74:D74)/3)+0.08*(AVERAGE($D74:D74)/3))/12,(AVERAGE($D74:D74)/3+0.08*(AVERAGE($D74:D74)/3))/12),"")</f>
        <v>92.374195833333332</v>
      </c>
      <c r="E160" s="483">
        <f t="shared" si="73"/>
        <v>92.374195833333332</v>
      </c>
      <c r="F160" s="483">
        <f t="shared" si="73"/>
        <v>92.374195833333332</v>
      </c>
      <c r="G160" s="483"/>
      <c r="H160" s="483"/>
      <c r="I160" s="483"/>
      <c r="J160" s="483"/>
      <c r="K160" s="483"/>
      <c r="L160" s="483"/>
      <c r="M160" s="483"/>
      <c r="N160" s="483"/>
      <c r="O160" s="483"/>
      <c r="P160" s="674">
        <f t="shared" si="10"/>
        <v>277.12258750000001</v>
      </c>
    </row>
    <row r="161" spans="1:16" hidden="1" outlineLevel="1">
      <c r="A161" s="670" t="s">
        <v>3285</v>
      </c>
      <c r="B161" s="336" t="s">
        <v>3227</v>
      </c>
      <c r="C161" s="657" t="s">
        <v>159</v>
      </c>
      <c r="D161" s="483">
        <f t="shared" ref="D161:O161" si="74">IFERROR(IF($B161="FRANQUEADORA",(AVERAGE($D75:D75)/3+(0.2+0.058+0.01+0.005)*(AVERAGE($D75:D75)/3)+0.08*(AVERAGE($D75:D75)/3))/12,(AVERAGE($D75:D75)/3+0.08*(AVERAGE($D75:D75)/3))/12),"")</f>
        <v>209.91719833333332</v>
      </c>
      <c r="E161" s="483">
        <f t="shared" si="74"/>
        <v>209.91719833333332</v>
      </c>
      <c r="F161" s="483">
        <f t="shared" si="74"/>
        <v>209.91719833333332</v>
      </c>
      <c r="G161" s="483">
        <f t="shared" si="74"/>
        <v>209.91719833333332</v>
      </c>
      <c r="H161" s="483">
        <f t="shared" si="74"/>
        <v>209.91719833333332</v>
      </c>
      <c r="I161" s="483">
        <f t="shared" si="74"/>
        <v>209.91719833333332</v>
      </c>
      <c r="J161" s="483">
        <f t="shared" si="74"/>
        <v>209.91719833333332</v>
      </c>
      <c r="K161" s="483">
        <f t="shared" si="74"/>
        <v>215.74787666666666</v>
      </c>
      <c r="L161" s="483">
        <f t="shared" si="74"/>
        <v>215.74787666666666</v>
      </c>
      <c r="M161" s="483">
        <f t="shared" si="74"/>
        <v>215.74787666666666</v>
      </c>
      <c r="N161" s="483">
        <f t="shared" si="74"/>
        <v>215.74787666666666</v>
      </c>
      <c r="O161" s="483">
        <f t="shared" si="74"/>
        <v>215.74787666666666</v>
      </c>
      <c r="P161" s="674">
        <f t="shared" si="10"/>
        <v>2548.1597716666665</v>
      </c>
    </row>
    <row r="162" spans="1:16" hidden="1" outlineLevel="1">
      <c r="A162" s="686" t="s">
        <v>3286</v>
      </c>
      <c r="B162" s="336" t="s">
        <v>3227</v>
      </c>
      <c r="C162" s="657" t="s">
        <v>159</v>
      </c>
      <c r="D162" s="483">
        <f t="shared" ref="D162:O162" si="75">IFERROR(IF($B162="FRANQUEADORA",(AVERAGE($D76:D76)/3+(0.2+0.058+0.01+0.005)*(AVERAGE($D76:D76)/3)+0.08*(AVERAGE($D76:D76)/3))/12,(AVERAGE($D76:D76)/3+0.08*(AVERAGE($D76:D76)/3))/12),"")</f>
        <v>101.93163750000002</v>
      </c>
      <c r="E162" s="483">
        <f t="shared" si="75"/>
        <v>101.93163750000002</v>
      </c>
      <c r="F162" s="483">
        <f t="shared" si="75"/>
        <v>101.93163750000002</v>
      </c>
      <c r="G162" s="483">
        <f t="shared" si="75"/>
        <v>101.93163750000002</v>
      </c>
      <c r="H162" s="483">
        <f t="shared" si="75"/>
        <v>101.93163750000002</v>
      </c>
      <c r="I162" s="483">
        <f t="shared" si="75"/>
        <v>101.93163750000002</v>
      </c>
      <c r="J162" s="483">
        <f t="shared" si="75"/>
        <v>101.93163750000002</v>
      </c>
      <c r="K162" s="483">
        <f t="shared" si="75"/>
        <v>101.93163750000002</v>
      </c>
      <c r="L162" s="483">
        <f t="shared" si="75"/>
        <v>101.93163750000002</v>
      </c>
      <c r="M162" s="483">
        <f t="shared" si="75"/>
        <v>101.93163750000002</v>
      </c>
      <c r="N162" s="483">
        <f t="shared" si="75"/>
        <v>101.93163750000002</v>
      </c>
      <c r="O162" s="483">
        <f t="shared" si="75"/>
        <v>101.93163750000002</v>
      </c>
      <c r="P162" s="674">
        <f t="shared" si="10"/>
        <v>1223.1796500000005</v>
      </c>
    </row>
    <row r="163" spans="1:16" hidden="1" outlineLevel="1">
      <c r="A163" s="679" t="s">
        <v>3287</v>
      </c>
      <c r="B163" s="336" t="s">
        <v>243</v>
      </c>
      <c r="C163" s="657" t="s">
        <v>159</v>
      </c>
      <c r="D163" s="483">
        <v>0</v>
      </c>
      <c r="E163" s="483">
        <v>0</v>
      </c>
      <c r="F163" s="697">
        <f t="shared" ref="F163:I163" si="76">IFERROR(IF($B163="FRANQUEADORA",(AVERAGE($F77:F77)/3+(0.2+0.058+0.01+0.005)*(AVERAGE($F77:F77)/3)+0.08*(AVERAGE($F77:F77)/3))/12,(AVERAGE($F77:F77)/3+0.08*(AVERAGE($F77:F77)/3))/12),"")</f>
        <v>24.578699999999998</v>
      </c>
      <c r="G163" s="483">
        <f t="shared" si="76"/>
        <v>58.373850000000004</v>
      </c>
      <c r="H163" s="483">
        <f t="shared" si="76"/>
        <v>69.638900000000007</v>
      </c>
      <c r="I163" s="483">
        <f t="shared" si="76"/>
        <v>75.271425000000008</v>
      </c>
      <c r="J163" s="483"/>
      <c r="K163" s="483"/>
      <c r="L163" s="483"/>
      <c r="M163" s="483"/>
      <c r="N163" s="483"/>
      <c r="O163" s="483"/>
      <c r="P163" s="674">
        <f t="shared" si="10"/>
        <v>227.86287500000003</v>
      </c>
    </row>
    <row r="164" spans="1:16" hidden="1" outlineLevel="1">
      <c r="A164" s="670" t="s">
        <v>3288</v>
      </c>
      <c r="B164" s="336" t="s">
        <v>3227</v>
      </c>
      <c r="C164" s="657" t="s">
        <v>2109</v>
      </c>
      <c r="D164" s="483">
        <f t="shared" ref="D164:O164" si="77">IFERROR(IF($B164="FRANQUEADORA",(AVERAGE($D78:D78)/3+(0.2+0.058+0.01+0.005)*(AVERAGE($D78:D78)/3)+0.08*(AVERAGE($D78:D78)/3))/12,(AVERAGE($D78:D78)/3+0.08*(AVERAGE($D78:D78)/3))/12),"")</f>
        <v>152.95364333333333</v>
      </c>
      <c r="E164" s="483">
        <f t="shared" si="77"/>
        <v>152.95364333333333</v>
      </c>
      <c r="F164" s="483">
        <f t="shared" si="77"/>
        <v>152.95364333333333</v>
      </c>
      <c r="G164" s="483">
        <f t="shared" si="77"/>
        <v>152.95364333333333</v>
      </c>
      <c r="H164" s="483">
        <f t="shared" si="77"/>
        <v>156.01270116666663</v>
      </c>
      <c r="I164" s="483">
        <f t="shared" si="77"/>
        <v>158.05207305555555</v>
      </c>
      <c r="J164" s="483">
        <f t="shared" si="77"/>
        <v>159.50876726190475</v>
      </c>
      <c r="K164" s="483">
        <f t="shared" si="77"/>
        <v>160.60128791666668</v>
      </c>
      <c r="L164" s="483">
        <f t="shared" si="77"/>
        <v>160.60128791666668</v>
      </c>
      <c r="M164" s="483">
        <f t="shared" si="77"/>
        <v>160.60128791666668</v>
      </c>
      <c r="N164" s="483">
        <f t="shared" si="77"/>
        <v>160.60128791666668</v>
      </c>
      <c r="O164" s="483">
        <f t="shared" si="77"/>
        <v>160.60128791666668</v>
      </c>
      <c r="P164" s="674">
        <f t="shared" si="10"/>
        <v>1888.3945544007938</v>
      </c>
    </row>
    <row r="165" spans="1:16" hidden="1" outlineLevel="1">
      <c r="A165" s="670" t="s">
        <v>3289</v>
      </c>
      <c r="B165" s="336" t="s">
        <v>3227</v>
      </c>
      <c r="C165" s="657" t="s">
        <v>2109</v>
      </c>
      <c r="D165" s="483">
        <f t="shared" ref="D165:O165" si="78">IFERROR(IF($B165="FRANQUEADORA",(AVERAGE($D79:D79)/3+(0.2+0.058+0.01+0.005)*(AVERAGE($D79:D79)/3)+0.08*(AVERAGE($D79:D79)/3))/12,(AVERAGE($D79:D79)/3+0.08*(AVERAGE($D79:D79)/3))/12),"")</f>
        <v>122.36306500000001</v>
      </c>
      <c r="E165" s="483">
        <f t="shared" si="78"/>
        <v>130.01070958333335</v>
      </c>
      <c r="F165" s="483">
        <f t="shared" si="78"/>
        <v>132.55992444444448</v>
      </c>
      <c r="G165" s="483">
        <f t="shared" si="78"/>
        <v>133.83453187500001</v>
      </c>
      <c r="H165" s="483">
        <f t="shared" si="78"/>
        <v>134.59929633333331</v>
      </c>
      <c r="I165" s="483">
        <f t="shared" si="78"/>
        <v>135.10913930555557</v>
      </c>
      <c r="J165" s="483">
        <f t="shared" si="78"/>
        <v>135.47331285714284</v>
      </c>
      <c r="K165" s="483">
        <f t="shared" si="78"/>
        <v>135.74644302083331</v>
      </c>
      <c r="L165" s="483">
        <f t="shared" si="78"/>
        <v>135.74644302083331</v>
      </c>
      <c r="M165" s="483">
        <f t="shared" si="78"/>
        <v>135.74644302083331</v>
      </c>
      <c r="N165" s="483">
        <f t="shared" si="78"/>
        <v>135.74644302083331</v>
      </c>
      <c r="O165" s="483">
        <f t="shared" si="78"/>
        <v>135.74644302083331</v>
      </c>
      <c r="P165" s="674">
        <f t="shared" si="10"/>
        <v>1602.6821945029762</v>
      </c>
    </row>
    <row r="166" spans="1:16" hidden="1" outlineLevel="1">
      <c r="A166" s="690" t="s">
        <v>1682</v>
      </c>
      <c r="B166" s="336" t="s">
        <v>3227</v>
      </c>
      <c r="C166" s="657" t="s">
        <v>2109</v>
      </c>
      <c r="D166" s="483">
        <f t="shared" ref="D166:O166" si="79">IFERROR(IF($B166="FRANQUEADORA",(AVERAGE($D80:D80)/3+(0.2+0.058+0.01+0.005)*(AVERAGE($D80:D80)/3)+0.08*(AVERAGE($D80:D80)/3))/12,(AVERAGE($D80:D80)/3+0.08*(AVERAGE($D80:D80)/3))/12),"")</f>
        <v>127.0140025</v>
      </c>
      <c r="E166" s="483">
        <f t="shared" si="79"/>
        <v>132.33617833333332</v>
      </c>
      <c r="F166" s="483">
        <f t="shared" si="79"/>
        <v>134.11023694444447</v>
      </c>
      <c r="G166" s="483">
        <f t="shared" si="79"/>
        <v>134.99726625000002</v>
      </c>
      <c r="H166" s="483">
        <f t="shared" si="79"/>
        <v>135.52948383333333</v>
      </c>
      <c r="I166" s="483">
        <f t="shared" si="79"/>
        <v>135.88429555555555</v>
      </c>
      <c r="J166" s="483">
        <f t="shared" si="79"/>
        <v>136.1377325</v>
      </c>
      <c r="K166" s="483">
        <f t="shared" si="79"/>
        <v>136.32781020833332</v>
      </c>
      <c r="L166" s="483">
        <f t="shared" si="79"/>
        <v>136.32781020833332</v>
      </c>
      <c r="M166" s="483">
        <f t="shared" si="79"/>
        <v>136.32781020833332</v>
      </c>
      <c r="N166" s="483">
        <f t="shared" si="79"/>
        <v>136.32781020833332</v>
      </c>
      <c r="O166" s="483">
        <f t="shared" si="79"/>
        <v>136.32781020833332</v>
      </c>
      <c r="P166" s="674">
        <f t="shared" si="10"/>
        <v>1617.6482469583336</v>
      </c>
    </row>
    <row r="167" spans="1:16" hidden="1" outlineLevel="1">
      <c r="A167" s="690" t="s">
        <v>3290</v>
      </c>
      <c r="B167" s="336" t="s">
        <v>3227</v>
      </c>
      <c r="C167" s="657" t="s">
        <v>964</v>
      </c>
      <c r="D167" s="483">
        <f t="shared" ref="D167:O167" si="80">IFERROR(IF($B167="FRANQUEADORA",(AVERAGE($D81:D81)/3+(0.2+0.058+0.01+0.005)*(AVERAGE($D81:D81)/3)+0.08*(AVERAGE($D81:D81)/3))/12,(AVERAGE($D81:D81)/3+0.08*(AVERAGE($D81:D81)/3))/12),"")</f>
        <v>156.27150000000003</v>
      </c>
      <c r="E167" s="483">
        <f t="shared" si="80"/>
        <v>156.27150000000003</v>
      </c>
      <c r="F167" s="483">
        <f t="shared" si="80"/>
        <v>156.27150000000003</v>
      </c>
      <c r="G167" s="483">
        <f t="shared" si="80"/>
        <v>156.27150000000003</v>
      </c>
      <c r="H167" s="483">
        <f t="shared" si="80"/>
        <v>156.27150000000003</v>
      </c>
      <c r="I167" s="483">
        <f t="shared" si="80"/>
        <v>156.27150000000003</v>
      </c>
      <c r="J167" s="483">
        <f t="shared" si="80"/>
        <v>156.27150000000003</v>
      </c>
      <c r="K167" s="483">
        <f t="shared" si="80"/>
        <v>158.22498770833332</v>
      </c>
      <c r="L167" s="483">
        <f t="shared" si="80"/>
        <v>158.22498770833332</v>
      </c>
      <c r="M167" s="483">
        <f t="shared" si="80"/>
        <v>158.22498770833332</v>
      </c>
      <c r="N167" s="483">
        <f t="shared" si="80"/>
        <v>158.22498770833332</v>
      </c>
      <c r="O167" s="483">
        <f t="shared" si="80"/>
        <v>158.22498770833332</v>
      </c>
      <c r="P167" s="674">
        <f t="shared" si="10"/>
        <v>1885.0254385416672</v>
      </c>
    </row>
    <row r="168" spans="1:16" hidden="1" outlineLevel="1">
      <c r="A168" s="690" t="s">
        <v>3291</v>
      </c>
      <c r="B168" s="336" t="s">
        <v>3227</v>
      </c>
      <c r="C168" s="657" t="s">
        <v>964</v>
      </c>
      <c r="D168" s="483">
        <f t="shared" ref="D168:O168" si="81">IFERROR(IF($B168="FRANQUEADORA",(AVERAGE($D82:D82)/3+(0.2+0.058+0.01+0.005)*(AVERAGE($D82:D82)/3)+0.08*(AVERAGE($D82:D82)/3))/12,(AVERAGE($D82:D82)/3+0.08*(AVERAGE($D82:D82)/3))/12),"")</f>
        <v>187.52655166666668</v>
      </c>
      <c r="E168" s="483">
        <f t="shared" si="81"/>
        <v>187.52655166666668</v>
      </c>
      <c r="F168" s="483">
        <f t="shared" si="81"/>
        <v>187.52655166666668</v>
      </c>
      <c r="G168" s="483">
        <f t="shared" si="81"/>
        <v>189.15917166666668</v>
      </c>
      <c r="H168" s="483">
        <f t="shared" si="81"/>
        <v>190.13874366666667</v>
      </c>
      <c r="I168" s="483">
        <f t="shared" si="81"/>
        <v>190.79179166666674</v>
      </c>
      <c r="J168" s="483">
        <f t="shared" si="81"/>
        <v>191.25825452380957</v>
      </c>
      <c r="K168" s="483">
        <f t="shared" si="81"/>
        <v>191.6081016666667</v>
      </c>
      <c r="L168" s="483">
        <f t="shared" si="81"/>
        <v>191.6081016666667</v>
      </c>
      <c r="M168" s="483">
        <f t="shared" si="81"/>
        <v>191.6081016666667</v>
      </c>
      <c r="N168" s="483">
        <f t="shared" si="81"/>
        <v>191.6081016666667</v>
      </c>
      <c r="O168" s="483">
        <f t="shared" si="81"/>
        <v>191.6081016666667</v>
      </c>
      <c r="P168" s="674">
        <f t="shared" si="10"/>
        <v>2281.9681248571433</v>
      </c>
    </row>
    <row r="169" spans="1:16" hidden="1" outlineLevel="1">
      <c r="A169" s="690" t="s">
        <v>3292</v>
      </c>
      <c r="B169" s="336" t="s">
        <v>3227</v>
      </c>
      <c r="C169" s="657" t="s">
        <v>964</v>
      </c>
      <c r="D169" s="483">
        <f t="shared" ref="D169:O169" si="82">IFERROR(IF($B169="FRANQUEADORA",(AVERAGE($D83:D83)/3+(0.2+0.058+0.01+0.005)*(AVERAGE($D83:D83)/3)+0.08*(AVERAGE($D83:D83)/3))/12,(AVERAGE($D83:D83)/3+0.08*(AVERAGE($D83:D83)/3))/12),"")</f>
        <v>168.37596416666665</v>
      </c>
      <c r="E169" s="483">
        <f t="shared" si="82"/>
        <v>168.37596416666665</v>
      </c>
      <c r="F169" s="483">
        <f t="shared" si="82"/>
        <v>168.37596416666665</v>
      </c>
      <c r="G169" s="483">
        <f t="shared" si="82"/>
        <v>168.37596416666665</v>
      </c>
      <c r="H169" s="483">
        <f t="shared" si="82"/>
        <v>168.37596416666665</v>
      </c>
      <c r="I169" s="483">
        <f t="shared" si="82"/>
        <v>168.37596416666665</v>
      </c>
      <c r="J169" s="483">
        <f t="shared" si="82"/>
        <v>168.37596416666665</v>
      </c>
      <c r="K169" s="483">
        <f t="shared" si="82"/>
        <v>168.37596416666665</v>
      </c>
      <c r="L169" s="483">
        <f t="shared" si="82"/>
        <v>168.37596416666665</v>
      </c>
      <c r="M169" s="483">
        <f t="shared" si="82"/>
        <v>168.37596416666665</v>
      </c>
      <c r="N169" s="483">
        <f t="shared" si="82"/>
        <v>168.37596416666665</v>
      </c>
      <c r="O169" s="483">
        <f t="shared" si="82"/>
        <v>168.37596416666665</v>
      </c>
      <c r="P169" s="674">
        <f t="shared" si="10"/>
        <v>2020.5115699999994</v>
      </c>
    </row>
    <row r="170" spans="1:16" hidden="1" outlineLevel="1">
      <c r="A170" s="690" t="s">
        <v>3293</v>
      </c>
      <c r="B170" s="336" t="s">
        <v>3227</v>
      </c>
      <c r="C170" s="657" t="s">
        <v>964</v>
      </c>
      <c r="D170" s="483">
        <f t="shared" ref="D170:O170" si="83">IFERROR(IF($B170="FRANQUEADORA",(AVERAGE($D84:D84)/3+(0.2+0.058+0.01+0.005)*(AVERAGE($D84:D84)/3)+0.08*(AVERAGE($D84:D84)/3))/12,(AVERAGE($D84:D84)/3+0.08*(AVERAGE($D84:D84)/3))/12),"")</f>
        <v>187.52655166666668</v>
      </c>
      <c r="E170" s="483">
        <f t="shared" si="83"/>
        <v>187.52655166666668</v>
      </c>
      <c r="F170" s="483">
        <f t="shared" si="83"/>
        <v>187.52655166666668</v>
      </c>
      <c r="G170" s="483">
        <f t="shared" si="83"/>
        <v>187.52655166666668</v>
      </c>
      <c r="H170" s="483">
        <f t="shared" si="83"/>
        <v>187.52655166666668</v>
      </c>
      <c r="I170" s="483">
        <f t="shared" si="83"/>
        <v>187.52655166666668</v>
      </c>
      <c r="J170" s="483">
        <f t="shared" si="83"/>
        <v>187.52655166666668</v>
      </c>
      <c r="K170" s="483">
        <f t="shared" si="83"/>
        <v>187.52655166666668</v>
      </c>
      <c r="L170" s="483">
        <f t="shared" si="83"/>
        <v>187.52655166666668</v>
      </c>
      <c r="M170" s="483">
        <f t="shared" si="83"/>
        <v>187.52655166666668</v>
      </c>
      <c r="N170" s="483">
        <f t="shared" si="83"/>
        <v>187.52655166666668</v>
      </c>
      <c r="O170" s="483">
        <f t="shared" si="83"/>
        <v>187.52655166666668</v>
      </c>
      <c r="P170" s="674">
        <f t="shared" si="10"/>
        <v>2250.31862</v>
      </c>
    </row>
    <row r="171" spans="1:16" hidden="1" outlineLevel="1">
      <c r="A171" s="690" t="s">
        <v>3294</v>
      </c>
      <c r="B171" s="336" t="s">
        <v>3227</v>
      </c>
      <c r="C171" s="657" t="s">
        <v>964</v>
      </c>
      <c r="D171" s="483">
        <f t="shared" ref="D171:O171" si="84">IFERROR(IF($B171="FRANQUEADORA",(AVERAGE($D85:D85)/3+(0.2+0.058+0.01+0.005)*(AVERAGE($D85:D85)/3)+0.08*(AVERAGE($D85:D85)/3))/12,(AVERAGE($D85:D85)/3+0.08*(AVERAGE($D85:D85)/3))/12),"")</f>
        <v>205.25235499999999</v>
      </c>
      <c r="E171" s="483">
        <f t="shared" si="84"/>
        <v>205.25235499999999</v>
      </c>
      <c r="F171" s="483">
        <f t="shared" si="84"/>
        <v>205.25235499999999</v>
      </c>
      <c r="G171" s="483">
        <f t="shared" si="84"/>
        <v>205.25235499999999</v>
      </c>
      <c r="H171" s="483">
        <f t="shared" si="84"/>
        <v>205.25235499999999</v>
      </c>
      <c r="I171" s="483">
        <f t="shared" si="84"/>
        <v>205.25235500000005</v>
      </c>
      <c r="J171" s="483">
        <f t="shared" si="84"/>
        <v>205.25235500000005</v>
      </c>
      <c r="K171" s="483">
        <f t="shared" si="84"/>
        <v>205.25235500000005</v>
      </c>
      <c r="L171" s="483">
        <f t="shared" si="84"/>
        <v>205.25235500000005</v>
      </c>
      <c r="M171" s="483">
        <f t="shared" si="84"/>
        <v>205.25235500000005</v>
      </c>
      <c r="N171" s="483">
        <f t="shared" si="84"/>
        <v>205.25235500000005</v>
      </c>
      <c r="O171" s="483">
        <f t="shared" si="84"/>
        <v>205.25235500000005</v>
      </c>
      <c r="P171" s="674">
        <f t="shared" si="10"/>
        <v>2463.0282600000005</v>
      </c>
    </row>
    <row r="172" spans="1:16">
      <c r="C172" s="695"/>
      <c r="D172" s="696"/>
      <c r="P172" s="685"/>
    </row>
    <row r="173" spans="1:16">
      <c r="C173" s="695"/>
      <c r="D173" s="696"/>
      <c r="P173" s="685"/>
    </row>
    <row r="174" spans="1:16" ht="19.5">
      <c r="A174" s="659" t="s">
        <v>66</v>
      </c>
      <c r="C174" s="660" t="str">
        <f>$C$1</f>
        <v>TI</v>
      </c>
      <c r="D174" s="658">
        <f t="shared" ref="D174:P174" si="85">SUMIF($C177:$C257,$C174,D177:D257)</f>
        <v>2714.8587675000003</v>
      </c>
      <c r="E174" s="658">
        <f t="shared" si="85"/>
        <v>2714.8587675000003</v>
      </c>
      <c r="F174" s="658">
        <f t="shared" si="85"/>
        <v>2714.8587675000003</v>
      </c>
      <c r="G174" s="658">
        <f t="shared" si="85"/>
        <v>2719.7566275000004</v>
      </c>
      <c r="H174" s="658">
        <f t="shared" si="85"/>
        <v>2722.6953435</v>
      </c>
      <c r="I174" s="658">
        <f t="shared" si="85"/>
        <v>2724.6544875000004</v>
      </c>
      <c r="J174" s="658">
        <f t="shared" si="85"/>
        <v>2726.0538760714289</v>
      </c>
      <c r="K174" s="658">
        <f t="shared" si="85"/>
        <v>2732.963880625</v>
      </c>
      <c r="L174" s="658">
        <f t="shared" si="85"/>
        <v>2732.963880625</v>
      </c>
      <c r="M174" s="658">
        <f t="shared" si="85"/>
        <v>2732.963880625</v>
      </c>
      <c r="N174" s="658">
        <f t="shared" si="85"/>
        <v>2732.963880625</v>
      </c>
      <c r="O174" s="658">
        <f t="shared" si="85"/>
        <v>2732.963880625</v>
      </c>
      <c r="P174" s="658">
        <f t="shared" si="85"/>
        <v>32702.556040196429</v>
      </c>
    </row>
    <row r="175" spans="1:16" ht="30">
      <c r="A175" s="662" t="s">
        <v>3222</v>
      </c>
      <c r="B175" s="663" t="s">
        <v>3223</v>
      </c>
      <c r="C175" s="664" t="s">
        <v>135</v>
      </c>
      <c r="D175" s="665" t="s">
        <v>0</v>
      </c>
      <c r="E175" s="662" t="s">
        <v>1</v>
      </c>
      <c r="F175" s="662" t="s">
        <v>2</v>
      </c>
      <c r="G175" s="662" t="s">
        <v>3</v>
      </c>
      <c r="H175" s="662" t="s">
        <v>4</v>
      </c>
      <c r="I175" s="662" t="s">
        <v>5</v>
      </c>
      <c r="J175" s="662" t="s">
        <v>6</v>
      </c>
      <c r="K175" s="662" t="s">
        <v>7</v>
      </c>
      <c r="L175" s="662" t="s">
        <v>8</v>
      </c>
      <c r="M175" s="662" t="s">
        <v>9</v>
      </c>
      <c r="N175" s="662" t="s">
        <v>10</v>
      </c>
      <c r="O175" s="662" t="s">
        <v>11</v>
      </c>
      <c r="P175" s="666" t="s">
        <v>3199</v>
      </c>
    </row>
    <row r="176" spans="1:16" collapsed="1">
      <c r="A176" s="667" t="s">
        <v>3199</v>
      </c>
      <c r="B176" s="667"/>
      <c r="C176" s="668"/>
      <c r="D176" s="669">
        <f t="shared" ref="D176:P176" si="86">SUBTOTAL(9,D177:D257)</f>
        <v>23425.765595000004</v>
      </c>
      <c r="E176" s="669">
        <f t="shared" si="86"/>
        <v>24328.181642500011</v>
      </c>
      <c r="F176" s="669">
        <f t="shared" si="86"/>
        <v>24067.958417500005</v>
      </c>
      <c r="G176" s="669">
        <f t="shared" si="86"/>
        <v>22979.911846875002</v>
      </c>
      <c r="H176" s="669">
        <f t="shared" si="86"/>
        <v>22881.480098500004</v>
      </c>
      <c r="I176" s="669">
        <f t="shared" si="86"/>
        <v>23594.402832083339</v>
      </c>
      <c r="J176" s="669">
        <f t="shared" si="86"/>
        <v>23504.747753571428</v>
      </c>
      <c r="K176" s="669">
        <f t="shared" si="86"/>
        <v>23536.877598437502</v>
      </c>
      <c r="L176" s="669">
        <f t="shared" si="86"/>
        <v>23225.115955937505</v>
      </c>
      <c r="M176" s="669">
        <f t="shared" si="86"/>
        <v>23225.115955937505</v>
      </c>
      <c r="N176" s="669">
        <f t="shared" si="86"/>
        <v>23225.115955937505</v>
      </c>
      <c r="O176" s="669">
        <f t="shared" si="86"/>
        <v>23225.115955937505</v>
      </c>
      <c r="P176" s="669">
        <f t="shared" si="86"/>
        <v>281219.78960821725</v>
      </c>
    </row>
    <row r="177" spans="1:16" hidden="1" outlineLevel="1">
      <c r="A177" s="670" t="s">
        <v>3224</v>
      </c>
      <c r="B177" s="336" t="s">
        <v>243</v>
      </c>
      <c r="C177" s="657" t="s">
        <v>192</v>
      </c>
      <c r="D177" s="483">
        <f t="shared" ref="D177:O177" si="87">IFERROR(IF($B177="FRANQUEADORA",(AVERAGE($D5:D5)+(0.2+0.058+0.01+0.005)*(AVERAGE($D5:D5))+0.08*(AVERAGE($D5:D5)))/12,(AVERAGE($D5:D5)+0.08*(AVERAGE($D5:D5)))/12),"")</f>
        <v>270.33210000000003</v>
      </c>
      <c r="E177" s="483">
        <f t="shared" si="87"/>
        <v>270.33210000000003</v>
      </c>
      <c r="F177" s="483">
        <f t="shared" si="87"/>
        <v>270.33210000000003</v>
      </c>
      <c r="G177" s="483">
        <f t="shared" si="87"/>
        <v>270.33210000000003</v>
      </c>
      <c r="H177" s="483">
        <f t="shared" si="87"/>
        <v>270.33210000000003</v>
      </c>
      <c r="I177" s="483">
        <f t="shared" si="87"/>
        <v>270.33210000000003</v>
      </c>
      <c r="J177" s="483">
        <f t="shared" si="87"/>
        <v>270.33209999999997</v>
      </c>
      <c r="K177" s="483">
        <f t="shared" si="87"/>
        <v>270.33209999999997</v>
      </c>
      <c r="L177" s="483">
        <f t="shared" si="87"/>
        <v>270.33209999999997</v>
      </c>
      <c r="M177" s="483">
        <f t="shared" si="87"/>
        <v>270.33209999999997</v>
      </c>
      <c r="N177" s="483">
        <f t="shared" si="87"/>
        <v>270.33209999999997</v>
      </c>
      <c r="O177" s="483">
        <f t="shared" si="87"/>
        <v>270.33209999999997</v>
      </c>
      <c r="P177" s="674">
        <f t="shared" ref="P177:P257" si="88">SUM(D177:O177)</f>
        <v>3243.9852000000005</v>
      </c>
    </row>
    <row r="178" spans="1:16" hidden="1" outlineLevel="1">
      <c r="A178" s="670" t="s">
        <v>3225</v>
      </c>
      <c r="B178" s="336" t="s">
        <v>243</v>
      </c>
      <c r="C178" s="657" t="s">
        <v>192</v>
      </c>
      <c r="D178" s="483">
        <f t="shared" ref="D178:O178" si="89">IFERROR(IF($B178="FRANQUEADORA",(AVERAGE($D6:D6)+(0.2+0.058+0.01+0.005)*(AVERAGE($D6:D6))+0.08*(AVERAGE($D6:D6)))/12,(AVERAGE($D6:D6)+0.08*(AVERAGE($D6:D6)))/12),"")</f>
        <v>182.63520000000003</v>
      </c>
      <c r="E178" s="483">
        <f t="shared" si="89"/>
        <v>182.63520000000003</v>
      </c>
      <c r="F178" s="483">
        <f t="shared" si="89"/>
        <v>182.63520000000003</v>
      </c>
      <c r="G178" s="483">
        <f t="shared" si="89"/>
        <v>182.63520000000003</v>
      </c>
      <c r="H178" s="483">
        <f t="shared" si="89"/>
        <v>182.63520000000003</v>
      </c>
      <c r="I178" s="483">
        <f t="shared" si="89"/>
        <v>182.63520000000003</v>
      </c>
      <c r="J178" s="483">
        <f t="shared" si="89"/>
        <v>182.63520000000003</v>
      </c>
      <c r="K178" s="483">
        <f t="shared" si="89"/>
        <v>182.63520000000003</v>
      </c>
      <c r="L178" s="483">
        <f t="shared" si="89"/>
        <v>182.63520000000003</v>
      </c>
      <c r="M178" s="483">
        <f t="shared" si="89"/>
        <v>182.63520000000003</v>
      </c>
      <c r="N178" s="483">
        <f t="shared" si="89"/>
        <v>182.63520000000003</v>
      </c>
      <c r="O178" s="483">
        <f t="shared" si="89"/>
        <v>182.63520000000003</v>
      </c>
      <c r="P178" s="674">
        <f t="shared" si="88"/>
        <v>2191.6223999999997</v>
      </c>
    </row>
    <row r="179" spans="1:16" hidden="1" outlineLevel="1">
      <c r="A179" s="670" t="s">
        <v>3226</v>
      </c>
      <c r="B179" s="336" t="s">
        <v>3227</v>
      </c>
      <c r="C179" s="657" t="s">
        <v>192</v>
      </c>
      <c r="D179" s="483">
        <f t="shared" ref="D179:O179" si="90">IFERROR(IF($B179="FRANQUEADORA",(AVERAGE($D7:D7)+(0.2+0.058+0.01+0.005)*(AVERAGE($D7:D7))+0.08*(AVERAGE($D7:D7)))/12,(AVERAGE($D7:D7)+0.08*(AVERAGE($D7:D7)))/12),"")</f>
        <v>279.64593250000001</v>
      </c>
      <c r="E179" s="483">
        <f t="shared" si="90"/>
        <v>279.64593250000001</v>
      </c>
      <c r="F179" s="483">
        <f t="shared" si="90"/>
        <v>279.64593250000001</v>
      </c>
      <c r="G179" s="483">
        <f t="shared" si="90"/>
        <v>279.64593250000001</v>
      </c>
      <c r="H179" s="483">
        <f t="shared" si="90"/>
        <v>279.64593250000001</v>
      </c>
      <c r="I179" s="483">
        <f t="shared" si="90"/>
        <v>279.64593250000001</v>
      </c>
      <c r="J179" s="483">
        <f t="shared" si="90"/>
        <v>279.64593250000001</v>
      </c>
      <c r="K179" s="483">
        <f t="shared" si="90"/>
        <v>279.64593250000001</v>
      </c>
      <c r="L179" s="483">
        <f t="shared" si="90"/>
        <v>279.64593250000001</v>
      </c>
      <c r="M179" s="483">
        <f t="shared" si="90"/>
        <v>279.64593250000001</v>
      </c>
      <c r="N179" s="483">
        <f t="shared" si="90"/>
        <v>279.64593250000001</v>
      </c>
      <c r="O179" s="483">
        <f t="shared" si="90"/>
        <v>279.64593250000001</v>
      </c>
      <c r="P179" s="674">
        <f t="shared" si="88"/>
        <v>3355.7511900000004</v>
      </c>
    </row>
    <row r="180" spans="1:16" hidden="1" outlineLevel="1">
      <c r="A180" s="670" t="s">
        <v>3228</v>
      </c>
      <c r="B180" s="336" t="s">
        <v>243</v>
      </c>
      <c r="C180" s="657" t="s">
        <v>192</v>
      </c>
      <c r="D180" s="483">
        <f t="shared" ref="D180:O180" si="91">IFERROR(IF($B180="FRANQUEADORA",(AVERAGE($D8:D8)+(0.2+0.058+0.01+0.005)*(AVERAGE($D8:D8))+0.08*(AVERAGE($D8:D8)))/12,(AVERAGE($D8:D8)+0.08*(AVERAGE($D8:D8)))/12),"")</f>
        <v>223.22069999999999</v>
      </c>
      <c r="E180" s="483">
        <f t="shared" si="91"/>
        <v>223.22069999999999</v>
      </c>
      <c r="F180" s="483">
        <f t="shared" si="91"/>
        <v>223.22069999999999</v>
      </c>
      <c r="G180" s="483">
        <f t="shared" si="91"/>
        <v>223.22069999999999</v>
      </c>
      <c r="H180" s="483">
        <f t="shared" si="91"/>
        <v>223.22069999999999</v>
      </c>
      <c r="I180" s="483">
        <f t="shared" si="91"/>
        <v>223.22069999999999</v>
      </c>
      <c r="J180" s="483">
        <f t="shared" si="91"/>
        <v>223.22069999999999</v>
      </c>
      <c r="K180" s="483">
        <f t="shared" si="91"/>
        <v>223.22069999999999</v>
      </c>
      <c r="L180" s="483">
        <f t="shared" si="91"/>
        <v>223.22069999999999</v>
      </c>
      <c r="M180" s="483">
        <f t="shared" si="91"/>
        <v>223.22069999999999</v>
      </c>
      <c r="N180" s="483">
        <f t="shared" si="91"/>
        <v>223.22069999999999</v>
      </c>
      <c r="O180" s="483">
        <f t="shared" si="91"/>
        <v>223.22069999999999</v>
      </c>
      <c r="P180" s="674">
        <f t="shared" si="88"/>
        <v>2678.6484</v>
      </c>
    </row>
    <row r="181" spans="1:16" hidden="1" outlineLevel="1">
      <c r="A181" s="679" t="s">
        <v>3229</v>
      </c>
      <c r="B181" s="336" t="s">
        <v>243</v>
      </c>
      <c r="C181" s="657" t="s">
        <v>192</v>
      </c>
      <c r="D181" s="483">
        <f t="shared" ref="D181:G181" si="92">IFERROR(IF($B181="FRANQUEADORA",(AVERAGE($D9:D9)+(0.2+0.058+0.01+0.005)*(AVERAGE($D9:D9))+0.08*(AVERAGE($D9:D9)))/12,(AVERAGE($D9:D9)+0.08*(AVERAGE($D9:D9)))/12),"")</f>
        <v>243.51390000000001</v>
      </c>
      <c r="E181" s="483">
        <f t="shared" si="92"/>
        <v>243.51390000000001</v>
      </c>
      <c r="F181" s="483">
        <f t="shared" si="92"/>
        <v>243.51390000000001</v>
      </c>
      <c r="G181" s="483">
        <f t="shared" si="92"/>
        <v>243.51390000000001</v>
      </c>
      <c r="H181" s="483"/>
      <c r="I181" s="483"/>
      <c r="J181" s="483"/>
      <c r="K181" s="483"/>
      <c r="L181" s="483"/>
      <c r="M181" s="483"/>
      <c r="N181" s="483"/>
      <c r="O181" s="483"/>
      <c r="P181" s="674">
        <f t="shared" si="88"/>
        <v>974.05560000000003</v>
      </c>
    </row>
    <row r="182" spans="1:16" hidden="1" outlineLevel="1">
      <c r="A182" s="670" t="s">
        <v>3230</v>
      </c>
      <c r="B182" s="336" t="s">
        <v>243</v>
      </c>
      <c r="C182" s="657" t="s">
        <v>192</v>
      </c>
      <c r="D182" s="483">
        <f t="shared" ref="D182:O182" si="93">IFERROR(IF($B182="FRANQUEADORA",(AVERAGE($D10:D10)+(0.2+0.058+0.01+0.005)*(AVERAGE($D10:D10))+0.08*(AVERAGE($D10:D10)))/12,(AVERAGE($D10:D10)+0.08*(AVERAGE($D10:D10)))/12),"")</f>
        <v>304.15770000000003</v>
      </c>
      <c r="E182" s="483">
        <f t="shared" si="93"/>
        <v>304.15770000000003</v>
      </c>
      <c r="F182" s="483">
        <f t="shared" si="93"/>
        <v>304.15770000000003</v>
      </c>
      <c r="G182" s="483">
        <f t="shared" si="93"/>
        <v>304.15770000000003</v>
      </c>
      <c r="H182" s="483">
        <f t="shared" si="93"/>
        <v>304.15770000000003</v>
      </c>
      <c r="I182" s="483">
        <f t="shared" si="93"/>
        <v>304.15770000000003</v>
      </c>
      <c r="J182" s="483">
        <f t="shared" si="93"/>
        <v>304.15769999999998</v>
      </c>
      <c r="K182" s="483">
        <f t="shared" si="93"/>
        <v>304.15769999999998</v>
      </c>
      <c r="L182" s="483">
        <f t="shared" si="93"/>
        <v>304.15769999999998</v>
      </c>
      <c r="M182" s="483">
        <f t="shared" si="93"/>
        <v>304.15769999999998</v>
      </c>
      <c r="N182" s="483">
        <f t="shared" si="93"/>
        <v>304.15769999999998</v>
      </c>
      <c r="O182" s="483">
        <f t="shared" si="93"/>
        <v>304.15769999999998</v>
      </c>
      <c r="P182" s="674">
        <f t="shared" si="88"/>
        <v>3649.8923999999988</v>
      </c>
    </row>
    <row r="183" spans="1:16" hidden="1" outlineLevel="1">
      <c r="A183" s="670" t="s">
        <v>3231</v>
      </c>
      <c r="B183" s="336" t="s">
        <v>243</v>
      </c>
      <c r="C183" s="657" t="s">
        <v>192</v>
      </c>
      <c r="D183" s="483">
        <f t="shared" ref="D183:O183" si="94">IFERROR(IF($B183="FRANQUEADORA",(AVERAGE($D11:D11)+(0.2+0.058+0.01+0.005)*(AVERAGE($D11:D11))+0.08*(AVERAGE($D11:D11)))/12,(AVERAGE($D11:D11)+0.08*(AVERAGE($D11:D11)))/12),"")</f>
        <v>329.64749999999998</v>
      </c>
      <c r="E183" s="483">
        <f t="shared" si="94"/>
        <v>329.64749999999998</v>
      </c>
      <c r="F183" s="483">
        <f t="shared" si="94"/>
        <v>329.64749999999998</v>
      </c>
      <c r="G183" s="483">
        <f t="shared" si="94"/>
        <v>329.64749999999998</v>
      </c>
      <c r="H183" s="483">
        <f t="shared" si="94"/>
        <v>329.64749999999998</v>
      </c>
      <c r="I183" s="483">
        <f t="shared" si="94"/>
        <v>329.64749999999998</v>
      </c>
      <c r="J183" s="483">
        <f t="shared" si="94"/>
        <v>329.64749999999998</v>
      </c>
      <c r="K183" s="483">
        <f t="shared" si="94"/>
        <v>329.64749999999998</v>
      </c>
      <c r="L183" s="483">
        <f t="shared" si="94"/>
        <v>329.64749999999998</v>
      </c>
      <c r="M183" s="483">
        <f t="shared" si="94"/>
        <v>329.64749999999998</v>
      </c>
      <c r="N183" s="483">
        <f t="shared" si="94"/>
        <v>329.64749999999998</v>
      </c>
      <c r="O183" s="483">
        <f t="shared" si="94"/>
        <v>329.64749999999998</v>
      </c>
      <c r="P183" s="674">
        <f t="shared" si="88"/>
        <v>3955.77</v>
      </c>
    </row>
    <row r="184" spans="1:16" hidden="1" outlineLevel="1">
      <c r="A184" s="670" t="s">
        <v>3232</v>
      </c>
      <c r="B184" s="336" t="s">
        <v>243</v>
      </c>
      <c r="C184" s="657" t="s">
        <v>192</v>
      </c>
      <c r="D184" s="483">
        <f t="shared" ref="D184:O184" si="95">IFERROR(IF($B184="FRANQUEADORA",(AVERAGE($D12:D12)+(0.2+0.058+0.01+0.005)*(AVERAGE($D12:D12))+0.08*(AVERAGE($D12:D12)))/12,(AVERAGE($D12:D12)+0.08*(AVERAGE($D12:D12)))/12),"")</f>
        <v>223.22069999999999</v>
      </c>
      <c r="E184" s="483">
        <f t="shared" si="95"/>
        <v>223.22069999999999</v>
      </c>
      <c r="F184" s="483">
        <f t="shared" si="95"/>
        <v>223.22069999999999</v>
      </c>
      <c r="G184" s="483">
        <f t="shared" si="95"/>
        <v>223.22069999999999</v>
      </c>
      <c r="H184" s="483">
        <f t="shared" si="95"/>
        <v>223.22069999999999</v>
      </c>
      <c r="I184" s="483">
        <f t="shared" si="95"/>
        <v>223.22069999999999</v>
      </c>
      <c r="J184" s="483">
        <f t="shared" si="95"/>
        <v>223.22069999999999</v>
      </c>
      <c r="K184" s="483">
        <f t="shared" si="95"/>
        <v>223.22069999999999</v>
      </c>
      <c r="L184" s="483">
        <f t="shared" si="95"/>
        <v>223.22069999999999</v>
      </c>
      <c r="M184" s="483">
        <f t="shared" si="95"/>
        <v>223.22069999999999</v>
      </c>
      <c r="N184" s="483">
        <f t="shared" si="95"/>
        <v>223.22069999999999</v>
      </c>
      <c r="O184" s="483">
        <f t="shared" si="95"/>
        <v>223.22069999999999</v>
      </c>
      <c r="P184" s="674">
        <f t="shared" si="88"/>
        <v>2678.6484</v>
      </c>
    </row>
    <row r="185" spans="1:16" hidden="1" outlineLevel="1">
      <c r="A185" s="670" t="s">
        <v>190</v>
      </c>
      <c r="B185" s="336" t="s">
        <v>243</v>
      </c>
      <c r="C185" s="657" t="s">
        <v>192</v>
      </c>
      <c r="D185" s="483">
        <f t="shared" ref="D185:O185" si="96">IFERROR(IF($B185="FRANQUEADORA",(AVERAGE($D13:D13)+(0.2+0.058+0.01+0.005)*(AVERAGE($D13:D13))+0.08*(AVERAGE($D13:D13)))/12,(AVERAGE($D13:D13)+0.08*(AVERAGE($D13:D13)))/12),"")</f>
        <v>415.21769999999998</v>
      </c>
      <c r="E185" s="483">
        <f t="shared" si="96"/>
        <v>415.21769999999998</v>
      </c>
      <c r="F185" s="483">
        <f t="shared" si="96"/>
        <v>415.21769999999998</v>
      </c>
      <c r="G185" s="483">
        <f t="shared" si="96"/>
        <v>415.21769999999998</v>
      </c>
      <c r="H185" s="483">
        <f t="shared" si="96"/>
        <v>415.21769999999998</v>
      </c>
      <c r="I185" s="483">
        <f t="shared" si="96"/>
        <v>415.21769999999998</v>
      </c>
      <c r="J185" s="483">
        <f t="shared" si="96"/>
        <v>415.21769999999998</v>
      </c>
      <c r="K185" s="483">
        <f t="shared" si="96"/>
        <v>415.21769999999998</v>
      </c>
      <c r="L185" s="483">
        <f t="shared" si="96"/>
        <v>415.21769999999998</v>
      </c>
      <c r="M185" s="483">
        <f t="shared" si="96"/>
        <v>415.21769999999998</v>
      </c>
      <c r="N185" s="483">
        <f t="shared" si="96"/>
        <v>415.21769999999998</v>
      </c>
      <c r="O185" s="483">
        <f t="shared" si="96"/>
        <v>415.21769999999998</v>
      </c>
      <c r="P185" s="674">
        <f t="shared" si="88"/>
        <v>4982.6124000000009</v>
      </c>
    </row>
    <row r="186" spans="1:16" hidden="1" outlineLevel="1">
      <c r="A186" s="670" t="s">
        <v>3233</v>
      </c>
      <c r="B186" s="336" t="s">
        <v>243</v>
      </c>
      <c r="C186" s="657" t="s">
        <v>192</v>
      </c>
      <c r="D186" s="483">
        <f t="shared" ref="D186:O186" si="97">IFERROR(IF($B186="FRANQUEADORA",(AVERAGE($D14:D14)+(0.2+0.058+0.01+0.005)*(AVERAGE($D14:D14))+0.08*(AVERAGE($D14:D14)))/12,(AVERAGE($D14:D14)+0.08*(AVERAGE($D14:D14)))/12),"")</f>
        <v>182.63520000000003</v>
      </c>
      <c r="E186" s="483">
        <f t="shared" si="97"/>
        <v>182.63520000000003</v>
      </c>
      <c r="F186" s="483">
        <f t="shared" si="97"/>
        <v>182.63520000000003</v>
      </c>
      <c r="G186" s="483">
        <f t="shared" si="97"/>
        <v>182.63520000000003</v>
      </c>
      <c r="H186" s="483">
        <f t="shared" si="97"/>
        <v>186.69384000000002</v>
      </c>
      <c r="I186" s="483">
        <f t="shared" si="97"/>
        <v>189.39959999999999</v>
      </c>
      <c r="J186" s="483">
        <f t="shared" si="97"/>
        <v>191.33228571428575</v>
      </c>
      <c r="K186" s="483">
        <f t="shared" si="97"/>
        <v>192.78180000000006</v>
      </c>
      <c r="L186" s="483">
        <f t="shared" si="97"/>
        <v>192.78180000000006</v>
      </c>
      <c r="M186" s="483">
        <f t="shared" si="97"/>
        <v>192.78180000000006</v>
      </c>
      <c r="N186" s="483">
        <f t="shared" si="97"/>
        <v>192.78180000000006</v>
      </c>
      <c r="O186" s="483">
        <f t="shared" si="97"/>
        <v>192.78180000000006</v>
      </c>
      <c r="P186" s="674">
        <f t="shared" si="88"/>
        <v>2261.8755257142861</v>
      </c>
    </row>
    <row r="187" spans="1:16" hidden="1" outlineLevel="1">
      <c r="A187" s="670" t="s">
        <v>224</v>
      </c>
      <c r="B187" s="336" t="s">
        <v>243</v>
      </c>
      <c r="C187" s="657" t="s">
        <v>192</v>
      </c>
      <c r="D187" s="483">
        <f t="shared" ref="D187:O187" si="98">IFERROR(IF($B187="FRANQUEADORA",(AVERAGE($D15:D15)+(0.2+0.058+0.01+0.005)*(AVERAGE($D15:D15))+0.08*(AVERAGE($D15:D15)))/12,(AVERAGE($D15:D15)+0.08*(AVERAGE($D15:D15)))/12),"")</f>
        <v>223.22069999999999</v>
      </c>
      <c r="E187" s="483">
        <f t="shared" si="98"/>
        <v>223.22069999999999</v>
      </c>
      <c r="F187" s="483">
        <f t="shared" si="98"/>
        <v>223.22069999999999</v>
      </c>
      <c r="G187" s="483">
        <f t="shared" si="98"/>
        <v>223.22069999999999</v>
      </c>
      <c r="H187" s="483">
        <f t="shared" si="98"/>
        <v>223.22069999999999</v>
      </c>
      <c r="I187" s="483">
        <f t="shared" si="98"/>
        <v>223.22069999999999</v>
      </c>
      <c r="J187" s="483">
        <f t="shared" si="98"/>
        <v>223.22069999999999</v>
      </c>
      <c r="K187" s="483">
        <f t="shared" si="98"/>
        <v>223.22069999999999</v>
      </c>
      <c r="L187" s="483">
        <f t="shared" si="98"/>
        <v>223.22069999999999</v>
      </c>
      <c r="M187" s="483">
        <f t="shared" si="98"/>
        <v>223.22069999999999</v>
      </c>
      <c r="N187" s="483">
        <f t="shared" si="98"/>
        <v>223.22069999999999</v>
      </c>
      <c r="O187" s="483">
        <f t="shared" si="98"/>
        <v>223.22069999999999</v>
      </c>
      <c r="P187" s="674">
        <f t="shared" si="88"/>
        <v>2678.6484</v>
      </c>
    </row>
    <row r="188" spans="1:16" hidden="1" outlineLevel="1">
      <c r="A188" s="670" t="s">
        <v>3234</v>
      </c>
      <c r="B188" s="336" t="s">
        <v>243</v>
      </c>
      <c r="C188" s="657" t="s">
        <v>3235</v>
      </c>
      <c r="D188" s="483">
        <f t="shared" ref="D188:O188" si="99">IFERROR(IF($B188="FRANQUEADORA",(AVERAGE($D16:D16)+(0.2+0.058+0.01+0.005)*(AVERAGE($D16:D16))+0.08*(AVERAGE($D16:D16)))/12,(AVERAGE($D16:D16)+0.08*(AVERAGE($D16:D16)))/12),"")</f>
        <v>223.22069999999999</v>
      </c>
      <c r="E188" s="483">
        <f t="shared" si="99"/>
        <v>223.22069999999999</v>
      </c>
      <c r="F188" s="483">
        <f t="shared" si="99"/>
        <v>223.22069999999999</v>
      </c>
      <c r="G188" s="483">
        <f t="shared" si="99"/>
        <v>223.22069999999999</v>
      </c>
      <c r="H188" s="483">
        <f t="shared" si="99"/>
        <v>223.22069999999999</v>
      </c>
      <c r="I188" s="483">
        <f t="shared" si="99"/>
        <v>223.22069999999999</v>
      </c>
      <c r="J188" s="483">
        <f t="shared" si="99"/>
        <v>223.22069999999999</v>
      </c>
      <c r="K188" s="483">
        <f t="shared" si="99"/>
        <v>225.75735</v>
      </c>
      <c r="L188" s="483">
        <f t="shared" si="99"/>
        <v>225.75735</v>
      </c>
      <c r="M188" s="483">
        <f t="shared" si="99"/>
        <v>225.75735</v>
      </c>
      <c r="N188" s="483">
        <f t="shared" si="99"/>
        <v>225.75735</v>
      </c>
      <c r="O188" s="483">
        <f t="shared" si="99"/>
        <v>225.75735</v>
      </c>
      <c r="P188" s="674">
        <f t="shared" si="88"/>
        <v>2691.3316500000001</v>
      </c>
    </row>
    <row r="189" spans="1:16" hidden="1" outlineLevel="1">
      <c r="A189" s="679" t="s">
        <v>3236</v>
      </c>
      <c r="B189" s="336" t="s">
        <v>3227</v>
      </c>
      <c r="C189" s="657" t="s">
        <v>3235</v>
      </c>
      <c r="D189" s="483"/>
      <c r="E189" s="483"/>
      <c r="F189" s="483"/>
      <c r="G189" s="483"/>
      <c r="H189" s="483"/>
      <c r="I189" s="483"/>
      <c r="J189" s="483"/>
      <c r="K189" s="483"/>
      <c r="L189" s="483"/>
      <c r="M189" s="483"/>
      <c r="N189" s="483"/>
      <c r="O189" s="483"/>
      <c r="P189" s="674">
        <f t="shared" si="88"/>
        <v>0</v>
      </c>
    </row>
    <row r="190" spans="1:16" hidden="1" outlineLevel="1">
      <c r="A190" s="670" t="s">
        <v>3237</v>
      </c>
      <c r="B190" s="336" t="s">
        <v>243</v>
      </c>
      <c r="C190" s="657" t="s">
        <v>3235</v>
      </c>
      <c r="D190" s="483">
        <f t="shared" ref="D190:O190" si="100">IFERROR(IF($B190="FRANQUEADORA",(AVERAGE($D18:D18)+(0.2+0.058+0.01+0.005)*(AVERAGE($D18:D18))+0.08*(AVERAGE($D18:D18)))/12,(AVERAGE($D18:D18)+0.08*(AVERAGE($D18:D18)))/12),"")</f>
        <v>223.22069999999999</v>
      </c>
      <c r="E190" s="483">
        <f t="shared" si="100"/>
        <v>223.22069999999999</v>
      </c>
      <c r="F190" s="483">
        <f t="shared" si="100"/>
        <v>223.22069999999999</v>
      </c>
      <c r="G190" s="483">
        <f t="shared" si="100"/>
        <v>223.22069999999999</v>
      </c>
      <c r="H190" s="483">
        <f t="shared" si="100"/>
        <v>223.22069999999999</v>
      </c>
      <c r="I190" s="483">
        <f t="shared" si="100"/>
        <v>223.22069999999999</v>
      </c>
      <c r="J190" s="483">
        <f t="shared" si="100"/>
        <v>223.22069999999999</v>
      </c>
      <c r="K190" s="483">
        <f t="shared" si="100"/>
        <v>223.22069999999999</v>
      </c>
      <c r="L190" s="483">
        <f t="shared" si="100"/>
        <v>223.22069999999999</v>
      </c>
      <c r="M190" s="483">
        <f t="shared" si="100"/>
        <v>223.22069999999999</v>
      </c>
      <c r="N190" s="483">
        <f t="shared" si="100"/>
        <v>223.22069999999999</v>
      </c>
      <c r="O190" s="483">
        <f t="shared" si="100"/>
        <v>223.22069999999999</v>
      </c>
      <c r="P190" s="674">
        <f t="shared" si="88"/>
        <v>2678.6484</v>
      </c>
    </row>
    <row r="191" spans="1:16" hidden="1" outlineLevel="1">
      <c r="A191" s="682" t="s">
        <v>3238</v>
      </c>
      <c r="B191" s="336" t="s">
        <v>3227</v>
      </c>
      <c r="C191" s="657" t="s">
        <v>3235</v>
      </c>
      <c r="D191" s="483"/>
      <c r="E191" s="483"/>
      <c r="F191" s="483"/>
      <c r="G191" s="483"/>
      <c r="H191" s="483"/>
      <c r="I191" s="483"/>
      <c r="J191" s="483"/>
      <c r="K191" s="483"/>
      <c r="L191" s="483"/>
      <c r="M191" s="483"/>
      <c r="N191" s="483"/>
      <c r="O191" s="483"/>
      <c r="P191" s="674">
        <f t="shared" si="88"/>
        <v>0</v>
      </c>
    </row>
    <row r="192" spans="1:16" hidden="1" outlineLevel="1">
      <c r="A192" s="670" t="s">
        <v>3239</v>
      </c>
      <c r="B192" s="336" t="s">
        <v>243</v>
      </c>
      <c r="C192" s="657" t="s">
        <v>3235</v>
      </c>
      <c r="D192" s="483">
        <f t="shared" ref="D192:O192" si="101">IFERROR(IF($B192="FRANQUEADORA",(AVERAGE($D20:D20)+(0.2+0.058+0.01+0.005)*(AVERAGE($D20:D20))+0.08*(AVERAGE($D20:D20)))/12,(AVERAGE($D20:D20)+0.08*(AVERAGE($D20:D20)))/12),"")</f>
        <v>223.22069999999999</v>
      </c>
      <c r="E192" s="483">
        <f t="shared" si="101"/>
        <v>223.22069999999999</v>
      </c>
      <c r="F192" s="483">
        <f t="shared" si="101"/>
        <v>223.22069999999999</v>
      </c>
      <c r="G192" s="483">
        <f t="shared" si="101"/>
        <v>223.22069999999999</v>
      </c>
      <c r="H192" s="483">
        <f t="shared" si="101"/>
        <v>223.22069999999999</v>
      </c>
      <c r="I192" s="483">
        <f t="shared" si="101"/>
        <v>223.22069999999999</v>
      </c>
      <c r="J192" s="483">
        <f t="shared" si="101"/>
        <v>223.22069999999999</v>
      </c>
      <c r="K192" s="483">
        <f t="shared" si="101"/>
        <v>223.22069999999999</v>
      </c>
      <c r="L192" s="483">
        <f t="shared" si="101"/>
        <v>223.22069999999999</v>
      </c>
      <c r="M192" s="483">
        <f t="shared" si="101"/>
        <v>223.22069999999999</v>
      </c>
      <c r="N192" s="483">
        <f t="shared" si="101"/>
        <v>223.22069999999999</v>
      </c>
      <c r="O192" s="483">
        <f t="shared" si="101"/>
        <v>223.22069999999999</v>
      </c>
      <c r="P192" s="674">
        <f t="shared" si="88"/>
        <v>2678.6484</v>
      </c>
    </row>
    <row r="193" spans="1:16" hidden="1" outlineLevel="1">
      <c r="A193" s="682" t="s">
        <v>3240</v>
      </c>
      <c r="B193" s="336" t="s">
        <v>3227</v>
      </c>
      <c r="C193" s="657" t="s">
        <v>3235</v>
      </c>
      <c r="D193" s="699"/>
      <c r="E193" s="699"/>
      <c r="F193" s="699"/>
      <c r="G193" s="699"/>
      <c r="H193" s="699"/>
      <c r="I193" s="699"/>
      <c r="J193" s="699"/>
      <c r="K193" s="699"/>
      <c r="L193" s="699"/>
      <c r="M193" s="699"/>
      <c r="N193" s="699"/>
      <c r="O193" s="699"/>
      <c r="P193" s="674">
        <f t="shared" si="88"/>
        <v>0</v>
      </c>
    </row>
    <row r="194" spans="1:16" hidden="1" outlineLevel="1">
      <c r="A194" s="682" t="s">
        <v>3241</v>
      </c>
      <c r="B194" s="336" t="s">
        <v>3227</v>
      </c>
      <c r="C194" s="657" t="s">
        <v>3235</v>
      </c>
      <c r="D194" s="699"/>
      <c r="E194" s="699"/>
      <c r="F194" s="699"/>
      <c r="G194" s="699"/>
      <c r="H194" s="699"/>
      <c r="I194" s="699"/>
      <c r="J194" s="699"/>
      <c r="K194" s="699"/>
      <c r="L194" s="699"/>
      <c r="M194" s="699"/>
      <c r="N194" s="699"/>
      <c r="O194" s="699"/>
      <c r="P194" s="674">
        <f t="shared" si="88"/>
        <v>0</v>
      </c>
    </row>
    <row r="195" spans="1:16" hidden="1" outlineLevel="1">
      <c r="A195" s="682" t="s">
        <v>3242</v>
      </c>
      <c r="B195" s="336" t="s">
        <v>3227</v>
      </c>
      <c r="C195" s="657" t="s">
        <v>3235</v>
      </c>
      <c r="D195" s="699"/>
      <c r="E195" s="699"/>
      <c r="F195" s="699"/>
      <c r="G195" s="699"/>
      <c r="H195" s="699"/>
      <c r="I195" s="699"/>
      <c r="J195" s="699"/>
      <c r="K195" s="699"/>
      <c r="L195" s="699"/>
      <c r="M195" s="699"/>
      <c r="N195" s="699"/>
      <c r="O195" s="699"/>
      <c r="P195" s="674">
        <f t="shared" si="88"/>
        <v>0</v>
      </c>
    </row>
    <row r="196" spans="1:16" hidden="1" outlineLevel="1">
      <c r="A196" s="683" t="s">
        <v>3243</v>
      </c>
      <c r="B196" s="336" t="s">
        <v>243</v>
      </c>
      <c r="C196" s="657" t="s">
        <v>3235</v>
      </c>
      <c r="D196" s="483">
        <f t="shared" ref="D196:O196" si="102">IFERROR(IF($B196="FRANQUEADORA",(AVERAGE($D24:D24)+(0.2+0.058+0.01+0.005)*(AVERAGE($D24:D24))+0.08*(AVERAGE($D24:D24)))/12,(AVERAGE($D24:D24)+0.08*(AVERAGE($D24:D24)))/12),"")</f>
        <v>0</v>
      </c>
      <c r="E196" s="483">
        <f t="shared" si="102"/>
        <v>0</v>
      </c>
      <c r="F196" s="483">
        <f t="shared" si="102"/>
        <v>0</v>
      </c>
      <c r="G196" s="483">
        <f t="shared" si="102"/>
        <v>0</v>
      </c>
      <c r="H196" s="483">
        <f t="shared" si="102"/>
        <v>0</v>
      </c>
      <c r="I196" s="483">
        <f t="shared" si="102"/>
        <v>0</v>
      </c>
      <c r="J196" s="483">
        <f t="shared" si="102"/>
        <v>0</v>
      </c>
      <c r="K196" s="483">
        <f t="shared" si="102"/>
        <v>0</v>
      </c>
      <c r="L196" s="483">
        <f t="shared" si="102"/>
        <v>0</v>
      </c>
      <c r="M196" s="483">
        <f t="shared" si="102"/>
        <v>0</v>
      </c>
      <c r="N196" s="483">
        <f t="shared" si="102"/>
        <v>0</v>
      </c>
      <c r="O196" s="483">
        <f t="shared" si="102"/>
        <v>0</v>
      </c>
      <c r="P196" s="674">
        <f t="shared" si="88"/>
        <v>0</v>
      </c>
    </row>
    <row r="197" spans="1:16" hidden="1" outlineLevel="1">
      <c r="A197" s="670" t="s">
        <v>3244</v>
      </c>
      <c r="B197" s="336" t="s">
        <v>3227</v>
      </c>
      <c r="C197" s="657" t="s">
        <v>476</v>
      </c>
      <c r="D197" s="483">
        <f t="shared" ref="D197:O197" si="103">IFERROR(IF($B197="FRANQUEADORA",(AVERAGE($D25:D25)+(0.2+0.058+0.01+0.005)*(AVERAGE($D25:D25))+0.08*(AVERAGE($D25:D25)))/12,(AVERAGE($D25:D25)+0.08*(AVERAGE($D25:D25)))/12),"")</f>
        <v>412.97506249999998</v>
      </c>
      <c r="E197" s="483">
        <f t="shared" si="103"/>
        <v>412.97506249999998</v>
      </c>
      <c r="F197" s="483">
        <f t="shared" si="103"/>
        <v>412.97506249999998</v>
      </c>
      <c r="G197" s="483">
        <f t="shared" si="103"/>
        <v>412.97506249999998</v>
      </c>
      <c r="H197" s="483">
        <f t="shared" si="103"/>
        <v>412.97506249999998</v>
      </c>
      <c r="I197" s="483">
        <f t="shared" si="103"/>
        <v>412.97506249999998</v>
      </c>
      <c r="J197" s="483">
        <f t="shared" si="103"/>
        <v>412.97506249999998</v>
      </c>
      <c r="K197" s="483">
        <f t="shared" si="103"/>
        <v>412.97506249999998</v>
      </c>
      <c r="L197" s="483">
        <f t="shared" si="103"/>
        <v>412.97506249999998</v>
      </c>
      <c r="M197" s="483">
        <f t="shared" si="103"/>
        <v>412.97506249999998</v>
      </c>
      <c r="N197" s="483">
        <f t="shared" si="103"/>
        <v>412.97506249999998</v>
      </c>
      <c r="O197" s="483">
        <f t="shared" si="103"/>
        <v>412.97506249999998</v>
      </c>
      <c r="P197" s="674">
        <f t="shared" si="88"/>
        <v>4955.70075</v>
      </c>
    </row>
    <row r="198" spans="1:16" hidden="1" outlineLevel="1">
      <c r="A198" s="670" t="s">
        <v>3245</v>
      </c>
      <c r="B198" s="336" t="s">
        <v>3227</v>
      </c>
      <c r="C198" s="657" t="s">
        <v>476</v>
      </c>
      <c r="D198" s="483">
        <f t="shared" ref="D198:O198" si="104">IFERROR(IF($B198="FRANQUEADORA",(AVERAGE($D26:D26)+(0.2+0.058+0.01+0.005)*(AVERAGE($D26:D26))+0.08*(AVERAGE($D26:D26)))/12,(AVERAGE($D26:D26)+0.08*(AVERAGE($D26:D26)))/12),"")</f>
        <v>650.19091500000002</v>
      </c>
      <c r="E198" s="483">
        <f t="shared" si="104"/>
        <v>650.19091500000002</v>
      </c>
      <c r="F198" s="483">
        <f t="shared" si="104"/>
        <v>650.19091500000002</v>
      </c>
      <c r="G198" s="483">
        <f t="shared" si="104"/>
        <v>650.19091500000002</v>
      </c>
      <c r="H198" s="483">
        <f t="shared" si="104"/>
        <v>650.19091500000002</v>
      </c>
      <c r="I198" s="483">
        <f t="shared" si="104"/>
        <v>650.19091500000002</v>
      </c>
      <c r="J198" s="483">
        <f t="shared" si="104"/>
        <v>650.1909149999999</v>
      </c>
      <c r="K198" s="483">
        <f t="shared" si="104"/>
        <v>650.19091500000002</v>
      </c>
      <c r="L198" s="483">
        <f t="shared" si="104"/>
        <v>650.19091500000002</v>
      </c>
      <c r="M198" s="483">
        <f t="shared" si="104"/>
        <v>650.19091500000002</v>
      </c>
      <c r="N198" s="483">
        <f t="shared" si="104"/>
        <v>650.19091500000002</v>
      </c>
      <c r="O198" s="483">
        <f t="shared" si="104"/>
        <v>650.19091500000002</v>
      </c>
      <c r="P198" s="674">
        <f t="shared" si="88"/>
        <v>7802.2909800000007</v>
      </c>
    </row>
    <row r="199" spans="1:16" hidden="1" outlineLevel="1">
      <c r="A199" s="670" t="s">
        <v>3246</v>
      </c>
      <c r="B199" s="336" t="s">
        <v>3227</v>
      </c>
      <c r="C199" s="657" t="s">
        <v>476</v>
      </c>
      <c r="D199" s="483">
        <f t="shared" ref="D199:O199" si="105">IFERROR(IF($B199="FRANQUEADORA",(AVERAGE($D27:D27)+(0.2+0.058+0.01+0.005)*(AVERAGE($D27:D27))+0.08*(AVERAGE($D27:D27)))/12,(AVERAGE($D27:D27)+0.08*(AVERAGE($D27:D27)))/12),"")</f>
        <v>433.46061000000003</v>
      </c>
      <c r="E199" s="483">
        <f t="shared" si="105"/>
        <v>433.46061000000003</v>
      </c>
      <c r="F199" s="483">
        <f t="shared" si="105"/>
        <v>433.46061000000003</v>
      </c>
      <c r="G199" s="483">
        <f t="shared" si="105"/>
        <v>433.46061000000003</v>
      </c>
      <c r="H199" s="483">
        <f t="shared" si="105"/>
        <v>433.46061000000003</v>
      </c>
      <c r="I199" s="483">
        <f t="shared" si="105"/>
        <v>433.46061000000003</v>
      </c>
      <c r="J199" s="483">
        <f t="shared" si="105"/>
        <v>433.46060999999992</v>
      </c>
      <c r="K199" s="483">
        <f t="shared" si="105"/>
        <v>433.46060999999992</v>
      </c>
      <c r="L199" s="483">
        <f t="shared" si="105"/>
        <v>433.46060999999992</v>
      </c>
      <c r="M199" s="483">
        <f t="shared" si="105"/>
        <v>433.46060999999992</v>
      </c>
      <c r="N199" s="483">
        <f t="shared" si="105"/>
        <v>433.46060999999992</v>
      </c>
      <c r="O199" s="483">
        <f t="shared" si="105"/>
        <v>433.46060999999992</v>
      </c>
      <c r="P199" s="674">
        <f t="shared" si="88"/>
        <v>5201.5273200000001</v>
      </c>
    </row>
    <row r="200" spans="1:16" hidden="1" outlineLevel="1">
      <c r="A200" s="670" t="s">
        <v>3247</v>
      </c>
      <c r="B200" s="336" t="s">
        <v>3227</v>
      </c>
      <c r="C200" s="657" t="s">
        <v>476</v>
      </c>
      <c r="D200" s="483">
        <f t="shared" ref="D200:O200" si="106">IFERROR(IF($B200="FRANQUEADORA",(AVERAGE($D28:D28)+(0.2+0.058+0.01+0.005)*(AVERAGE($D28:D28))+0.08*(AVERAGE($D28:D28)))/12,(AVERAGE($D28:D28)+0.08*(AVERAGE($D28:D28)))/12),"")</f>
        <v>577.94747999999993</v>
      </c>
      <c r="E200" s="483">
        <f t="shared" si="106"/>
        <v>577.94747999999993</v>
      </c>
      <c r="F200" s="483">
        <f t="shared" si="106"/>
        <v>577.94747999999993</v>
      </c>
      <c r="G200" s="483">
        <f t="shared" si="106"/>
        <v>577.94747999999993</v>
      </c>
      <c r="H200" s="483">
        <f t="shared" si="106"/>
        <v>577.94747999999993</v>
      </c>
      <c r="I200" s="483">
        <f t="shared" si="106"/>
        <v>577.94747999999993</v>
      </c>
      <c r="J200" s="483">
        <f t="shared" si="106"/>
        <v>577.94747999999993</v>
      </c>
      <c r="K200" s="483">
        <f t="shared" si="106"/>
        <v>577.94747999999993</v>
      </c>
      <c r="L200" s="483">
        <f t="shared" si="106"/>
        <v>577.94747999999993</v>
      </c>
      <c r="M200" s="483">
        <f t="shared" si="106"/>
        <v>577.94747999999993</v>
      </c>
      <c r="N200" s="483">
        <f t="shared" si="106"/>
        <v>577.94747999999993</v>
      </c>
      <c r="O200" s="483">
        <f t="shared" si="106"/>
        <v>577.94747999999993</v>
      </c>
      <c r="P200" s="674">
        <f t="shared" si="88"/>
        <v>6935.3697599999987</v>
      </c>
    </row>
    <row r="201" spans="1:16" hidden="1" outlineLevel="1">
      <c r="A201" s="679" t="s">
        <v>3248</v>
      </c>
      <c r="B201" s="336" t="s">
        <v>3227</v>
      </c>
      <c r="C201" s="657" t="s">
        <v>476</v>
      </c>
      <c r="D201" s="483">
        <f t="shared" ref="D201:F201" si="107">IFERROR(IF($B201="FRANQUEADORA",(AVERAGE($D29:D29)+(0.2+0.058+0.01+0.005)*(AVERAGE($D29:D29))+0.08*(AVERAGE($D29:D29)))/12,(AVERAGE($D29:D29)+0.08*(AVERAGE($D29:D29)))/12),"")</f>
        <v>541.8257625</v>
      </c>
      <c r="E201" s="483">
        <f t="shared" si="107"/>
        <v>541.8257625</v>
      </c>
      <c r="F201" s="483">
        <f t="shared" si="107"/>
        <v>541.8257625</v>
      </c>
      <c r="G201" s="483"/>
      <c r="H201" s="483"/>
      <c r="I201" s="483"/>
      <c r="J201" s="483"/>
      <c r="K201" s="483"/>
      <c r="L201" s="483"/>
      <c r="M201" s="483"/>
      <c r="N201" s="483"/>
      <c r="O201" s="483"/>
      <c r="P201" s="674">
        <f t="shared" si="88"/>
        <v>1625.4772874999999</v>
      </c>
    </row>
    <row r="202" spans="1:16" hidden="1" outlineLevel="1">
      <c r="A202" s="679" t="s">
        <v>3249</v>
      </c>
      <c r="B202" s="336" t="s">
        <v>3227</v>
      </c>
      <c r="C202" s="657" t="s">
        <v>476</v>
      </c>
      <c r="D202" s="483">
        <f t="shared" ref="D202:F202" si="108">IFERROR(IF($B202="FRANQUEADORA",(AVERAGE($D30:D30)+(0.2+0.058+0.01+0.005)*(AVERAGE($D30:D30))+0.08*(AVERAGE($D30:D30)))/12,(AVERAGE($D30:D30)+0.08*(AVERAGE($D30:D30)))/12),"")</f>
        <v>418.86061249999995</v>
      </c>
      <c r="E202" s="483">
        <f t="shared" si="108"/>
        <v>418.86061249999995</v>
      </c>
      <c r="F202" s="483">
        <f t="shared" si="108"/>
        <v>418.86061249999995</v>
      </c>
      <c r="G202" s="483"/>
      <c r="H202" s="483"/>
      <c r="I202" s="483"/>
      <c r="J202" s="483"/>
      <c r="K202" s="483"/>
      <c r="L202" s="483"/>
      <c r="M202" s="483"/>
      <c r="N202" s="483"/>
      <c r="O202" s="483"/>
      <c r="P202" s="674">
        <f t="shared" si="88"/>
        <v>1256.5818374999999</v>
      </c>
    </row>
    <row r="203" spans="1:16" hidden="1" outlineLevel="1">
      <c r="A203" s="686" t="s">
        <v>3250</v>
      </c>
      <c r="B203" s="336" t="s">
        <v>3227</v>
      </c>
      <c r="C203" s="657" t="s">
        <v>476</v>
      </c>
      <c r="D203" s="483"/>
      <c r="E203" s="483"/>
      <c r="F203" s="483"/>
      <c r="G203" s="483"/>
      <c r="H203" s="483"/>
      <c r="I203" s="697">
        <f t="shared" ref="I203:O203" si="109">IFERROR(IF($B203="FRANQUEADORA",(AVERAGE($I31:I31)+(0.2+0.058+0.01+0.005)*(AVERAGE($I31:I31))+0.08*(AVERAGE($I31:I31)))/12,(AVERAGE($I31:I31)+0.08*(AVERAGE($I31:I31)))/12),"")</f>
        <v>577.94747999999993</v>
      </c>
      <c r="J203" s="483">
        <f t="shared" si="109"/>
        <v>577.94747999999993</v>
      </c>
      <c r="K203" s="483">
        <f t="shared" si="109"/>
        <v>577.94747999999993</v>
      </c>
      <c r="L203" s="483">
        <f t="shared" si="109"/>
        <v>577.94747999999993</v>
      </c>
      <c r="M203" s="483">
        <f t="shared" si="109"/>
        <v>577.94747999999993</v>
      </c>
      <c r="N203" s="483">
        <f t="shared" si="109"/>
        <v>577.94747999999993</v>
      </c>
      <c r="O203" s="483">
        <f t="shared" si="109"/>
        <v>577.94747999999993</v>
      </c>
      <c r="P203" s="674">
        <f t="shared" si="88"/>
        <v>4045.6323599999992</v>
      </c>
    </row>
    <row r="204" spans="1:16" hidden="1" outlineLevel="1">
      <c r="A204" s="686" t="s">
        <v>3251</v>
      </c>
      <c r="B204" s="336" t="s">
        <v>243</v>
      </c>
      <c r="C204" s="657" t="s">
        <v>476</v>
      </c>
      <c r="D204" s="483"/>
      <c r="E204" s="483"/>
      <c r="F204" s="483"/>
      <c r="G204" s="483"/>
      <c r="H204" s="483"/>
      <c r="I204" s="483"/>
      <c r="J204" s="697">
        <f t="shared" ref="J204:O204" si="110">IFERROR(IF($B204="FRANQUEADORA",(AVERAGE($J32:J32)+(0.2+0.058+0.01+0.005)*(AVERAGE($J32:J32))+0.08*(AVERAGE($J32:J32)))/12,(AVERAGE($J32:J32)+0.08*(AVERAGE($J32:J32)))/12),"")</f>
        <v>389.25</v>
      </c>
      <c r="K204" s="483">
        <f t="shared" si="110"/>
        <v>389.25</v>
      </c>
      <c r="L204" s="483">
        <f t="shared" si="110"/>
        <v>389.25</v>
      </c>
      <c r="M204" s="483">
        <f t="shared" si="110"/>
        <v>389.25</v>
      </c>
      <c r="N204" s="483">
        <f t="shared" si="110"/>
        <v>389.25</v>
      </c>
      <c r="O204" s="483">
        <f t="shared" si="110"/>
        <v>389.25</v>
      </c>
      <c r="P204" s="674">
        <f t="shared" si="88"/>
        <v>2335.5</v>
      </c>
    </row>
    <row r="205" spans="1:16" hidden="1" outlineLevel="1">
      <c r="A205" s="670" t="s">
        <v>3252</v>
      </c>
      <c r="B205" s="336" t="s">
        <v>3227</v>
      </c>
      <c r="C205" s="657" t="s">
        <v>422</v>
      </c>
      <c r="D205" s="483">
        <f t="shared" ref="D205:O205" si="111">IFERROR(IF($B205="FRANQUEADORA",(AVERAGE($D33:D33)+(0.2+0.058+0.01+0.005)*(AVERAGE($D33:D33))+0.08*(AVERAGE($D33:D33)))/12,(AVERAGE($D33:D33)+0.08*(AVERAGE($D33:D33)))/12),"")</f>
        <v>383.71305499999994</v>
      </c>
      <c r="E205" s="483">
        <f t="shared" si="111"/>
        <v>383.71305499999994</v>
      </c>
      <c r="F205" s="483">
        <f t="shared" si="111"/>
        <v>383.71305499999994</v>
      </c>
      <c r="G205" s="483">
        <f t="shared" si="111"/>
        <v>383.71305499999994</v>
      </c>
      <c r="H205" s="483">
        <f t="shared" si="111"/>
        <v>383.71305499999994</v>
      </c>
      <c r="I205" s="483">
        <f t="shared" si="111"/>
        <v>391.70702999999986</v>
      </c>
      <c r="J205" s="483">
        <f t="shared" si="111"/>
        <v>397.41701214285712</v>
      </c>
      <c r="K205" s="483">
        <f t="shared" si="111"/>
        <v>401.69949874999992</v>
      </c>
      <c r="L205" s="483">
        <f t="shared" si="111"/>
        <v>401.69949874999992</v>
      </c>
      <c r="M205" s="483">
        <f t="shared" si="111"/>
        <v>401.69949874999992</v>
      </c>
      <c r="N205" s="483">
        <f t="shared" si="111"/>
        <v>401.69949874999992</v>
      </c>
      <c r="O205" s="483">
        <f t="shared" si="111"/>
        <v>401.69949874999992</v>
      </c>
      <c r="P205" s="674">
        <f t="shared" si="88"/>
        <v>4716.1868108928556</v>
      </c>
    </row>
    <row r="206" spans="1:16" hidden="1" outlineLevel="1">
      <c r="A206" s="670" t="s">
        <v>3253</v>
      </c>
      <c r="B206" s="336" t="s">
        <v>3227</v>
      </c>
      <c r="C206" s="657" t="s">
        <v>422</v>
      </c>
      <c r="D206" s="483">
        <f t="shared" ref="D206:O206" si="112">IFERROR(IF($B206="FRANQUEADORA",(AVERAGE($D34:D34)+(0.2+0.058+0.01+0.005)*(AVERAGE($D34:D34))+0.08*(AVERAGE($D34:D34)))/12,(AVERAGE($D34:D34)+0.08*(AVERAGE($D34:D34)))/12),"")</f>
        <v>457.23620249999999</v>
      </c>
      <c r="E206" s="483">
        <f t="shared" si="112"/>
        <v>457.23620249999999</v>
      </c>
      <c r="F206" s="483">
        <f t="shared" si="112"/>
        <v>457.23620249999999</v>
      </c>
      <c r="G206" s="483">
        <f t="shared" si="112"/>
        <v>457.23620249999999</v>
      </c>
      <c r="H206" s="483">
        <f t="shared" si="112"/>
        <v>457.23620249999999</v>
      </c>
      <c r="I206" s="483">
        <f t="shared" si="112"/>
        <v>457.23620249999999</v>
      </c>
      <c r="J206" s="483">
        <f t="shared" si="112"/>
        <v>457.23620249999999</v>
      </c>
      <c r="K206" s="483">
        <f t="shared" si="112"/>
        <v>457.23620249999999</v>
      </c>
      <c r="L206" s="483">
        <f t="shared" si="112"/>
        <v>457.23620249999999</v>
      </c>
      <c r="M206" s="483">
        <f t="shared" si="112"/>
        <v>457.23620249999999</v>
      </c>
      <c r="N206" s="483">
        <f t="shared" si="112"/>
        <v>457.23620249999999</v>
      </c>
      <c r="O206" s="483">
        <f t="shared" si="112"/>
        <v>457.23620249999999</v>
      </c>
      <c r="P206" s="674">
        <f t="shared" si="88"/>
        <v>5486.8344300000017</v>
      </c>
    </row>
    <row r="207" spans="1:16" hidden="1" outlineLevel="1">
      <c r="A207" s="679" t="s">
        <v>3254</v>
      </c>
      <c r="B207" s="336" t="s">
        <v>3227</v>
      </c>
      <c r="C207" s="657" t="s">
        <v>422</v>
      </c>
      <c r="D207" s="699"/>
      <c r="E207" s="699"/>
      <c r="F207" s="699"/>
      <c r="G207" s="699"/>
      <c r="H207" s="699"/>
      <c r="I207" s="699"/>
      <c r="J207" s="699"/>
      <c r="K207" s="699"/>
      <c r="L207" s="699"/>
      <c r="M207" s="699"/>
      <c r="N207" s="699"/>
      <c r="O207" s="699"/>
      <c r="P207" s="674">
        <f t="shared" si="88"/>
        <v>0</v>
      </c>
    </row>
    <row r="208" spans="1:16" hidden="1" outlineLevel="1">
      <c r="A208" s="686" t="s">
        <v>3255</v>
      </c>
      <c r="B208" s="336" t="s">
        <v>3227</v>
      </c>
      <c r="C208" s="657" t="s">
        <v>422</v>
      </c>
      <c r="D208" s="483">
        <f t="shared" ref="D208:O208" si="113">IFERROR(IF($B208="FRANQUEADORA",(AVERAGE($D36:D36)+(0.2+0.058+0.01+0.005)*(AVERAGE($D36:D36))+0.08*(AVERAGE($D36:D36)))/12,(AVERAGE($D36:D36)+0.08*(AVERAGE($D36:D36)))/12),"")</f>
        <v>0</v>
      </c>
      <c r="E208" s="483">
        <f t="shared" si="113"/>
        <v>0</v>
      </c>
      <c r="F208" s="483">
        <f t="shared" si="113"/>
        <v>0</v>
      </c>
      <c r="G208" s="483">
        <f t="shared" si="113"/>
        <v>0</v>
      </c>
      <c r="H208" s="483">
        <f t="shared" si="113"/>
        <v>0</v>
      </c>
      <c r="I208" s="483">
        <f t="shared" si="113"/>
        <v>0</v>
      </c>
      <c r="J208" s="483">
        <f t="shared" si="113"/>
        <v>0</v>
      </c>
      <c r="K208" s="483">
        <f t="shared" si="113"/>
        <v>0</v>
      </c>
      <c r="L208" s="483">
        <f t="shared" si="113"/>
        <v>0</v>
      </c>
      <c r="M208" s="483">
        <f t="shared" si="113"/>
        <v>0</v>
      </c>
      <c r="N208" s="483">
        <f t="shared" si="113"/>
        <v>0</v>
      </c>
      <c r="O208" s="483">
        <f t="shared" si="113"/>
        <v>0</v>
      </c>
      <c r="P208" s="674">
        <f t="shared" si="88"/>
        <v>0</v>
      </c>
    </row>
    <row r="209" spans="1:16" hidden="1" outlineLevel="1">
      <c r="A209" s="683" t="s">
        <v>2809</v>
      </c>
      <c r="B209" s="336" t="s">
        <v>3227</v>
      </c>
      <c r="C209" s="657" t="s">
        <v>422</v>
      </c>
      <c r="D209" s="483">
        <f t="shared" ref="D209:D228" si="114">IFERROR(IF($B209="FRANQUEADORA",(AVERAGE($D37:D37)+(0.2+0.058+0.01+0.005)*(AVERAGE($D37:D37))+0.08*(AVERAGE($D37:D37)))/12,(AVERAGE($D37:D37)+0.08*(AVERAGE($D37:D37)))/12),"")</f>
        <v>0</v>
      </c>
      <c r="E209" s="697">
        <f t="shared" ref="E209:O209" si="115">IFERROR(IF($B209="FRANQUEADORA",(AVERAGE($E37:E37)+(0.2+0.058+0.01+0.005)*(AVERAGE($E37:E37))+0.08*(AVERAGE($E37:E37)))/12,(AVERAGE($E37:E37)+0.08*(AVERAGE($E37:E37)))/12),"")</f>
        <v>471.21832999999992</v>
      </c>
      <c r="F209" s="483">
        <f t="shared" si="115"/>
        <v>471.21832999999992</v>
      </c>
      <c r="G209" s="483">
        <f t="shared" si="115"/>
        <v>471.21832999999992</v>
      </c>
      <c r="H209" s="483">
        <f t="shared" si="115"/>
        <v>471.21832999999992</v>
      </c>
      <c r="I209" s="483">
        <f t="shared" si="115"/>
        <v>471.21832999999992</v>
      </c>
      <c r="J209" s="483">
        <f t="shared" si="115"/>
        <v>471.21832999999992</v>
      </c>
      <c r="K209" s="483">
        <f t="shared" si="115"/>
        <v>471.21832999999992</v>
      </c>
      <c r="L209" s="483">
        <f t="shared" si="115"/>
        <v>471.21832999999992</v>
      </c>
      <c r="M209" s="483">
        <f t="shared" si="115"/>
        <v>471.21832999999992</v>
      </c>
      <c r="N209" s="483">
        <f t="shared" si="115"/>
        <v>471.21832999999992</v>
      </c>
      <c r="O209" s="483">
        <f t="shared" si="115"/>
        <v>471.21832999999992</v>
      </c>
      <c r="P209" s="674">
        <f t="shared" si="88"/>
        <v>5183.4016299999976</v>
      </c>
    </row>
    <row r="210" spans="1:16" hidden="1" outlineLevel="1">
      <c r="A210" s="670" t="s">
        <v>3256</v>
      </c>
      <c r="B210" s="336" t="s">
        <v>243</v>
      </c>
      <c r="C210" s="657" t="s">
        <v>164</v>
      </c>
      <c r="D210" s="483">
        <f t="shared" si="114"/>
        <v>331.80840000000001</v>
      </c>
      <c r="E210" s="483">
        <f t="shared" ref="E210:O210" si="116">IFERROR(IF($B210="FRANQUEADORA",(AVERAGE($D38:E38)+(0.2+0.058+0.01+0.005)*(AVERAGE($D38:E38))+0.08*(AVERAGE($D38:E38)))/12,(AVERAGE($D38:E38)+0.08*(AVERAGE($D38:E38)))/12),"")</f>
        <v>331.80840000000001</v>
      </c>
      <c r="F210" s="483">
        <f t="shared" si="116"/>
        <v>331.80840000000001</v>
      </c>
      <c r="G210" s="483">
        <f t="shared" si="116"/>
        <v>331.80840000000001</v>
      </c>
      <c r="H210" s="483">
        <f t="shared" si="116"/>
        <v>338.70168000000007</v>
      </c>
      <c r="I210" s="483">
        <f t="shared" si="116"/>
        <v>343.29720000000003</v>
      </c>
      <c r="J210" s="483">
        <f t="shared" si="116"/>
        <v>346.57971428571437</v>
      </c>
      <c r="K210" s="483">
        <f t="shared" si="116"/>
        <v>349.04160000000007</v>
      </c>
      <c r="L210" s="483">
        <f t="shared" si="116"/>
        <v>349.04160000000007</v>
      </c>
      <c r="M210" s="483">
        <f t="shared" si="116"/>
        <v>349.04160000000007</v>
      </c>
      <c r="N210" s="483">
        <f t="shared" si="116"/>
        <v>349.04160000000007</v>
      </c>
      <c r="O210" s="483">
        <f t="shared" si="116"/>
        <v>349.04160000000007</v>
      </c>
      <c r="P210" s="674">
        <f t="shared" si="88"/>
        <v>4101.0201942857148</v>
      </c>
    </row>
    <row r="211" spans="1:16" hidden="1" outlineLevel="1">
      <c r="A211" s="670" t="s">
        <v>3257</v>
      </c>
      <c r="B211" s="336" t="s">
        <v>243</v>
      </c>
      <c r="C211" s="657" t="s">
        <v>164</v>
      </c>
      <c r="D211" s="483">
        <f t="shared" si="114"/>
        <v>331.80840000000001</v>
      </c>
      <c r="E211" s="483">
        <f t="shared" ref="E211:O211" si="117">IFERROR(IF($B211="FRANQUEADORA",(AVERAGE($D39:E39)+(0.2+0.058+0.01+0.005)*(AVERAGE($D39:E39))+0.08*(AVERAGE($D39:E39)))/12,(AVERAGE($D39:E39)+0.08*(AVERAGE($D39:E39)))/12),"")</f>
        <v>331.80840000000001</v>
      </c>
      <c r="F211" s="483">
        <f t="shared" si="117"/>
        <v>331.80840000000001</v>
      </c>
      <c r="G211" s="483">
        <f t="shared" si="117"/>
        <v>331.80840000000001</v>
      </c>
      <c r="H211" s="483">
        <f t="shared" si="117"/>
        <v>331.80840000000006</v>
      </c>
      <c r="I211" s="483">
        <f t="shared" si="117"/>
        <v>331.80840000000006</v>
      </c>
      <c r="J211" s="483">
        <f t="shared" si="117"/>
        <v>331.80840000000012</v>
      </c>
      <c r="K211" s="483">
        <f t="shared" si="117"/>
        <v>331.80840000000012</v>
      </c>
      <c r="L211" s="483">
        <f t="shared" si="117"/>
        <v>331.80840000000012</v>
      </c>
      <c r="M211" s="483">
        <f t="shared" si="117"/>
        <v>331.80840000000012</v>
      </c>
      <c r="N211" s="483">
        <f t="shared" si="117"/>
        <v>331.80840000000012</v>
      </c>
      <c r="O211" s="483">
        <f t="shared" si="117"/>
        <v>331.80840000000012</v>
      </c>
      <c r="P211" s="674">
        <f t="shared" si="88"/>
        <v>3981.7007999999996</v>
      </c>
    </row>
    <row r="212" spans="1:16" hidden="1" outlineLevel="1">
      <c r="A212" s="670" t="s">
        <v>669</v>
      </c>
      <c r="B212" s="336" t="s">
        <v>243</v>
      </c>
      <c r="C212" s="657" t="s">
        <v>164</v>
      </c>
      <c r="D212" s="483">
        <f t="shared" si="114"/>
        <v>243.51390000000001</v>
      </c>
      <c r="E212" s="483">
        <f t="shared" ref="E212:O212" si="118">IFERROR(IF($B212="FRANQUEADORA",(AVERAGE($D40:E40)+(0.2+0.058+0.01+0.005)*(AVERAGE($D40:E40))+0.08*(AVERAGE($D40:E40)))/12,(AVERAGE($D40:E40)+0.08*(AVERAGE($D40:E40)))/12),"")</f>
        <v>243.51390000000001</v>
      </c>
      <c r="F212" s="483">
        <f t="shared" si="118"/>
        <v>243.51390000000001</v>
      </c>
      <c r="G212" s="483">
        <f t="shared" si="118"/>
        <v>243.51390000000001</v>
      </c>
      <c r="H212" s="483">
        <f t="shared" si="118"/>
        <v>243.51390000000001</v>
      </c>
      <c r="I212" s="483">
        <f t="shared" si="118"/>
        <v>243.51389999999995</v>
      </c>
      <c r="J212" s="483">
        <f t="shared" si="118"/>
        <v>243.51389999999995</v>
      </c>
      <c r="K212" s="483">
        <f t="shared" si="118"/>
        <v>243.51389999999995</v>
      </c>
      <c r="L212" s="483">
        <f t="shared" si="118"/>
        <v>243.51389999999995</v>
      </c>
      <c r="M212" s="483">
        <f t="shared" si="118"/>
        <v>243.51389999999995</v>
      </c>
      <c r="N212" s="483">
        <f t="shared" si="118"/>
        <v>243.51389999999995</v>
      </c>
      <c r="O212" s="483">
        <f t="shared" si="118"/>
        <v>243.51389999999995</v>
      </c>
      <c r="P212" s="674">
        <f t="shared" si="88"/>
        <v>2922.1667999999995</v>
      </c>
    </row>
    <row r="213" spans="1:16" hidden="1" outlineLevel="1">
      <c r="A213" s="670" t="s">
        <v>176</v>
      </c>
      <c r="B213" s="336" t="s">
        <v>243</v>
      </c>
      <c r="C213" s="657" t="s">
        <v>164</v>
      </c>
      <c r="D213" s="483">
        <f t="shared" si="114"/>
        <v>331.80840000000001</v>
      </c>
      <c r="E213" s="483">
        <f t="shared" ref="E213:O213" si="119">IFERROR(IF($B213="FRANQUEADORA",(AVERAGE($D41:E41)+(0.2+0.058+0.01+0.005)*(AVERAGE($D41:E41))+0.08*(AVERAGE($D41:E41)))/12,(AVERAGE($D41:E41)+0.08*(AVERAGE($D41:E41)))/12),"")</f>
        <v>331.80840000000001</v>
      </c>
      <c r="F213" s="483">
        <f t="shared" si="119"/>
        <v>331.80840000000001</v>
      </c>
      <c r="G213" s="483">
        <f t="shared" si="119"/>
        <v>331.80840000000001</v>
      </c>
      <c r="H213" s="483">
        <f t="shared" si="119"/>
        <v>338.70168000000007</v>
      </c>
      <c r="I213" s="483">
        <f t="shared" si="119"/>
        <v>343.29720000000003</v>
      </c>
      <c r="J213" s="483">
        <f t="shared" si="119"/>
        <v>346.57971428571437</v>
      </c>
      <c r="K213" s="483">
        <f t="shared" si="119"/>
        <v>349.04160000000007</v>
      </c>
      <c r="L213" s="483">
        <f t="shared" si="119"/>
        <v>349.04160000000007</v>
      </c>
      <c r="M213" s="483">
        <f t="shared" si="119"/>
        <v>349.04160000000007</v>
      </c>
      <c r="N213" s="483">
        <f t="shared" si="119"/>
        <v>349.04160000000007</v>
      </c>
      <c r="O213" s="483">
        <f t="shared" si="119"/>
        <v>349.04160000000007</v>
      </c>
      <c r="P213" s="674">
        <f t="shared" si="88"/>
        <v>4101.0201942857148</v>
      </c>
    </row>
    <row r="214" spans="1:16" hidden="1" outlineLevel="1">
      <c r="A214" s="670" t="s">
        <v>178</v>
      </c>
      <c r="B214" s="336" t="s">
        <v>243</v>
      </c>
      <c r="C214" s="657" t="s">
        <v>164</v>
      </c>
      <c r="D214" s="483">
        <f t="shared" si="114"/>
        <v>304.15770000000003</v>
      </c>
      <c r="E214" s="483">
        <f t="shared" ref="E214:O214" si="120">IFERROR(IF($B214="FRANQUEADORA",(AVERAGE($D42:E42)+(0.2+0.058+0.01+0.005)*(AVERAGE($D42:E42))+0.08*(AVERAGE($D42:E42)))/12,(AVERAGE($D42:E42)+0.08*(AVERAGE($D42:E42)))/12),"")</f>
        <v>304.15770000000003</v>
      </c>
      <c r="F214" s="483">
        <f t="shared" si="120"/>
        <v>304.15770000000003</v>
      </c>
      <c r="G214" s="483">
        <f t="shared" si="120"/>
        <v>304.15770000000003</v>
      </c>
      <c r="H214" s="483">
        <f t="shared" si="120"/>
        <v>304.15770000000003</v>
      </c>
      <c r="I214" s="483">
        <f t="shared" si="120"/>
        <v>304.15770000000003</v>
      </c>
      <c r="J214" s="483">
        <f t="shared" si="120"/>
        <v>304.15769999999998</v>
      </c>
      <c r="K214" s="483">
        <f t="shared" si="120"/>
        <v>304.15769999999998</v>
      </c>
      <c r="L214" s="483">
        <f t="shared" si="120"/>
        <v>304.15769999999998</v>
      </c>
      <c r="M214" s="483">
        <f t="shared" si="120"/>
        <v>304.15769999999998</v>
      </c>
      <c r="N214" s="483">
        <f t="shared" si="120"/>
        <v>304.15769999999998</v>
      </c>
      <c r="O214" s="483">
        <f t="shared" si="120"/>
        <v>304.15769999999998</v>
      </c>
      <c r="P214" s="674">
        <f t="shared" si="88"/>
        <v>3649.8923999999988</v>
      </c>
    </row>
    <row r="215" spans="1:16" hidden="1" outlineLevel="1">
      <c r="A215" s="670" t="s">
        <v>3258</v>
      </c>
      <c r="B215" s="336" t="s">
        <v>243</v>
      </c>
      <c r="C215" s="657" t="s">
        <v>164</v>
      </c>
      <c r="D215" s="483">
        <f t="shared" si="114"/>
        <v>331.80840000000001</v>
      </c>
      <c r="E215" s="483">
        <f t="shared" ref="E215:O215" si="121">IFERROR(IF($B215="FRANQUEADORA",(AVERAGE($D43:E43)+(0.2+0.058+0.01+0.005)*(AVERAGE($D43:E43))+0.08*(AVERAGE($D43:E43)))/12,(AVERAGE($D43:E43)+0.08*(AVERAGE($D43:E43)))/12),"")</f>
        <v>331.80840000000001</v>
      </c>
      <c r="F215" s="483">
        <f t="shared" si="121"/>
        <v>331.80840000000001</v>
      </c>
      <c r="G215" s="483">
        <f t="shared" si="121"/>
        <v>331.80840000000001</v>
      </c>
      <c r="H215" s="483">
        <f t="shared" si="121"/>
        <v>331.80840000000006</v>
      </c>
      <c r="I215" s="483">
        <f t="shared" si="121"/>
        <v>331.80840000000006</v>
      </c>
      <c r="J215" s="483">
        <f t="shared" si="121"/>
        <v>336.73217142857152</v>
      </c>
      <c r="K215" s="483">
        <f t="shared" si="121"/>
        <v>340.42500000000007</v>
      </c>
      <c r="L215" s="483">
        <f t="shared" si="121"/>
        <v>340.42500000000007</v>
      </c>
      <c r="M215" s="483">
        <f t="shared" si="121"/>
        <v>340.42500000000007</v>
      </c>
      <c r="N215" s="483">
        <f t="shared" si="121"/>
        <v>340.42500000000007</v>
      </c>
      <c r="O215" s="483">
        <f t="shared" si="121"/>
        <v>340.42500000000007</v>
      </c>
      <c r="P215" s="674">
        <f t="shared" si="88"/>
        <v>4029.7075714285729</v>
      </c>
    </row>
    <row r="216" spans="1:16" hidden="1" outlineLevel="1">
      <c r="A216" s="670" t="s">
        <v>3259</v>
      </c>
      <c r="B216" s="336" t="s">
        <v>243</v>
      </c>
      <c r="C216" s="657" t="s">
        <v>164</v>
      </c>
      <c r="D216" s="483">
        <f t="shared" si="114"/>
        <v>304.15770000000003</v>
      </c>
      <c r="E216" s="483">
        <f t="shared" ref="E216:O216" si="122">IFERROR(IF($B216="FRANQUEADORA",(AVERAGE($D44:E44)+(0.2+0.058+0.01+0.005)*(AVERAGE($D44:E44))+0.08*(AVERAGE($D44:E44)))/12,(AVERAGE($D44:E44)+0.08*(AVERAGE($D44:E44)))/12),"")</f>
        <v>304.15770000000003</v>
      </c>
      <c r="F216" s="483">
        <f t="shared" si="122"/>
        <v>304.15770000000003</v>
      </c>
      <c r="G216" s="483">
        <f t="shared" si="122"/>
        <v>304.15770000000003</v>
      </c>
      <c r="H216" s="483">
        <f t="shared" si="122"/>
        <v>304.15770000000003</v>
      </c>
      <c r="I216" s="483">
        <f t="shared" si="122"/>
        <v>304.15770000000003</v>
      </c>
      <c r="J216" s="483">
        <f t="shared" si="122"/>
        <v>304.15769999999998</v>
      </c>
      <c r="K216" s="483">
        <f t="shared" si="122"/>
        <v>304.15769999999998</v>
      </c>
      <c r="L216" s="483">
        <f t="shared" si="122"/>
        <v>304.15769999999998</v>
      </c>
      <c r="M216" s="483">
        <f t="shared" si="122"/>
        <v>304.15769999999998</v>
      </c>
      <c r="N216" s="483">
        <f t="shared" si="122"/>
        <v>304.15769999999998</v>
      </c>
      <c r="O216" s="483">
        <f t="shared" si="122"/>
        <v>304.15769999999998</v>
      </c>
      <c r="P216" s="674">
        <f t="shared" si="88"/>
        <v>3649.8923999999988</v>
      </c>
    </row>
    <row r="217" spans="1:16" hidden="1" outlineLevel="1">
      <c r="A217" s="670" t="s">
        <v>3260</v>
      </c>
      <c r="B217" s="336" t="s">
        <v>243</v>
      </c>
      <c r="C217" s="657" t="s">
        <v>164</v>
      </c>
      <c r="D217" s="483">
        <f t="shared" si="114"/>
        <v>276.50700000000001</v>
      </c>
      <c r="E217" s="483">
        <f t="shared" ref="E217:O217" si="123">IFERROR(IF($B217="FRANQUEADORA",(AVERAGE($D45:E45)+(0.2+0.058+0.01+0.005)*(AVERAGE($D45:E45))+0.08*(AVERAGE($D45:E45)))/12,(AVERAGE($D45:E45)+0.08*(AVERAGE($D45:E45)))/12),"")</f>
        <v>276.50700000000001</v>
      </c>
      <c r="F217" s="483">
        <f t="shared" si="123"/>
        <v>276.50700000000006</v>
      </c>
      <c r="G217" s="483">
        <f t="shared" si="123"/>
        <v>276.50700000000001</v>
      </c>
      <c r="H217" s="483">
        <f t="shared" si="123"/>
        <v>282.03714000000002</v>
      </c>
      <c r="I217" s="483">
        <f t="shared" si="123"/>
        <v>285.72390000000001</v>
      </c>
      <c r="J217" s="483">
        <f t="shared" si="123"/>
        <v>288.35730000000001</v>
      </c>
      <c r="K217" s="483">
        <f t="shared" si="123"/>
        <v>290.33234999999996</v>
      </c>
      <c r="L217" s="483">
        <f t="shared" si="123"/>
        <v>290.33234999999996</v>
      </c>
      <c r="M217" s="483">
        <f t="shared" si="123"/>
        <v>290.33234999999996</v>
      </c>
      <c r="N217" s="483">
        <f t="shared" si="123"/>
        <v>290.33234999999996</v>
      </c>
      <c r="O217" s="483">
        <f t="shared" si="123"/>
        <v>290.33234999999996</v>
      </c>
      <c r="P217" s="674">
        <f t="shared" si="88"/>
        <v>3413.8080900000009</v>
      </c>
    </row>
    <row r="218" spans="1:16" hidden="1" outlineLevel="1">
      <c r="A218" s="670" t="s">
        <v>3261</v>
      </c>
      <c r="B218" s="336" t="s">
        <v>243</v>
      </c>
      <c r="C218" s="657" t="s">
        <v>169</v>
      </c>
      <c r="D218" s="483">
        <f t="shared" si="114"/>
        <v>304.15770000000003</v>
      </c>
      <c r="E218" s="483">
        <f t="shared" ref="E218:O218" si="124">IFERROR(IF($B218="FRANQUEADORA",(AVERAGE($D46:E46)+(0.2+0.058+0.01+0.005)*(AVERAGE($D46:E46))+0.08*(AVERAGE($D46:E46)))/12,(AVERAGE($D46:E46)+0.08*(AVERAGE($D46:E46)))/12),"")</f>
        <v>304.15770000000003</v>
      </c>
      <c r="F218" s="483">
        <f t="shared" si="124"/>
        <v>324.86340000000001</v>
      </c>
      <c r="G218" s="483">
        <f t="shared" si="124"/>
        <v>335.21625</v>
      </c>
      <c r="H218" s="483">
        <f t="shared" si="124"/>
        <v>341.42795999999998</v>
      </c>
      <c r="I218" s="483">
        <f t="shared" si="124"/>
        <v>345.56909999999999</v>
      </c>
      <c r="J218" s="483">
        <f t="shared" si="124"/>
        <v>348.52705714285713</v>
      </c>
      <c r="K218" s="483">
        <f t="shared" si="124"/>
        <v>350.74552500000004</v>
      </c>
      <c r="L218" s="483">
        <f t="shared" si="124"/>
        <v>350.74552500000004</v>
      </c>
      <c r="M218" s="483">
        <f t="shared" si="124"/>
        <v>350.74552500000004</v>
      </c>
      <c r="N218" s="483">
        <f t="shared" si="124"/>
        <v>350.74552500000004</v>
      </c>
      <c r="O218" s="483">
        <f t="shared" si="124"/>
        <v>350.74552500000004</v>
      </c>
      <c r="P218" s="674">
        <f t="shared" si="88"/>
        <v>4057.6467921428584</v>
      </c>
    </row>
    <row r="219" spans="1:16" hidden="1" outlineLevel="1">
      <c r="A219" s="679" t="s">
        <v>3262</v>
      </c>
      <c r="B219" s="336" t="s">
        <v>3154</v>
      </c>
      <c r="C219" s="657" t="s">
        <v>169</v>
      </c>
      <c r="D219" s="483">
        <f t="shared" si="114"/>
        <v>276.5061</v>
      </c>
      <c r="E219" s="483">
        <f t="shared" ref="E219:I219" si="125">IFERROR(IF($B219="FRANQUEADORA",(AVERAGE($D47:E47)+(0.2+0.058+0.01+0.005)*(AVERAGE($D47:E47))+0.08*(AVERAGE($D47:E47)))/12,(AVERAGE($D47:E47)+0.08*(AVERAGE($D47:E47)))/12),"")</f>
        <v>276.5061</v>
      </c>
      <c r="F219" s="483">
        <f t="shared" si="125"/>
        <v>276.50609999999995</v>
      </c>
      <c r="G219" s="483">
        <f t="shared" si="125"/>
        <v>276.5061</v>
      </c>
      <c r="H219" s="483">
        <f t="shared" si="125"/>
        <v>287.56656000000004</v>
      </c>
      <c r="I219" s="483">
        <f t="shared" si="125"/>
        <v>294.9402</v>
      </c>
      <c r="J219" s="483"/>
      <c r="K219" s="483"/>
      <c r="L219" s="483"/>
      <c r="M219" s="483"/>
      <c r="N219" s="483"/>
      <c r="O219" s="483"/>
      <c r="P219" s="674">
        <f t="shared" si="88"/>
        <v>1688.53116</v>
      </c>
    </row>
    <row r="220" spans="1:16" hidden="1" outlineLevel="1">
      <c r="A220" s="687" t="s">
        <v>3263</v>
      </c>
      <c r="B220" s="336" t="s">
        <v>243</v>
      </c>
      <c r="C220" s="657" t="s">
        <v>169</v>
      </c>
      <c r="D220" s="483">
        <f t="shared" si="114"/>
        <v>331.80840000000001</v>
      </c>
      <c r="E220" s="483">
        <f t="shared" ref="E220:O220" si="126">IFERROR(IF($B220="FRANQUEADORA",(AVERAGE($D48:E48)+(0.2+0.058+0.01+0.005)*(AVERAGE($D48:E48))+0.08*(AVERAGE($D48:E48)))/12,(AVERAGE($D48:E48)+0.08*(AVERAGE($D48:E48)))/12),"")</f>
        <v>331.80840000000001</v>
      </c>
      <c r="F220" s="483">
        <f t="shared" si="126"/>
        <v>331.80840000000001</v>
      </c>
      <c r="G220" s="483">
        <f t="shared" si="126"/>
        <v>331.80840000000001</v>
      </c>
      <c r="H220" s="483">
        <f t="shared" si="126"/>
        <v>331.80840000000001</v>
      </c>
      <c r="I220" s="483">
        <f t="shared" si="126"/>
        <v>331.80840000000001</v>
      </c>
      <c r="J220" s="483">
        <f t="shared" si="126"/>
        <v>331.80840000000001</v>
      </c>
      <c r="K220" s="483">
        <f t="shared" si="126"/>
        <v>331.80840000000001</v>
      </c>
      <c r="L220" s="483">
        <f t="shared" si="126"/>
        <v>331.80840000000001</v>
      </c>
      <c r="M220" s="483">
        <f t="shared" si="126"/>
        <v>331.80840000000001</v>
      </c>
      <c r="N220" s="483">
        <f t="shared" si="126"/>
        <v>331.80840000000001</v>
      </c>
      <c r="O220" s="483">
        <f t="shared" si="126"/>
        <v>331.80840000000001</v>
      </c>
      <c r="P220" s="674">
        <f t="shared" si="88"/>
        <v>3981.7007999999992</v>
      </c>
    </row>
    <row r="221" spans="1:16" hidden="1" outlineLevel="1">
      <c r="A221" s="670" t="s">
        <v>3264</v>
      </c>
      <c r="B221" s="336" t="s">
        <v>243</v>
      </c>
      <c r="C221" s="657" t="s">
        <v>169</v>
      </c>
      <c r="D221" s="483">
        <f t="shared" si="114"/>
        <v>248.8563</v>
      </c>
      <c r="E221" s="483">
        <f t="shared" ref="E221:O221" si="127">IFERROR(IF($B221="FRANQUEADORA",(AVERAGE($D49:E49)+(0.2+0.058+0.01+0.005)*(AVERAGE($D49:E49))+0.08*(AVERAGE($D49:E49)))/12,(AVERAGE($D49:E49)+0.08*(AVERAGE($D49:E49)))/12),"")</f>
        <v>248.8563</v>
      </c>
      <c r="F221" s="483">
        <f t="shared" si="127"/>
        <v>248.8563</v>
      </c>
      <c r="G221" s="483">
        <f t="shared" si="127"/>
        <v>248.8563</v>
      </c>
      <c r="H221" s="483">
        <f t="shared" si="127"/>
        <v>248.8563</v>
      </c>
      <c r="I221" s="483">
        <f t="shared" si="127"/>
        <v>248.8563</v>
      </c>
      <c r="J221" s="483">
        <f t="shared" si="127"/>
        <v>248.8563</v>
      </c>
      <c r="K221" s="483">
        <f t="shared" si="127"/>
        <v>248.8563</v>
      </c>
      <c r="L221" s="483">
        <f t="shared" si="127"/>
        <v>248.8563</v>
      </c>
      <c r="M221" s="483">
        <f t="shared" si="127"/>
        <v>248.8563</v>
      </c>
      <c r="N221" s="483">
        <f t="shared" si="127"/>
        <v>248.8563</v>
      </c>
      <c r="O221" s="483">
        <f t="shared" si="127"/>
        <v>248.8563</v>
      </c>
      <c r="P221" s="674">
        <f t="shared" si="88"/>
        <v>2986.2755999999995</v>
      </c>
    </row>
    <row r="222" spans="1:16" hidden="1" outlineLevel="1">
      <c r="A222" s="670" t="s">
        <v>1860</v>
      </c>
      <c r="B222" s="336" t="s">
        <v>243</v>
      </c>
      <c r="C222" s="657" t="s">
        <v>169</v>
      </c>
      <c r="D222" s="483">
        <f t="shared" si="114"/>
        <v>304.15770000000003</v>
      </c>
      <c r="E222" s="483">
        <f t="shared" ref="E222:O222" si="128">IFERROR(IF($B222="FRANQUEADORA",(AVERAGE($D50:E50)+(0.2+0.058+0.01+0.005)*(AVERAGE($D50:E50))+0.08*(AVERAGE($D50:E50)))/12,(AVERAGE($D50:E50)+0.08*(AVERAGE($D50:E50)))/12),"")</f>
        <v>304.15770000000003</v>
      </c>
      <c r="F222" s="483">
        <f t="shared" si="128"/>
        <v>304.15770000000003</v>
      </c>
      <c r="G222" s="483">
        <f t="shared" si="128"/>
        <v>304.15770000000003</v>
      </c>
      <c r="H222" s="483">
        <f t="shared" si="128"/>
        <v>304.15770000000003</v>
      </c>
      <c r="I222" s="483">
        <f t="shared" si="128"/>
        <v>308.76615000000004</v>
      </c>
      <c r="J222" s="483">
        <f t="shared" si="128"/>
        <v>312.05790000000007</v>
      </c>
      <c r="K222" s="483">
        <f t="shared" si="128"/>
        <v>314.52671250000009</v>
      </c>
      <c r="L222" s="483">
        <f t="shared" si="128"/>
        <v>314.52671250000009</v>
      </c>
      <c r="M222" s="483">
        <f t="shared" si="128"/>
        <v>314.52671250000009</v>
      </c>
      <c r="N222" s="483">
        <f t="shared" si="128"/>
        <v>314.52671250000009</v>
      </c>
      <c r="O222" s="483">
        <f t="shared" si="128"/>
        <v>314.52671250000009</v>
      </c>
      <c r="P222" s="674">
        <f t="shared" si="88"/>
        <v>3714.2461125000004</v>
      </c>
    </row>
    <row r="223" spans="1:16" hidden="1" outlineLevel="1">
      <c r="A223" s="670" t="s">
        <v>186</v>
      </c>
      <c r="B223" s="336" t="s">
        <v>243</v>
      </c>
      <c r="C223" s="657" t="s">
        <v>169</v>
      </c>
      <c r="D223" s="483">
        <f t="shared" si="114"/>
        <v>366.27479999999997</v>
      </c>
      <c r="E223" s="483">
        <f t="shared" ref="E223:O223" si="129">IFERROR(IF($B223="FRANQUEADORA",(AVERAGE($D51:E51)+(0.2+0.058+0.01+0.005)*(AVERAGE($D51:E51))+0.08*(AVERAGE($D51:E51)))/12,(AVERAGE($D51:E51)+0.08*(AVERAGE($D51:E51)))/12),"")</f>
        <v>366.27479999999997</v>
      </c>
      <c r="F223" s="483">
        <f t="shared" si="129"/>
        <v>366.27479999999997</v>
      </c>
      <c r="G223" s="483">
        <f t="shared" si="129"/>
        <v>366.27479999999997</v>
      </c>
      <c r="H223" s="483">
        <f t="shared" si="129"/>
        <v>366.27479999999997</v>
      </c>
      <c r="I223" s="483">
        <f t="shared" si="129"/>
        <v>378.48404999999997</v>
      </c>
      <c r="J223" s="483">
        <f t="shared" si="129"/>
        <v>387.20494285714284</v>
      </c>
      <c r="K223" s="483">
        <f t="shared" si="129"/>
        <v>393.74561249999994</v>
      </c>
      <c r="L223" s="483">
        <f t="shared" si="129"/>
        <v>393.74561249999994</v>
      </c>
      <c r="M223" s="483">
        <f t="shared" si="129"/>
        <v>393.74561249999994</v>
      </c>
      <c r="N223" s="483">
        <f t="shared" si="129"/>
        <v>393.74561249999994</v>
      </c>
      <c r="O223" s="483">
        <f t="shared" si="129"/>
        <v>393.74561249999994</v>
      </c>
      <c r="P223" s="674">
        <f t="shared" si="88"/>
        <v>4565.7910553571419</v>
      </c>
    </row>
    <row r="224" spans="1:16" hidden="1" outlineLevel="1">
      <c r="A224" s="683" t="s">
        <v>3265</v>
      </c>
      <c r="B224" s="336" t="s">
        <v>243</v>
      </c>
      <c r="C224" s="657" t="s">
        <v>169</v>
      </c>
      <c r="D224" s="483">
        <f t="shared" si="114"/>
        <v>0</v>
      </c>
      <c r="E224" s="483">
        <f t="shared" ref="E224:E228" si="130">IFERROR(IF($B224="FRANQUEADORA",(AVERAGE($D52:E52)+(0.2+0.058+0.01+0.005)*(AVERAGE($D52:E52))+0.08*(AVERAGE($D52:E52)))/12,(AVERAGE($D52:E52)+0.08*(AVERAGE($D52:E52)))/12),"")</f>
        <v>0</v>
      </c>
      <c r="F224" s="697">
        <f t="shared" ref="F224:O224" si="131">IFERROR(IF($B224="FRANQUEADORA",(AVERAGE($F52:F52)+(0.2+0.058+0.01+0.005)*(AVERAGE($F52:F52))+0.08*(AVERAGE($F52:F52)))/12,(AVERAGE($F52:F52)+0.08*(AVERAGE($F52:F52)))/12),"")</f>
        <v>221.2056</v>
      </c>
      <c r="G224" s="483">
        <f t="shared" si="131"/>
        <v>221.2056</v>
      </c>
      <c r="H224" s="483">
        <f t="shared" si="131"/>
        <v>221.2056</v>
      </c>
      <c r="I224" s="483">
        <f t="shared" si="131"/>
        <v>221.2056</v>
      </c>
      <c r="J224" s="483">
        <f t="shared" si="131"/>
        <v>221.2056</v>
      </c>
      <c r="K224" s="483">
        <f t="shared" si="131"/>
        <v>221.2056</v>
      </c>
      <c r="L224" s="483">
        <f t="shared" si="131"/>
        <v>221.2056</v>
      </c>
      <c r="M224" s="483">
        <f t="shared" si="131"/>
        <v>221.2056</v>
      </c>
      <c r="N224" s="483">
        <f t="shared" si="131"/>
        <v>221.2056</v>
      </c>
      <c r="O224" s="483">
        <f t="shared" si="131"/>
        <v>221.2056</v>
      </c>
      <c r="P224" s="674">
        <f t="shared" si="88"/>
        <v>2212.056</v>
      </c>
    </row>
    <row r="225" spans="1:16" hidden="1" outlineLevel="1">
      <c r="A225" s="670" t="s">
        <v>3266</v>
      </c>
      <c r="B225" s="336" t="s">
        <v>3227</v>
      </c>
      <c r="C225" s="657" t="s">
        <v>162</v>
      </c>
      <c r="D225" s="483">
        <f t="shared" si="114"/>
        <v>367.08919500000002</v>
      </c>
      <c r="E225" s="483">
        <f t="shared" si="130"/>
        <v>367.08919500000002</v>
      </c>
      <c r="F225" s="483">
        <f t="shared" ref="F225:O225" si="132">IFERROR(IF($B225="FRANQUEADORA",(AVERAGE($D53:F53)+(0.2+0.058+0.01+0.005)*(AVERAGE($D53:F53))+0.08*(AVERAGE($D53:F53)))/12,(AVERAGE($D53:F53)+0.08*(AVERAGE($D53:F53)))/12),"")</f>
        <v>367.08919500000002</v>
      </c>
      <c r="G225" s="483">
        <f t="shared" si="132"/>
        <v>367.08919500000002</v>
      </c>
      <c r="H225" s="483">
        <f t="shared" si="132"/>
        <v>376.26636850000006</v>
      </c>
      <c r="I225" s="483">
        <f t="shared" si="132"/>
        <v>382.38448416666665</v>
      </c>
      <c r="J225" s="483">
        <f t="shared" si="132"/>
        <v>386.75456678571436</v>
      </c>
      <c r="K225" s="483">
        <f t="shared" si="132"/>
        <v>390.03212875000008</v>
      </c>
      <c r="L225" s="483">
        <f t="shared" si="132"/>
        <v>390.03212875000008</v>
      </c>
      <c r="M225" s="483">
        <f t="shared" si="132"/>
        <v>390.03212875000008</v>
      </c>
      <c r="N225" s="483">
        <f t="shared" si="132"/>
        <v>390.03212875000008</v>
      </c>
      <c r="O225" s="483">
        <f t="shared" si="132"/>
        <v>390.03212875000008</v>
      </c>
      <c r="P225" s="674">
        <f t="shared" si="88"/>
        <v>4563.922843202382</v>
      </c>
    </row>
    <row r="226" spans="1:16" hidden="1" outlineLevel="1">
      <c r="A226" s="679" t="s">
        <v>3267</v>
      </c>
      <c r="B226" s="336" t="s">
        <v>3227</v>
      </c>
      <c r="C226" s="657" t="s">
        <v>162</v>
      </c>
      <c r="D226" s="483">
        <f t="shared" si="114"/>
        <v>559.77894499999991</v>
      </c>
      <c r="E226" s="483">
        <f t="shared" si="130"/>
        <v>559.77894499999991</v>
      </c>
      <c r="F226" s="483">
        <f t="shared" ref="F226:O226" si="133">IFERROR(IF($B226="FRANQUEADORA",(AVERAGE($D54:F54)+(0.2+0.058+0.01+0.005)*(AVERAGE($D54:F54))+0.08*(AVERAGE($D54:F54)))/12,(AVERAGE($D54:F54)+0.08*(AVERAGE($D54:F54)))/12),"")</f>
        <v>559.77894499999991</v>
      </c>
      <c r="G226" s="483">
        <f t="shared" si="133"/>
        <v>559.77894499999991</v>
      </c>
      <c r="H226" s="483">
        <f t="shared" si="133"/>
        <v>559.77894499999991</v>
      </c>
      <c r="I226" s="483">
        <f t="shared" si="133"/>
        <v>466.48245416666663</v>
      </c>
      <c r="J226" s="483">
        <f t="shared" si="133"/>
        <v>399.84210357142848</v>
      </c>
      <c r="K226" s="483">
        <f t="shared" si="133"/>
        <v>349.86184062499996</v>
      </c>
      <c r="L226" s="483">
        <f t="shared" si="133"/>
        <v>349.86184062499996</v>
      </c>
      <c r="M226" s="483">
        <f t="shared" si="133"/>
        <v>349.86184062499996</v>
      </c>
      <c r="N226" s="483">
        <f t="shared" si="133"/>
        <v>349.86184062499996</v>
      </c>
      <c r="O226" s="483">
        <f t="shared" si="133"/>
        <v>349.86184062499996</v>
      </c>
      <c r="P226" s="674">
        <f t="shared" si="88"/>
        <v>5414.5284858630939</v>
      </c>
    </row>
    <row r="227" spans="1:16" hidden="1" outlineLevel="1">
      <c r="A227" s="670" t="s">
        <v>523</v>
      </c>
      <c r="B227" s="336" t="s">
        <v>3227</v>
      </c>
      <c r="C227" s="657" t="s">
        <v>162</v>
      </c>
      <c r="D227" s="483">
        <f t="shared" si="114"/>
        <v>463.56260500000002</v>
      </c>
      <c r="E227" s="483">
        <f t="shared" si="130"/>
        <v>463.56260500000002</v>
      </c>
      <c r="F227" s="483">
        <f t="shared" ref="F227:H227" si="134">IFERROR(IF($B227="FRANQUEADORA",(AVERAGE($D55:F55)+(0.2+0.058+0.01+0.005)*(AVERAGE($D55:F55))+0.08*(AVERAGE($D55:F55)))/12,(AVERAGE($D55:F55)+0.08*(AVERAGE($D55:F55)))/12),"")</f>
        <v>463.56260500000002</v>
      </c>
      <c r="G227" s="483">
        <f t="shared" si="134"/>
        <v>463.56260500000002</v>
      </c>
      <c r="H227" s="483">
        <f t="shared" si="134"/>
        <v>463.56260500000002</v>
      </c>
      <c r="I227" s="483"/>
      <c r="J227" s="483"/>
      <c r="K227" s="483"/>
      <c r="L227" s="483"/>
      <c r="M227" s="483"/>
      <c r="N227" s="483"/>
      <c r="O227" s="483"/>
      <c r="P227" s="674">
        <f t="shared" si="88"/>
        <v>2317.8130249999999</v>
      </c>
    </row>
    <row r="228" spans="1:16" hidden="1" outlineLevel="1">
      <c r="A228" s="670" t="s">
        <v>2791</v>
      </c>
      <c r="B228" s="336" t="s">
        <v>243</v>
      </c>
      <c r="C228" s="336" t="s">
        <v>162</v>
      </c>
      <c r="D228" s="483">
        <f t="shared" si="114"/>
        <v>329.64749999999998</v>
      </c>
      <c r="E228" s="483">
        <f t="shared" si="130"/>
        <v>329.64749999999998</v>
      </c>
      <c r="F228" s="483">
        <f t="shared" ref="F228:O228" si="135">IFERROR(IF($B228="FRANQUEADORA",(AVERAGE($D56:F56)+(0.2+0.058+0.01+0.005)*(AVERAGE($D56:F56))+0.08*(AVERAGE($D56:F56)))/12,(AVERAGE($D56:F56)+0.08*(AVERAGE($D56:F56)))/12),"")</f>
        <v>329.64749999999998</v>
      </c>
      <c r="G228" s="483">
        <f t="shared" si="135"/>
        <v>329.64749999999998</v>
      </c>
      <c r="H228" s="483">
        <f t="shared" si="135"/>
        <v>329.64749999999998</v>
      </c>
      <c r="I228" s="483">
        <f t="shared" si="135"/>
        <v>329.64749999999998</v>
      </c>
      <c r="J228" s="483">
        <f t="shared" si="135"/>
        <v>329.64749999999998</v>
      </c>
      <c r="K228" s="483">
        <f t="shared" si="135"/>
        <v>329.64749999999998</v>
      </c>
      <c r="L228" s="483">
        <f t="shared" si="135"/>
        <v>329.64749999999998</v>
      </c>
      <c r="M228" s="483">
        <f t="shared" si="135"/>
        <v>329.64749999999998</v>
      </c>
      <c r="N228" s="483">
        <f t="shared" si="135"/>
        <v>329.64749999999998</v>
      </c>
      <c r="O228" s="483">
        <f t="shared" si="135"/>
        <v>329.64749999999998</v>
      </c>
      <c r="P228" s="674">
        <f t="shared" si="88"/>
        <v>3955.77</v>
      </c>
    </row>
    <row r="229" spans="1:16" hidden="1" outlineLevel="1">
      <c r="A229" s="689" t="s">
        <v>3268</v>
      </c>
      <c r="B229" s="336" t="s">
        <v>3227</v>
      </c>
      <c r="C229" s="657" t="s">
        <v>162</v>
      </c>
      <c r="D229" s="699"/>
      <c r="E229" s="699"/>
      <c r="F229" s="699"/>
      <c r="G229" s="699"/>
      <c r="H229" s="699"/>
      <c r="I229" s="699"/>
      <c r="J229" s="699"/>
      <c r="K229" s="699"/>
      <c r="L229" s="699"/>
      <c r="M229" s="699"/>
      <c r="N229" s="699"/>
      <c r="O229" s="699"/>
      <c r="P229" s="674">
        <f t="shared" si="88"/>
        <v>0</v>
      </c>
    </row>
    <row r="230" spans="1:16" hidden="1" outlineLevel="1">
      <c r="A230" s="683" t="s">
        <v>3269</v>
      </c>
      <c r="B230" s="336" t="s">
        <v>3227</v>
      </c>
      <c r="C230" s="657" t="s">
        <v>162</v>
      </c>
      <c r="D230" s="699"/>
      <c r="E230" s="699"/>
      <c r="F230" s="699"/>
      <c r="G230" s="699"/>
      <c r="H230" s="699"/>
      <c r="I230" s="699"/>
      <c r="J230" s="697">
        <f t="shared" ref="J230:O230" si="136">IFERROR(IF($B230="FRANQUEADORA",(AVERAGE($J58:J58)+(0.2+0.058+0.01+0.005)*(AVERAGE($J58:J58))+0.08*(AVERAGE($J58:J58)))/12,(AVERAGE($J58:J58)+0.08*(AVERAGE($J58:J58)))/12),"")</f>
        <v>504.74679749999996</v>
      </c>
      <c r="K230" s="483">
        <f t="shared" si="136"/>
        <v>504.74679749999996</v>
      </c>
      <c r="L230" s="483">
        <f t="shared" si="136"/>
        <v>504.74679749999996</v>
      </c>
      <c r="M230" s="483">
        <f t="shared" si="136"/>
        <v>504.74679749999996</v>
      </c>
      <c r="N230" s="483">
        <f t="shared" si="136"/>
        <v>504.74679749999996</v>
      </c>
      <c r="O230" s="483">
        <f t="shared" si="136"/>
        <v>504.74679749999996</v>
      </c>
      <c r="P230" s="674">
        <f t="shared" si="88"/>
        <v>3028.4807849999997</v>
      </c>
    </row>
    <row r="231" spans="1:16" hidden="1" outlineLevel="1">
      <c r="A231" s="690" t="s">
        <v>3270</v>
      </c>
      <c r="B231" s="336" t="s">
        <v>3227</v>
      </c>
      <c r="C231" s="657" t="s">
        <v>143</v>
      </c>
      <c r="D231" s="483">
        <f t="shared" ref="D231:O231" si="137">IFERROR(IF($B231="FRANQUEADORA",(AVERAGE($D59:D59)+(0.2+0.058+0.01+0.005)*(AVERAGE($D59:D59))+0.08*(AVERAGE($D59:D59)))/12,(AVERAGE($D59:D59)+0.08*(AVERAGE($D59:D59)))/12),"")</f>
        <v>381.04313499999995</v>
      </c>
      <c r="E231" s="483">
        <f t="shared" si="137"/>
        <v>381.04313499999995</v>
      </c>
      <c r="F231" s="483">
        <f t="shared" si="137"/>
        <v>381.04313499999989</v>
      </c>
      <c r="G231" s="483">
        <f t="shared" si="137"/>
        <v>381.04313499999995</v>
      </c>
      <c r="H231" s="483">
        <f t="shared" si="137"/>
        <v>381.04313499999995</v>
      </c>
      <c r="I231" s="483">
        <f t="shared" si="137"/>
        <v>381.04313500000006</v>
      </c>
      <c r="J231" s="483">
        <f t="shared" si="137"/>
        <v>381.04313500000006</v>
      </c>
      <c r="K231" s="483">
        <f t="shared" si="137"/>
        <v>381.04313500000006</v>
      </c>
      <c r="L231" s="483">
        <f t="shared" si="137"/>
        <v>381.04313500000006</v>
      </c>
      <c r="M231" s="483">
        <f t="shared" si="137"/>
        <v>381.04313500000006</v>
      </c>
      <c r="N231" s="483">
        <f t="shared" si="137"/>
        <v>381.04313500000006</v>
      </c>
      <c r="O231" s="483">
        <f t="shared" si="137"/>
        <v>381.04313500000006</v>
      </c>
      <c r="P231" s="674">
        <f t="shared" si="88"/>
        <v>4572.5176199999987</v>
      </c>
    </row>
    <row r="232" spans="1:16" hidden="1" outlineLevel="1">
      <c r="A232" s="690" t="s">
        <v>3271</v>
      </c>
      <c r="B232" s="336" t="s">
        <v>3227</v>
      </c>
      <c r="C232" s="657" t="s">
        <v>143</v>
      </c>
      <c r="D232" s="483">
        <f t="shared" ref="D232:O232" si="138">IFERROR(IF($B232="FRANQUEADORA",(AVERAGE($D60:D60)+(0.2+0.058+0.01+0.005)*(AVERAGE($D60:D60))+0.08*(AVERAGE($D60:D60)))/12,(AVERAGE($D60:D60)+0.08*(AVERAGE($D60:D60)))/12),"")</f>
        <v>367.08919500000002</v>
      </c>
      <c r="E232" s="483">
        <f t="shared" si="138"/>
        <v>367.08919500000002</v>
      </c>
      <c r="F232" s="483">
        <f t="shared" si="138"/>
        <v>367.08919500000002</v>
      </c>
      <c r="G232" s="483">
        <f t="shared" si="138"/>
        <v>367.08919500000002</v>
      </c>
      <c r="H232" s="483">
        <f t="shared" si="138"/>
        <v>376.26636850000006</v>
      </c>
      <c r="I232" s="483">
        <f t="shared" si="138"/>
        <v>382.38448416666665</v>
      </c>
      <c r="J232" s="483">
        <f t="shared" si="138"/>
        <v>386.75456678571436</v>
      </c>
      <c r="K232" s="483">
        <f t="shared" si="138"/>
        <v>390.03212875000008</v>
      </c>
      <c r="L232" s="483">
        <f t="shared" si="138"/>
        <v>390.03212875000008</v>
      </c>
      <c r="M232" s="483">
        <f t="shared" si="138"/>
        <v>390.03212875000008</v>
      </c>
      <c r="N232" s="483">
        <f t="shared" si="138"/>
        <v>390.03212875000008</v>
      </c>
      <c r="O232" s="483">
        <f t="shared" si="138"/>
        <v>390.03212875000008</v>
      </c>
      <c r="P232" s="674">
        <f t="shared" si="88"/>
        <v>4563.922843202382</v>
      </c>
    </row>
    <row r="233" spans="1:16" hidden="1" outlineLevel="1">
      <c r="A233" s="690" t="s">
        <v>3272</v>
      </c>
      <c r="B233" s="336" t="s">
        <v>3227</v>
      </c>
      <c r="C233" s="657" t="s">
        <v>143</v>
      </c>
      <c r="D233" s="483">
        <f t="shared" ref="D233:O233" si="139">IFERROR(IF($B233="FRANQUEADORA",(AVERAGE($D61:D61)+(0.2+0.058+0.01+0.005)*(AVERAGE($D61:D61))+0.08*(AVERAGE($D61:D61)))/12,(AVERAGE($D61:D61)+0.08*(AVERAGE($D61:D61)))/12),"")</f>
        <v>279.64593250000001</v>
      </c>
      <c r="E233" s="483">
        <f t="shared" si="139"/>
        <v>279.64593250000001</v>
      </c>
      <c r="F233" s="483">
        <f t="shared" si="139"/>
        <v>279.64593250000001</v>
      </c>
      <c r="G233" s="483">
        <f t="shared" si="139"/>
        <v>279.64593250000001</v>
      </c>
      <c r="H233" s="483">
        <f t="shared" si="139"/>
        <v>279.64593250000001</v>
      </c>
      <c r="I233" s="483">
        <f t="shared" si="139"/>
        <v>279.64593250000001</v>
      </c>
      <c r="J233" s="483">
        <f t="shared" si="139"/>
        <v>284.23389107142856</v>
      </c>
      <c r="K233" s="483">
        <f t="shared" si="139"/>
        <v>287.67486000000002</v>
      </c>
      <c r="L233" s="483">
        <f t="shared" si="139"/>
        <v>287.67486000000002</v>
      </c>
      <c r="M233" s="483">
        <f t="shared" si="139"/>
        <v>287.67486000000002</v>
      </c>
      <c r="N233" s="483">
        <f t="shared" si="139"/>
        <v>287.67486000000002</v>
      </c>
      <c r="O233" s="483">
        <f t="shared" si="139"/>
        <v>287.67486000000002</v>
      </c>
      <c r="P233" s="674">
        <f t="shared" si="88"/>
        <v>3400.4837860714292</v>
      </c>
    </row>
    <row r="234" spans="1:16" hidden="1" outlineLevel="1">
      <c r="A234" s="691" t="s">
        <v>3273</v>
      </c>
      <c r="B234" s="336" t="s">
        <v>3227</v>
      </c>
      <c r="C234" s="657" t="s">
        <v>143</v>
      </c>
      <c r="D234" s="483">
        <f t="shared" ref="D234:I234" si="140">IFERROR(IF($B234="FRANQUEADORA",(AVERAGE($D62:D62)+(0.2+0.058+0.01+0.005)*(AVERAGE($D62:D62))+0.08*(AVERAGE($D62:D62)))/12,(AVERAGE($D62:D62)+0.08*(AVERAGE($D62:D62)))/12),"")</f>
        <v>471.21832999999992</v>
      </c>
      <c r="E234" s="483">
        <f t="shared" si="140"/>
        <v>471.21832999999992</v>
      </c>
      <c r="F234" s="483">
        <f t="shared" si="140"/>
        <v>471.21832999999992</v>
      </c>
      <c r="G234" s="483">
        <f t="shared" si="140"/>
        <v>471.21832999999992</v>
      </c>
      <c r="H234" s="483">
        <f t="shared" si="140"/>
        <v>471.21832999999992</v>
      </c>
      <c r="I234" s="483">
        <f t="shared" si="140"/>
        <v>471.21832999999992</v>
      </c>
      <c r="J234" s="483"/>
      <c r="K234" s="483"/>
      <c r="L234" s="483"/>
      <c r="M234" s="483"/>
      <c r="N234" s="483"/>
      <c r="O234" s="483"/>
      <c r="P234" s="674">
        <f t="shared" si="88"/>
        <v>2827.3099799999991</v>
      </c>
    </row>
    <row r="235" spans="1:16" hidden="1" outlineLevel="1">
      <c r="A235" s="690" t="s">
        <v>1643</v>
      </c>
      <c r="B235" s="336" t="s">
        <v>3227</v>
      </c>
      <c r="C235" s="657" t="s">
        <v>143</v>
      </c>
      <c r="D235" s="483">
        <f t="shared" ref="D235:O235" si="141">IFERROR(IF($B235="FRANQUEADORA",(AVERAGE($D63:D63)+(0.2+0.058+0.01+0.005)*(AVERAGE($D63:D63))+0.08*(AVERAGE($D63:D63)))/12,(AVERAGE($D63:D63)+0.08*(AVERAGE($D63:D63)))/12),"")</f>
        <v>290.51615999999996</v>
      </c>
      <c r="E235" s="483">
        <f t="shared" si="141"/>
        <v>290.51615999999996</v>
      </c>
      <c r="F235" s="483">
        <f t="shared" si="141"/>
        <v>290.51615999999996</v>
      </c>
      <c r="G235" s="483">
        <f t="shared" si="141"/>
        <v>290.51615999999996</v>
      </c>
      <c r="H235" s="483">
        <f t="shared" si="141"/>
        <v>290.51615999999996</v>
      </c>
      <c r="I235" s="483">
        <f t="shared" si="141"/>
        <v>290.51615999999996</v>
      </c>
      <c r="J235" s="483">
        <f t="shared" si="141"/>
        <v>290.51615999999996</v>
      </c>
      <c r="K235" s="483">
        <f t="shared" si="141"/>
        <v>290.51615999999996</v>
      </c>
      <c r="L235" s="483">
        <f t="shared" si="141"/>
        <v>290.51615999999996</v>
      </c>
      <c r="M235" s="483">
        <f t="shared" si="141"/>
        <v>290.51615999999996</v>
      </c>
      <c r="N235" s="483">
        <f t="shared" si="141"/>
        <v>290.51615999999996</v>
      </c>
      <c r="O235" s="483">
        <f t="shared" si="141"/>
        <v>290.51615999999996</v>
      </c>
      <c r="P235" s="674">
        <f t="shared" si="88"/>
        <v>3486.1939200000002</v>
      </c>
    </row>
    <row r="236" spans="1:16" hidden="1" outlineLevel="1">
      <c r="A236" s="690" t="s">
        <v>3274</v>
      </c>
      <c r="B236" s="336" t="s">
        <v>3227</v>
      </c>
      <c r="C236" s="657" t="s">
        <v>143</v>
      </c>
      <c r="D236" s="483">
        <f t="shared" ref="D236:O236" si="142">IFERROR(IF($B236="FRANQUEADORA",(AVERAGE($D64:D64)+(0.2+0.058+0.01+0.005)*(AVERAGE($D64:D64))+0.08*(AVERAGE($D64:D64)))/12,(AVERAGE($D64:D64)+0.08*(AVERAGE($D64:D64)))/12),"")</f>
        <v>305.0688025</v>
      </c>
      <c r="E236" s="483">
        <f t="shared" si="142"/>
        <v>305.0688025</v>
      </c>
      <c r="F236" s="483">
        <f t="shared" si="142"/>
        <v>305.0688025</v>
      </c>
      <c r="G236" s="483">
        <f t="shared" si="142"/>
        <v>324.06238562499999</v>
      </c>
      <c r="H236" s="483">
        <f t="shared" si="142"/>
        <v>335.45853549999998</v>
      </c>
      <c r="I236" s="483">
        <f t="shared" si="142"/>
        <v>343.05596874999998</v>
      </c>
      <c r="J236" s="483">
        <f t="shared" si="142"/>
        <v>348.4827067857143</v>
      </c>
      <c r="K236" s="483">
        <f t="shared" si="142"/>
        <v>352.55276031250008</v>
      </c>
      <c r="L236" s="483">
        <f t="shared" si="142"/>
        <v>352.55276031250008</v>
      </c>
      <c r="M236" s="483">
        <f t="shared" si="142"/>
        <v>352.55276031250008</v>
      </c>
      <c r="N236" s="483">
        <f t="shared" si="142"/>
        <v>352.55276031250008</v>
      </c>
      <c r="O236" s="483">
        <f t="shared" si="142"/>
        <v>352.55276031250008</v>
      </c>
      <c r="P236" s="674">
        <f t="shared" si="88"/>
        <v>4029.0298057232148</v>
      </c>
    </row>
    <row r="237" spans="1:16" hidden="1" outlineLevel="1">
      <c r="A237" s="692" t="s">
        <v>3275</v>
      </c>
      <c r="B237" s="336" t="s">
        <v>3227</v>
      </c>
      <c r="C237" s="657" t="s">
        <v>143</v>
      </c>
      <c r="D237" s="483">
        <f t="shared" ref="D237:K237" si="143">IFERROR(IF($B237="FRANQUEADORA",(AVERAGE($D65:D65)+(0.2+0.058+0.01+0.005)*(AVERAGE($D65:D65))+0.08*(AVERAGE($D65:D65)))/12,(AVERAGE($D65:D65)+0.08*(AVERAGE($D65:D65)))/12),"")</f>
        <v>311.76164250000005</v>
      </c>
      <c r="E237" s="483">
        <f t="shared" si="143"/>
        <v>311.76164250000005</v>
      </c>
      <c r="F237" s="483">
        <f t="shared" si="143"/>
        <v>311.76164250000005</v>
      </c>
      <c r="G237" s="483">
        <f t="shared" si="143"/>
        <v>311.76164250000005</v>
      </c>
      <c r="H237" s="483">
        <f t="shared" si="143"/>
        <v>311.76164250000005</v>
      </c>
      <c r="I237" s="483">
        <f t="shared" si="143"/>
        <v>311.76164250000005</v>
      </c>
      <c r="J237" s="483">
        <f t="shared" si="143"/>
        <v>311.76164250000005</v>
      </c>
      <c r="K237" s="483">
        <f t="shared" si="143"/>
        <v>311.76164250000005</v>
      </c>
      <c r="L237" s="688"/>
      <c r="M237" s="688"/>
      <c r="N237" s="688"/>
      <c r="O237" s="688"/>
      <c r="P237" s="674">
        <f t="shared" si="88"/>
        <v>2494.0931400000004</v>
      </c>
    </row>
    <row r="238" spans="1:16" hidden="1" outlineLevel="1">
      <c r="A238" s="690" t="s">
        <v>3276</v>
      </c>
      <c r="B238" s="336" t="s">
        <v>243</v>
      </c>
      <c r="C238" s="657" t="s">
        <v>143</v>
      </c>
      <c r="D238" s="483">
        <f t="shared" ref="D238:O238" si="144">IFERROR(IF($B238="FRANQUEADORA",(AVERAGE($D66:D66)+(0.2+0.058+0.01+0.005)*(AVERAGE($D66:D66))+0.08*(AVERAGE($D66:D66)))/12,(AVERAGE($D66:D66)+0.08*(AVERAGE($D66:D66)))/12),"")</f>
        <v>402.90209999999996</v>
      </c>
      <c r="E238" s="483">
        <f t="shared" si="144"/>
        <v>402.90209999999996</v>
      </c>
      <c r="F238" s="483">
        <f t="shared" si="144"/>
        <v>402.90209999999996</v>
      </c>
      <c r="G238" s="483">
        <f t="shared" si="144"/>
        <v>402.90209999999996</v>
      </c>
      <c r="H238" s="483">
        <f t="shared" si="144"/>
        <v>411.68789999999996</v>
      </c>
      <c r="I238" s="483">
        <f t="shared" si="144"/>
        <v>417.54510000000005</v>
      </c>
      <c r="J238" s="483">
        <f t="shared" si="144"/>
        <v>421.72881428571424</v>
      </c>
      <c r="K238" s="483">
        <f t="shared" si="144"/>
        <v>424.86660000000001</v>
      </c>
      <c r="L238" s="483">
        <f t="shared" si="144"/>
        <v>424.86660000000001</v>
      </c>
      <c r="M238" s="483">
        <f t="shared" si="144"/>
        <v>424.86660000000001</v>
      </c>
      <c r="N238" s="483">
        <f t="shared" si="144"/>
        <v>424.86660000000001</v>
      </c>
      <c r="O238" s="483">
        <f t="shared" si="144"/>
        <v>424.86660000000001</v>
      </c>
      <c r="P238" s="674">
        <f t="shared" si="88"/>
        <v>4986.9032142857141</v>
      </c>
    </row>
    <row r="239" spans="1:16" hidden="1" outlineLevel="1">
      <c r="A239" s="690" t="s">
        <v>3277</v>
      </c>
      <c r="B239" s="336" t="s">
        <v>3227</v>
      </c>
      <c r="C239" s="657" t="s">
        <v>143</v>
      </c>
      <c r="D239" s="483">
        <f t="shared" ref="D239:O239" si="145">IFERROR(IF($B239="FRANQUEADORA",(AVERAGE($D67:D67)+(0.2+0.058+0.01+0.005)*(AVERAGE($D67:D67))+0.08*(AVERAGE($D67:D67)))/12,(AVERAGE($D67:D67)+0.08*(AVERAGE($D67:D67)))/12),"")</f>
        <v>197.04302749999997</v>
      </c>
      <c r="E239" s="483">
        <f t="shared" si="145"/>
        <v>197.04302749999997</v>
      </c>
      <c r="F239" s="483">
        <f t="shared" si="145"/>
        <v>197.04302749999997</v>
      </c>
      <c r="G239" s="483">
        <f t="shared" si="145"/>
        <v>197.04302749999997</v>
      </c>
      <c r="H239" s="483">
        <f t="shared" si="145"/>
        <v>197.04302749999997</v>
      </c>
      <c r="I239" s="483">
        <f t="shared" si="145"/>
        <v>197.04302749999997</v>
      </c>
      <c r="J239" s="483">
        <f t="shared" si="145"/>
        <v>197.04302750000002</v>
      </c>
      <c r="K239" s="483">
        <f t="shared" si="145"/>
        <v>197.04302750000002</v>
      </c>
      <c r="L239" s="483">
        <f t="shared" si="145"/>
        <v>197.04302750000002</v>
      </c>
      <c r="M239" s="483">
        <f t="shared" si="145"/>
        <v>197.04302750000002</v>
      </c>
      <c r="N239" s="483">
        <f t="shared" si="145"/>
        <v>197.04302750000002</v>
      </c>
      <c r="O239" s="483">
        <f t="shared" si="145"/>
        <v>197.04302750000002</v>
      </c>
      <c r="P239" s="674">
        <f t="shared" si="88"/>
        <v>2364.5163299999999</v>
      </c>
    </row>
    <row r="240" spans="1:16" hidden="1" outlineLevel="1">
      <c r="A240" s="683" t="s">
        <v>3278</v>
      </c>
      <c r="B240" s="336" t="s">
        <v>3227</v>
      </c>
      <c r="C240" s="657" t="s">
        <v>143</v>
      </c>
      <c r="D240" s="483">
        <f>IFERROR(IF($B240="FRANQUEADORA",(AVERAGE($D68:D68)+(0.2+0.058+0.01+0.005)*(AVERAGE($D68:D68))+0.08*(AVERAGE($D68:D68)))/12,(AVERAGE($D68:D68)+0.08*(AVERAGE($D68:D68)))/12),"")</f>
        <v>0</v>
      </c>
      <c r="E240" s="697">
        <f t="shared" ref="E240:O240" si="146">IFERROR(IF($B240="FRANQUEADORA",(AVERAGE($E68:E68)+(0.2+0.058+0.01+0.005)*(AVERAGE($E68:E68))+0.08*(AVERAGE($E68:E68)))/12,(AVERAGE($E68:E68)+0.08*(AVERAGE($E68:E68)))/12),"")</f>
        <v>346.40182499999997</v>
      </c>
      <c r="F240" s="483">
        <f t="shared" si="146"/>
        <v>346.40182499999997</v>
      </c>
      <c r="G240" s="483">
        <f t="shared" si="146"/>
        <v>346.40182500000009</v>
      </c>
      <c r="H240" s="483">
        <f t="shared" si="146"/>
        <v>346.40182499999997</v>
      </c>
      <c r="I240" s="483">
        <f t="shared" si="146"/>
        <v>346.40182499999997</v>
      </c>
      <c r="J240" s="483">
        <f t="shared" si="146"/>
        <v>346.40182499999997</v>
      </c>
      <c r="K240" s="483">
        <f t="shared" si="146"/>
        <v>346.40182499999997</v>
      </c>
      <c r="L240" s="483">
        <f t="shared" si="146"/>
        <v>346.40182499999997</v>
      </c>
      <c r="M240" s="483">
        <f t="shared" si="146"/>
        <v>346.40182499999997</v>
      </c>
      <c r="N240" s="483">
        <f t="shared" si="146"/>
        <v>346.40182499999997</v>
      </c>
      <c r="O240" s="483">
        <f t="shared" si="146"/>
        <v>346.40182499999997</v>
      </c>
      <c r="P240" s="674">
        <f t="shared" si="88"/>
        <v>3810.4200749999995</v>
      </c>
    </row>
    <row r="241" spans="1:16" hidden="1" outlineLevel="1">
      <c r="A241" s="683" t="s">
        <v>3279</v>
      </c>
      <c r="B241" s="336" t="s">
        <v>3227</v>
      </c>
      <c r="C241" s="657" t="s">
        <v>143</v>
      </c>
      <c r="D241" s="483"/>
      <c r="E241" s="483"/>
      <c r="F241" s="483"/>
      <c r="G241" s="483"/>
      <c r="H241" s="483"/>
      <c r="I241" s="697">
        <f t="shared" ref="I241:O241" si="147">IFERROR(IF($B241="FRANQUEADORA",(AVERAGE($I69:I69)+(0.2+0.058+0.01+0.005)*(AVERAGE($I69:I69))+0.08*(AVERAGE($I69:I69)))/12,(AVERAGE($I69:I69)+0.08*(AVERAGE($I69:I69)))/12),"")</f>
        <v>575.93376500000011</v>
      </c>
      <c r="J241" s="483">
        <f t="shared" si="147"/>
        <v>575.93376500000011</v>
      </c>
      <c r="K241" s="483">
        <f t="shared" si="147"/>
        <v>575.93376500000011</v>
      </c>
      <c r="L241" s="483">
        <f t="shared" si="147"/>
        <v>575.93376500000011</v>
      </c>
      <c r="M241" s="483">
        <f t="shared" si="147"/>
        <v>575.93376500000011</v>
      </c>
      <c r="N241" s="483">
        <f t="shared" si="147"/>
        <v>575.93376500000011</v>
      </c>
      <c r="O241" s="483">
        <f t="shared" si="147"/>
        <v>575.93376500000011</v>
      </c>
      <c r="P241" s="674">
        <f t="shared" si="88"/>
        <v>4031.5363550000011</v>
      </c>
    </row>
    <row r="242" spans="1:16" hidden="1" outlineLevel="1">
      <c r="A242" s="679" t="s">
        <v>3280</v>
      </c>
      <c r="B242" s="336" t="s">
        <v>3227</v>
      </c>
      <c r="C242" s="657" t="s">
        <v>159</v>
      </c>
      <c r="D242" s="483">
        <f t="shared" ref="D242:E242" si="148">IFERROR(IF($B242="FRANQUEADORA",(AVERAGE($D70:D70)+(0.2+0.058+0.01+0.005)*(AVERAGE($D70:D70))+0.08*(AVERAGE($D70:D70)))/12,(AVERAGE($D70:D70)+0.08*(AVERAGE($D70:D70)))/12),"")</f>
        <v>604.13592249999999</v>
      </c>
      <c r="E242" s="483">
        <f t="shared" si="148"/>
        <v>604.13592249999999</v>
      </c>
      <c r="F242" s="483"/>
      <c r="G242" s="483"/>
      <c r="H242" s="483"/>
      <c r="I242" s="483"/>
      <c r="J242" s="483"/>
      <c r="K242" s="483"/>
      <c r="L242" s="483"/>
      <c r="M242" s="483"/>
      <c r="N242" s="483"/>
      <c r="O242" s="483"/>
      <c r="P242" s="674">
        <f t="shared" si="88"/>
        <v>1208.271845</v>
      </c>
    </row>
    <row r="243" spans="1:16" hidden="1" outlineLevel="1">
      <c r="A243" s="670" t="s">
        <v>3281</v>
      </c>
      <c r="B243" s="336" t="s">
        <v>3227</v>
      </c>
      <c r="C243" s="657" t="s">
        <v>159</v>
      </c>
      <c r="D243" s="483">
        <f t="shared" ref="D243:O243" si="149">IFERROR(IF($B243="FRANQUEADORA",(AVERAGE($D71:D71)+(0.2+0.058+0.01+0.005)*(AVERAGE($D71:D71))+0.08*(AVERAGE($D71:D71)))/12,(AVERAGE($D71:D71)+0.08*(AVERAGE($D71:D71)))/12),"")</f>
        <v>254.2230625</v>
      </c>
      <c r="E243" s="483">
        <f t="shared" si="149"/>
        <v>254.2230625</v>
      </c>
      <c r="F243" s="483">
        <f t="shared" si="149"/>
        <v>254.2230625</v>
      </c>
      <c r="G243" s="483">
        <f t="shared" si="149"/>
        <v>254.2230625</v>
      </c>
      <c r="H243" s="483">
        <f t="shared" si="149"/>
        <v>265.73077849999999</v>
      </c>
      <c r="I243" s="483">
        <f t="shared" si="149"/>
        <v>273.40258916666664</v>
      </c>
      <c r="J243" s="483">
        <f t="shared" si="149"/>
        <v>278.88245392857146</v>
      </c>
      <c r="K243" s="483">
        <f t="shared" si="149"/>
        <v>282.99235249999998</v>
      </c>
      <c r="L243" s="483">
        <f t="shared" si="149"/>
        <v>282.99235249999998</v>
      </c>
      <c r="M243" s="483">
        <f t="shared" si="149"/>
        <v>282.99235249999998</v>
      </c>
      <c r="N243" s="483">
        <f t="shared" si="149"/>
        <v>282.99235249999998</v>
      </c>
      <c r="O243" s="483">
        <f t="shared" si="149"/>
        <v>282.99235249999998</v>
      </c>
      <c r="P243" s="674">
        <f t="shared" si="88"/>
        <v>3249.8698340952378</v>
      </c>
    </row>
    <row r="244" spans="1:16" hidden="1" outlineLevel="1">
      <c r="A244" s="670" t="s">
        <v>3282</v>
      </c>
      <c r="B244" s="336" t="s">
        <v>3227</v>
      </c>
      <c r="C244" s="657" t="s">
        <v>159</v>
      </c>
      <c r="D244" s="483">
        <f t="shared" ref="D244:O244" si="150">IFERROR(IF($B244="FRANQUEADORA",(AVERAGE($D72:D72)+(0.2+0.058+0.01+0.005)*(AVERAGE($D72:D72))+0.08*(AVERAGE($D72:D72)))/12,(AVERAGE($D72:D72)+0.08*(AVERAGE($D72:D72)))/12),"")</f>
        <v>537.00908249999998</v>
      </c>
      <c r="E244" s="483">
        <f t="shared" si="150"/>
        <v>537.00908249999998</v>
      </c>
      <c r="F244" s="483">
        <f t="shared" si="150"/>
        <v>537.00908249999998</v>
      </c>
      <c r="G244" s="483">
        <f t="shared" si="150"/>
        <v>537.00908249999998</v>
      </c>
      <c r="H244" s="483">
        <f t="shared" si="150"/>
        <v>537.00908249999998</v>
      </c>
      <c r="I244" s="483">
        <f t="shared" si="150"/>
        <v>537.00908250000009</v>
      </c>
      <c r="J244" s="483">
        <f t="shared" si="150"/>
        <v>537.00908250000009</v>
      </c>
      <c r="K244" s="483">
        <f t="shared" si="150"/>
        <v>537.00908250000009</v>
      </c>
      <c r="L244" s="483">
        <f t="shared" si="150"/>
        <v>537.00908250000009</v>
      </c>
      <c r="M244" s="483">
        <f t="shared" si="150"/>
        <v>537.00908250000009</v>
      </c>
      <c r="N244" s="483">
        <f t="shared" si="150"/>
        <v>537.00908250000009</v>
      </c>
      <c r="O244" s="483">
        <f t="shared" si="150"/>
        <v>537.00908250000009</v>
      </c>
      <c r="P244" s="674">
        <f t="shared" si="88"/>
        <v>6444.1089899999988</v>
      </c>
    </row>
    <row r="245" spans="1:16" hidden="1" outlineLevel="1">
      <c r="A245" s="670" t="s">
        <v>3283</v>
      </c>
      <c r="B245" s="336" t="s">
        <v>3227</v>
      </c>
      <c r="C245" s="657" t="s">
        <v>159</v>
      </c>
      <c r="D245" s="483">
        <f t="shared" ref="D245:O245" si="151">IFERROR(IF($B245="FRANQUEADORA",(AVERAGE($D73:D73)+(0.2+0.058+0.01+0.005)*(AVERAGE($D73:D73))+0.08*(AVERAGE($D73:D73)))/12,(AVERAGE($D73:D73)+0.08*(AVERAGE($D73:D73)))/12),"")</f>
        <v>458.86093</v>
      </c>
      <c r="E245" s="483">
        <f t="shared" si="151"/>
        <v>504.74736124999998</v>
      </c>
      <c r="F245" s="483">
        <f t="shared" si="151"/>
        <v>520.04283833333341</v>
      </c>
      <c r="G245" s="483">
        <f t="shared" si="151"/>
        <v>527.69057687499992</v>
      </c>
      <c r="H245" s="483">
        <f t="shared" si="151"/>
        <v>532.27922000000001</v>
      </c>
      <c r="I245" s="483">
        <f t="shared" si="151"/>
        <v>535.33831541666666</v>
      </c>
      <c r="J245" s="483">
        <f t="shared" si="151"/>
        <v>537.52338357142855</v>
      </c>
      <c r="K245" s="483">
        <f t="shared" si="151"/>
        <v>539.16218468749992</v>
      </c>
      <c r="L245" s="483">
        <f t="shared" si="151"/>
        <v>539.16218468749992</v>
      </c>
      <c r="M245" s="483">
        <f t="shared" si="151"/>
        <v>539.16218468749992</v>
      </c>
      <c r="N245" s="483">
        <f t="shared" si="151"/>
        <v>539.16218468749992</v>
      </c>
      <c r="O245" s="483">
        <f t="shared" si="151"/>
        <v>539.16218468749992</v>
      </c>
      <c r="P245" s="674">
        <f t="shared" si="88"/>
        <v>6312.2935488839266</v>
      </c>
    </row>
    <row r="246" spans="1:16" hidden="1" outlineLevel="1">
      <c r="A246" s="679" t="s">
        <v>3284</v>
      </c>
      <c r="B246" s="336" t="s">
        <v>3227</v>
      </c>
      <c r="C246" s="657" t="s">
        <v>159</v>
      </c>
      <c r="D246" s="483">
        <f t="shared" ref="D246:F246" si="152">IFERROR(IF($B246="FRANQUEADORA",(AVERAGE($D74:D74)+(0.2+0.058+0.01+0.005)*(AVERAGE($D74:D74))+0.08*(AVERAGE($D74:D74)))/12,(AVERAGE($D74:D74)+0.08*(AVERAGE($D74:D74)))/12),"")</f>
        <v>277.12258750000001</v>
      </c>
      <c r="E246" s="483">
        <f t="shared" si="152"/>
        <v>277.12258750000001</v>
      </c>
      <c r="F246" s="483">
        <f t="shared" si="152"/>
        <v>277.12258750000001</v>
      </c>
      <c r="G246" s="483"/>
      <c r="H246" s="483"/>
      <c r="I246" s="483"/>
      <c r="J246" s="483"/>
      <c r="K246" s="483"/>
      <c r="L246" s="483"/>
      <c r="M246" s="483"/>
      <c r="N246" s="483"/>
      <c r="O246" s="483"/>
      <c r="P246" s="674">
        <f t="shared" si="88"/>
        <v>831.36776250000003</v>
      </c>
    </row>
    <row r="247" spans="1:16" hidden="1" outlineLevel="1">
      <c r="A247" s="670" t="s">
        <v>3285</v>
      </c>
      <c r="B247" s="336" t="s">
        <v>3227</v>
      </c>
      <c r="C247" s="657" t="s">
        <v>159</v>
      </c>
      <c r="D247" s="483">
        <f t="shared" ref="D247:O247" si="153">IFERROR(IF($B247="FRANQUEADORA",(AVERAGE($D75:D75)+(0.2+0.058+0.01+0.005)*(AVERAGE($D75:D75))+0.08*(AVERAGE($D75:D75)))/12,(AVERAGE($D75:D75)+0.08*(AVERAGE($D75:D75)))/12),"")</f>
        <v>629.75159500000007</v>
      </c>
      <c r="E247" s="483">
        <f t="shared" si="153"/>
        <v>629.75159500000007</v>
      </c>
      <c r="F247" s="483">
        <f t="shared" si="153"/>
        <v>629.75159500000007</v>
      </c>
      <c r="G247" s="483">
        <f t="shared" si="153"/>
        <v>629.75159500000007</v>
      </c>
      <c r="H247" s="483">
        <f t="shared" si="153"/>
        <v>629.75159500000007</v>
      </c>
      <c r="I247" s="483">
        <f t="shared" si="153"/>
        <v>629.75159500000007</v>
      </c>
      <c r="J247" s="483">
        <f t="shared" si="153"/>
        <v>629.75159499999995</v>
      </c>
      <c r="K247" s="483">
        <f t="shared" si="153"/>
        <v>647.24363000000005</v>
      </c>
      <c r="L247" s="483">
        <f t="shared" si="153"/>
        <v>647.24363000000005</v>
      </c>
      <c r="M247" s="483">
        <f t="shared" si="153"/>
        <v>647.24363000000005</v>
      </c>
      <c r="N247" s="483">
        <f t="shared" si="153"/>
        <v>647.24363000000005</v>
      </c>
      <c r="O247" s="483">
        <f t="shared" si="153"/>
        <v>647.24363000000005</v>
      </c>
      <c r="P247" s="674">
        <f t="shared" si="88"/>
        <v>7644.4793150000005</v>
      </c>
    </row>
    <row r="248" spans="1:16" hidden="1" outlineLevel="1">
      <c r="A248" s="686" t="s">
        <v>3286</v>
      </c>
      <c r="B248" s="336" t="s">
        <v>3227</v>
      </c>
      <c r="C248" s="657" t="s">
        <v>159</v>
      </c>
      <c r="D248" s="483">
        <f t="shared" ref="D248:O248" si="154">IFERROR(IF($B248="FRANQUEADORA",(AVERAGE($D76:D76)+(0.2+0.058+0.01+0.005)*(AVERAGE($D76:D76))+0.08*(AVERAGE($D76:D76)))/12,(AVERAGE($D76:D76)+0.08*(AVERAGE($D76:D76)))/12),"")</f>
        <v>305.79491250000007</v>
      </c>
      <c r="E248" s="483">
        <f t="shared" si="154"/>
        <v>305.79491250000007</v>
      </c>
      <c r="F248" s="483">
        <f t="shared" si="154"/>
        <v>305.79491250000007</v>
      </c>
      <c r="G248" s="483">
        <f t="shared" si="154"/>
        <v>305.79491250000007</v>
      </c>
      <c r="H248" s="483">
        <f t="shared" si="154"/>
        <v>305.79491250000007</v>
      </c>
      <c r="I248" s="483">
        <f t="shared" si="154"/>
        <v>305.79491250000007</v>
      </c>
      <c r="J248" s="483">
        <f t="shared" si="154"/>
        <v>305.79491250000007</v>
      </c>
      <c r="K248" s="483">
        <f t="shared" si="154"/>
        <v>305.79491250000007</v>
      </c>
      <c r="L248" s="483">
        <f t="shared" si="154"/>
        <v>305.79491250000007</v>
      </c>
      <c r="M248" s="483">
        <f t="shared" si="154"/>
        <v>305.79491250000007</v>
      </c>
      <c r="N248" s="483">
        <f t="shared" si="154"/>
        <v>305.79491250000007</v>
      </c>
      <c r="O248" s="483">
        <f t="shared" si="154"/>
        <v>305.79491250000007</v>
      </c>
      <c r="P248" s="674">
        <f t="shared" si="88"/>
        <v>3669.5389500000006</v>
      </c>
    </row>
    <row r="249" spans="1:16" hidden="1" outlineLevel="1">
      <c r="A249" s="679" t="s">
        <v>3287</v>
      </c>
      <c r="B249" s="336" t="s">
        <v>243</v>
      </c>
      <c r="C249" s="657" t="s">
        <v>159</v>
      </c>
      <c r="D249" s="483">
        <f t="shared" ref="D249:E249" si="155">IFERROR(IF($B249="FRANQUEADORA",(AVERAGE($D77:D77)+(0.2+0.058+0.01+0.005)*(AVERAGE($D77:D77))+0.08*(AVERAGE($D77:D77)))/12,(AVERAGE($D77:D77)+0.08*(AVERAGE($D77:D77)))/12),"")</f>
        <v>0</v>
      </c>
      <c r="E249" s="483">
        <f t="shared" si="155"/>
        <v>0</v>
      </c>
      <c r="F249" s="697">
        <f t="shared" ref="F249:I249" si="156">IFERROR(IF($B249="FRANQUEADORA",(AVERAGE($F77:F77)+(0.2+0.058+0.01+0.005)*(AVERAGE($F77:F77))+0.08*(AVERAGE($F77:F77)))/12,(AVERAGE($F77:F77)+0.08*(AVERAGE($F77:F77)))/12),"")</f>
        <v>73.736099999999993</v>
      </c>
      <c r="G249" s="483">
        <f t="shared" si="156"/>
        <v>175.12154999999998</v>
      </c>
      <c r="H249" s="483">
        <f t="shared" si="156"/>
        <v>208.91669999999999</v>
      </c>
      <c r="I249" s="483">
        <f t="shared" si="156"/>
        <v>225.81427500000004</v>
      </c>
      <c r="J249" s="483"/>
      <c r="K249" s="483"/>
      <c r="L249" s="483"/>
      <c r="M249" s="483"/>
      <c r="N249" s="483"/>
      <c r="O249" s="483"/>
      <c r="P249" s="674">
        <f t="shared" si="88"/>
        <v>683.58862499999998</v>
      </c>
    </row>
    <row r="250" spans="1:16" hidden="1" outlineLevel="1">
      <c r="A250" s="670" t="s">
        <v>3288</v>
      </c>
      <c r="B250" s="336" t="s">
        <v>3227</v>
      </c>
      <c r="C250" s="657" t="s">
        <v>2109</v>
      </c>
      <c r="D250" s="483">
        <f t="shared" ref="D250:O250" si="157">IFERROR(IF($B250="FRANQUEADORA",(AVERAGE($D78:D78)+(0.2+0.058+0.01+0.005)*(AVERAGE($D78:D78))+0.08*(AVERAGE($D78:D78)))/12,(AVERAGE($D78:D78)+0.08*(AVERAGE($D78:D78)))/12),"")</f>
        <v>458.86093</v>
      </c>
      <c r="E250" s="483">
        <f t="shared" si="157"/>
        <v>458.86093</v>
      </c>
      <c r="F250" s="483">
        <f t="shared" si="157"/>
        <v>458.86093</v>
      </c>
      <c r="G250" s="483">
        <f t="shared" si="157"/>
        <v>458.86093</v>
      </c>
      <c r="H250" s="483">
        <f t="shared" si="157"/>
        <v>468.03810349999998</v>
      </c>
      <c r="I250" s="483">
        <f t="shared" si="157"/>
        <v>474.15621916666663</v>
      </c>
      <c r="J250" s="483">
        <f t="shared" si="157"/>
        <v>478.52630178571422</v>
      </c>
      <c r="K250" s="483">
        <f t="shared" si="157"/>
        <v>481.80386374999995</v>
      </c>
      <c r="L250" s="483">
        <f t="shared" si="157"/>
        <v>481.80386374999995</v>
      </c>
      <c r="M250" s="483">
        <f t="shared" si="157"/>
        <v>481.80386374999995</v>
      </c>
      <c r="N250" s="483">
        <f t="shared" si="157"/>
        <v>481.80386374999995</v>
      </c>
      <c r="O250" s="483">
        <f t="shared" si="157"/>
        <v>481.80386374999995</v>
      </c>
      <c r="P250" s="674">
        <f t="shared" si="88"/>
        <v>5665.1836632023815</v>
      </c>
    </row>
    <row r="251" spans="1:16" hidden="1" outlineLevel="1">
      <c r="A251" s="670" t="s">
        <v>3289</v>
      </c>
      <c r="B251" s="336" t="s">
        <v>3227</v>
      </c>
      <c r="C251" s="657" t="s">
        <v>2109</v>
      </c>
      <c r="D251" s="483">
        <f t="shared" ref="D251:O251" si="158">IFERROR(IF($B251="FRANQUEADORA",(AVERAGE($D79:D79)+(0.2+0.058+0.01+0.005)*(AVERAGE($D79:D79))+0.08*(AVERAGE($D79:D79)))/12,(AVERAGE($D79:D79)+0.08*(AVERAGE($D79:D79)))/12),"")</f>
        <v>367.08919500000002</v>
      </c>
      <c r="E251" s="483">
        <f t="shared" si="158"/>
        <v>390.03212875000008</v>
      </c>
      <c r="F251" s="483">
        <f t="shared" si="158"/>
        <v>397.67977333333334</v>
      </c>
      <c r="G251" s="483">
        <f t="shared" si="158"/>
        <v>401.50359562500006</v>
      </c>
      <c r="H251" s="483">
        <f t="shared" si="158"/>
        <v>403.79788899999994</v>
      </c>
      <c r="I251" s="483">
        <f t="shared" si="158"/>
        <v>405.32741791666666</v>
      </c>
      <c r="J251" s="483">
        <f t="shared" si="158"/>
        <v>406.41993857142853</v>
      </c>
      <c r="K251" s="483">
        <f t="shared" si="158"/>
        <v>407.23932906250002</v>
      </c>
      <c r="L251" s="483">
        <f t="shared" si="158"/>
        <v>407.23932906250002</v>
      </c>
      <c r="M251" s="483">
        <f t="shared" si="158"/>
        <v>407.23932906250002</v>
      </c>
      <c r="N251" s="483">
        <f t="shared" si="158"/>
        <v>407.23932906250002</v>
      </c>
      <c r="O251" s="483">
        <f t="shared" si="158"/>
        <v>407.23932906250002</v>
      </c>
      <c r="P251" s="674">
        <f t="shared" si="88"/>
        <v>4808.046583508929</v>
      </c>
    </row>
    <row r="252" spans="1:16" hidden="1" outlineLevel="1">
      <c r="A252" s="690" t="s">
        <v>1682</v>
      </c>
      <c r="B252" s="336" t="s">
        <v>3227</v>
      </c>
      <c r="C252" s="657" t="s">
        <v>2109</v>
      </c>
      <c r="D252" s="483">
        <f t="shared" ref="D252:O252" si="159">IFERROR(IF($B252="FRANQUEADORA",(AVERAGE($D80:D80)+(0.2+0.058+0.01+0.005)*(AVERAGE($D80:D80))+0.08*(AVERAGE($D80:D80)))/12,(AVERAGE($D80:D80)+0.08*(AVERAGE($D80:D80)))/12),"")</f>
        <v>381.04200750000001</v>
      </c>
      <c r="E252" s="483">
        <f t="shared" si="159"/>
        <v>397.00853500000011</v>
      </c>
      <c r="F252" s="483">
        <f t="shared" si="159"/>
        <v>402.3307108333334</v>
      </c>
      <c r="G252" s="483">
        <f t="shared" si="159"/>
        <v>404.99179875000004</v>
      </c>
      <c r="H252" s="483">
        <f t="shared" si="159"/>
        <v>406.58845149999996</v>
      </c>
      <c r="I252" s="483">
        <f t="shared" si="159"/>
        <v>407.65288666666669</v>
      </c>
      <c r="J252" s="483">
        <f t="shared" si="159"/>
        <v>408.41319750000002</v>
      </c>
      <c r="K252" s="483">
        <f t="shared" si="159"/>
        <v>408.98343062499998</v>
      </c>
      <c r="L252" s="483">
        <f t="shared" si="159"/>
        <v>408.98343062499998</v>
      </c>
      <c r="M252" s="483">
        <f t="shared" si="159"/>
        <v>408.98343062499998</v>
      </c>
      <c r="N252" s="483">
        <f t="shared" si="159"/>
        <v>408.98343062499998</v>
      </c>
      <c r="O252" s="483">
        <f t="shared" si="159"/>
        <v>408.98343062499998</v>
      </c>
      <c r="P252" s="674">
        <f t="shared" si="88"/>
        <v>4852.9447408750002</v>
      </c>
    </row>
    <row r="253" spans="1:16" hidden="1" outlineLevel="1">
      <c r="A253" s="690" t="s">
        <v>3290</v>
      </c>
      <c r="B253" s="336" t="s">
        <v>3227</v>
      </c>
      <c r="C253" s="657" t="s">
        <v>964</v>
      </c>
      <c r="D253" s="483">
        <f t="shared" ref="D253:O253" si="160">IFERROR(IF($B253="FRANQUEADORA",(AVERAGE($D81:D81)+(0.2+0.058+0.01+0.005)*(AVERAGE($D81:D81))+0.08*(AVERAGE($D81:D81)))/12,(AVERAGE($D81:D81)+0.08*(AVERAGE($D81:D81)))/12),"")</f>
        <v>468.81450000000001</v>
      </c>
      <c r="E253" s="483">
        <f t="shared" si="160"/>
        <v>468.81450000000001</v>
      </c>
      <c r="F253" s="483">
        <f t="shared" si="160"/>
        <v>468.81450000000001</v>
      </c>
      <c r="G253" s="483">
        <f t="shared" si="160"/>
        <v>468.81450000000001</v>
      </c>
      <c r="H253" s="483">
        <f t="shared" si="160"/>
        <v>468.81450000000001</v>
      </c>
      <c r="I253" s="483">
        <f t="shared" si="160"/>
        <v>468.81450000000001</v>
      </c>
      <c r="J253" s="483">
        <f t="shared" si="160"/>
        <v>468.81450000000001</v>
      </c>
      <c r="K253" s="483">
        <f t="shared" si="160"/>
        <v>474.67496312500003</v>
      </c>
      <c r="L253" s="483">
        <f t="shared" si="160"/>
        <v>474.67496312500003</v>
      </c>
      <c r="M253" s="483">
        <f t="shared" si="160"/>
        <v>474.67496312500003</v>
      </c>
      <c r="N253" s="483">
        <f t="shared" si="160"/>
        <v>474.67496312500003</v>
      </c>
      <c r="O253" s="483">
        <f t="shared" si="160"/>
        <v>474.67496312500003</v>
      </c>
      <c r="P253" s="674">
        <f t="shared" si="88"/>
        <v>5655.0763156250014</v>
      </c>
    </row>
    <row r="254" spans="1:16" hidden="1" outlineLevel="1">
      <c r="A254" s="690" t="s">
        <v>3291</v>
      </c>
      <c r="B254" s="336" t="s">
        <v>3227</v>
      </c>
      <c r="C254" s="657" t="s">
        <v>964</v>
      </c>
      <c r="D254" s="483">
        <f t="shared" ref="D254:O254" si="161">IFERROR(IF($B254="FRANQUEADORA",(AVERAGE($D82:D82)+(0.2+0.058+0.01+0.005)*(AVERAGE($D82:D82))+0.08*(AVERAGE($D82:D82)))/12,(AVERAGE($D82:D82)+0.08*(AVERAGE($D82:D82)))/12),"")</f>
        <v>562.579655</v>
      </c>
      <c r="E254" s="483">
        <f t="shared" si="161"/>
        <v>562.579655</v>
      </c>
      <c r="F254" s="483">
        <f t="shared" si="161"/>
        <v>562.579655</v>
      </c>
      <c r="G254" s="483">
        <f t="shared" si="161"/>
        <v>567.47751500000004</v>
      </c>
      <c r="H254" s="483">
        <f t="shared" si="161"/>
        <v>570.41623100000004</v>
      </c>
      <c r="I254" s="483">
        <f t="shared" si="161"/>
        <v>572.37537500000008</v>
      </c>
      <c r="J254" s="483">
        <f t="shared" si="161"/>
        <v>573.77476357142871</v>
      </c>
      <c r="K254" s="483">
        <f t="shared" si="161"/>
        <v>574.82430499999998</v>
      </c>
      <c r="L254" s="483">
        <f t="shared" si="161"/>
        <v>574.82430499999998</v>
      </c>
      <c r="M254" s="483">
        <f t="shared" si="161"/>
        <v>574.82430499999998</v>
      </c>
      <c r="N254" s="483">
        <f t="shared" si="161"/>
        <v>574.82430499999998</v>
      </c>
      <c r="O254" s="483">
        <f t="shared" si="161"/>
        <v>574.82430499999998</v>
      </c>
      <c r="P254" s="674">
        <f t="shared" si="88"/>
        <v>6845.9043745714289</v>
      </c>
    </row>
    <row r="255" spans="1:16" hidden="1" outlineLevel="1">
      <c r="A255" s="690" t="s">
        <v>3292</v>
      </c>
      <c r="B255" s="336" t="s">
        <v>3227</v>
      </c>
      <c r="C255" s="657" t="s">
        <v>964</v>
      </c>
      <c r="D255" s="483">
        <f t="shared" ref="D255:O255" si="162">IFERROR(IF($B255="FRANQUEADORA",(AVERAGE($D83:D83)+(0.2+0.058+0.01+0.005)*(AVERAGE($D83:D83))+0.08*(AVERAGE($D83:D83)))/12,(AVERAGE($D83:D83)+0.08*(AVERAGE($D83:D83)))/12),"")</f>
        <v>505.12789249999997</v>
      </c>
      <c r="E255" s="483">
        <f t="shared" si="162"/>
        <v>505.12789249999997</v>
      </c>
      <c r="F255" s="483">
        <f t="shared" si="162"/>
        <v>505.12789249999997</v>
      </c>
      <c r="G255" s="483">
        <f t="shared" si="162"/>
        <v>505.12789249999997</v>
      </c>
      <c r="H255" s="483">
        <f t="shared" si="162"/>
        <v>505.12789249999997</v>
      </c>
      <c r="I255" s="483">
        <f t="shared" si="162"/>
        <v>505.12789249999997</v>
      </c>
      <c r="J255" s="483">
        <f t="shared" si="162"/>
        <v>505.12789249999997</v>
      </c>
      <c r="K255" s="483">
        <f t="shared" si="162"/>
        <v>505.12789249999997</v>
      </c>
      <c r="L255" s="483">
        <f t="shared" si="162"/>
        <v>505.12789249999997</v>
      </c>
      <c r="M255" s="483">
        <f t="shared" si="162"/>
        <v>505.12789249999997</v>
      </c>
      <c r="N255" s="483">
        <f t="shared" si="162"/>
        <v>505.12789249999997</v>
      </c>
      <c r="O255" s="483">
        <f t="shared" si="162"/>
        <v>505.12789249999997</v>
      </c>
      <c r="P255" s="674">
        <f t="shared" si="88"/>
        <v>6061.534709999999</v>
      </c>
    </row>
    <row r="256" spans="1:16" hidden="1" outlineLevel="1">
      <c r="A256" s="690" t="s">
        <v>3293</v>
      </c>
      <c r="B256" s="336" t="s">
        <v>3227</v>
      </c>
      <c r="C256" s="657" t="s">
        <v>964</v>
      </c>
      <c r="D256" s="483">
        <f t="shared" ref="D256:O256" si="163">IFERROR(IF($B256="FRANQUEADORA",(AVERAGE($D84:D84)+(0.2+0.058+0.01+0.005)*(AVERAGE($D84:D84))+0.08*(AVERAGE($D84:D84)))/12,(AVERAGE($D84:D84)+0.08*(AVERAGE($D84:D84)))/12),"")</f>
        <v>562.579655</v>
      </c>
      <c r="E256" s="483">
        <f t="shared" si="163"/>
        <v>562.579655</v>
      </c>
      <c r="F256" s="483">
        <f t="shared" si="163"/>
        <v>562.579655</v>
      </c>
      <c r="G256" s="483">
        <f t="shared" si="163"/>
        <v>562.579655</v>
      </c>
      <c r="H256" s="483">
        <f t="shared" si="163"/>
        <v>562.579655</v>
      </c>
      <c r="I256" s="483">
        <f t="shared" si="163"/>
        <v>562.579655</v>
      </c>
      <c r="J256" s="483">
        <f t="shared" si="163"/>
        <v>562.579655</v>
      </c>
      <c r="K256" s="483">
        <f t="shared" si="163"/>
        <v>562.579655</v>
      </c>
      <c r="L256" s="483">
        <f t="shared" si="163"/>
        <v>562.579655</v>
      </c>
      <c r="M256" s="483">
        <f t="shared" si="163"/>
        <v>562.579655</v>
      </c>
      <c r="N256" s="483">
        <f t="shared" si="163"/>
        <v>562.579655</v>
      </c>
      <c r="O256" s="483">
        <f t="shared" si="163"/>
        <v>562.579655</v>
      </c>
      <c r="P256" s="674">
        <f t="shared" si="88"/>
        <v>6750.9558599999982</v>
      </c>
    </row>
    <row r="257" spans="1:16" hidden="1" outlineLevel="1">
      <c r="A257" s="690" t="s">
        <v>3294</v>
      </c>
      <c r="B257" s="336" t="s">
        <v>3227</v>
      </c>
      <c r="C257" s="657" t="s">
        <v>964</v>
      </c>
      <c r="D257" s="483">
        <f t="shared" ref="D257:O257" si="164">IFERROR(IF($B257="FRANQUEADORA",(AVERAGE($D85:D85)+(0.2+0.058+0.01+0.005)*(AVERAGE($D85:D85))+0.08*(AVERAGE($D85:D85)))/12,(AVERAGE($D85:D85)+0.08*(AVERAGE($D85:D85)))/12),"")</f>
        <v>615.75706500000013</v>
      </c>
      <c r="E257" s="483">
        <f t="shared" si="164"/>
        <v>615.75706500000013</v>
      </c>
      <c r="F257" s="483">
        <f t="shared" si="164"/>
        <v>615.75706500000013</v>
      </c>
      <c r="G257" s="483">
        <f t="shared" si="164"/>
        <v>615.75706500000013</v>
      </c>
      <c r="H257" s="483">
        <f t="shared" si="164"/>
        <v>615.75706500000013</v>
      </c>
      <c r="I257" s="483">
        <f t="shared" si="164"/>
        <v>615.75706500000013</v>
      </c>
      <c r="J257" s="483">
        <f t="shared" si="164"/>
        <v>615.75706500000013</v>
      </c>
      <c r="K257" s="483">
        <f t="shared" si="164"/>
        <v>615.75706500000013</v>
      </c>
      <c r="L257" s="483">
        <f t="shared" si="164"/>
        <v>615.75706500000013</v>
      </c>
      <c r="M257" s="483">
        <f t="shared" si="164"/>
        <v>615.75706500000013</v>
      </c>
      <c r="N257" s="483">
        <f t="shared" si="164"/>
        <v>615.75706500000013</v>
      </c>
      <c r="O257" s="483">
        <f t="shared" si="164"/>
        <v>615.75706500000013</v>
      </c>
      <c r="P257" s="674">
        <f t="shared" si="88"/>
        <v>7389.0847800000001</v>
      </c>
    </row>
    <row r="258" spans="1:16">
      <c r="C258" s="695"/>
      <c r="D258" s="696"/>
      <c r="P258" s="685"/>
    </row>
    <row r="259" spans="1:16">
      <c r="C259" s="695"/>
      <c r="D259" s="696"/>
      <c r="P259" s="685"/>
    </row>
    <row r="260" spans="1:16" ht="19.5">
      <c r="A260" s="659" t="s">
        <v>3295</v>
      </c>
      <c r="C260" s="660" t="str">
        <f>$C$1</f>
        <v>TI</v>
      </c>
      <c r="D260" s="658">
        <f t="shared" ref="D260:P260" si="165">SUMIF($C263:$C343,$C260,D263:D343)</f>
        <v>6573.4496100000006</v>
      </c>
      <c r="E260" s="658">
        <f t="shared" si="165"/>
        <v>6573.4496100000006</v>
      </c>
      <c r="F260" s="658">
        <f t="shared" si="165"/>
        <v>6573.4496100000006</v>
      </c>
      <c r="G260" s="658">
        <f t="shared" si="165"/>
        <v>6585.3087300000007</v>
      </c>
      <c r="H260" s="658">
        <f t="shared" si="165"/>
        <v>6592.4242020000011</v>
      </c>
      <c r="I260" s="658">
        <f t="shared" si="165"/>
        <v>6597.1678500000007</v>
      </c>
      <c r="J260" s="658">
        <f t="shared" si="165"/>
        <v>6600.5561700000007</v>
      </c>
      <c r="K260" s="658">
        <f t="shared" si="165"/>
        <v>6617.2872675000008</v>
      </c>
      <c r="L260" s="658">
        <f t="shared" si="165"/>
        <v>6617.2872675000008</v>
      </c>
      <c r="M260" s="658">
        <f t="shared" si="165"/>
        <v>6617.2872675000008</v>
      </c>
      <c r="N260" s="658">
        <f t="shared" si="165"/>
        <v>6617.2872675000008</v>
      </c>
      <c r="O260" s="658">
        <f t="shared" si="165"/>
        <v>6617.2872675000008</v>
      </c>
      <c r="P260" s="658">
        <f t="shared" si="165"/>
        <v>79182.242119500006</v>
      </c>
    </row>
    <row r="261" spans="1:16" ht="30">
      <c r="A261" s="662" t="s">
        <v>3222</v>
      </c>
      <c r="B261" s="663" t="s">
        <v>3223</v>
      </c>
      <c r="C261" s="664" t="s">
        <v>135</v>
      </c>
      <c r="D261" s="665" t="s">
        <v>0</v>
      </c>
      <c r="E261" s="662" t="s">
        <v>1</v>
      </c>
      <c r="F261" s="662" t="s">
        <v>2</v>
      </c>
      <c r="G261" s="662" t="s">
        <v>3</v>
      </c>
      <c r="H261" s="662" t="s">
        <v>4</v>
      </c>
      <c r="I261" s="662" t="s">
        <v>5</v>
      </c>
      <c r="J261" s="662" t="s">
        <v>6</v>
      </c>
      <c r="K261" s="662" t="s">
        <v>7</v>
      </c>
      <c r="L261" s="662" t="s">
        <v>8</v>
      </c>
      <c r="M261" s="662" t="s">
        <v>9</v>
      </c>
      <c r="N261" s="662" t="s">
        <v>10</v>
      </c>
      <c r="O261" s="662" t="s">
        <v>11</v>
      </c>
      <c r="P261" s="666" t="s">
        <v>3199</v>
      </c>
    </row>
    <row r="262" spans="1:16" collapsed="1">
      <c r="A262" s="667" t="s">
        <v>3199</v>
      </c>
      <c r="B262" s="667"/>
      <c r="C262" s="668"/>
      <c r="D262" s="669">
        <f t="shared" ref="D262:P262" si="166">SUBTOTAL(9,D263:D343)</f>
        <v>36654.44874</v>
      </c>
      <c r="E262" s="669">
        <f t="shared" si="166"/>
        <v>38839.456109999999</v>
      </c>
      <c r="F262" s="669">
        <f t="shared" si="166"/>
        <v>37445.108609999996</v>
      </c>
      <c r="G262" s="669">
        <f t="shared" si="166"/>
        <v>33785.222152499999</v>
      </c>
      <c r="H262" s="669">
        <f t="shared" si="166"/>
        <v>33934.987631999989</v>
      </c>
      <c r="I262" s="669">
        <f t="shared" si="166"/>
        <v>35492.678584999994</v>
      </c>
      <c r="J262" s="669">
        <f t="shared" si="166"/>
        <v>35670.111749999996</v>
      </c>
      <c r="K262" s="669">
        <f t="shared" si="166"/>
        <v>35798.843193749999</v>
      </c>
      <c r="L262" s="669">
        <f t="shared" si="166"/>
        <v>35798.843193749999</v>
      </c>
      <c r="M262" s="669">
        <f t="shared" si="166"/>
        <v>35798.843193749999</v>
      </c>
      <c r="N262" s="669">
        <f t="shared" si="166"/>
        <v>35798.843193749999</v>
      </c>
      <c r="O262" s="669">
        <f t="shared" si="166"/>
        <v>35798.843193749999</v>
      </c>
      <c r="P262" s="669">
        <f t="shared" si="166"/>
        <v>430816.22954825009</v>
      </c>
    </row>
    <row r="263" spans="1:16" hidden="1" outlineLevel="1">
      <c r="A263" s="670" t="s">
        <v>3224</v>
      </c>
      <c r="B263" s="336" t="s">
        <v>243</v>
      </c>
      <c r="C263" s="657" t="s">
        <v>192</v>
      </c>
      <c r="D263" s="483">
        <f t="shared" ref="D263:O263" si="167">IFERROR(IF($B263="FRANQUEADORA",(0.2+0.058+0.01+0.005)*(AVERAGE($D5:D5)),0),"")</f>
        <v>0</v>
      </c>
      <c r="E263" s="483">
        <f t="shared" si="167"/>
        <v>0</v>
      </c>
      <c r="F263" s="483">
        <f t="shared" si="167"/>
        <v>0</v>
      </c>
      <c r="G263" s="483">
        <f t="shared" si="167"/>
        <v>0</v>
      </c>
      <c r="H263" s="483">
        <f t="shared" si="167"/>
        <v>0</v>
      </c>
      <c r="I263" s="483">
        <f t="shared" si="167"/>
        <v>0</v>
      </c>
      <c r="J263" s="483">
        <f t="shared" si="167"/>
        <v>0</v>
      </c>
      <c r="K263" s="483">
        <f t="shared" si="167"/>
        <v>0</v>
      </c>
      <c r="L263" s="483">
        <f t="shared" si="167"/>
        <v>0</v>
      </c>
      <c r="M263" s="483">
        <f t="shared" si="167"/>
        <v>0</v>
      </c>
      <c r="N263" s="483">
        <f t="shared" si="167"/>
        <v>0</v>
      </c>
      <c r="O263" s="483">
        <f t="shared" si="167"/>
        <v>0</v>
      </c>
      <c r="P263" s="674">
        <f t="shared" ref="P263:P343" si="168">SUM(D263:O263)</f>
        <v>0</v>
      </c>
    </row>
    <row r="264" spans="1:16" hidden="1" outlineLevel="1">
      <c r="A264" s="670" t="s">
        <v>3225</v>
      </c>
      <c r="B264" s="336" t="s">
        <v>243</v>
      </c>
      <c r="C264" s="657" t="s">
        <v>192</v>
      </c>
      <c r="D264" s="483">
        <f t="shared" ref="D264:O264" si="169">IFERROR(IF($B264="FRANQUEADORA",(0.2+0.058+0.01+0.005)*(AVERAGE($D6:D6)),0),"")</f>
        <v>0</v>
      </c>
      <c r="E264" s="483">
        <f t="shared" si="169"/>
        <v>0</v>
      </c>
      <c r="F264" s="483">
        <f t="shared" si="169"/>
        <v>0</v>
      </c>
      <c r="G264" s="483">
        <f t="shared" si="169"/>
        <v>0</v>
      </c>
      <c r="H264" s="483">
        <f t="shared" si="169"/>
        <v>0</v>
      </c>
      <c r="I264" s="483">
        <f t="shared" si="169"/>
        <v>0</v>
      </c>
      <c r="J264" s="483">
        <f t="shared" si="169"/>
        <v>0</v>
      </c>
      <c r="K264" s="483">
        <f t="shared" si="169"/>
        <v>0</v>
      </c>
      <c r="L264" s="483">
        <f t="shared" si="169"/>
        <v>0</v>
      </c>
      <c r="M264" s="483">
        <f t="shared" si="169"/>
        <v>0</v>
      </c>
      <c r="N264" s="483">
        <f t="shared" si="169"/>
        <v>0</v>
      </c>
      <c r="O264" s="483">
        <f t="shared" si="169"/>
        <v>0</v>
      </c>
      <c r="P264" s="674">
        <f t="shared" si="168"/>
        <v>0</v>
      </c>
    </row>
    <row r="265" spans="1:16" hidden="1" outlineLevel="1">
      <c r="A265" s="670" t="s">
        <v>3226</v>
      </c>
      <c r="B265" s="336" t="s">
        <v>3227</v>
      </c>
      <c r="C265" s="657" t="s">
        <v>192</v>
      </c>
      <c r="D265" s="483">
        <f t="shared" ref="D265:O265" si="170">IFERROR(IF($B265="FRANQUEADORA",(0.2+0.058+0.01+0.005)*(AVERAGE($D7:D7)),0),"")</f>
        <v>677.10279000000003</v>
      </c>
      <c r="E265" s="483">
        <f t="shared" si="170"/>
        <v>677.10279000000003</v>
      </c>
      <c r="F265" s="483">
        <f t="shared" si="170"/>
        <v>677.10279000000003</v>
      </c>
      <c r="G265" s="483">
        <f t="shared" si="170"/>
        <v>677.10279000000003</v>
      </c>
      <c r="H265" s="483">
        <f t="shared" si="170"/>
        <v>677.10279000000003</v>
      </c>
      <c r="I265" s="483">
        <f t="shared" si="170"/>
        <v>677.10279000000003</v>
      </c>
      <c r="J265" s="483">
        <f t="shared" si="170"/>
        <v>677.10279000000003</v>
      </c>
      <c r="K265" s="483">
        <f t="shared" si="170"/>
        <v>677.10279000000003</v>
      </c>
      <c r="L265" s="483">
        <f t="shared" si="170"/>
        <v>677.10279000000003</v>
      </c>
      <c r="M265" s="483">
        <f t="shared" si="170"/>
        <v>677.10279000000003</v>
      </c>
      <c r="N265" s="483">
        <f t="shared" si="170"/>
        <v>677.10279000000003</v>
      </c>
      <c r="O265" s="483">
        <f t="shared" si="170"/>
        <v>677.10279000000003</v>
      </c>
      <c r="P265" s="674">
        <f t="shared" si="168"/>
        <v>8125.2334799999999</v>
      </c>
    </row>
    <row r="266" spans="1:16" hidden="1" outlineLevel="1">
      <c r="A266" s="670" t="s">
        <v>3228</v>
      </c>
      <c r="B266" s="336" t="s">
        <v>243</v>
      </c>
      <c r="C266" s="657" t="s">
        <v>192</v>
      </c>
      <c r="D266" s="483">
        <f t="shared" ref="D266:O266" si="171">IFERROR(IF($B266="FRANQUEADORA",(0.2+0.058+0.01+0.005)*(AVERAGE($D8:D8)),0),"")</f>
        <v>0</v>
      </c>
      <c r="E266" s="483">
        <f t="shared" si="171"/>
        <v>0</v>
      </c>
      <c r="F266" s="483">
        <f t="shared" si="171"/>
        <v>0</v>
      </c>
      <c r="G266" s="483">
        <f t="shared" si="171"/>
        <v>0</v>
      </c>
      <c r="H266" s="483">
        <f t="shared" si="171"/>
        <v>0</v>
      </c>
      <c r="I266" s="483">
        <f t="shared" si="171"/>
        <v>0</v>
      </c>
      <c r="J266" s="483">
        <f t="shared" si="171"/>
        <v>0</v>
      </c>
      <c r="K266" s="483">
        <f t="shared" si="171"/>
        <v>0</v>
      </c>
      <c r="L266" s="483">
        <f t="shared" si="171"/>
        <v>0</v>
      </c>
      <c r="M266" s="483">
        <f t="shared" si="171"/>
        <v>0</v>
      </c>
      <c r="N266" s="483">
        <f t="shared" si="171"/>
        <v>0</v>
      </c>
      <c r="O266" s="483">
        <f t="shared" si="171"/>
        <v>0</v>
      </c>
      <c r="P266" s="674">
        <f t="shared" si="168"/>
        <v>0</v>
      </c>
    </row>
    <row r="267" spans="1:16" hidden="1" outlineLevel="1">
      <c r="A267" s="679" t="s">
        <v>3229</v>
      </c>
      <c r="B267" s="336" t="s">
        <v>243</v>
      </c>
      <c r="C267" s="657" t="s">
        <v>192</v>
      </c>
      <c r="D267" s="483">
        <f t="shared" ref="D267:G267" si="172">IFERROR(IF($B267="FRANQUEADORA",(0.2+0.058+0.01+0.005)*(AVERAGE($D9:D9)),0),"")</f>
        <v>0</v>
      </c>
      <c r="E267" s="483">
        <f t="shared" si="172"/>
        <v>0</v>
      </c>
      <c r="F267" s="483">
        <f t="shared" si="172"/>
        <v>0</v>
      </c>
      <c r="G267" s="483">
        <f t="shared" si="172"/>
        <v>0</v>
      </c>
      <c r="H267" s="483"/>
      <c r="I267" s="483"/>
      <c r="J267" s="483"/>
      <c r="K267" s="483"/>
      <c r="L267" s="483"/>
      <c r="M267" s="483"/>
      <c r="N267" s="483"/>
      <c r="O267" s="483"/>
      <c r="P267" s="674">
        <f t="shared" si="168"/>
        <v>0</v>
      </c>
    </row>
    <row r="268" spans="1:16" hidden="1" outlineLevel="1">
      <c r="A268" s="670" t="s">
        <v>3230</v>
      </c>
      <c r="B268" s="336" t="s">
        <v>243</v>
      </c>
      <c r="C268" s="657" t="s">
        <v>192</v>
      </c>
      <c r="D268" s="483">
        <f t="shared" ref="D268:O268" si="173">IFERROR(IF($B268="FRANQUEADORA",(0.2+0.058+0.01+0.005)*(AVERAGE($D10:D10)),0),"")</f>
        <v>0</v>
      </c>
      <c r="E268" s="483">
        <f t="shared" si="173"/>
        <v>0</v>
      </c>
      <c r="F268" s="483">
        <f t="shared" si="173"/>
        <v>0</v>
      </c>
      <c r="G268" s="483">
        <f t="shared" si="173"/>
        <v>0</v>
      </c>
      <c r="H268" s="483">
        <f t="shared" si="173"/>
        <v>0</v>
      </c>
      <c r="I268" s="483">
        <f t="shared" si="173"/>
        <v>0</v>
      </c>
      <c r="J268" s="483">
        <f t="shared" si="173"/>
        <v>0</v>
      </c>
      <c r="K268" s="483">
        <f t="shared" si="173"/>
        <v>0</v>
      </c>
      <c r="L268" s="483">
        <f t="shared" si="173"/>
        <v>0</v>
      </c>
      <c r="M268" s="483">
        <f t="shared" si="173"/>
        <v>0</v>
      </c>
      <c r="N268" s="483">
        <f t="shared" si="173"/>
        <v>0</v>
      </c>
      <c r="O268" s="483">
        <f t="shared" si="173"/>
        <v>0</v>
      </c>
      <c r="P268" s="674">
        <f t="shared" si="168"/>
        <v>0</v>
      </c>
    </row>
    <row r="269" spans="1:16" hidden="1" outlineLevel="1">
      <c r="A269" s="670" t="s">
        <v>3231</v>
      </c>
      <c r="B269" s="336" t="s">
        <v>243</v>
      </c>
      <c r="C269" s="657" t="s">
        <v>192</v>
      </c>
      <c r="D269" s="483">
        <f t="shared" ref="D269:O269" si="174">IFERROR(IF($B269="FRANQUEADORA",(0.2+0.058+0.01+0.005)*(AVERAGE($D11:D11)),0),"")</f>
        <v>0</v>
      </c>
      <c r="E269" s="483">
        <f t="shared" si="174"/>
        <v>0</v>
      </c>
      <c r="F269" s="483">
        <f t="shared" si="174"/>
        <v>0</v>
      </c>
      <c r="G269" s="483">
        <f t="shared" si="174"/>
        <v>0</v>
      </c>
      <c r="H269" s="483">
        <f t="shared" si="174"/>
        <v>0</v>
      </c>
      <c r="I269" s="483">
        <f t="shared" si="174"/>
        <v>0</v>
      </c>
      <c r="J269" s="483">
        <f t="shared" si="174"/>
        <v>0</v>
      </c>
      <c r="K269" s="483">
        <f t="shared" si="174"/>
        <v>0</v>
      </c>
      <c r="L269" s="483">
        <f t="shared" si="174"/>
        <v>0</v>
      </c>
      <c r="M269" s="483">
        <f t="shared" si="174"/>
        <v>0</v>
      </c>
      <c r="N269" s="483">
        <f t="shared" si="174"/>
        <v>0</v>
      </c>
      <c r="O269" s="483">
        <f t="shared" si="174"/>
        <v>0</v>
      </c>
      <c r="P269" s="674">
        <f t="shared" si="168"/>
        <v>0</v>
      </c>
    </row>
    <row r="270" spans="1:16" hidden="1" outlineLevel="1">
      <c r="A270" s="670" t="s">
        <v>3232</v>
      </c>
      <c r="B270" s="336" t="s">
        <v>243</v>
      </c>
      <c r="C270" s="657" t="s">
        <v>192</v>
      </c>
      <c r="D270" s="483">
        <f t="shared" ref="D270:O270" si="175">IFERROR(IF($B270="FRANQUEADORA",(0.2+0.058+0.01+0.005)*(AVERAGE($D12:D12)),0),"")</f>
        <v>0</v>
      </c>
      <c r="E270" s="483">
        <f t="shared" si="175"/>
        <v>0</v>
      </c>
      <c r="F270" s="483">
        <f t="shared" si="175"/>
        <v>0</v>
      </c>
      <c r="G270" s="483">
        <f t="shared" si="175"/>
        <v>0</v>
      </c>
      <c r="H270" s="483">
        <f t="shared" si="175"/>
        <v>0</v>
      </c>
      <c r="I270" s="483">
        <f t="shared" si="175"/>
        <v>0</v>
      </c>
      <c r="J270" s="483">
        <f t="shared" si="175"/>
        <v>0</v>
      </c>
      <c r="K270" s="483">
        <f t="shared" si="175"/>
        <v>0</v>
      </c>
      <c r="L270" s="483">
        <f t="shared" si="175"/>
        <v>0</v>
      </c>
      <c r="M270" s="483">
        <f t="shared" si="175"/>
        <v>0</v>
      </c>
      <c r="N270" s="483">
        <f t="shared" si="175"/>
        <v>0</v>
      </c>
      <c r="O270" s="483">
        <f t="shared" si="175"/>
        <v>0</v>
      </c>
      <c r="P270" s="674">
        <f t="shared" si="168"/>
        <v>0</v>
      </c>
    </row>
    <row r="271" spans="1:16" hidden="1" outlineLevel="1">
      <c r="A271" s="670" t="s">
        <v>190</v>
      </c>
      <c r="B271" s="336" t="s">
        <v>243</v>
      </c>
      <c r="C271" s="657" t="s">
        <v>192</v>
      </c>
      <c r="D271" s="483">
        <f t="shared" ref="D271:O271" si="176">IFERROR(IF($B271="FRANQUEADORA",(0.2+0.058+0.01+0.005)*(AVERAGE($D13:D13)),0),"")</f>
        <v>0</v>
      </c>
      <c r="E271" s="483">
        <f t="shared" si="176"/>
        <v>0</v>
      </c>
      <c r="F271" s="483">
        <f t="shared" si="176"/>
        <v>0</v>
      </c>
      <c r="G271" s="483">
        <f t="shared" si="176"/>
        <v>0</v>
      </c>
      <c r="H271" s="483">
        <f t="shared" si="176"/>
        <v>0</v>
      </c>
      <c r="I271" s="483">
        <f t="shared" si="176"/>
        <v>0</v>
      </c>
      <c r="J271" s="483">
        <f t="shared" si="176"/>
        <v>0</v>
      </c>
      <c r="K271" s="483">
        <f t="shared" si="176"/>
        <v>0</v>
      </c>
      <c r="L271" s="483">
        <f t="shared" si="176"/>
        <v>0</v>
      </c>
      <c r="M271" s="483">
        <f t="shared" si="176"/>
        <v>0</v>
      </c>
      <c r="N271" s="483">
        <f t="shared" si="176"/>
        <v>0</v>
      </c>
      <c r="O271" s="483">
        <f t="shared" si="176"/>
        <v>0</v>
      </c>
      <c r="P271" s="674">
        <f t="shared" si="168"/>
        <v>0</v>
      </c>
    </row>
    <row r="272" spans="1:16" hidden="1" outlineLevel="1">
      <c r="A272" s="670" t="s">
        <v>3233</v>
      </c>
      <c r="B272" s="336" t="s">
        <v>243</v>
      </c>
      <c r="C272" s="657" t="s">
        <v>192</v>
      </c>
      <c r="D272" s="483">
        <f t="shared" ref="D272:O272" si="177">IFERROR(IF($B272="FRANQUEADORA",(0.2+0.058+0.01+0.005)*(AVERAGE($D14:D14)),0),"")</f>
        <v>0</v>
      </c>
      <c r="E272" s="483">
        <f t="shared" si="177"/>
        <v>0</v>
      </c>
      <c r="F272" s="483">
        <f t="shared" si="177"/>
        <v>0</v>
      </c>
      <c r="G272" s="483">
        <f t="shared" si="177"/>
        <v>0</v>
      </c>
      <c r="H272" s="483">
        <f t="shared" si="177"/>
        <v>0</v>
      </c>
      <c r="I272" s="483">
        <f t="shared" si="177"/>
        <v>0</v>
      </c>
      <c r="J272" s="483">
        <f t="shared" si="177"/>
        <v>0</v>
      </c>
      <c r="K272" s="483">
        <f t="shared" si="177"/>
        <v>0</v>
      </c>
      <c r="L272" s="483">
        <f t="shared" si="177"/>
        <v>0</v>
      </c>
      <c r="M272" s="483">
        <f t="shared" si="177"/>
        <v>0</v>
      </c>
      <c r="N272" s="483">
        <f t="shared" si="177"/>
        <v>0</v>
      </c>
      <c r="O272" s="483">
        <f t="shared" si="177"/>
        <v>0</v>
      </c>
      <c r="P272" s="674">
        <f t="shared" si="168"/>
        <v>0</v>
      </c>
    </row>
    <row r="273" spans="1:16" hidden="1" outlineLevel="1">
      <c r="A273" s="670" t="s">
        <v>224</v>
      </c>
      <c r="B273" s="336" t="s">
        <v>243</v>
      </c>
      <c r="C273" s="657" t="s">
        <v>192</v>
      </c>
      <c r="D273" s="483">
        <f t="shared" ref="D273:O273" si="178">IFERROR(IF($B273="FRANQUEADORA",(0.2+0.058+0.01+0.005)*(AVERAGE($D15:D15)),0),"")</f>
        <v>0</v>
      </c>
      <c r="E273" s="483">
        <f t="shared" si="178"/>
        <v>0</v>
      </c>
      <c r="F273" s="483">
        <f t="shared" si="178"/>
        <v>0</v>
      </c>
      <c r="G273" s="483">
        <f t="shared" si="178"/>
        <v>0</v>
      </c>
      <c r="H273" s="483">
        <f t="shared" si="178"/>
        <v>0</v>
      </c>
      <c r="I273" s="483">
        <f t="shared" si="178"/>
        <v>0</v>
      </c>
      <c r="J273" s="483">
        <f t="shared" si="178"/>
        <v>0</v>
      </c>
      <c r="K273" s="483">
        <f t="shared" si="178"/>
        <v>0</v>
      </c>
      <c r="L273" s="483">
        <f t="shared" si="178"/>
        <v>0</v>
      </c>
      <c r="M273" s="483">
        <f t="shared" si="178"/>
        <v>0</v>
      </c>
      <c r="N273" s="483">
        <f t="shared" si="178"/>
        <v>0</v>
      </c>
      <c r="O273" s="483">
        <f t="shared" si="178"/>
        <v>0</v>
      </c>
      <c r="P273" s="674">
        <f t="shared" si="168"/>
        <v>0</v>
      </c>
    </row>
    <row r="274" spans="1:16" hidden="1" outlineLevel="1">
      <c r="A274" s="670" t="s">
        <v>3234</v>
      </c>
      <c r="B274" s="336" t="s">
        <v>243</v>
      </c>
      <c r="C274" s="657" t="s">
        <v>3235</v>
      </c>
      <c r="D274" s="483">
        <f t="shared" ref="D274:O274" si="179">IFERROR(IF($B274="FRANQUEADORA",(0.2+0.058+0.01+0.005)*(AVERAGE($D16:D16)),0),"")</f>
        <v>0</v>
      </c>
      <c r="E274" s="483">
        <f t="shared" si="179"/>
        <v>0</v>
      </c>
      <c r="F274" s="483">
        <f t="shared" si="179"/>
        <v>0</v>
      </c>
      <c r="G274" s="483">
        <f t="shared" si="179"/>
        <v>0</v>
      </c>
      <c r="H274" s="483">
        <f t="shared" si="179"/>
        <v>0</v>
      </c>
      <c r="I274" s="483">
        <f t="shared" si="179"/>
        <v>0</v>
      </c>
      <c r="J274" s="483">
        <f t="shared" si="179"/>
        <v>0</v>
      </c>
      <c r="K274" s="483">
        <f t="shared" si="179"/>
        <v>0</v>
      </c>
      <c r="L274" s="483">
        <f t="shared" si="179"/>
        <v>0</v>
      </c>
      <c r="M274" s="483">
        <f t="shared" si="179"/>
        <v>0</v>
      </c>
      <c r="N274" s="483">
        <f t="shared" si="179"/>
        <v>0</v>
      </c>
      <c r="O274" s="483">
        <f t="shared" si="179"/>
        <v>0</v>
      </c>
      <c r="P274" s="674">
        <f t="shared" si="168"/>
        <v>0</v>
      </c>
    </row>
    <row r="275" spans="1:16" hidden="1" outlineLevel="1">
      <c r="A275" s="679" t="s">
        <v>3236</v>
      </c>
      <c r="B275" s="336" t="s">
        <v>3227</v>
      </c>
      <c r="C275" s="657" t="s">
        <v>3235</v>
      </c>
      <c r="D275" s="699"/>
      <c r="E275" s="699"/>
      <c r="F275" s="699"/>
      <c r="G275" s="699"/>
      <c r="H275" s="699"/>
      <c r="I275" s="699"/>
      <c r="J275" s="699"/>
      <c r="K275" s="699"/>
      <c r="L275" s="699"/>
      <c r="M275" s="699"/>
      <c r="N275" s="699"/>
      <c r="O275" s="699"/>
      <c r="P275" s="674">
        <f t="shared" si="168"/>
        <v>0</v>
      </c>
    </row>
    <row r="276" spans="1:16" hidden="1" outlineLevel="1">
      <c r="A276" s="670" t="s">
        <v>3237</v>
      </c>
      <c r="B276" s="336" t="s">
        <v>243</v>
      </c>
      <c r="C276" s="657" t="s">
        <v>3235</v>
      </c>
      <c r="D276" s="483">
        <f t="shared" ref="D276:O276" si="180">IFERROR(IF($B276="FRANQUEADORA",(0.2+0.058+0.01+0.005)*(AVERAGE($D18:D18)),0),"")</f>
        <v>0</v>
      </c>
      <c r="E276" s="483">
        <f t="shared" si="180"/>
        <v>0</v>
      </c>
      <c r="F276" s="483">
        <f t="shared" si="180"/>
        <v>0</v>
      </c>
      <c r="G276" s="483">
        <f t="shared" si="180"/>
        <v>0</v>
      </c>
      <c r="H276" s="483">
        <f t="shared" si="180"/>
        <v>0</v>
      </c>
      <c r="I276" s="483">
        <f t="shared" si="180"/>
        <v>0</v>
      </c>
      <c r="J276" s="483">
        <f t="shared" si="180"/>
        <v>0</v>
      </c>
      <c r="K276" s="483">
        <f t="shared" si="180"/>
        <v>0</v>
      </c>
      <c r="L276" s="483">
        <f t="shared" si="180"/>
        <v>0</v>
      </c>
      <c r="M276" s="483">
        <f t="shared" si="180"/>
        <v>0</v>
      </c>
      <c r="N276" s="483">
        <f t="shared" si="180"/>
        <v>0</v>
      </c>
      <c r="O276" s="483">
        <f t="shared" si="180"/>
        <v>0</v>
      </c>
      <c r="P276" s="674">
        <f t="shared" si="168"/>
        <v>0</v>
      </c>
    </row>
    <row r="277" spans="1:16" hidden="1" outlineLevel="1">
      <c r="A277" s="682" t="s">
        <v>3238</v>
      </c>
      <c r="B277" s="336" t="s">
        <v>3227</v>
      </c>
      <c r="C277" s="657" t="s">
        <v>3235</v>
      </c>
      <c r="D277" s="699"/>
      <c r="E277" s="699"/>
      <c r="F277" s="699"/>
      <c r="G277" s="699"/>
      <c r="H277" s="699"/>
      <c r="I277" s="699"/>
      <c r="J277" s="699"/>
      <c r="K277" s="699"/>
      <c r="L277" s="699"/>
      <c r="M277" s="699"/>
      <c r="N277" s="699"/>
      <c r="O277" s="699"/>
      <c r="P277" s="674">
        <f t="shared" si="168"/>
        <v>0</v>
      </c>
    </row>
    <row r="278" spans="1:16" hidden="1" outlineLevel="1">
      <c r="A278" s="670" t="s">
        <v>3239</v>
      </c>
      <c r="B278" s="336" t="s">
        <v>243</v>
      </c>
      <c r="C278" s="657" t="s">
        <v>3235</v>
      </c>
      <c r="D278" s="483">
        <f t="shared" ref="D278:O278" si="181">IFERROR(IF($B278="FRANQUEADORA",(0.2+0.058+0.01+0.005)*(AVERAGE($D20:D20)),0),"")</f>
        <v>0</v>
      </c>
      <c r="E278" s="483">
        <f t="shared" si="181"/>
        <v>0</v>
      </c>
      <c r="F278" s="483">
        <f t="shared" si="181"/>
        <v>0</v>
      </c>
      <c r="G278" s="483">
        <f t="shared" si="181"/>
        <v>0</v>
      </c>
      <c r="H278" s="483">
        <f t="shared" si="181"/>
        <v>0</v>
      </c>
      <c r="I278" s="483">
        <f t="shared" si="181"/>
        <v>0</v>
      </c>
      <c r="J278" s="483">
        <f t="shared" si="181"/>
        <v>0</v>
      </c>
      <c r="K278" s="483">
        <f t="shared" si="181"/>
        <v>0</v>
      </c>
      <c r="L278" s="483">
        <f t="shared" si="181"/>
        <v>0</v>
      </c>
      <c r="M278" s="483">
        <f t="shared" si="181"/>
        <v>0</v>
      </c>
      <c r="N278" s="483">
        <f t="shared" si="181"/>
        <v>0</v>
      </c>
      <c r="O278" s="483">
        <f t="shared" si="181"/>
        <v>0</v>
      </c>
      <c r="P278" s="674">
        <f t="shared" si="168"/>
        <v>0</v>
      </c>
    </row>
    <row r="279" spans="1:16" hidden="1" outlineLevel="1">
      <c r="A279" s="682" t="s">
        <v>3240</v>
      </c>
      <c r="B279" s="336" t="s">
        <v>3227</v>
      </c>
      <c r="C279" s="657" t="s">
        <v>3235</v>
      </c>
      <c r="D279" s="699"/>
      <c r="E279" s="699"/>
      <c r="F279" s="699"/>
      <c r="G279" s="699"/>
      <c r="H279" s="699"/>
      <c r="I279" s="699"/>
      <c r="J279" s="699"/>
      <c r="K279" s="699"/>
      <c r="L279" s="699"/>
      <c r="M279" s="699"/>
      <c r="N279" s="699"/>
      <c r="O279" s="699"/>
      <c r="P279" s="674">
        <f t="shared" si="168"/>
        <v>0</v>
      </c>
    </row>
    <row r="280" spans="1:16" hidden="1" outlineLevel="1">
      <c r="A280" s="682" t="s">
        <v>3241</v>
      </c>
      <c r="B280" s="336" t="s">
        <v>3227</v>
      </c>
      <c r="C280" s="657" t="s">
        <v>3235</v>
      </c>
      <c r="D280" s="699"/>
      <c r="E280" s="699"/>
      <c r="F280" s="699"/>
      <c r="G280" s="699"/>
      <c r="H280" s="699"/>
      <c r="I280" s="699"/>
      <c r="J280" s="699"/>
      <c r="K280" s="699"/>
      <c r="L280" s="699"/>
      <c r="M280" s="699"/>
      <c r="N280" s="699"/>
      <c r="O280" s="699"/>
      <c r="P280" s="674">
        <f t="shared" si="168"/>
        <v>0</v>
      </c>
    </row>
    <row r="281" spans="1:16" hidden="1" outlineLevel="1">
      <c r="A281" s="682" t="s">
        <v>3242</v>
      </c>
      <c r="B281" s="336" t="s">
        <v>3227</v>
      </c>
      <c r="C281" s="657" t="s">
        <v>3235</v>
      </c>
      <c r="D281" s="699"/>
      <c r="E281" s="699"/>
      <c r="F281" s="699"/>
      <c r="G281" s="699"/>
      <c r="H281" s="699"/>
      <c r="I281" s="699"/>
      <c r="J281" s="699"/>
      <c r="K281" s="699"/>
      <c r="L281" s="699"/>
      <c r="M281" s="699"/>
      <c r="N281" s="699"/>
      <c r="O281" s="699"/>
      <c r="P281" s="674">
        <f t="shared" si="168"/>
        <v>0</v>
      </c>
    </row>
    <row r="282" spans="1:16" hidden="1" outlineLevel="1">
      <c r="A282" s="683" t="s">
        <v>3243</v>
      </c>
      <c r="B282" s="336" t="s">
        <v>243</v>
      </c>
      <c r="C282" s="657" t="s">
        <v>3235</v>
      </c>
      <c r="D282" s="483">
        <f t="shared" ref="D282:O282" si="182">IFERROR(IF($B282="FRANQUEADORA",(0.2+0.058+0.01+0.005)*(AVERAGE($D24:D24)),0),"")</f>
        <v>0</v>
      </c>
      <c r="E282" s="483">
        <f t="shared" si="182"/>
        <v>0</v>
      </c>
      <c r="F282" s="483">
        <f t="shared" si="182"/>
        <v>0</v>
      </c>
      <c r="G282" s="483">
        <f t="shared" si="182"/>
        <v>0</v>
      </c>
      <c r="H282" s="483">
        <f t="shared" si="182"/>
        <v>0</v>
      </c>
      <c r="I282" s="483">
        <f t="shared" si="182"/>
        <v>0</v>
      </c>
      <c r="J282" s="483">
        <f t="shared" si="182"/>
        <v>0</v>
      </c>
      <c r="K282" s="483">
        <f t="shared" si="182"/>
        <v>0</v>
      </c>
      <c r="L282" s="483">
        <f t="shared" si="182"/>
        <v>0</v>
      </c>
      <c r="M282" s="483">
        <f t="shared" si="182"/>
        <v>0</v>
      </c>
      <c r="N282" s="483">
        <f t="shared" si="182"/>
        <v>0</v>
      </c>
      <c r="O282" s="483">
        <f t="shared" si="182"/>
        <v>0</v>
      </c>
      <c r="P282" s="674">
        <f t="shared" si="168"/>
        <v>0</v>
      </c>
    </row>
    <row r="283" spans="1:16" hidden="1" outlineLevel="1">
      <c r="A283" s="670" t="s">
        <v>3244</v>
      </c>
      <c r="B283" s="336" t="s">
        <v>3227</v>
      </c>
      <c r="C283" s="657" t="s">
        <v>476</v>
      </c>
      <c r="D283" s="483">
        <f t="shared" ref="D283:O283" si="183">IFERROR(IF($B283="FRANQUEADORA",(0.2+0.058+0.01+0.005)*(AVERAGE($D25:D25)),0),"")</f>
        <v>999.9307500000001</v>
      </c>
      <c r="E283" s="483">
        <f t="shared" si="183"/>
        <v>999.9307500000001</v>
      </c>
      <c r="F283" s="483">
        <f t="shared" si="183"/>
        <v>999.9307500000001</v>
      </c>
      <c r="G283" s="483">
        <f t="shared" si="183"/>
        <v>999.9307500000001</v>
      </c>
      <c r="H283" s="483">
        <f t="shared" si="183"/>
        <v>999.9307500000001</v>
      </c>
      <c r="I283" s="483">
        <f t="shared" si="183"/>
        <v>999.9307500000001</v>
      </c>
      <c r="J283" s="483">
        <f t="shared" si="183"/>
        <v>999.9307500000001</v>
      </c>
      <c r="K283" s="483">
        <f t="shared" si="183"/>
        <v>999.9307500000001</v>
      </c>
      <c r="L283" s="483">
        <f t="shared" si="183"/>
        <v>999.9307500000001</v>
      </c>
      <c r="M283" s="483">
        <f t="shared" si="183"/>
        <v>999.9307500000001</v>
      </c>
      <c r="N283" s="483">
        <f t="shared" si="183"/>
        <v>999.9307500000001</v>
      </c>
      <c r="O283" s="483">
        <f t="shared" si="183"/>
        <v>999.9307500000001</v>
      </c>
      <c r="P283" s="674">
        <f t="shared" si="168"/>
        <v>11999.169</v>
      </c>
    </row>
    <row r="284" spans="1:16" hidden="1" outlineLevel="1">
      <c r="A284" s="670" t="s">
        <v>3245</v>
      </c>
      <c r="B284" s="336" t="s">
        <v>3227</v>
      </c>
      <c r="C284" s="657" t="s">
        <v>476</v>
      </c>
      <c r="D284" s="483">
        <f t="shared" ref="D284:O284" si="184">IFERROR(IF($B284="FRANQUEADORA",(0.2+0.058+0.01+0.005)*(AVERAGE($D26:D26)),0),"")</f>
        <v>1574.29818</v>
      </c>
      <c r="E284" s="483">
        <f t="shared" si="184"/>
        <v>1574.29818</v>
      </c>
      <c r="F284" s="483">
        <f t="shared" si="184"/>
        <v>1574.29818</v>
      </c>
      <c r="G284" s="483">
        <f t="shared" si="184"/>
        <v>1574.29818</v>
      </c>
      <c r="H284" s="483">
        <f t="shared" si="184"/>
        <v>1574.29818</v>
      </c>
      <c r="I284" s="483">
        <f t="shared" si="184"/>
        <v>1574.29818</v>
      </c>
      <c r="J284" s="483">
        <f t="shared" si="184"/>
        <v>1574.2981799999998</v>
      </c>
      <c r="K284" s="483">
        <f t="shared" si="184"/>
        <v>1574.29818</v>
      </c>
      <c r="L284" s="483">
        <f t="shared" si="184"/>
        <v>1574.29818</v>
      </c>
      <c r="M284" s="483">
        <f t="shared" si="184"/>
        <v>1574.29818</v>
      </c>
      <c r="N284" s="483">
        <f t="shared" si="184"/>
        <v>1574.29818</v>
      </c>
      <c r="O284" s="483">
        <f t="shared" si="184"/>
        <v>1574.29818</v>
      </c>
      <c r="P284" s="674">
        <f t="shared" si="168"/>
        <v>18891.578160000001</v>
      </c>
    </row>
    <row r="285" spans="1:16" hidden="1" outlineLevel="1">
      <c r="A285" s="670" t="s">
        <v>3246</v>
      </c>
      <c r="B285" s="336" t="s">
        <v>3227</v>
      </c>
      <c r="C285" s="657" t="s">
        <v>476</v>
      </c>
      <c r="D285" s="483">
        <f t="shared" ref="D285:O285" si="185">IFERROR(IF($B285="FRANQUEADORA",(0.2+0.058+0.01+0.005)*(AVERAGE($D27:D27)),0),"")</f>
        <v>1049.5321200000001</v>
      </c>
      <c r="E285" s="483">
        <f t="shared" si="185"/>
        <v>1049.5321200000001</v>
      </c>
      <c r="F285" s="483">
        <f t="shared" si="185"/>
        <v>1049.5321200000001</v>
      </c>
      <c r="G285" s="483">
        <f t="shared" si="185"/>
        <v>1049.5321200000001</v>
      </c>
      <c r="H285" s="483">
        <f t="shared" si="185"/>
        <v>1049.5321200000001</v>
      </c>
      <c r="I285" s="483">
        <f t="shared" si="185"/>
        <v>1049.5321200000001</v>
      </c>
      <c r="J285" s="483">
        <f t="shared" si="185"/>
        <v>1049.5321200000001</v>
      </c>
      <c r="K285" s="483">
        <f t="shared" si="185"/>
        <v>1049.5321200000001</v>
      </c>
      <c r="L285" s="483">
        <f t="shared" si="185"/>
        <v>1049.5321200000001</v>
      </c>
      <c r="M285" s="483">
        <f t="shared" si="185"/>
        <v>1049.5321200000001</v>
      </c>
      <c r="N285" s="483">
        <f t="shared" si="185"/>
        <v>1049.5321200000001</v>
      </c>
      <c r="O285" s="483">
        <f t="shared" si="185"/>
        <v>1049.5321200000001</v>
      </c>
      <c r="P285" s="674">
        <f t="shared" si="168"/>
        <v>12594.38544</v>
      </c>
    </row>
    <row r="286" spans="1:16" hidden="1" outlineLevel="1">
      <c r="A286" s="670" t="s">
        <v>3247</v>
      </c>
      <c r="B286" s="336" t="s">
        <v>3227</v>
      </c>
      <c r="C286" s="657" t="s">
        <v>476</v>
      </c>
      <c r="D286" s="483">
        <f t="shared" ref="D286:O286" si="186">IFERROR(IF($B286="FRANQUEADORA",(0.2+0.058+0.01+0.005)*(AVERAGE($D28:D28)),0),"")</f>
        <v>1399.37616</v>
      </c>
      <c r="E286" s="483">
        <f t="shared" si="186"/>
        <v>1399.37616</v>
      </c>
      <c r="F286" s="483">
        <f t="shared" si="186"/>
        <v>1399.37616</v>
      </c>
      <c r="G286" s="483">
        <f t="shared" si="186"/>
        <v>1399.37616</v>
      </c>
      <c r="H286" s="483">
        <f t="shared" si="186"/>
        <v>1399.37616</v>
      </c>
      <c r="I286" s="483">
        <f t="shared" si="186"/>
        <v>1399.3761599999998</v>
      </c>
      <c r="J286" s="483">
        <f t="shared" si="186"/>
        <v>1399.3761599999998</v>
      </c>
      <c r="K286" s="483">
        <f t="shared" si="186"/>
        <v>1399.3761599999998</v>
      </c>
      <c r="L286" s="483">
        <f t="shared" si="186"/>
        <v>1399.3761599999998</v>
      </c>
      <c r="M286" s="483">
        <f t="shared" si="186"/>
        <v>1399.3761599999998</v>
      </c>
      <c r="N286" s="483">
        <f t="shared" si="186"/>
        <v>1399.3761599999998</v>
      </c>
      <c r="O286" s="483">
        <f t="shared" si="186"/>
        <v>1399.3761599999998</v>
      </c>
      <c r="P286" s="674">
        <f t="shared" si="168"/>
        <v>16792.513919999998</v>
      </c>
    </row>
    <row r="287" spans="1:16" hidden="1" outlineLevel="1">
      <c r="A287" s="679" t="s">
        <v>3248</v>
      </c>
      <c r="B287" s="336" t="s">
        <v>3227</v>
      </c>
      <c r="C287" s="657" t="s">
        <v>476</v>
      </c>
      <c r="D287" s="483">
        <f t="shared" ref="D287:F287" si="187">IFERROR(IF($B287="FRANQUEADORA",(0.2+0.058+0.01+0.005)*(AVERAGE($D29:D29)),0),"")</f>
        <v>1311.91515</v>
      </c>
      <c r="E287" s="483">
        <f t="shared" si="187"/>
        <v>1311.91515</v>
      </c>
      <c r="F287" s="483">
        <f t="shared" si="187"/>
        <v>1311.91515</v>
      </c>
      <c r="G287" s="483"/>
      <c r="H287" s="483"/>
      <c r="I287" s="483"/>
      <c r="J287" s="483"/>
      <c r="K287" s="483"/>
      <c r="L287" s="483"/>
      <c r="M287" s="483"/>
      <c r="N287" s="483"/>
      <c r="O287" s="483"/>
      <c r="P287" s="674">
        <f t="shared" si="168"/>
        <v>3935.7454500000003</v>
      </c>
    </row>
    <row r="288" spans="1:16" hidden="1" outlineLevel="1">
      <c r="A288" s="679" t="s">
        <v>3249</v>
      </c>
      <c r="B288" s="336" t="s">
        <v>3227</v>
      </c>
      <c r="C288" s="657" t="s">
        <v>476</v>
      </c>
      <c r="D288" s="483">
        <f t="shared" ref="D288:F288" si="188">IFERROR(IF($B288="FRANQUEADORA",(0.2+0.058+0.01+0.005)*(AVERAGE($D30:D30)),0),"")</f>
        <v>1014.1813500000001</v>
      </c>
      <c r="E288" s="483">
        <f t="shared" si="188"/>
        <v>1014.1813500000001</v>
      </c>
      <c r="F288" s="483">
        <f t="shared" si="188"/>
        <v>1014.18135</v>
      </c>
      <c r="G288" s="483"/>
      <c r="H288" s="483"/>
      <c r="I288" s="483"/>
      <c r="J288" s="483"/>
      <c r="K288" s="483"/>
      <c r="L288" s="483"/>
      <c r="M288" s="483"/>
      <c r="N288" s="483"/>
      <c r="O288" s="483"/>
      <c r="P288" s="674">
        <f t="shared" si="168"/>
        <v>3042.54405</v>
      </c>
    </row>
    <row r="289" spans="1:16" hidden="1" outlineLevel="1">
      <c r="A289" s="686" t="s">
        <v>3250</v>
      </c>
      <c r="B289" s="336" t="s">
        <v>3227</v>
      </c>
      <c r="C289" s="657" t="s">
        <v>476</v>
      </c>
      <c r="D289" s="483"/>
      <c r="E289" s="483"/>
      <c r="F289" s="483"/>
      <c r="G289" s="483"/>
      <c r="H289" s="483"/>
      <c r="I289" s="697">
        <f t="shared" ref="I289:O289" si="189">IFERROR(IF($B289="FRANQUEADORA",(0.2+0.058+0.01+0.005)*(AVERAGE($I31:I31)),0),"")</f>
        <v>1399.37616</v>
      </c>
      <c r="J289" s="483">
        <f t="shared" si="189"/>
        <v>1399.37616</v>
      </c>
      <c r="K289" s="483">
        <f t="shared" si="189"/>
        <v>1399.37616</v>
      </c>
      <c r="L289" s="483">
        <f t="shared" si="189"/>
        <v>1399.37616</v>
      </c>
      <c r="M289" s="483">
        <f t="shared" si="189"/>
        <v>1399.37616</v>
      </c>
      <c r="N289" s="483">
        <f t="shared" si="189"/>
        <v>1399.37616</v>
      </c>
      <c r="O289" s="483">
        <f t="shared" si="189"/>
        <v>1399.37616</v>
      </c>
      <c r="P289" s="674">
        <f t="shared" si="168"/>
        <v>9795.6331200000004</v>
      </c>
    </row>
    <row r="290" spans="1:16" hidden="1" outlineLevel="1">
      <c r="A290" s="686" t="s">
        <v>3251</v>
      </c>
      <c r="B290" s="336" t="s">
        <v>243</v>
      </c>
      <c r="C290" s="657" t="s">
        <v>476</v>
      </c>
      <c r="D290" s="483"/>
      <c r="E290" s="483"/>
      <c r="F290" s="483"/>
      <c r="G290" s="483"/>
      <c r="H290" s="483"/>
      <c r="I290" s="483"/>
      <c r="J290" s="697">
        <f t="shared" ref="J290:O290" si="190">IFERROR(IF($B290="FRANQUEADORA",(0.2+0.058+0.01+0.005)*(AVERAGE($J32:J32)),0),"")</f>
        <v>0</v>
      </c>
      <c r="K290" s="483">
        <f t="shared" si="190"/>
        <v>0</v>
      </c>
      <c r="L290" s="483">
        <f t="shared" si="190"/>
        <v>0</v>
      </c>
      <c r="M290" s="483">
        <f t="shared" si="190"/>
        <v>0</v>
      </c>
      <c r="N290" s="483">
        <f t="shared" si="190"/>
        <v>0</v>
      </c>
      <c r="O290" s="483">
        <f t="shared" si="190"/>
        <v>0</v>
      </c>
      <c r="P290" s="674">
        <f t="shared" si="168"/>
        <v>0</v>
      </c>
    </row>
    <row r="291" spans="1:16" hidden="1" outlineLevel="1">
      <c r="A291" s="670" t="s">
        <v>3252</v>
      </c>
      <c r="B291" s="336" t="s">
        <v>3227</v>
      </c>
      <c r="C291" s="657" t="s">
        <v>422</v>
      </c>
      <c r="D291" s="483">
        <f t="shared" ref="D291:O291" si="191">IFERROR(IF($B291="FRANQUEADORA",(0.2+0.058+0.01+0.005)*(AVERAGE($D33:D33)),0),"")</f>
        <v>929.07906000000003</v>
      </c>
      <c r="E291" s="483">
        <f t="shared" si="191"/>
        <v>929.07906000000003</v>
      </c>
      <c r="F291" s="483">
        <f t="shared" si="191"/>
        <v>929.07906000000003</v>
      </c>
      <c r="G291" s="483">
        <f t="shared" si="191"/>
        <v>929.07906000000003</v>
      </c>
      <c r="H291" s="483">
        <f t="shared" si="191"/>
        <v>929.07906000000003</v>
      </c>
      <c r="I291" s="483">
        <f t="shared" si="191"/>
        <v>948.43475999999987</v>
      </c>
      <c r="J291" s="483">
        <f t="shared" si="191"/>
        <v>962.26026000000002</v>
      </c>
      <c r="K291" s="483">
        <f t="shared" si="191"/>
        <v>972.62938499999996</v>
      </c>
      <c r="L291" s="483">
        <f t="shared" si="191"/>
        <v>972.62938499999996</v>
      </c>
      <c r="M291" s="483">
        <f t="shared" si="191"/>
        <v>972.62938499999996</v>
      </c>
      <c r="N291" s="483">
        <f t="shared" si="191"/>
        <v>972.62938499999996</v>
      </c>
      <c r="O291" s="483">
        <f t="shared" si="191"/>
        <v>972.62938499999996</v>
      </c>
      <c r="P291" s="674">
        <f t="shared" si="168"/>
        <v>11419.237245</v>
      </c>
    </row>
    <row r="292" spans="1:16" hidden="1" outlineLevel="1">
      <c r="A292" s="670" t="s">
        <v>3253</v>
      </c>
      <c r="B292" s="336" t="s">
        <v>3227</v>
      </c>
      <c r="C292" s="657" t="s">
        <v>422</v>
      </c>
      <c r="D292" s="483">
        <f t="shared" ref="D292:O292" si="192">IFERROR(IF($B292="FRANQUEADORA",(0.2+0.058+0.01+0.005)*(AVERAGE($D34:D34)),0),"")</f>
        <v>1107.0996300000002</v>
      </c>
      <c r="E292" s="483">
        <f t="shared" si="192"/>
        <v>1107.0996300000002</v>
      </c>
      <c r="F292" s="483">
        <f t="shared" si="192"/>
        <v>1107.0996300000002</v>
      </c>
      <c r="G292" s="483">
        <f t="shared" si="192"/>
        <v>1107.0996300000002</v>
      </c>
      <c r="H292" s="483">
        <f t="shared" si="192"/>
        <v>1107.0996300000002</v>
      </c>
      <c r="I292" s="483">
        <f t="shared" si="192"/>
        <v>1107.0996300000002</v>
      </c>
      <c r="J292" s="483">
        <f t="shared" si="192"/>
        <v>1107.0996300000002</v>
      </c>
      <c r="K292" s="483">
        <f t="shared" si="192"/>
        <v>1107.0996300000002</v>
      </c>
      <c r="L292" s="483">
        <f t="shared" si="192"/>
        <v>1107.0996300000002</v>
      </c>
      <c r="M292" s="483">
        <f t="shared" si="192"/>
        <v>1107.0996300000002</v>
      </c>
      <c r="N292" s="483">
        <f t="shared" si="192"/>
        <v>1107.0996300000002</v>
      </c>
      <c r="O292" s="483">
        <f t="shared" si="192"/>
        <v>1107.0996300000002</v>
      </c>
      <c r="P292" s="674">
        <f t="shared" si="168"/>
        <v>13285.195560000006</v>
      </c>
    </row>
    <row r="293" spans="1:16" hidden="1" outlineLevel="1">
      <c r="A293" s="679" t="s">
        <v>3254</v>
      </c>
      <c r="B293" s="336" t="s">
        <v>3227</v>
      </c>
      <c r="C293" s="657" t="s">
        <v>422</v>
      </c>
      <c r="D293" s="699"/>
      <c r="E293" s="699"/>
      <c r="F293" s="699"/>
      <c r="G293" s="699"/>
      <c r="H293" s="699"/>
      <c r="I293" s="699"/>
      <c r="J293" s="699"/>
      <c r="K293" s="699"/>
      <c r="L293" s="699"/>
      <c r="M293" s="699"/>
      <c r="N293" s="699"/>
      <c r="O293" s="699"/>
      <c r="P293" s="674">
        <f t="shared" si="168"/>
        <v>0</v>
      </c>
    </row>
    <row r="294" spans="1:16" hidden="1" outlineLevel="1">
      <c r="A294" s="686" t="s">
        <v>3255</v>
      </c>
      <c r="B294" s="336" t="s">
        <v>3227</v>
      </c>
      <c r="C294" s="657" t="s">
        <v>422</v>
      </c>
      <c r="D294" s="483">
        <f t="shared" ref="D294:O294" si="193">IFERROR(IF($B294="FRANQUEADORA",(0.2+0.058+0.01+0.005)*(AVERAGE($D36:D36)),0),"")</f>
        <v>0</v>
      </c>
      <c r="E294" s="483">
        <f t="shared" si="193"/>
        <v>0</v>
      </c>
      <c r="F294" s="483">
        <f t="shared" si="193"/>
        <v>0</v>
      </c>
      <c r="G294" s="483">
        <f t="shared" si="193"/>
        <v>0</v>
      </c>
      <c r="H294" s="483">
        <f t="shared" si="193"/>
        <v>0</v>
      </c>
      <c r="I294" s="483">
        <f t="shared" si="193"/>
        <v>0</v>
      </c>
      <c r="J294" s="483">
        <f t="shared" si="193"/>
        <v>0</v>
      </c>
      <c r="K294" s="483">
        <f t="shared" si="193"/>
        <v>0</v>
      </c>
      <c r="L294" s="483">
        <f t="shared" si="193"/>
        <v>0</v>
      </c>
      <c r="M294" s="483">
        <f t="shared" si="193"/>
        <v>0</v>
      </c>
      <c r="N294" s="483">
        <f t="shared" si="193"/>
        <v>0</v>
      </c>
      <c r="O294" s="483">
        <f t="shared" si="193"/>
        <v>0</v>
      </c>
      <c r="P294" s="674">
        <f t="shared" si="168"/>
        <v>0</v>
      </c>
    </row>
    <row r="295" spans="1:16" hidden="1" outlineLevel="1">
      <c r="A295" s="683" t="s">
        <v>2809</v>
      </c>
      <c r="B295" s="336" t="s">
        <v>3227</v>
      </c>
      <c r="C295" s="657" t="s">
        <v>422</v>
      </c>
      <c r="D295" s="483">
        <f t="shared" ref="D295:D309" si="194">IFERROR(IF($B295="FRANQUEADORA",(0.2+0.058+0.01+0.005)*(AVERAGE($D37:D37)),0),"")</f>
        <v>0</v>
      </c>
      <c r="E295" s="697">
        <f t="shared" ref="E295:O295" si="195">IFERROR(IF($B295="FRANQUEADORA",(0.2+0.058+0.01+0.005)*(AVERAGE($E37:E37)),0),"")</f>
        <v>1140.95436</v>
      </c>
      <c r="F295" s="483">
        <f t="shared" si="195"/>
        <v>1140.95436</v>
      </c>
      <c r="G295" s="483">
        <f t="shared" si="195"/>
        <v>1140.95436</v>
      </c>
      <c r="H295" s="483">
        <f t="shared" si="195"/>
        <v>1140.95436</v>
      </c>
      <c r="I295" s="483">
        <f t="shared" si="195"/>
        <v>1140.95436</v>
      </c>
      <c r="J295" s="483">
        <f t="shared" si="195"/>
        <v>1140.95436</v>
      </c>
      <c r="K295" s="483">
        <f t="shared" si="195"/>
        <v>1140.95436</v>
      </c>
      <c r="L295" s="483">
        <f t="shared" si="195"/>
        <v>1140.95436</v>
      </c>
      <c r="M295" s="483">
        <f t="shared" si="195"/>
        <v>1140.95436</v>
      </c>
      <c r="N295" s="483">
        <f t="shared" si="195"/>
        <v>1140.95436</v>
      </c>
      <c r="O295" s="483">
        <f t="shared" si="195"/>
        <v>1140.95436</v>
      </c>
      <c r="P295" s="674">
        <f t="shared" si="168"/>
        <v>12550.497959999999</v>
      </c>
    </row>
    <row r="296" spans="1:16" hidden="1" outlineLevel="1">
      <c r="A296" s="670" t="s">
        <v>3256</v>
      </c>
      <c r="B296" s="336" t="s">
        <v>243</v>
      </c>
      <c r="C296" s="657" t="s">
        <v>164</v>
      </c>
      <c r="D296" s="483">
        <f t="shared" si="194"/>
        <v>0</v>
      </c>
      <c r="E296" s="483">
        <f t="shared" ref="E296:O296" si="196">IFERROR(IF($B296="FRANQUEADORA",(0.2+0.058+0.01+0.005)*(AVERAGE($D38:E38)),0),"")</f>
        <v>0</v>
      </c>
      <c r="F296" s="483">
        <f t="shared" si="196"/>
        <v>0</v>
      </c>
      <c r="G296" s="483">
        <f t="shared" si="196"/>
        <v>0</v>
      </c>
      <c r="H296" s="483">
        <f t="shared" si="196"/>
        <v>0</v>
      </c>
      <c r="I296" s="483">
        <f t="shared" si="196"/>
        <v>0</v>
      </c>
      <c r="J296" s="483">
        <f t="shared" si="196"/>
        <v>0</v>
      </c>
      <c r="K296" s="483">
        <f t="shared" si="196"/>
        <v>0</v>
      </c>
      <c r="L296" s="483">
        <f t="shared" si="196"/>
        <v>0</v>
      </c>
      <c r="M296" s="483">
        <f t="shared" si="196"/>
        <v>0</v>
      </c>
      <c r="N296" s="483">
        <f t="shared" si="196"/>
        <v>0</v>
      </c>
      <c r="O296" s="483">
        <f t="shared" si="196"/>
        <v>0</v>
      </c>
      <c r="P296" s="674">
        <f t="shared" si="168"/>
        <v>0</v>
      </c>
    </row>
    <row r="297" spans="1:16" hidden="1" outlineLevel="1">
      <c r="A297" s="670" t="s">
        <v>3257</v>
      </c>
      <c r="B297" s="336" t="s">
        <v>243</v>
      </c>
      <c r="C297" s="657" t="s">
        <v>164</v>
      </c>
      <c r="D297" s="483">
        <f t="shared" si="194"/>
        <v>0</v>
      </c>
      <c r="E297" s="483">
        <f t="shared" ref="E297:O297" si="197">IFERROR(IF($B297="FRANQUEADORA",(0.2+0.058+0.01+0.005)*(AVERAGE($D39:E39)),0),"")</f>
        <v>0</v>
      </c>
      <c r="F297" s="483">
        <f t="shared" si="197"/>
        <v>0</v>
      </c>
      <c r="G297" s="483">
        <f t="shared" si="197"/>
        <v>0</v>
      </c>
      <c r="H297" s="483">
        <f t="shared" si="197"/>
        <v>0</v>
      </c>
      <c r="I297" s="483">
        <f t="shared" si="197"/>
        <v>0</v>
      </c>
      <c r="J297" s="483">
        <f t="shared" si="197"/>
        <v>0</v>
      </c>
      <c r="K297" s="483">
        <f t="shared" si="197"/>
        <v>0</v>
      </c>
      <c r="L297" s="483">
        <f t="shared" si="197"/>
        <v>0</v>
      </c>
      <c r="M297" s="483">
        <f t="shared" si="197"/>
        <v>0</v>
      </c>
      <c r="N297" s="483">
        <f t="shared" si="197"/>
        <v>0</v>
      </c>
      <c r="O297" s="483">
        <f t="shared" si="197"/>
        <v>0</v>
      </c>
      <c r="P297" s="674">
        <f t="shared" si="168"/>
        <v>0</v>
      </c>
    </row>
    <row r="298" spans="1:16" hidden="1" outlineLevel="1">
      <c r="A298" s="670" t="s">
        <v>669</v>
      </c>
      <c r="B298" s="336" t="s">
        <v>243</v>
      </c>
      <c r="C298" s="657" t="s">
        <v>164</v>
      </c>
      <c r="D298" s="483">
        <f t="shared" si="194"/>
        <v>0</v>
      </c>
      <c r="E298" s="483">
        <f t="shared" ref="E298:O298" si="198">IFERROR(IF($B298="FRANQUEADORA",(0.2+0.058+0.01+0.005)*(AVERAGE($D40:E40)),0),"")</f>
        <v>0</v>
      </c>
      <c r="F298" s="483">
        <f t="shared" si="198"/>
        <v>0</v>
      </c>
      <c r="G298" s="483">
        <f t="shared" si="198"/>
        <v>0</v>
      </c>
      <c r="H298" s="483">
        <f t="shared" si="198"/>
        <v>0</v>
      </c>
      <c r="I298" s="483">
        <f t="shared" si="198"/>
        <v>0</v>
      </c>
      <c r="J298" s="483">
        <f t="shared" si="198"/>
        <v>0</v>
      </c>
      <c r="K298" s="483">
        <f t="shared" si="198"/>
        <v>0</v>
      </c>
      <c r="L298" s="483">
        <f t="shared" si="198"/>
        <v>0</v>
      </c>
      <c r="M298" s="483">
        <f t="shared" si="198"/>
        <v>0</v>
      </c>
      <c r="N298" s="483">
        <f t="shared" si="198"/>
        <v>0</v>
      </c>
      <c r="O298" s="483">
        <f t="shared" si="198"/>
        <v>0</v>
      </c>
      <c r="P298" s="674">
        <f t="shared" si="168"/>
        <v>0</v>
      </c>
    </row>
    <row r="299" spans="1:16" hidden="1" outlineLevel="1">
      <c r="A299" s="670" t="s">
        <v>176</v>
      </c>
      <c r="B299" s="336" t="s">
        <v>243</v>
      </c>
      <c r="C299" s="657" t="s">
        <v>164</v>
      </c>
      <c r="D299" s="483">
        <f t="shared" si="194"/>
        <v>0</v>
      </c>
      <c r="E299" s="483">
        <f t="shared" ref="E299:O299" si="199">IFERROR(IF($B299="FRANQUEADORA",(0.2+0.058+0.01+0.005)*(AVERAGE($D41:E41)),0),"")</f>
        <v>0</v>
      </c>
      <c r="F299" s="483">
        <f t="shared" si="199"/>
        <v>0</v>
      </c>
      <c r="G299" s="483">
        <f t="shared" si="199"/>
        <v>0</v>
      </c>
      <c r="H299" s="483">
        <f t="shared" si="199"/>
        <v>0</v>
      </c>
      <c r="I299" s="483">
        <f t="shared" si="199"/>
        <v>0</v>
      </c>
      <c r="J299" s="483">
        <f t="shared" si="199"/>
        <v>0</v>
      </c>
      <c r="K299" s="483">
        <f t="shared" si="199"/>
        <v>0</v>
      </c>
      <c r="L299" s="483">
        <f t="shared" si="199"/>
        <v>0</v>
      </c>
      <c r="M299" s="483">
        <f t="shared" si="199"/>
        <v>0</v>
      </c>
      <c r="N299" s="483">
        <f t="shared" si="199"/>
        <v>0</v>
      </c>
      <c r="O299" s="483">
        <f t="shared" si="199"/>
        <v>0</v>
      </c>
      <c r="P299" s="674">
        <f t="shared" si="168"/>
        <v>0</v>
      </c>
    </row>
    <row r="300" spans="1:16" hidden="1" outlineLevel="1">
      <c r="A300" s="670" t="s">
        <v>178</v>
      </c>
      <c r="B300" s="336" t="s">
        <v>243</v>
      </c>
      <c r="C300" s="657" t="s">
        <v>164</v>
      </c>
      <c r="D300" s="483">
        <f t="shared" si="194"/>
        <v>0</v>
      </c>
      <c r="E300" s="483">
        <f t="shared" ref="E300:O300" si="200">IFERROR(IF($B300="FRANQUEADORA",(0.2+0.058+0.01+0.005)*(AVERAGE($D42:E42)),0),"")</f>
        <v>0</v>
      </c>
      <c r="F300" s="483">
        <f t="shared" si="200"/>
        <v>0</v>
      </c>
      <c r="G300" s="483">
        <f t="shared" si="200"/>
        <v>0</v>
      </c>
      <c r="H300" s="483">
        <f t="shared" si="200"/>
        <v>0</v>
      </c>
      <c r="I300" s="483">
        <f t="shared" si="200"/>
        <v>0</v>
      </c>
      <c r="J300" s="483">
        <f t="shared" si="200"/>
        <v>0</v>
      </c>
      <c r="K300" s="483">
        <f t="shared" si="200"/>
        <v>0</v>
      </c>
      <c r="L300" s="483">
        <f t="shared" si="200"/>
        <v>0</v>
      </c>
      <c r="M300" s="483">
        <f t="shared" si="200"/>
        <v>0</v>
      </c>
      <c r="N300" s="483">
        <f t="shared" si="200"/>
        <v>0</v>
      </c>
      <c r="O300" s="483">
        <f t="shared" si="200"/>
        <v>0</v>
      </c>
      <c r="P300" s="674">
        <f t="shared" si="168"/>
        <v>0</v>
      </c>
    </row>
    <row r="301" spans="1:16" hidden="1" outlineLevel="1">
      <c r="A301" s="670" t="s">
        <v>3258</v>
      </c>
      <c r="B301" s="336" t="s">
        <v>243</v>
      </c>
      <c r="C301" s="657" t="s">
        <v>164</v>
      </c>
      <c r="D301" s="483">
        <f t="shared" si="194"/>
        <v>0</v>
      </c>
      <c r="E301" s="483">
        <f t="shared" ref="E301:O301" si="201">IFERROR(IF($B301="FRANQUEADORA",(0.2+0.058+0.01+0.005)*(AVERAGE($D43:E43)),0),"")</f>
        <v>0</v>
      </c>
      <c r="F301" s="483">
        <f t="shared" si="201"/>
        <v>0</v>
      </c>
      <c r="G301" s="483">
        <f t="shared" si="201"/>
        <v>0</v>
      </c>
      <c r="H301" s="483">
        <f t="shared" si="201"/>
        <v>0</v>
      </c>
      <c r="I301" s="483">
        <f t="shared" si="201"/>
        <v>0</v>
      </c>
      <c r="J301" s="483">
        <f t="shared" si="201"/>
        <v>0</v>
      </c>
      <c r="K301" s="483">
        <f t="shared" si="201"/>
        <v>0</v>
      </c>
      <c r="L301" s="483">
        <f t="shared" si="201"/>
        <v>0</v>
      </c>
      <c r="M301" s="483">
        <f t="shared" si="201"/>
        <v>0</v>
      </c>
      <c r="N301" s="483">
        <f t="shared" si="201"/>
        <v>0</v>
      </c>
      <c r="O301" s="483">
        <f t="shared" si="201"/>
        <v>0</v>
      </c>
      <c r="P301" s="674">
        <f t="shared" si="168"/>
        <v>0</v>
      </c>
    </row>
    <row r="302" spans="1:16" hidden="1" outlineLevel="1">
      <c r="A302" s="670" t="s">
        <v>3259</v>
      </c>
      <c r="B302" s="336" t="s">
        <v>243</v>
      </c>
      <c r="C302" s="657" t="s">
        <v>164</v>
      </c>
      <c r="D302" s="483">
        <f t="shared" si="194"/>
        <v>0</v>
      </c>
      <c r="E302" s="483">
        <f t="shared" ref="E302:O302" si="202">IFERROR(IF($B302="FRANQUEADORA",(0.2+0.058+0.01+0.005)*(AVERAGE($D44:E44)),0),"")</f>
        <v>0</v>
      </c>
      <c r="F302" s="483">
        <f t="shared" si="202"/>
        <v>0</v>
      </c>
      <c r="G302" s="483">
        <f t="shared" si="202"/>
        <v>0</v>
      </c>
      <c r="H302" s="483">
        <f t="shared" si="202"/>
        <v>0</v>
      </c>
      <c r="I302" s="483">
        <f t="shared" si="202"/>
        <v>0</v>
      </c>
      <c r="J302" s="483">
        <f t="shared" si="202"/>
        <v>0</v>
      </c>
      <c r="K302" s="483">
        <f t="shared" si="202"/>
        <v>0</v>
      </c>
      <c r="L302" s="483">
        <f t="shared" si="202"/>
        <v>0</v>
      </c>
      <c r="M302" s="483">
        <f t="shared" si="202"/>
        <v>0</v>
      </c>
      <c r="N302" s="483">
        <f t="shared" si="202"/>
        <v>0</v>
      </c>
      <c r="O302" s="483">
        <f t="shared" si="202"/>
        <v>0</v>
      </c>
      <c r="P302" s="674">
        <f t="shared" si="168"/>
        <v>0</v>
      </c>
    </row>
    <row r="303" spans="1:16" hidden="1" outlineLevel="1">
      <c r="A303" s="670" t="s">
        <v>3260</v>
      </c>
      <c r="B303" s="336" t="s">
        <v>243</v>
      </c>
      <c r="C303" s="657" t="s">
        <v>164</v>
      </c>
      <c r="D303" s="483">
        <f t="shared" si="194"/>
        <v>0</v>
      </c>
      <c r="E303" s="483">
        <f t="shared" ref="E303:O303" si="203">IFERROR(IF($B303="FRANQUEADORA",(0.2+0.058+0.01+0.005)*(AVERAGE($D45:E45)),0),"")</f>
        <v>0</v>
      </c>
      <c r="F303" s="483">
        <f t="shared" si="203"/>
        <v>0</v>
      </c>
      <c r="G303" s="483">
        <f t="shared" si="203"/>
        <v>0</v>
      </c>
      <c r="H303" s="483">
        <f t="shared" si="203"/>
        <v>0</v>
      </c>
      <c r="I303" s="483">
        <f t="shared" si="203"/>
        <v>0</v>
      </c>
      <c r="J303" s="483">
        <f t="shared" si="203"/>
        <v>0</v>
      </c>
      <c r="K303" s="483">
        <f t="shared" si="203"/>
        <v>0</v>
      </c>
      <c r="L303" s="483">
        <f t="shared" si="203"/>
        <v>0</v>
      </c>
      <c r="M303" s="483">
        <f t="shared" si="203"/>
        <v>0</v>
      </c>
      <c r="N303" s="483">
        <f t="shared" si="203"/>
        <v>0</v>
      </c>
      <c r="O303" s="483">
        <f t="shared" si="203"/>
        <v>0</v>
      </c>
      <c r="P303" s="674">
        <f t="shared" si="168"/>
        <v>0</v>
      </c>
    </row>
    <row r="304" spans="1:16" hidden="1" outlineLevel="1">
      <c r="A304" s="670" t="s">
        <v>3261</v>
      </c>
      <c r="B304" s="336" t="s">
        <v>243</v>
      </c>
      <c r="C304" s="657" t="s">
        <v>169</v>
      </c>
      <c r="D304" s="483">
        <f t="shared" si="194"/>
        <v>0</v>
      </c>
      <c r="E304" s="483">
        <f t="shared" ref="E304:O304" si="204">IFERROR(IF($B304="FRANQUEADORA",(0.2+0.058+0.01+0.005)*(AVERAGE($D46:E46)),0),"")</f>
        <v>0</v>
      </c>
      <c r="F304" s="483">
        <f t="shared" si="204"/>
        <v>0</v>
      </c>
      <c r="G304" s="483">
        <f t="shared" si="204"/>
        <v>0</v>
      </c>
      <c r="H304" s="483">
        <f t="shared" si="204"/>
        <v>0</v>
      </c>
      <c r="I304" s="483">
        <f t="shared" si="204"/>
        <v>0</v>
      </c>
      <c r="J304" s="483">
        <f t="shared" si="204"/>
        <v>0</v>
      </c>
      <c r="K304" s="483">
        <f t="shared" si="204"/>
        <v>0</v>
      </c>
      <c r="L304" s="483">
        <f t="shared" si="204"/>
        <v>0</v>
      </c>
      <c r="M304" s="483">
        <f t="shared" si="204"/>
        <v>0</v>
      </c>
      <c r="N304" s="483">
        <f t="shared" si="204"/>
        <v>0</v>
      </c>
      <c r="O304" s="483">
        <f t="shared" si="204"/>
        <v>0</v>
      </c>
      <c r="P304" s="674">
        <f t="shared" si="168"/>
        <v>0</v>
      </c>
    </row>
    <row r="305" spans="1:16" hidden="1" outlineLevel="1">
      <c r="A305" s="679" t="s">
        <v>3262</v>
      </c>
      <c r="B305" s="336" t="s">
        <v>3154</v>
      </c>
      <c r="C305" s="657" t="s">
        <v>169</v>
      </c>
      <c r="D305" s="483">
        <f t="shared" si="194"/>
        <v>0</v>
      </c>
      <c r="E305" s="483">
        <f t="shared" ref="E305:I305" si="205">IFERROR(IF($B305="FRANQUEADORA",(0.2+0.058+0.01+0.005)*(AVERAGE($D47:E47)),0),"")</f>
        <v>0</v>
      </c>
      <c r="F305" s="483">
        <f t="shared" si="205"/>
        <v>0</v>
      </c>
      <c r="G305" s="483">
        <f t="shared" si="205"/>
        <v>0</v>
      </c>
      <c r="H305" s="483">
        <f t="shared" si="205"/>
        <v>0</v>
      </c>
      <c r="I305" s="483">
        <f t="shared" si="205"/>
        <v>0</v>
      </c>
      <c r="J305" s="483"/>
      <c r="K305" s="483"/>
      <c r="L305" s="483"/>
      <c r="M305" s="483"/>
      <c r="N305" s="483"/>
      <c r="O305" s="483"/>
      <c r="P305" s="674">
        <f t="shared" si="168"/>
        <v>0</v>
      </c>
    </row>
    <row r="306" spans="1:16" hidden="1" outlineLevel="1">
      <c r="A306" s="687" t="s">
        <v>3263</v>
      </c>
      <c r="B306" s="336" t="s">
        <v>243</v>
      </c>
      <c r="C306" s="657" t="s">
        <v>169</v>
      </c>
      <c r="D306" s="483">
        <f t="shared" si="194"/>
        <v>0</v>
      </c>
      <c r="E306" s="483">
        <f t="shared" ref="E306:O306" si="206">IFERROR(IF($B306="FRANQUEADORA",(0.2+0.058+0.01+0.005)*(AVERAGE($D48:E48)),0),"")</f>
        <v>0</v>
      </c>
      <c r="F306" s="483">
        <f t="shared" si="206"/>
        <v>0</v>
      </c>
      <c r="G306" s="483">
        <f t="shared" si="206"/>
        <v>0</v>
      </c>
      <c r="H306" s="483">
        <f t="shared" si="206"/>
        <v>0</v>
      </c>
      <c r="I306" s="483">
        <f t="shared" si="206"/>
        <v>0</v>
      </c>
      <c r="J306" s="483">
        <f t="shared" si="206"/>
        <v>0</v>
      </c>
      <c r="K306" s="483">
        <f t="shared" si="206"/>
        <v>0</v>
      </c>
      <c r="L306" s="483">
        <f t="shared" si="206"/>
        <v>0</v>
      </c>
      <c r="M306" s="483">
        <f t="shared" si="206"/>
        <v>0</v>
      </c>
      <c r="N306" s="483">
        <f t="shared" si="206"/>
        <v>0</v>
      </c>
      <c r="O306" s="483">
        <f t="shared" si="206"/>
        <v>0</v>
      </c>
      <c r="P306" s="674">
        <f t="shared" si="168"/>
        <v>0</v>
      </c>
    </row>
    <row r="307" spans="1:16" hidden="1" outlineLevel="1">
      <c r="A307" s="670" t="s">
        <v>3264</v>
      </c>
      <c r="B307" s="336" t="s">
        <v>243</v>
      </c>
      <c r="C307" s="657" t="s">
        <v>169</v>
      </c>
      <c r="D307" s="483">
        <f t="shared" si="194"/>
        <v>0</v>
      </c>
      <c r="E307" s="483">
        <f t="shared" ref="E307:O307" si="207">IFERROR(IF($B307="FRANQUEADORA",(0.2+0.058+0.01+0.005)*(AVERAGE($D49:E49)),0),"")</f>
        <v>0</v>
      </c>
      <c r="F307" s="483">
        <f t="shared" si="207"/>
        <v>0</v>
      </c>
      <c r="G307" s="483">
        <f t="shared" si="207"/>
        <v>0</v>
      </c>
      <c r="H307" s="483">
        <f t="shared" si="207"/>
        <v>0</v>
      </c>
      <c r="I307" s="483">
        <f t="shared" si="207"/>
        <v>0</v>
      </c>
      <c r="J307" s="483">
        <f t="shared" si="207"/>
        <v>0</v>
      </c>
      <c r="K307" s="483">
        <f t="shared" si="207"/>
        <v>0</v>
      </c>
      <c r="L307" s="483">
        <f t="shared" si="207"/>
        <v>0</v>
      </c>
      <c r="M307" s="483">
        <f t="shared" si="207"/>
        <v>0</v>
      </c>
      <c r="N307" s="483">
        <f t="shared" si="207"/>
        <v>0</v>
      </c>
      <c r="O307" s="483">
        <f t="shared" si="207"/>
        <v>0</v>
      </c>
      <c r="P307" s="674">
        <f t="shared" si="168"/>
        <v>0</v>
      </c>
    </row>
    <row r="308" spans="1:16" hidden="1" outlineLevel="1">
      <c r="A308" s="670" t="s">
        <v>1860</v>
      </c>
      <c r="B308" s="336" t="s">
        <v>243</v>
      </c>
      <c r="C308" s="657" t="s">
        <v>169</v>
      </c>
      <c r="D308" s="483">
        <f t="shared" si="194"/>
        <v>0</v>
      </c>
      <c r="E308" s="483">
        <f t="shared" ref="E308:O308" si="208">IFERROR(IF($B308="FRANQUEADORA",(0.2+0.058+0.01+0.005)*(AVERAGE($D50:E50)),0),"")</f>
        <v>0</v>
      </c>
      <c r="F308" s="483">
        <f t="shared" si="208"/>
        <v>0</v>
      </c>
      <c r="G308" s="483">
        <f t="shared" si="208"/>
        <v>0</v>
      </c>
      <c r="H308" s="483">
        <f t="shared" si="208"/>
        <v>0</v>
      </c>
      <c r="I308" s="483">
        <f t="shared" si="208"/>
        <v>0</v>
      </c>
      <c r="J308" s="483">
        <f t="shared" si="208"/>
        <v>0</v>
      </c>
      <c r="K308" s="483">
        <f t="shared" si="208"/>
        <v>0</v>
      </c>
      <c r="L308" s="483">
        <f t="shared" si="208"/>
        <v>0</v>
      </c>
      <c r="M308" s="483">
        <f t="shared" si="208"/>
        <v>0</v>
      </c>
      <c r="N308" s="483">
        <f t="shared" si="208"/>
        <v>0</v>
      </c>
      <c r="O308" s="483">
        <f t="shared" si="208"/>
        <v>0</v>
      </c>
      <c r="P308" s="674">
        <f t="shared" si="168"/>
        <v>0</v>
      </c>
    </row>
    <row r="309" spans="1:16" hidden="1" outlineLevel="1">
      <c r="A309" s="670" t="s">
        <v>186</v>
      </c>
      <c r="B309" s="336" t="s">
        <v>243</v>
      </c>
      <c r="C309" s="657" t="s">
        <v>169</v>
      </c>
      <c r="D309" s="483">
        <f t="shared" si="194"/>
        <v>0</v>
      </c>
      <c r="E309" s="483">
        <f t="shared" ref="E309:O309" si="209">IFERROR(IF($B309="FRANQUEADORA",(0.2+0.058+0.01+0.005)*(AVERAGE($D51:E51)),0),"")</f>
        <v>0</v>
      </c>
      <c r="F309" s="483">
        <f t="shared" si="209"/>
        <v>0</v>
      </c>
      <c r="G309" s="483">
        <f t="shared" si="209"/>
        <v>0</v>
      </c>
      <c r="H309" s="483">
        <f t="shared" si="209"/>
        <v>0</v>
      </c>
      <c r="I309" s="483">
        <f t="shared" si="209"/>
        <v>0</v>
      </c>
      <c r="J309" s="483">
        <f t="shared" si="209"/>
        <v>0</v>
      </c>
      <c r="K309" s="483">
        <f t="shared" si="209"/>
        <v>0</v>
      </c>
      <c r="L309" s="483">
        <f t="shared" si="209"/>
        <v>0</v>
      </c>
      <c r="M309" s="483">
        <f t="shared" si="209"/>
        <v>0</v>
      </c>
      <c r="N309" s="483">
        <f t="shared" si="209"/>
        <v>0</v>
      </c>
      <c r="O309" s="483">
        <f t="shared" si="209"/>
        <v>0</v>
      </c>
      <c r="P309" s="674">
        <f t="shared" si="168"/>
        <v>0</v>
      </c>
    </row>
    <row r="310" spans="1:16" hidden="1" outlineLevel="1">
      <c r="A310" s="683" t="s">
        <v>3265</v>
      </c>
      <c r="B310" s="336" t="s">
        <v>243</v>
      </c>
      <c r="C310" s="657" t="s">
        <v>169</v>
      </c>
      <c r="D310" s="483">
        <v>0</v>
      </c>
      <c r="E310" s="483">
        <v>0</v>
      </c>
      <c r="F310" s="697">
        <f t="shared" ref="F310:O310" si="210">IFERROR(IF($B310="FRANQUEADORA",(0.2+0.058+0.01+0.005)*(AVERAGE($F52:F52)),0),"")</f>
        <v>0</v>
      </c>
      <c r="G310" s="483">
        <f t="shared" si="210"/>
        <v>0</v>
      </c>
      <c r="H310" s="483">
        <f t="shared" si="210"/>
        <v>0</v>
      </c>
      <c r="I310" s="483">
        <f t="shared" si="210"/>
        <v>0</v>
      </c>
      <c r="J310" s="483">
        <f t="shared" si="210"/>
        <v>0</v>
      </c>
      <c r="K310" s="483">
        <f t="shared" si="210"/>
        <v>0</v>
      </c>
      <c r="L310" s="483">
        <f t="shared" si="210"/>
        <v>0</v>
      </c>
      <c r="M310" s="483">
        <f t="shared" si="210"/>
        <v>0</v>
      </c>
      <c r="N310" s="483">
        <f t="shared" si="210"/>
        <v>0</v>
      </c>
      <c r="O310" s="483">
        <f t="shared" si="210"/>
        <v>0</v>
      </c>
      <c r="P310" s="674">
        <f t="shared" si="168"/>
        <v>0</v>
      </c>
    </row>
    <row r="311" spans="1:16" hidden="1" outlineLevel="1">
      <c r="A311" s="670" t="s">
        <v>3266</v>
      </c>
      <c r="B311" s="336" t="s">
        <v>3227</v>
      </c>
      <c r="C311" s="657" t="s">
        <v>162</v>
      </c>
      <c r="D311" s="483">
        <f t="shared" ref="D311:O311" si="211">IFERROR(IF($B311="FRANQUEADORA",(0.2+0.058+0.01+0.005)*(AVERAGE($D53:D53)),0),"")</f>
        <v>888.82794000000013</v>
      </c>
      <c r="E311" s="483">
        <f t="shared" si="211"/>
        <v>888.82794000000013</v>
      </c>
      <c r="F311" s="483">
        <f t="shared" si="211"/>
        <v>888.82794000000013</v>
      </c>
      <c r="G311" s="483">
        <f t="shared" si="211"/>
        <v>888.82794000000013</v>
      </c>
      <c r="H311" s="483">
        <f t="shared" si="211"/>
        <v>911.04850200000021</v>
      </c>
      <c r="I311" s="483">
        <f t="shared" si="211"/>
        <v>925.86221000000012</v>
      </c>
      <c r="J311" s="483">
        <f t="shared" si="211"/>
        <v>936.44343000000015</v>
      </c>
      <c r="K311" s="483">
        <f t="shared" si="211"/>
        <v>944.37934500000017</v>
      </c>
      <c r="L311" s="483">
        <f t="shared" si="211"/>
        <v>944.37934500000017</v>
      </c>
      <c r="M311" s="483">
        <f t="shared" si="211"/>
        <v>944.37934500000017</v>
      </c>
      <c r="N311" s="483">
        <f t="shared" si="211"/>
        <v>944.37934500000017</v>
      </c>
      <c r="O311" s="483">
        <f t="shared" si="211"/>
        <v>944.37934500000017</v>
      </c>
      <c r="P311" s="674">
        <f t="shared" si="168"/>
        <v>11050.562626999999</v>
      </c>
    </row>
    <row r="312" spans="1:16" hidden="1" outlineLevel="1">
      <c r="A312" s="679" t="s">
        <v>3267</v>
      </c>
      <c r="B312" s="336" t="s">
        <v>3227</v>
      </c>
      <c r="C312" s="657" t="s">
        <v>162</v>
      </c>
      <c r="D312" s="483">
        <f t="shared" ref="D312:H312" si="212">IFERROR(IF($B312="FRANQUEADORA",(0.2+0.058+0.01+0.005)*(AVERAGE($D54:D54)),0),"")</f>
        <v>1355.3849400000001</v>
      </c>
      <c r="E312" s="483">
        <f t="shared" si="212"/>
        <v>1355.3849400000001</v>
      </c>
      <c r="F312" s="483">
        <f t="shared" si="212"/>
        <v>1355.3849400000001</v>
      </c>
      <c r="G312" s="483">
        <f t="shared" si="212"/>
        <v>1355.3849400000001</v>
      </c>
      <c r="H312" s="483">
        <f t="shared" si="212"/>
        <v>1355.3849400000001</v>
      </c>
      <c r="I312" s="483"/>
      <c r="J312" s="483"/>
      <c r="K312" s="483"/>
      <c r="L312" s="483"/>
      <c r="M312" s="483"/>
      <c r="N312" s="483"/>
      <c r="O312" s="483"/>
      <c r="P312" s="674">
        <f t="shared" si="168"/>
        <v>6776.9247000000005</v>
      </c>
    </row>
    <row r="313" spans="1:16" hidden="1" outlineLevel="1">
      <c r="A313" s="670" t="s">
        <v>523</v>
      </c>
      <c r="B313" s="336" t="s">
        <v>3227</v>
      </c>
      <c r="C313" s="657" t="s">
        <v>162</v>
      </c>
      <c r="D313" s="483">
        <f t="shared" ref="D313:O313" si="213">IFERROR(IF($B313="FRANQUEADORA",(0.2+0.058+0.01+0.005)*(AVERAGE($D55:D55)),0),"")</f>
        <v>1122.4176600000001</v>
      </c>
      <c r="E313" s="483">
        <f t="shared" si="213"/>
        <v>1122.4176600000001</v>
      </c>
      <c r="F313" s="483">
        <f t="shared" si="213"/>
        <v>1122.4176600000001</v>
      </c>
      <c r="G313" s="483">
        <f t="shared" si="213"/>
        <v>1122.4176600000001</v>
      </c>
      <c r="H313" s="483">
        <f t="shared" si="213"/>
        <v>1122.4176600000001</v>
      </c>
      <c r="I313" s="483">
        <f t="shared" si="213"/>
        <v>1122.4176599999998</v>
      </c>
      <c r="J313" s="483">
        <f t="shared" si="213"/>
        <v>1122.4176599999998</v>
      </c>
      <c r="K313" s="483">
        <f t="shared" si="213"/>
        <v>1122.4176599999998</v>
      </c>
      <c r="L313" s="483">
        <f t="shared" si="213"/>
        <v>1122.4176599999998</v>
      </c>
      <c r="M313" s="483">
        <f t="shared" si="213"/>
        <v>1122.4176599999998</v>
      </c>
      <c r="N313" s="483">
        <f t="shared" si="213"/>
        <v>1122.4176599999998</v>
      </c>
      <c r="O313" s="483">
        <f t="shared" si="213"/>
        <v>1122.4176599999998</v>
      </c>
      <c r="P313" s="674">
        <f t="shared" si="168"/>
        <v>13469.011919999997</v>
      </c>
    </row>
    <row r="314" spans="1:16" hidden="1" outlineLevel="1">
      <c r="A314" s="670" t="s">
        <v>2791</v>
      </c>
      <c r="B314" s="336" t="s">
        <v>243</v>
      </c>
      <c r="C314" s="336" t="s">
        <v>162</v>
      </c>
      <c r="D314" s="483">
        <f t="shared" ref="D314:O314" si="214">IFERROR(IF($B314="FRANQUEADORA",(0.2+0.058+0.01+0.005)*(AVERAGE($D56:D56)),0),"")</f>
        <v>0</v>
      </c>
      <c r="E314" s="483">
        <f t="shared" si="214"/>
        <v>0</v>
      </c>
      <c r="F314" s="483">
        <f t="shared" si="214"/>
        <v>0</v>
      </c>
      <c r="G314" s="483">
        <f t="shared" si="214"/>
        <v>0</v>
      </c>
      <c r="H314" s="483">
        <f t="shared" si="214"/>
        <v>0</v>
      </c>
      <c r="I314" s="483">
        <f t="shared" si="214"/>
        <v>0</v>
      </c>
      <c r="J314" s="483">
        <f t="shared" si="214"/>
        <v>0</v>
      </c>
      <c r="K314" s="483">
        <f t="shared" si="214"/>
        <v>0</v>
      </c>
      <c r="L314" s="483">
        <f t="shared" si="214"/>
        <v>0</v>
      </c>
      <c r="M314" s="483">
        <f t="shared" si="214"/>
        <v>0</v>
      </c>
      <c r="N314" s="483">
        <f t="shared" si="214"/>
        <v>0</v>
      </c>
      <c r="O314" s="483">
        <f t="shared" si="214"/>
        <v>0</v>
      </c>
      <c r="P314" s="674">
        <f t="shared" si="168"/>
        <v>0</v>
      </c>
    </row>
    <row r="315" spans="1:16" hidden="1" outlineLevel="1">
      <c r="A315" s="689" t="s">
        <v>3268</v>
      </c>
      <c r="B315" s="336" t="s">
        <v>3227</v>
      </c>
      <c r="C315" s="657" t="s">
        <v>162</v>
      </c>
      <c r="D315" s="699"/>
      <c r="E315" s="699"/>
      <c r="F315" s="699"/>
      <c r="G315" s="699"/>
      <c r="H315" s="699"/>
      <c r="I315" s="699"/>
      <c r="J315" s="699"/>
      <c r="K315" s="699"/>
      <c r="L315" s="699"/>
      <c r="M315" s="699"/>
      <c r="N315" s="699"/>
      <c r="O315" s="699"/>
      <c r="P315" s="674">
        <f t="shared" si="168"/>
        <v>0</v>
      </c>
    </row>
    <row r="316" spans="1:16" hidden="1" outlineLevel="1">
      <c r="A316" s="683" t="s">
        <v>3269</v>
      </c>
      <c r="B316" s="336" t="s">
        <v>3227</v>
      </c>
      <c r="C316" s="657" t="s">
        <v>162</v>
      </c>
      <c r="D316" s="699"/>
      <c r="E316" s="699"/>
      <c r="F316" s="699"/>
      <c r="G316" s="699"/>
      <c r="H316" s="699"/>
      <c r="I316" s="699"/>
      <c r="J316" s="697">
        <f t="shared" ref="J316:O316" si="215">IFERROR(IF($B316="FRANQUEADORA",(0.2+0.058+0.01+0.005)*(AVERAGE($J58:J58)),0),"")</f>
        <v>1222.1363699999999</v>
      </c>
      <c r="K316" s="483">
        <f t="shared" si="215"/>
        <v>1222.1363699999999</v>
      </c>
      <c r="L316" s="483">
        <f t="shared" si="215"/>
        <v>1222.1363699999999</v>
      </c>
      <c r="M316" s="483">
        <f t="shared" si="215"/>
        <v>1222.1363699999999</v>
      </c>
      <c r="N316" s="483">
        <f t="shared" si="215"/>
        <v>1222.1363699999999</v>
      </c>
      <c r="O316" s="483">
        <f t="shared" si="215"/>
        <v>1222.1363699999999</v>
      </c>
      <c r="P316" s="674">
        <f t="shared" si="168"/>
        <v>7332.8182200000001</v>
      </c>
    </row>
    <row r="317" spans="1:16" hidden="1" outlineLevel="1">
      <c r="A317" s="690" t="s">
        <v>3270</v>
      </c>
      <c r="B317" s="336" t="s">
        <v>3227</v>
      </c>
      <c r="C317" s="657" t="s">
        <v>143</v>
      </c>
      <c r="D317" s="483">
        <f t="shared" ref="D317:O317" si="216">IFERROR(IF($B317="FRANQUEADORA",(0.2+0.058+0.01+0.005)*(AVERAGE($D59:D59)),0),"")</f>
        <v>922.61442000000011</v>
      </c>
      <c r="E317" s="483">
        <f t="shared" si="216"/>
        <v>922.61442000000011</v>
      </c>
      <c r="F317" s="483">
        <f t="shared" si="216"/>
        <v>922.61441999999988</v>
      </c>
      <c r="G317" s="483">
        <f t="shared" si="216"/>
        <v>922.61442000000011</v>
      </c>
      <c r="H317" s="483">
        <f t="shared" si="216"/>
        <v>922.61442000000011</v>
      </c>
      <c r="I317" s="483">
        <f t="shared" si="216"/>
        <v>922.61442000000022</v>
      </c>
      <c r="J317" s="483">
        <f t="shared" si="216"/>
        <v>922.61442000000022</v>
      </c>
      <c r="K317" s="483">
        <f t="shared" si="216"/>
        <v>922.61442000000022</v>
      </c>
      <c r="L317" s="483">
        <f t="shared" si="216"/>
        <v>922.61442000000022</v>
      </c>
      <c r="M317" s="483">
        <f t="shared" si="216"/>
        <v>922.61442000000022</v>
      </c>
      <c r="N317" s="483">
        <f t="shared" si="216"/>
        <v>922.61442000000022</v>
      </c>
      <c r="O317" s="483">
        <f t="shared" si="216"/>
        <v>922.61442000000022</v>
      </c>
      <c r="P317" s="674">
        <f t="shared" si="168"/>
        <v>11071.37304</v>
      </c>
    </row>
    <row r="318" spans="1:16" hidden="1" outlineLevel="1">
      <c r="A318" s="690" t="s">
        <v>3271</v>
      </c>
      <c r="B318" s="336" t="s">
        <v>3227</v>
      </c>
      <c r="C318" s="657" t="s">
        <v>143</v>
      </c>
      <c r="D318" s="483">
        <f t="shared" ref="D318:O318" si="217">IFERROR(IF($B318="FRANQUEADORA",(0.2+0.058+0.01+0.005)*(AVERAGE($D60:D60)),0),"")</f>
        <v>888.82794000000013</v>
      </c>
      <c r="E318" s="483">
        <f t="shared" si="217"/>
        <v>888.82794000000013</v>
      </c>
      <c r="F318" s="483">
        <f t="shared" si="217"/>
        <v>888.82794000000013</v>
      </c>
      <c r="G318" s="483">
        <f t="shared" si="217"/>
        <v>888.82794000000013</v>
      </c>
      <c r="H318" s="483">
        <f t="shared" si="217"/>
        <v>911.04850200000021</v>
      </c>
      <c r="I318" s="483">
        <f t="shared" si="217"/>
        <v>925.86221000000012</v>
      </c>
      <c r="J318" s="483">
        <f t="shared" si="217"/>
        <v>936.44343000000015</v>
      </c>
      <c r="K318" s="483">
        <f t="shared" si="217"/>
        <v>944.37934500000017</v>
      </c>
      <c r="L318" s="483">
        <f t="shared" si="217"/>
        <v>944.37934500000017</v>
      </c>
      <c r="M318" s="483">
        <f t="shared" si="217"/>
        <v>944.37934500000017</v>
      </c>
      <c r="N318" s="483">
        <f t="shared" si="217"/>
        <v>944.37934500000017</v>
      </c>
      <c r="O318" s="483">
        <f t="shared" si="217"/>
        <v>944.37934500000017</v>
      </c>
      <c r="P318" s="674">
        <f t="shared" si="168"/>
        <v>11050.562626999999</v>
      </c>
    </row>
    <row r="319" spans="1:16" hidden="1" outlineLevel="1">
      <c r="A319" s="690" t="s">
        <v>3272</v>
      </c>
      <c r="B319" s="336" t="s">
        <v>3227</v>
      </c>
      <c r="C319" s="657" t="s">
        <v>143</v>
      </c>
      <c r="D319" s="483">
        <f t="shared" ref="D319:O319" si="218">IFERROR(IF($B319="FRANQUEADORA",(0.2+0.058+0.01+0.005)*(AVERAGE($D61:D61)),0),"")</f>
        <v>677.10279000000003</v>
      </c>
      <c r="E319" s="483">
        <f t="shared" si="218"/>
        <v>677.10279000000003</v>
      </c>
      <c r="F319" s="483">
        <f t="shared" si="218"/>
        <v>677.10279000000003</v>
      </c>
      <c r="G319" s="483">
        <f t="shared" si="218"/>
        <v>677.10279000000003</v>
      </c>
      <c r="H319" s="483">
        <f t="shared" si="218"/>
        <v>677.10279000000003</v>
      </c>
      <c r="I319" s="483">
        <f t="shared" si="218"/>
        <v>677.10279000000003</v>
      </c>
      <c r="J319" s="483">
        <f t="shared" si="218"/>
        <v>688.2115500000001</v>
      </c>
      <c r="K319" s="483">
        <f t="shared" si="218"/>
        <v>696.54312000000004</v>
      </c>
      <c r="L319" s="483">
        <f t="shared" si="218"/>
        <v>696.54312000000004</v>
      </c>
      <c r="M319" s="483">
        <f t="shared" si="218"/>
        <v>696.54312000000004</v>
      </c>
      <c r="N319" s="483">
        <f t="shared" si="218"/>
        <v>696.54312000000004</v>
      </c>
      <c r="O319" s="483">
        <f t="shared" si="218"/>
        <v>696.54312000000004</v>
      </c>
      <c r="P319" s="674">
        <f t="shared" si="168"/>
        <v>8233.5438900000008</v>
      </c>
    </row>
    <row r="320" spans="1:16" hidden="1" outlineLevel="1">
      <c r="A320" s="691" t="s">
        <v>3273</v>
      </c>
      <c r="B320" s="336" t="s">
        <v>3227</v>
      </c>
      <c r="C320" s="657" t="s">
        <v>143</v>
      </c>
      <c r="D320" s="483">
        <f t="shared" ref="D320:I320" si="219">IFERROR(IF($B320="FRANQUEADORA",(0.2+0.058+0.01+0.005)*(AVERAGE($D62:D62)),0),"")</f>
        <v>1140.95436</v>
      </c>
      <c r="E320" s="483">
        <f t="shared" si="219"/>
        <v>1140.95436</v>
      </c>
      <c r="F320" s="483">
        <f t="shared" si="219"/>
        <v>1140.95436</v>
      </c>
      <c r="G320" s="483">
        <f t="shared" si="219"/>
        <v>1140.95436</v>
      </c>
      <c r="H320" s="483">
        <f t="shared" si="219"/>
        <v>1140.95436</v>
      </c>
      <c r="I320" s="483">
        <f t="shared" si="219"/>
        <v>1140.95436</v>
      </c>
      <c r="J320" s="483"/>
      <c r="K320" s="483"/>
      <c r="L320" s="483"/>
      <c r="M320" s="483"/>
      <c r="N320" s="483"/>
      <c r="O320" s="483"/>
      <c r="P320" s="674">
        <f t="shared" si="168"/>
        <v>6845.7261599999993</v>
      </c>
    </row>
    <row r="321" spans="1:16" hidden="1" outlineLevel="1">
      <c r="A321" s="690" t="s">
        <v>1643</v>
      </c>
      <c r="B321" s="336" t="s">
        <v>3227</v>
      </c>
      <c r="C321" s="657" t="s">
        <v>143</v>
      </c>
      <c r="D321" s="483">
        <f t="shared" ref="D321:O321" si="220">IFERROR(IF($B321="FRANQUEADORA",(0.2+0.058+0.01+0.005)*(AVERAGE($D63:D63)),0),"")</f>
        <v>703.42272000000003</v>
      </c>
      <c r="E321" s="483">
        <f t="shared" si="220"/>
        <v>703.42272000000003</v>
      </c>
      <c r="F321" s="483">
        <f t="shared" si="220"/>
        <v>703.42272000000003</v>
      </c>
      <c r="G321" s="483">
        <f t="shared" si="220"/>
        <v>703.42272000000003</v>
      </c>
      <c r="H321" s="483">
        <f t="shared" si="220"/>
        <v>703.42272000000003</v>
      </c>
      <c r="I321" s="483">
        <f t="shared" si="220"/>
        <v>703.42272000000003</v>
      </c>
      <c r="J321" s="483">
        <f t="shared" si="220"/>
        <v>703.42272000000003</v>
      </c>
      <c r="K321" s="483">
        <f t="shared" si="220"/>
        <v>703.42272000000003</v>
      </c>
      <c r="L321" s="483">
        <f t="shared" si="220"/>
        <v>703.42272000000003</v>
      </c>
      <c r="M321" s="483">
        <f t="shared" si="220"/>
        <v>703.42272000000003</v>
      </c>
      <c r="N321" s="483">
        <f t="shared" si="220"/>
        <v>703.42272000000003</v>
      </c>
      <c r="O321" s="483">
        <f t="shared" si="220"/>
        <v>703.42272000000003</v>
      </c>
      <c r="P321" s="674">
        <f t="shared" si="168"/>
        <v>8441.0726400000021</v>
      </c>
    </row>
    <row r="322" spans="1:16" hidden="1" outlineLevel="1">
      <c r="A322" s="690" t="s">
        <v>3274</v>
      </c>
      <c r="B322" s="336" t="s">
        <v>3227</v>
      </c>
      <c r="C322" s="657" t="s">
        <v>143</v>
      </c>
      <c r="D322" s="483">
        <f t="shared" ref="D322:O322" si="221">IFERROR(IF($B322="FRANQUEADORA",(0.2+0.058+0.01+0.005)*(AVERAGE($D64:D64)),0),"")</f>
        <v>738.65883000000008</v>
      </c>
      <c r="E322" s="483">
        <f t="shared" si="221"/>
        <v>738.65883000000008</v>
      </c>
      <c r="F322" s="483">
        <f t="shared" si="221"/>
        <v>738.65883000000008</v>
      </c>
      <c r="G322" s="483">
        <f t="shared" si="221"/>
        <v>784.64772750000009</v>
      </c>
      <c r="H322" s="483">
        <f t="shared" si="221"/>
        <v>812.24106599999993</v>
      </c>
      <c r="I322" s="483">
        <f t="shared" si="221"/>
        <v>830.63662500000009</v>
      </c>
      <c r="J322" s="483">
        <f t="shared" si="221"/>
        <v>843.77631000000008</v>
      </c>
      <c r="K322" s="483">
        <f t="shared" si="221"/>
        <v>853.63107375000016</v>
      </c>
      <c r="L322" s="483">
        <f t="shared" si="221"/>
        <v>853.63107375000016</v>
      </c>
      <c r="M322" s="483">
        <f t="shared" si="221"/>
        <v>853.63107375000016</v>
      </c>
      <c r="N322" s="483">
        <f t="shared" si="221"/>
        <v>853.63107375000016</v>
      </c>
      <c r="O322" s="483">
        <f t="shared" si="221"/>
        <v>853.63107375000016</v>
      </c>
      <c r="P322" s="674">
        <f t="shared" si="168"/>
        <v>9755.4335872500014</v>
      </c>
    </row>
    <row r="323" spans="1:16" hidden="1" outlineLevel="1">
      <c r="A323" s="692" t="s">
        <v>3275</v>
      </c>
      <c r="B323" s="336" t="s">
        <v>3227</v>
      </c>
      <c r="C323" s="657" t="s">
        <v>143</v>
      </c>
      <c r="D323" s="483">
        <f t="shared" ref="D323:F323" si="222">IFERROR(IF($B323="FRANQUEADORA",(0.2+0.058+0.01+0.005)*(AVERAGE($D65:D65)),0),"")</f>
        <v>754.8641100000001</v>
      </c>
      <c r="E323" s="483">
        <f t="shared" si="222"/>
        <v>754.8641100000001</v>
      </c>
      <c r="F323" s="483">
        <f t="shared" si="222"/>
        <v>754.8641100000001</v>
      </c>
      <c r="G323" s="698"/>
      <c r="H323" s="698"/>
      <c r="I323" s="698"/>
      <c r="J323" s="698"/>
      <c r="K323" s="698"/>
      <c r="L323" s="698"/>
      <c r="M323" s="698"/>
      <c r="N323" s="698"/>
      <c r="O323" s="698"/>
      <c r="P323" s="674">
        <f t="shared" si="168"/>
        <v>2264.5923300000004</v>
      </c>
    </row>
    <row r="324" spans="1:16" hidden="1" outlineLevel="1">
      <c r="A324" s="690" t="s">
        <v>3276</v>
      </c>
      <c r="B324" s="336" t="s">
        <v>243</v>
      </c>
      <c r="C324" s="657" t="s">
        <v>143</v>
      </c>
      <c r="D324" s="483">
        <f t="shared" ref="D324:O324" si="223">IFERROR(IF($B324="FRANQUEADORA",(0.2+0.058+0.01+0.005)*(AVERAGE($D66:D66)),0),"")</f>
        <v>0</v>
      </c>
      <c r="E324" s="483">
        <f t="shared" si="223"/>
        <v>0</v>
      </c>
      <c r="F324" s="483">
        <f t="shared" si="223"/>
        <v>0</v>
      </c>
      <c r="G324" s="483">
        <f t="shared" si="223"/>
        <v>0</v>
      </c>
      <c r="H324" s="483">
        <f t="shared" si="223"/>
        <v>0</v>
      </c>
      <c r="I324" s="483">
        <f t="shared" si="223"/>
        <v>0</v>
      </c>
      <c r="J324" s="483">
        <f t="shared" si="223"/>
        <v>0</v>
      </c>
      <c r="K324" s="483">
        <f t="shared" si="223"/>
        <v>0</v>
      </c>
      <c r="L324" s="483">
        <f t="shared" si="223"/>
        <v>0</v>
      </c>
      <c r="M324" s="483">
        <f t="shared" si="223"/>
        <v>0</v>
      </c>
      <c r="N324" s="483">
        <f t="shared" si="223"/>
        <v>0</v>
      </c>
      <c r="O324" s="483">
        <f t="shared" si="223"/>
        <v>0</v>
      </c>
      <c r="P324" s="674">
        <f t="shared" si="168"/>
        <v>0</v>
      </c>
    </row>
    <row r="325" spans="1:16" hidden="1" outlineLevel="1">
      <c r="A325" s="690" t="s">
        <v>3277</v>
      </c>
      <c r="B325" s="336" t="s">
        <v>3227</v>
      </c>
      <c r="C325" s="657" t="s">
        <v>143</v>
      </c>
      <c r="D325" s="483">
        <f t="shared" ref="D325:O325" si="224">IFERROR(IF($B325="FRANQUEADORA",(0.2+0.058+0.01+0.005)*(AVERAGE($D67:D67)),0),"")</f>
        <v>477.09753000000001</v>
      </c>
      <c r="E325" s="483">
        <f t="shared" si="224"/>
        <v>477.09753000000001</v>
      </c>
      <c r="F325" s="483">
        <f t="shared" si="224"/>
        <v>477.09753000000001</v>
      </c>
      <c r="G325" s="483">
        <f t="shared" si="224"/>
        <v>477.09753000000001</v>
      </c>
      <c r="H325" s="483">
        <f t="shared" si="224"/>
        <v>477.09753000000001</v>
      </c>
      <c r="I325" s="483">
        <f t="shared" si="224"/>
        <v>477.09753000000001</v>
      </c>
      <c r="J325" s="483">
        <f t="shared" si="224"/>
        <v>477.09753000000006</v>
      </c>
      <c r="K325" s="483">
        <f t="shared" si="224"/>
        <v>477.09753000000006</v>
      </c>
      <c r="L325" s="483">
        <f t="shared" si="224"/>
        <v>477.09753000000006</v>
      </c>
      <c r="M325" s="483">
        <f t="shared" si="224"/>
        <v>477.09753000000006</v>
      </c>
      <c r="N325" s="483">
        <f t="shared" si="224"/>
        <v>477.09753000000006</v>
      </c>
      <c r="O325" s="483">
        <f t="shared" si="224"/>
        <v>477.09753000000006</v>
      </c>
      <c r="P325" s="674">
        <f t="shared" si="168"/>
        <v>5725.1703600000001</v>
      </c>
    </row>
    <row r="326" spans="1:16" hidden="1" outlineLevel="1">
      <c r="A326" s="683" t="s">
        <v>3278</v>
      </c>
      <c r="B326" s="336" t="s">
        <v>3227</v>
      </c>
      <c r="C326" s="657" t="s">
        <v>143</v>
      </c>
      <c r="D326" s="483">
        <f>IFERROR(IF($B326="FRANQUEADORA",(0.2+0.058+0.01+0.005)*(AVERAGE($D68:D68)),0),"")</f>
        <v>0</v>
      </c>
      <c r="E326" s="697">
        <f t="shared" ref="E326:O326" si="225">IFERROR(IF($B326="FRANQUEADORA",(0.2+0.058+0.01+0.005)*(AVERAGE($E68:E68)),0),"")</f>
        <v>838.73790000000008</v>
      </c>
      <c r="F326" s="483">
        <f t="shared" si="225"/>
        <v>838.73790000000008</v>
      </c>
      <c r="G326" s="483">
        <f t="shared" si="225"/>
        <v>838.7379000000002</v>
      </c>
      <c r="H326" s="483">
        <f t="shared" si="225"/>
        <v>838.73790000000008</v>
      </c>
      <c r="I326" s="483">
        <f t="shared" si="225"/>
        <v>838.73790000000008</v>
      </c>
      <c r="J326" s="483">
        <f t="shared" si="225"/>
        <v>838.73789999999997</v>
      </c>
      <c r="K326" s="483">
        <f t="shared" si="225"/>
        <v>838.73789999999997</v>
      </c>
      <c r="L326" s="483">
        <f t="shared" si="225"/>
        <v>838.73789999999997</v>
      </c>
      <c r="M326" s="483">
        <f t="shared" si="225"/>
        <v>838.73789999999997</v>
      </c>
      <c r="N326" s="483">
        <f t="shared" si="225"/>
        <v>838.73789999999997</v>
      </c>
      <c r="O326" s="483">
        <f t="shared" si="225"/>
        <v>838.73789999999997</v>
      </c>
      <c r="P326" s="674">
        <f t="shared" si="168"/>
        <v>9226.1169000000009</v>
      </c>
    </row>
    <row r="327" spans="1:16" hidden="1" outlineLevel="1">
      <c r="A327" s="683" t="s">
        <v>3279</v>
      </c>
      <c r="B327" s="336" t="s">
        <v>3227</v>
      </c>
      <c r="C327" s="657" t="s">
        <v>143</v>
      </c>
      <c r="D327" s="483"/>
      <c r="E327" s="483"/>
      <c r="F327" s="483"/>
      <c r="G327" s="483"/>
      <c r="H327" s="483"/>
      <c r="I327" s="697">
        <f t="shared" ref="I327:O327" si="226">IFERROR(IF($B327="FRANQUEADORA",(0.2+0.058+0.01+0.005)*(AVERAGE($I69:I69)),0),"")</f>
        <v>1394.5003800000002</v>
      </c>
      <c r="J327" s="483">
        <f t="shared" si="226"/>
        <v>1394.5003800000002</v>
      </c>
      <c r="K327" s="483">
        <f t="shared" si="226"/>
        <v>1394.5003800000002</v>
      </c>
      <c r="L327" s="483">
        <f t="shared" si="226"/>
        <v>1394.5003800000002</v>
      </c>
      <c r="M327" s="483">
        <f t="shared" si="226"/>
        <v>1394.5003800000002</v>
      </c>
      <c r="N327" s="483">
        <f t="shared" si="226"/>
        <v>1394.5003800000002</v>
      </c>
      <c r="O327" s="483">
        <f t="shared" si="226"/>
        <v>1394.5003800000002</v>
      </c>
      <c r="P327" s="674">
        <f t="shared" si="168"/>
        <v>9761.5026600000001</v>
      </c>
    </row>
    <row r="328" spans="1:16" hidden="1" outlineLevel="1">
      <c r="A328" s="679" t="s">
        <v>3280</v>
      </c>
      <c r="B328" s="336" t="s">
        <v>3227</v>
      </c>
      <c r="C328" s="657" t="s">
        <v>159</v>
      </c>
      <c r="D328" s="483">
        <f t="shared" ref="D328:E328" si="227">IFERROR(IF($B328="FRANQUEADORA",(0.2+0.058+0.01+0.005)*(AVERAGE($D70:D70)),0),"")</f>
        <v>1462.7858699999999</v>
      </c>
      <c r="E328" s="483">
        <f t="shared" si="227"/>
        <v>1462.7858699999999</v>
      </c>
      <c r="F328" s="483"/>
      <c r="G328" s="483"/>
      <c r="H328" s="483"/>
      <c r="I328" s="483"/>
      <c r="J328" s="483"/>
      <c r="K328" s="483"/>
      <c r="L328" s="483"/>
      <c r="M328" s="483"/>
      <c r="N328" s="483"/>
      <c r="O328" s="483"/>
      <c r="P328" s="674">
        <f t="shared" si="168"/>
        <v>2925.5717399999999</v>
      </c>
    </row>
    <row r="329" spans="1:16" hidden="1" outlineLevel="1">
      <c r="A329" s="670" t="s">
        <v>3281</v>
      </c>
      <c r="B329" s="336" t="s">
        <v>3227</v>
      </c>
      <c r="C329" s="657" t="s">
        <v>159</v>
      </c>
      <c r="D329" s="483">
        <f t="shared" ref="D329:O329" si="228">IFERROR(IF($B329="FRANQUEADORA",(0.2+0.058+0.01+0.005)*(AVERAGE($D71:D71)),0),"")</f>
        <v>615.54675000000009</v>
      </c>
      <c r="E329" s="483">
        <f t="shared" si="228"/>
        <v>615.54675000000009</v>
      </c>
      <c r="F329" s="483">
        <f t="shared" si="228"/>
        <v>615.54675000000009</v>
      </c>
      <c r="G329" s="483">
        <f t="shared" si="228"/>
        <v>615.54675000000009</v>
      </c>
      <c r="H329" s="483">
        <f t="shared" si="228"/>
        <v>643.41022199999998</v>
      </c>
      <c r="I329" s="483">
        <f t="shared" si="228"/>
        <v>661.98586999999998</v>
      </c>
      <c r="J329" s="483">
        <f t="shared" si="228"/>
        <v>675.25418999999999</v>
      </c>
      <c r="K329" s="483">
        <f t="shared" si="228"/>
        <v>685.20542999999998</v>
      </c>
      <c r="L329" s="483">
        <f t="shared" si="228"/>
        <v>685.20542999999998</v>
      </c>
      <c r="M329" s="483">
        <f t="shared" si="228"/>
        <v>685.20542999999998</v>
      </c>
      <c r="N329" s="483">
        <f t="shared" si="228"/>
        <v>685.20542999999998</v>
      </c>
      <c r="O329" s="483">
        <f t="shared" si="228"/>
        <v>685.20542999999998</v>
      </c>
      <c r="P329" s="674">
        <f t="shared" si="168"/>
        <v>7868.8644320000003</v>
      </c>
    </row>
    <row r="330" spans="1:16" hidden="1" outlineLevel="1">
      <c r="A330" s="670" t="s">
        <v>3282</v>
      </c>
      <c r="B330" s="336" t="s">
        <v>3227</v>
      </c>
      <c r="C330" s="657" t="s">
        <v>159</v>
      </c>
      <c r="D330" s="483">
        <f t="shared" ref="D330:O330" si="229">IFERROR(IF($B330="FRANQUEADORA",(0.2+0.058+0.01+0.005)*(AVERAGE($D72:D72)),0),"")</f>
        <v>1300.2525900000001</v>
      </c>
      <c r="E330" s="483">
        <f t="shared" si="229"/>
        <v>1300.2525900000001</v>
      </c>
      <c r="F330" s="483">
        <f t="shared" si="229"/>
        <v>1300.2525900000001</v>
      </c>
      <c r="G330" s="483">
        <f t="shared" si="229"/>
        <v>1300.2525900000001</v>
      </c>
      <c r="H330" s="483">
        <f t="shared" si="229"/>
        <v>1300.2525900000001</v>
      </c>
      <c r="I330" s="483">
        <f t="shared" si="229"/>
        <v>1300.2525900000003</v>
      </c>
      <c r="J330" s="483">
        <f t="shared" si="229"/>
        <v>1300.2525900000003</v>
      </c>
      <c r="K330" s="483">
        <f t="shared" si="229"/>
        <v>1300.2525900000003</v>
      </c>
      <c r="L330" s="483">
        <f t="shared" si="229"/>
        <v>1300.2525900000003</v>
      </c>
      <c r="M330" s="483">
        <f t="shared" si="229"/>
        <v>1300.2525900000003</v>
      </c>
      <c r="N330" s="483">
        <f t="shared" si="229"/>
        <v>1300.2525900000003</v>
      </c>
      <c r="O330" s="483">
        <f t="shared" si="229"/>
        <v>1300.2525900000003</v>
      </c>
      <c r="P330" s="674">
        <f t="shared" si="168"/>
        <v>15603.031080000001</v>
      </c>
    </row>
    <row r="331" spans="1:16" hidden="1" outlineLevel="1">
      <c r="A331" s="670" t="s">
        <v>3283</v>
      </c>
      <c r="B331" s="336" t="s">
        <v>3227</v>
      </c>
      <c r="C331" s="657" t="s">
        <v>159</v>
      </c>
      <c r="D331" s="483">
        <f t="shared" ref="D331:O331" si="230">IFERROR(IF($B331="FRANQUEADORA",(0.2+0.058+0.01+0.005)*(AVERAGE($D73:D73)),0),"")</f>
        <v>1111.0335600000001</v>
      </c>
      <c r="E331" s="483">
        <f t="shared" si="230"/>
        <v>1222.137735</v>
      </c>
      <c r="F331" s="483">
        <f t="shared" si="230"/>
        <v>1259.1724600000002</v>
      </c>
      <c r="G331" s="483">
        <f t="shared" si="230"/>
        <v>1277.6898225</v>
      </c>
      <c r="H331" s="483">
        <f t="shared" si="230"/>
        <v>1288.80024</v>
      </c>
      <c r="I331" s="483">
        <f t="shared" si="230"/>
        <v>1296.207185</v>
      </c>
      <c r="J331" s="483">
        <f t="shared" si="230"/>
        <v>1301.4978599999999</v>
      </c>
      <c r="K331" s="483">
        <f t="shared" si="230"/>
        <v>1305.4658662499999</v>
      </c>
      <c r="L331" s="483">
        <f t="shared" si="230"/>
        <v>1305.4658662499999</v>
      </c>
      <c r="M331" s="483">
        <f t="shared" si="230"/>
        <v>1305.4658662499999</v>
      </c>
      <c r="N331" s="483">
        <f t="shared" si="230"/>
        <v>1305.4658662499999</v>
      </c>
      <c r="O331" s="483">
        <f t="shared" si="230"/>
        <v>1305.4658662499999</v>
      </c>
      <c r="P331" s="674">
        <f t="shared" si="168"/>
        <v>15283.868193750004</v>
      </c>
    </row>
    <row r="332" spans="1:16" hidden="1" outlineLevel="1">
      <c r="A332" s="679" t="s">
        <v>3284</v>
      </c>
      <c r="B332" s="336" t="s">
        <v>3227</v>
      </c>
      <c r="C332" s="657" t="s">
        <v>159</v>
      </c>
      <c r="D332" s="483">
        <f t="shared" ref="D332:F332" si="231">IFERROR(IF($B332="FRANQUEADORA",(0.2+0.058+0.01+0.005)*(AVERAGE($D74:D74)),0),"")</f>
        <v>670.99305000000004</v>
      </c>
      <c r="E332" s="483">
        <f t="shared" si="231"/>
        <v>670.99305000000004</v>
      </c>
      <c r="F332" s="483">
        <f t="shared" si="231"/>
        <v>670.99305000000004</v>
      </c>
      <c r="G332" s="483"/>
      <c r="H332" s="483"/>
      <c r="I332" s="483"/>
      <c r="J332" s="483"/>
      <c r="K332" s="483"/>
      <c r="L332" s="483"/>
      <c r="M332" s="483"/>
      <c r="N332" s="483"/>
      <c r="O332" s="483"/>
      <c r="P332" s="674">
        <f t="shared" si="168"/>
        <v>2012.9791500000001</v>
      </c>
    </row>
    <row r="333" spans="1:16" hidden="1" outlineLevel="1">
      <c r="A333" s="670" t="s">
        <v>3285</v>
      </c>
      <c r="B333" s="336" t="s">
        <v>3227</v>
      </c>
      <c r="C333" s="657" t="s">
        <v>159</v>
      </c>
      <c r="D333" s="483">
        <f t="shared" ref="D333:O333" si="232">IFERROR(IF($B333="FRANQUEADORA",(0.2+0.058+0.01+0.005)*(AVERAGE($D75:D75)),0),"")</f>
        <v>1524.8087400000002</v>
      </c>
      <c r="E333" s="483">
        <f t="shared" si="232"/>
        <v>1524.8087400000002</v>
      </c>
      <c r="F333" s="483">
        <f t="shared" si="232"/>
        <v>1524.8087400000002</v>
      </c>
      <c r="G333" s="483">
        <f t="shared" si="232"/>
        <v>1524.8087400000002</v>
      </c>
      <c r="H333" s="483">
        <f t="shared" si="232"/>
        <v>1524.8087400000002</v>
      </c>
      <c r="I333" s="483">
        <f t="shared" si="232"/>
        <v>1524.8087400000002</v>
      </c>
      <c r="J333" s="483">
        <f t="shared" si="232"/>
        <v>1524.8087399999999</v>
      </c>
      <c r="K333" s="483">
        <f t="shared" si="232"/>
        <v>1567.1619599999999</v>
      </c>
      <c r="L333" s="483">
        <f t="shared" si="232"/>
        <v>1567.1619599999999</v>
      </c>
      <c r="M333" s="483">
        <f t="shared" si="232"/>
        <v>1567.1619599999999</v>
      </c>
      <c r="N333" s="483">
        <f t="shared" si="232"/>
        <v>1567.1619599999999</v>
      </c>
      <c r="O333" s="483">
        <f t="shared" si="232"/>
        <v>1567.1619599999999</v>
      </c>
      <c r="P333" s="674">
        <f t="shared" si="168"/>
        <v>18509.470980000002</v>
      </c>
    </row>
    <row r="334" spans="1:16" hidden="1" outlineLevel="1">
      <c r="A334" s="686" t="s">
        <v>3286</v>
      </c>
      <c r="B334" s="336" t="s">
        <v>3227</v>
      </c>
      <c r="C334" s="657" t="s">
        <v>159</v>
      </c>
      <c r="D334" s="483">
        <f t="shared" ref="D334:O334" si="233">IFERROR(IF($B334="FRANQUEADORA",(0.2+0.058+0.01+0.005)*(AVERAGE($D76:D76)),0),"")</f>
        <v>740.41695000000004</v>
      </c>
      <c r="E334" s="483">
        <f t="shared" si="233"/>
        <v>740.41695000000004</v>
      </c>
      <c r="F334" s="483">
        <f t="shared" si="233"/>
        <v>740.41695000000004</v>
      </c>
      <c r="G334" s="483">
        <f t="shared" si="233"/>
        <v>740.41695000000004</v>
      </c>
      <c r="H334" s="483">
        <f t="shared" si="233"/>
        <v>740.41695000000004</v>
      </c>
      <c r="I334" s="483">
        <f t="shared" si="233"/>
        <v>740.41695000000004</v>
      </c>
      <c r="J334" s="483">
        <f t="shared" si="233"/>
        <v>740.41695000000004</v>
      </c>
      <c r="K334" s="483">
        <f t="shared" si="233"/>
        <v>740.41695000000004</v>
      </c>
      <c r="L334" s="483">
        <f t="shared" si="233"/>
        <v>740.41695000000004</v>
      </c>
      <c r="M334" s="483">
        <f t="shared" si="233"/>
        <v>740.41695000000004</v>
      </c>
      <c r="N334" s="483">
        <f t="shared" si="233"/>
        <v>740.41695000000004</v>
      </c>
      <c r="O334" s="483">
        <f t="shared" si="233"/>
        <v>740.41695000000004</v>
      </c>
      <c r="P334" s="674">
        <f t="shared" si="168"/>
        <v>8885.0033999999996</v>
      </c>
    </row>
    <row r="335" spans="1:16" hidden="1" outlineLevel="1">
      <c r="A335" s="679" t="s">
        <v>3287</v>
      </c>
      <c r="B335" s="336" t="s">
        <v>243</v>
      </c>
      <c r="C335" s="657" t="s">
        <v>159</v>
      </c>
      <c r="D335" s="483">
        <f t="shared" ref="D335:E335" si="234">IFERROR(IF($B335="FRANQUEADORA",(0.2+0.058+0.01+0.005)*(AVERAGE($D77:D77)),0),"")</f>
        <v>0</v>
      </c>
      <c r="E335" s="483">
        <f t="shared" si="234"/>
        <v>0</v>
      </c>
      <c r="F335" s="697">
        <f t="shared" ref="F335:I335" si="235">IFERROR(IF($B335="FRANQUEADORA",(0.2+0.058+0.01+0.005)*(AVERAGE($F77:F77)),0),"")</f>
        <v>0</v>
      </c>
      <c r="G335" s="483">
        <f t="shared" si="235"/>
        <v>0</v>
      </c>
      <c r="H335" s="483">
        <f t="shared" si="235"/>
        <v>0</v>
      </c>
      <c r="I335" s="483">
        <f t="shared" si="235"/>
        <v>0</v>
      </c>
      <c r="J335" s="483"/>
      <c r="K335" s="483"/>
      <c r="L335" s="483"/>
      <c r="M335" s="483"/>
      <c r="N335" s="483"/>
      <c r="O335" s="483"/>
      <c r="P335" s="674">
        <f t="shared" si="168"/>
        <v>0</v>
      </c>
    </row>
    <row r="336" spans="1:16" hidden="1" outlineLevel="1">
      <c r="A336" s="670" t="s">
        <v>3288</v>
      </c>
      <c r="B336" s="336" t="s">
        <v>3227</v>
      </c>
      <c r="C336" s="657" t="s">
        <v>2109</v>
      </c>
      <c r="D336" s="483">
        <f t="shared" ref="D336:O336" si="236">IFERROR(IF($B336="FRANQUEADORA",(0.2+0.058+0.01+0.005)*(AVERAGE($D78:D78)),0),"")</f>
        <v>1111.0335600000001</v>
      </c>
      <c r="E336" s="483">
        <f t="shared" si="236"/>
        <v>1111.0335600000001</v>
      </c>
      <c r="F336" s="483">
        <f t="shared" si="236"/>
        <v>1111.0335600000001</v>
      </c>
      <c r="G336" s="483">
        <f t="shared" si="236"/>
        <v>1111.0335600000001</v>
      </c>
      <c r="H336" s="483">
        <f t="shared" si="236"/>
        <v>1133.2541220000001</v>
      </c>
      <c r="I336" s="483">
        <f t="shared" si="236"/>
        <v>1148.06783</v>
      </c>
      <c r="J336" s="483">
        <f t="shared" si="236"/>
        <v>1158.64905</v>
      </c>
      <c r="K336" s="483">
        <f t="shared" si="236"/>
        <v>1166.584965</v>
      </c>
      <c r="L336" s="483">
        <f t="shared" si="236"/>
        <v>1166.584965</v>
      </c>
      <c r="M336" s="483">
        <f t="shared" si="236"/>
        <v>1166.584965</v>
      </c>
      <c r="N336" s="483">
        <f t="shared" si="236"/>
        <v>1166.584965</v>
      </c>
      <c r="O336" s="483">
        <f t="shared" si="236"/>
        <v>1166.584965</v>
      </c>
      <c r="P336" s="674">
        <f t="shared" si="168"/>
        <v>13717.030067</v>
      </c>
    </row>
    <row r="337" spans="1:16" hidden="1" outlineLevel="1">
      <c r="A337" s="670" t="s">
        <v>3289</v>
      </c>
      <c r="B337" s="336" t="s">
        <v>3227</v>
      </c>
      <c r="C337" s="657" t="s">
        <v>2109</v>
      </c>
      <c r="D337" s="483">
        <f t="shared" ref="D337:O337" si="237">IFERROR(IF($B337="FRANQUEADORA",(0.2+0.058+0.01+0.005)*(AVERAGE($D79:D79)),0),"")</f>
        <v>888.82794000000013</v>
      </c>
      <c r="E337" s="483">
        <f t="shared" si="237"/>
        <v>944.37934500000017</v>
      </c>
      <c r="F337" s="483">
        <f t="shared" si="237"/>
        <v>962.89648000000022</v>
      </c>
      <c r="G337" s="483">
        <f t="shared" si="237"/>
        <v>972.15504750000014</v>
      </c>
      <c r="H337" s="483">
        <f t="shared" si="237"/>
        <v>977.71018800000002</v>
      </c>
      <c r="I337" s="483">
        <f t="shared" si="237"/>
        <v>981.41361500000005</v>
      </c>
      <c r="J337" s="483">
        <f t="shared" si="237"/>
        <v>984.05892000000006</v>
      </c>
      <c r="K337" s="483">
        <f t="shared" si="237"/>
        <v>986.04289875000006</v>
      </c>
      <c r="L337" s="483">
        <f t="shared" si="237"/>
        <v>986.04289875000006</v>
      </c>
      <c r="M337" s="483">
        <f t="shared" si="237"/>
        <v>986.04289875000006</v>
      </c>
      <c r="N337" s="483">
        <f t="shared" si="237"/>
        <v>986.04289875000006</v>
      </c>
      <c r="O337" s="483">
        <f t="shared" si="237"/>
        <v>986.04289875000006</v>
      </c>
      <c r="P337" s="674">
        <f t="shared" si="168"/>
        <v>11641.656029250002</v>
      </c>
    </row>
    <row r="338" spans="1:16" hidden="1" outlineLevel="1">
      <c r="A338" s="690" t="s">
        <v>1682</v>
      </c>
      <c r="B338" s="336" t="s">
        <v>3227</v>
      </c>
      <c r="C338" s="657" t="s">
        <v>2109</v>
      </c>
      <c r="D338" s="483">
        <f t="shared" ref="D338:O338" si="238">IFERROR(IF($B338="FRANQUEADORA",(0.2+0.058+0.01+0.005)*(AVERAGE($D80:D80)),0),"")</f>
        <v>922.61169000000007</v>
      </c>
      <c r="E338" s="483">
        <f t="shared" si="238"/>
        <v>961.2712200000002</v>
      </c>
      <c r="F338" s="483">
        <f t="shared" si="238"/>
        <v>974.15773000000013</v>
      </c>
      <c r="G338" s="483">
        <f t="shared" si="238"/>
        <v>980.60098500000015</v>
      </c>
      <c r="H338" s="483">
        <f t="shared" si="238"/>
        <v>984.46693800000003</v>
      </c>
      <c r="I338" s="483">
        <f t="shared" si="238"/>
        <v>987.04424000000006</v>
      </c>
      <c r="J338" s="483">
        <f t="shared" si="238"/>
        <v>988.88517000000002</v>
      </c>
      <c r="K338" s="483">
        <f t="shared" si="238"/>
        <v>990.26586750000001</v>
      </c>
      <c r="L338" s="483">
        <f t="shared" si="238"/>
        <v>990.26586750000001</v>
      </c>
      <c r="M338" s="483">
        <f t="shared" si="238"/>
        <v>990.26586750000001</v>
      </c>
      <c r="N338" s="483">
        <f t="shared" si="238"/>
        <v>990.26586750000001</v>
      </c>
      <c r="O338" s="483">
        <f t="shared" si="238"/>
        <v>990.26586750000001</v>
      </c>
      <c r="P338" s="674">
        <f t="shared" si="168"/>
        <v>11750.367310500002</v>
      </c>
    </row>
    <row r="339" spans="1:16" hidden="1" outlineLevel="1">
      <c r="A339" s="690" t="s">
        <v>3290</v>
      </c>
      <c r="B339" s="336" t="s">
        <v>3227</v>
      </c>
      <c r="C339" s="657" t="s">
        <v>964</v>
      </c>
      <c r="D339" s="483">
        <f t="shared" ref="D339:O339" si="239">IFERROR(IF($B339="FRANQUEADORA",(0.2+0.058+0.01+0.005)*(AVERAGE($D81:D81)),0),"")</f>
        <v>1135.134</v>
      </c>
      <c r="E339" s="483">
        <f t="shared" si="239"/>
        <v>1135.134</v>
      </c>
      <c r="F339" s="483">
        <f t="shared" si="239"/>
        <v>1135.134</v>
      </c>
      <c r="G339" s="483">
        <f t="shared" si="239"/>
        <v>1135.134</v>
      </c>
      <c r="H339" s="483">
        <f t="shared" si="239"/>
        <v>1135.134</v>
      </c>
      <c r="I339" s="483">
        <f t="shared" si="239"/>
        <v>1135.134</v>
      </c>
      <c r="J339" s="483">
        <f t="shared" si="239"/>
        <v>1135.134</v>
      </c>
      <c r="K339" s="483">
        <f t="shared" si="239"/>
        <v>1149.3238575</v>
      </c>
      <c r="L339" s="483">
        <f t="shared" si="239"/>
        <v>1149.3238575</v>
      </c>
      <c r="M339" s="483">
        <f t="shared" si="239"/>
        <v>1149.3238575</v>
      </c>
      <c r="N339" s="483">
        <f t="shared" si="239"/>
        <v>1149.3238575</v>
      </c>
      <c r="O339" s="483">
        <f t="shared" si="239"/>
        <v>1149.3238575</v>
      </c>
      <c r="P339" s="674">
        <f t="shared" si="168"/>
        <v>13692.557287499998</v>
      </c>
    </row>
    <row r="340" spans="1:16" hidden="1" outlineLevel="1">
      <c r="A340" s="690" t="s">
        <v>3291</v>
      </c>
      <c r="B340" s="336" t="s">
        <v>3227</v>
      </c>
      <c r="C340" s="657" t="s">
        <v>964</v>
      </c>
      <c r="D340" s="483">
        <f t="shared" ref="D340:O340" si="240">IFERROR(IF($B340="FRANQUEADORA",(0.2+0.058+0.01+0.005)*(AVERAGE($D82:D82)),0),"")</f>
        <v>1362.16626</v>
      </c>
      <c r="E340" s="483">
        <f t="shared" si="240"/>
        <v>1362.16626</v>
      </c>
      <c r="F340" s="483">
        <f t="shared" si="240"/>
        <v>1362.16626</v>
      </c>
      <c r="G340" s="483">
        <f t="shared" si="240"/>
        <v>1374.0253800000003</v>
      </c>
      <c r="H340" s="483">
        <f t="shared" si="240"/>
        <v>1381.1408520000002</v>
      </c>
      <c r="I340" s="483">
        <f t="shared" si="240"/>
        <v>1385.8845000000003</v>
      </c>
      <c r="J340" s="483">
        <f t="shared" si="240"/>
        <v>1389.2728200000004</v>
      </c>
      <c r="K340" s="483">
        <f t="shared" si="240"/>
        <v>1391.8140600000002</v>
      </c>
      <c r="L340" s="483">
        <f t="shared" si="240"/>
        <v>1391.8140600000002</v>
      </c>
      <c r="M340" s="483">
        <f t="shared" si="240"/>
        <v>1391.8140600000002</v>
      </c>
      <c r="N340" s="483">
        <f t="shared" si="240"/>
        <v>1391.8140600000002</v>
      </c>
      <c r="O340" s="483">
        <f t="shared" si="240"/>
        <v>1391.8140600000002</v>
      </c>
      <c r="P340" s="674">
        <f t="shared" si="168"/>
        <v>16575.892632000003</v>
      </c>
    </row>
    <row r="341" spans="1:16" hidden="1" outlineLevel="1">
      <c r="A341" s="690" t="s">
        <v>3292</v>
      </c>
      <c r="B341" s="336" t="s">
        <v>3227</v>
      </c>
      <c r="C341" s="657" t="s">
        <v>964</v>
      </c>
      <c r="D341" s="483">
        <f t="shared" ref="D341:O341" si="241">IFERROR(IF($B341="FRANQUEADORA",(0.2+0.058+0.01+0.005)*(AVERAGE($D83:D83)),0),"")</f>
        <v>1223.0591099999999</v>
      </c>
      <c r="E341" s="483">
        <f t="shared" si="241"/>
        <v>1223.0591099999999</v>
      </c>
      <c r="F341" s="483">
        <f t="shared" si="241"/>
        <v>1223.0591099999999</v>
      </c>
      <c r="G341" s="483">
        <f t="shared" si="241"/>
        <v>1223.0591099999999</v>
      </c>
      <c r="H341" s="483">
        <f t="shared" si="241"/>
        <v>1223.0591099999999</v>
      </c>
      <c r="I341" s="483">
        <f t="shared" si="241"/>
        <v>1223.0591099999999</v>
      </c>
      <c r="J341" s="483">
        <f t="shared" si="241"/>
        <v>1223.0591099999999</v>
      </c>
      <c r="K341" s="483">
        <f t="shared" si="241"/>
        <v>1223.0591099999999</v>
      </c>
      <c r="L341" s="483">
        <f t="shared" si="241"/>
        <v>1223.0591099999999</v>
      </c>
      <c r="M341" s="483">
        <f t="shared" si="241"/>
        <v>1223.0591099999999</v>
      </c>
      <c r="N341" s="483">
        <f t="shared" si="241"/>
        <v>1223.0591099999999</v>
      </c>
      <c r="O341" s="483">
        <f t="shared" si="241"/>
        <v>1223.0591099999999</v>
      </c>
      <c r="P341" s="674">
        <f t="shared" si="168"/>
        <v>14676.70932</v>
      </c>
    </row>
    <row r="342" spans="1:16" hidden="1" outlineLevel="1">
      <c r="A342" s="690" t="s">
        <v>3293</v>
      </c>
      <c r="B342" s="336" t="s">
        <v>3227</v>
      </c>
      <c r="C342" s="657" t="s">
        <v>964</v>
      </c>
      <c r="D342" s="483">
        <f t="shared" ref="D342:O342" si="242">IFERROR(IF($B342="FRANQUEADORA",(0.2+0.058+0.01+0.005)*(AVERAGE($D84:D84)),0),"")</f>
        <v>1362.16626</v>
      </c>
      <c r="E342" s="483">
        <f t="shared" si="242"/>
        <v>1362.16626</v>
      </c>
      <c r="F342" s="483">
        <f t="shared" si="242"/>
        <v>1362.16626</v>
      </c>
      <c r="G342" s="483">
        <f t="shared" si="242"/>
        <v>1362.16626</v>
      </c>
      <c r="H342" s="483">
        <f t="shared" si="242"/>
        <v>1362.16626</v>
      </c>
      <c r="I342" s="483">
        <f t="shared" si="242"/>
        <v>1362.16626</v>
      </c>
      <c r="J342" s="483">
        <f t="shared" si="242"/>
        <v>1362.16626</v>
      </c>
      <c r="K342" s="483">
        <f t="shared" si="242"/>
        <v>1362.16626</v>
      </c>
      <c r="L342" s="483">
        <f t="shared" si="242"/>
        <v>1362.16626</v>
      </c>
      <c r="M342" s="483">
        <f t="shared" si="242"/>
        <v>1362.16626</v>
      </c>
      <c r="N342" s="483">
        <f t="shared" si="242"/>
        <v>1362.16626</v>
      </c>
      <c r="O342" s="483">
        <f t="shared" si="242"/>
        <v>1362.16626</v>
      </c>
      <c r="P342" s="674">
        <f t="shared" si="168"/>
        <v>16345.99512</v>
      </c>
    </row>
    <row r="343" spans="1:16" hidden="1" outlineLevel="1">
      <c r="A343" s="690" t="s">
        <v>3294</v>
      </c>
      <c r="B343" s="336" t="s">
        <v>3227</v>
      </c>
      <c r="C343" s="657" t="s">
        <v>964</v>
      </c>
      <c r="D343" s="483">
        <f t="shared" ref="D343:O343" si="243">IFERROR(IF($B343="FRANQUEADORA",(0.2+0.058+0.01+0.005)*(AVERAGE($D85:D85)),0),"")</f>
        <v>1490.9239800000003</v>
      </c>
      <c r="E343" s="483">
        <f t="shared" si="243"/>
        <v>1490.9239800000003</v>
      </c>
      <c r="F343" s="483">
        <f t="shared" si="243"/>
        <v>1490.9239800000003</v>
      </c>
      <c r="G343" s="483">
        <f t="shared" si="243"/>
        <v>1490.9239800000003</v>
      </c>
      <c r="H343" s="483">
        <f t="shared" si="243"/>
        <v>1490.9239800000003</v>
      </c>
      <c r="I343" s="483">
        <f t="shared" si="243"/>
        <v>1490.9239800000005</v>
      </c>
      <c r="J343" s="483">
        <f t="shared" si="243"/>
        <v>1490.9239800000005</v>
      </c>
      <c r="K343" s="483">
        <f t="shared" si="243"/>
        <v>1490.9239800000005</v>
      </c>
      <c r="L343" s="483">
        <f t="shared" si="243"/>
        <v>1490.9239800000005</v>
      </c>
      <c r="M343" s="483">
        <f t="shared" si="243"/>
        <v>1490.9239800000005</v>
      </c>
      <c r="N343" s="483">
        <f t="shared" si="243"/>
        <v>1490.9239800000005</v>
      </c>
      <c r="O343" s="483">
        <f t="shared" si="243"/>
        <v>1490.9239800000005</v>
      </c>
      <c r="P343" s="674">
        <f t="shared" si="168"/>
        <v>17891.087759999999</v>
      </c>
    </row>
    <row r="344" spans="1:16">
      <c r="C344" s="695"/>
      <c r="D344" s="696"/>
      <c r="P344" s="674"/>
    </row>
    <row r="345" spans="1:16">
      <c r="C345" s="695"/>
      <c r="D345" s="696"/>
      <c r="P345" s="685"/>
    </row>
    <row r="346" spans="1:16" ht="17.25">
      <c r="A346" s="700" t="s">
        <v>71</v>
      </c>
      <c r="C346" s="660" t="str">
        <f>$C$1</f>
        <v>TI</v>
      </c>
      <c r="D346" s="658">
        <f t="shared" ref="D346:P346" si="244">SUMIF($C349:$C429,$C346,D349:D429)</f>
        <v>1926.2856000000002</v>
      </c>
      <c r="E346" s="658">
        <f t="shared" si="244"/>
        <v>1926.2856000000002</v>
      </c>
      <c r="F346" s="658">
        <f t="shared" si="244"/>
        <v>1926.2856000000002</v>
      </c>
      <c r="G346" s="658">
        <f t="shared" si="244"/>
        <v>1940.1864</v>
      </c>
      <c r="H346" s="658">
        <f t="shared" si="244"/>
        <v>1940.1864</v>
      </c>
      <c r="I346" s="658">
        <f t="shared" si="244"/>
        <v>1940.1864</v>
      </c>
      <c r="J346" s="658">
        <f t="shared" si="244"/>
        <v>1940.1864</v>
      </c>
      <c r="K346" s="658">
        <f t="shared" si="244"/>
        <v>1973.4519999999998</v>
      </c>
      <c r="L346" s="658">
        <f t="shared" si="244"/>
        <v>0</v>
      </c>
      <c r="M346" s="658">
        <f t="shared" si="244"/>
        <v>0</v>
      </c>
      <c r="N346" s="658">
        <f t="shared" si="244"/>
        <v>0</v>
      </c>
      <c r="O346" s="658">
        <f t="shared" si="244"/>
        <v>0</v>
      </c>
      <c r="P346" s="658">
        <f t="shared" si="244"/>
        <v>15513.054400000001</v>
      </c>
    </row>
    <row r="347" spans="1:16" ht="30">
      <c r="A347" s="662" t="s">
        <v>3222</v>
      </c>
      <c r="B347" s="663" t="s">
        <v>3223</v>
      </c>
      <c r="C347" s="664" t="s">
        <v>135</v>
      </c>
      <c r="D347" s="665" t="s">
        <v>0</v>
      </c>
      <c r="E347" s="662" t="s">
        <v>1</v>
      </c>
      <c r="F347" s="662" t="s">
        <v>2</v>
      </c>
      <c r="G347" s="662" t="s">
        <v>3</v>
      </c>
      <c r="H347" s="662" t="s">
        <v>4</v>
      </c>
      <c r="I347" s="662" t="s">
        <v>5</v>
      </c>
      <c r="J347" s="662" t="s">
        <v>6</v>
      </c>
      <c r="K347" s="662" t="s">
        <v>7</v>
      </c>
      <c r="L347" s="662" t="s">
        <v>8</v>
      </c>
      <c r="M347" s="662" t="s">
        <v>9</v>
      </c>
      <c r="N347" s="662" t="s">
        <v>10</v>
      </c>
      <c r="O347" s="662" t="s">
        <v>11</v>
      </c>
      <c r="P347" s="666" t="s">
        <v>3199</v>
      </c>
    </row>
    <row r="348" spans="1:16" collapsed="1">
      <c r="A348" s="667" t="s">
        <v>3199</v>
      </c>
      <c r="B348" s="667"/>
      <c r="C348" s="668"/>
      <c r="D348" s="701">
        <f t="shared" ref="D348:P348" si="245">SUBTOTAL(9,D349:D429)</f>
        <v>18107.758400000006</v>
      </c>
      <c r="E348" s="701">
        <f t="shared" si="245"/>
        <v>18808.219200000003</v>
      </c>
      <c r="F348" s="701">
        <f t="shared" si="245"/>
        <v>18402.008800000003</v>
      </c>
      <c r="G348" s="701">
        <f t="shared" si="245"/>
        <v>17550.583200000005</v>
      </c>
      <c r="H348" s="701">
        <f t="shared" si="245"/>
        <v>17664.720799999999</v>
      </c>
      <c r="I348" s="701">
        <f t="shared" si="245"/>
        <v>18209.983200000002</v>
      </c>
      <c r="J348" s="701">
        <f t="shared" si="245"/>
        <v>17683.277600000001</v>
      </c>
      <c r="K348" s="701">
        <f t="shared" si="245"/>
        <v>17833.871200000001</v>
      </c>
      <c r="L348" s="701">
        <f t="shared" si="245"/>
        <v>0</v>
      </c>
      <c r="M348" s="701">
        <f t="shared" si="245"/>
        <v>0</v>
      </c>
      <c r="N348" s="701">
        <f t="shared" si="245"/>
        <v>0</v>
      </c>
      <c r="O348" s="701">
        <f t="shared" si="245"/>
        <v>0</v>
      </c>
      <c r="P348" s="701">
        <f t="shared" si="245"/>
        <v>144260.42240000001</v>
      </c>
    </row>
    <row r="349" spans="1:16" hidden="1" outlineLevel="1">
      <c r="A349" s="670" t="s">
        <v>3224</v>
      </c>
      <c r="B349" s="336" t="s">
        <v>243</v>
      </c>
      <c r="C349" s="657" t="s">
        <v>192</v>
      </c>
      <c r="D349" s="702">
        <f t="shared" ref="D349:O349" si="246">IFERROR(0.08*D5,"")</f>
        <v>240.29520000000002</v>
      </c>
      <c r="E349" s="702">
        <f t="shared" si="246"/>
        <v>240.29520000000002</v>
      </c>
      <c r="F349" s="702">
        <f t="shared" si="246"/>
        <v>240.29520000000002</v>
      </c>
      <c r="G349" s="702">
        <f t="shared" si="246"/>
        <v>240.29520000000002</v>
      </c>
      <c r="H349" s="702">
        <f t="shared" si="246"/>
        <v>240.29520000000002</v>
      </c>
      <c r="I349" s="702">
        <f t="shared" si="246"/>
        <v>240.29520000000002</v>
      </c>
      <c r="J349" s="702">
        <f t="shared" si="246"/>
        <v>240.29520000000002</v>
      </c>
      <c r="K349" s="702">
        <f t="shared" si="246"/>
        <v>240.29520000000002</v>
      </c>
      <c r="L349" s="702">
        <f t="shared" si="246"/>
        <v>0</v>
      </c>
      <c r="M349" s="702">
        <f t="shared" si="246"/>
        <v>0</v>
      </c>
      <c r="N349" s="702">
        <f t="shared" si="246"/>
        <v>0</v>
      </c>
      <c r="O349" s="702">
        <f t="shared" si="246"/>
        <v>0</v>
      </c>
      <c r="P349" s="674">
        <f t="shared" ref="P349:P375" si="247">SUM(D349:O349)</f>
        <v>1922.3616000000002</v>
      </c>
    </row>
    <row r="350" spans="1:16" hidden="1" outlineLevel="1">
      <c r="A350" s="670" t="s">
        <v>3225</v>
      </c>
      <c r="B350" s="336" t="s">
        <v>243</v>
      </c>
      <c r="C350" s="657" t="s">
        <v>192</v>
      </c>
      <c r="D350" s="702">
        <f t="shared" ref="D350:O350" si="248">IFERROR(0.08*D6,"")</f>
        <v>162.3424</v>
      </c>
      <c r="E350" s="702">
        <f t="shared" si="248"/>
        <v>162.3424</v>
      </c>
      <c r="F350" s="702">
        <f t="shared" si="248"/>
        <v>162.3424</v>
      </c>
      <c r="G350" s="702">
        <f t="shared" si="248"/>
        <v>162.3424</v>
      </c>
      <c r="H350" s="702">
        <f t="shared" si="248"/>
        <v>162.3424</v>
      </c>
      <c r="I350" s="702">
        <f t="shared" si="248"/>
        <v>162.3424</v>
      </c>
      <c r="J350" s="702">
        <f t="shared" si="248"/>
        <v>162.3424</v>
      </c>
      <c r="K350" s="702">
        <f t="shared" si="248"/>
        <v>162.3424</v>
      </c>
      <c r="L350" s="702">
        <f t="shared" si="248"/>
        <v>0</v>
      </c>
      <c r="M350" s="702">
        <f t="shared" si="248"/>
        <v>0</v>
      </c>
      <c r="N350" s="702">
        <f t="shared" si="248"/>
        <v>0</v>
      </c>
      <c r="O350" s="702">
        <f t="shared" si="248"/>
        <v>0</v>
      </c>
      <c r="P350" s="674">
        <f t="shared" si="247"/>
        <v>1298.7392</v>
      </c>
    </row>
    <row r="351" spans="1:16" hidden="1" outlineLevel="1">
      <c r="A351" s="670" t="s">
        <v>3226</v>
      </c>
      <c r="B351" s="336" t="s">
        <v>3227</v>
      </c>
      <c r="C351" s="657" t="s">
        <v>192</v>
      </c>
      <c r="D351" s="702">
        <f t="shared" ref="D351:O351" si="249">IFERROR(0.08*D7,"")</f>
        <v>198.41840000000002</v>
      </c>
      <c r="E351" s="702">
        <f t="shared" si="249"/>
        <v>198.41840000000002</v>
      </c>
      <c r="F351" s="702">
        <f t="shared" si="249"/>
        <v>198.41840000000002</v>
      </c>
      <c r="G351" s="702">
        <f t="shared" si="249"/>
        <v>198.41840000000002</v>
      </c>
      <c r="H351" s="702">
        <f t="shared" si="249"/>
        <v>198.41840000000002</v>
      </c>
      <c r="I351" s="702">
        <f t="shared" si="249"/>
        <v>198.41840000000002</v>
      </c>
      <c r="J351" s="702">
        <f t="shared" si="249"/>
        <v>198.41840000000002</v>
      </c>
      <c r="K351" s="702">
        <f t="shared" si="249"/>
        <v>198.41840000000002</v>
      </c>
      <c r="L351" s="702">
        <f t="shared" si="249"/>
        <v>0</v>
      </c>
      <c r="M351" s="702">
        <f t="shared" si="249"/>
        <v>0</v>
      </c>
      <c r="N351" s="702">
        <f t="shared" si="249"/>
        <v>0</v>
      </c>
      <c r="O351" s="702">
        <f t="shared" si="249"/>
        <v>0</v>
      </c>
      <c r="P351" s="674">
        <f t="shared" si="247"/>
        <v>1587.3472000000002</v>
      </c>
    </row>
    <row r="352" spans="1:16" hidden="1" outlineLevel="1">
      <c r="A352" s="670" t="s">
        <v>3228</v>
      </c>
      <c r="B352" s="336" t="s">
        <v>243</v>
      </c>
      <c r="C352" s="657" t="s">
        <v>192</v>
      </c>
      <c r="D352" s="702">
        <f t="shared" ref="D352:O352" si="250">IFERROR(0.08*D8,"")</f>
        <v>198.41840000000002</v>
      </c>
      <c r="E352" s="702">
        <f t="shared" si="250"/>
        <v>198.41840000000002</v>
      </c>
      <c r="F352" s="702">
        <f t="shared" si="250"/>
        <v>198.41840000000002</v>
      </c>
      <c r="G352" s="702">
        <f t="shared" si="250"/>
        <v>198.41840000000002</v>
      </c>
      <c r="H352" s="702">
        <f t="shared" si="250"/>
        <v>198.41840000000002</v>
      </c>
      <c r="I352" s="702">
        <f t="shared" si="250"/>
        <v>198.41840000000002</v>
      </c>
      <c r="J352" s="702">
        <f t="shared" si="250"/>
        <v>198.41840000000002</v>
      </c>
      <c r="K352" s="702">
        <f t="shared" si="250"/>
        <v>198.41840000000002</v>
      </c>
      <c r="L352" s="702">
        <f t="shared" si="250"/>
        <v>0</v>
      </c>
      <c r="M352" s="702">
        <f t="shared" si="250"/>
        <v>0</v>
      </c>
      <c r="N352" s="702">
        <f t="shared" si="250"/>
        <v>0</v>
      </c>
      <c r="O352" s="702">
        <f t="shared" si="250"/>
        <v>0</v>
      </c>
      <c r="P352" s="674">
        <f t="shared" si="247"/>
        <v>1587.3472000000002</v>
      </c>
    </row>
    <row r="353" spans="1:16" hidden="1" outlineLevel="1">
      <c r="A353" s="679" t="s">
        <v>3229</v>
      </c>
      <c r="B353" s="336" t="s">
        <v>243</v>
      </c>
      <c r="C353" s="657" t="s">
        <v>192</v>
      </c>
      <c r="D353" s="702">
        <f t="shared" ref="D353:G353" si="251">IFERROR(0.08*D9,"")</f>
        <v>216.45680000000002</v>
      </c>
      <c r="E353" s="702">
        <f t="shared" si="251"/>
        <v>216.45680000000002</v>
      </c>
      <c r="F353" s="702">
        <f t="shared" si="251"/>
        <v>216.45680000000002</v>
      </c>
      <c r="G353" s="702">
        <f t="shared" si="251"/>
        <v>216.45680000000002</v>
      </c>
      <c r="H353" s="702"/>
      <c r="I353" s="702"/>
      <c r="J353" s="702"/>
      <c r="K353" s="702"/>
      <c r="L353" s="702"/>
      <c r="M353" s="702"/>
      <c r="N353" s="702"/>
      <c r="O353" s="702"/>
      <c r="P353" s="674">
        <f t="shared" si="247"/>
        <v>865.82720000000006</v>
      </c>
    </row>
    <row r="354" spans="1:16" hidden="1" outlineLevel="1">
      <c r="A354" s="670" t="s">
        <v>3230</v>
      </c>
      <c r="B354" s="336" t="s">
        <v>243</v>
      </c>
      <c r="C354" s="657" t="s">
        <v>192</v>
      </c>
      <c r="D354" s="702">
        <f t="shared" ref="D354:O354" si="252">IFERROR(0.08*D10,"")</f>
        <v>270.36240000000004</v>
      </c>
      <c r="E354" s="702">
        <f t="shared" si="252"/>
        <v>270.36240000000004</v>
      </c>
      <c r="F354" s="702">
        <f t="shared" si="252"/>
        <v>270.36240000000004</v>
      </c>
      <c r="G354" s="702">
        <f t="shared" si="252"/>
        <v>270.36240000000004</v>
      </c>
      <c r="H354" s="702">
        <f t="shared" si="252"/>
        <v>270.36240000000004</v>
      </c>
      <c r="I354" s="702">
        <f t="shared" si="252"/>
        <v>270.36240000000004</v>
      </c>
      <c r="J354" s="702">
        <f t="shared" si="252"/>
        <v>270.36240000000004</v>
      </c>
      <c r="K354" s="702">
        <f t="shared" si="252"/>
        <v>270.36240000000004</v>
      </c>
      <c r="L354" s="702">
        <f t="shared" si="252"/>
        <v>0</v>
      </c>
      <c r="M354" s="702">
        <f t="shared" si="252"/>
        <v>0</v>
      </c>
      <c r="N354" s="702">
        <f t="shared" si="252"/>
        <v>0</v>
      </c>
      <c r="O354" s="702">
        <f t="shared" si="252"/>
        <v>0</v>
      </c>
      <c r="P354" s="674">
        <f t="shared" si="247"/>
        <v>2162.8992000000003</v>
      </c>
    </row>
    <row r="355" spans="1:16" hidden="1" outlineLevel="1">
      <c r="A355" s="670" t="s">
        <v>3231</v>
      </c>
      <c r="B355" s="336" t="s">
        <v>243</v>
      </c>
      <c r="C355" s="657" t="s">
        <v>192</v>
      </c>
      <c r="D355" s="702">
        <f t="shared" ref="D355:O355" si="253">IFERROR(0.08*D11,"")</f>
        <v>293.02</v>
      </c>
      <c r="E355" s="702">
        <f t="shared" si="253"/>
        <v>293.02</v>
      </c>
      <c r="F355" s="702">
        <f t="shared" si="253"/>
        <v>293.02</v>
      </c>
      <c r="G355" s="702">
        <f t="shared" si="253"/>
        <v>293.02</v>
      </c>
      <c r="H355" s="702">
        <f t="shared" si="253"/>
        <v>293.02</v>
      </c>
      <c r="I355" s="702">
        <f t="shared" si="253"/>
        <v>293.02</v>
      </c>
      <c r="J355" s="702">
        <f t="shared" si="253"/>
        <v>293.02</v>
      </c>
      <c r="K355" s="702">
        <f t="shared" si="253"/>
        <v>293.02</v>
      </c>
      <c r="L355" s="702">
        <f t="shared" si="253"/>
        <v>0</v>
      </c>
      <c r="M355" s="702">
        <f t="shared" si="253"/>
        <v>0</v>
      </c>
      <c r="N355" s="702">
        <f t="shared" si="253"/>
        <v>0</v>
      </c>
      <c r="O355" s="702">
        <f t="shared" si="253"/>
        <v>0</v>
      </c>
      <c r="P355" s="674">
        <f t="shared" si="247"/>
        <v>2344.16</v>
      </c>
    </row>
    <row r="356" spans="1:16" hidden="1" outlineLevel="1">
      <c r="A356" s="670" t="s">
        <v>3232</v>
      </c>
      <c r="B356" s="336" t="s">
        <v>243</v>
      </c>
      <c r="C356" s="657" t="s">
        <v>192</v>
      </c>
      <c r="D356" s="702">
        <f t="shared" ref="D356:O356" si="254">IFERROR(0.08*D12,"")</f>
        <v>198.41840000000002</v>
      </c>
      <c r="E356" s="702">
        <f t="shared" si="254"/>
        <v>198.41840000000002</v>
      </c>
      <c r="F356" s="702">
        <f t="shared" si="254"/>
        <v>198.41840000000002</v>
      </c>
      <c r="G356" s="702">
        <f t="shared" si="254"/>
        <v>198.41840000000002</v>
      </c>
      <c r="H356" s="702">
        <f t="shared" si="254"/>
        <v>198.41840000000002</v>
      </c>
      <c r="I356" s="702">
        <f t="shared" si="254"/>
        <v>198.41840000000002</v>
      </c>
      <c r="J356" s="702">
        <f t="shared" si="254"/>
        <v>198.41840000000002</v>
      </c>
      <c r="K356" s="702">
        <f t="shared" si="254"/>
        <v>198.41840000000002</v>
      </c>
      <c r="L356" s="702">
        <f t="shared" si="254"/>
        <v>0</v>
      </c>
      <c r="M356" s="702">
        <f t="shared" si="254"/>
        <v>0</v>
      </c>
      <c r="N356" s="702">
        <f t="shared" si="254"/>
        <v>0</v>
      </c>
      <c r="O356" s="702">
        <f t="shared" si="254"/>
        <v>0</v>
      </c>
      <c r="P356" s="674">
        <f t="shared" si="247"/>
        <v>1587.3472000000002</v>
      </c>
    </row>
    <row r="357" spans="1:16" hidden="1" outlineLevel="1">
      <c r="A357" s="670" t="s">
        <v>190</v>
      </c>
      <c r="B357" s="336" t="s">
        <v>243</v>
      </c>
      <c r="C357" s="657" t="s">
        <v>192</v>
      </c>
      <c r="D357" s="702">
        <f t="shared" ref="D357:O357" si="255">IFERROR(0.08*D13,"")</f>
        <v>369.08240000000001</v>
      </c>
      <c r="E357" s="702">
        <f t="shared" si="255"/>
        <v>369.08240000000001</v>
      </c>
      <c r="F357" s="702">
        <f t="shared" si="255"/>
        <v>369.08240000000001</v>
      </c>
      <c r="G357" s="702">
        <f t="shared" si="255"/>
        <v>369.08240000000001</v>
      </c>
      <c r="H357" s="702">
        <f t="shared" si="255"/>
        <v>369.08240000000001</v>
      </c>
      <c r="I357" s="702">
        <f t="shared" si="255"/>
        <v>369.08240000000001</v>
      </c>
      <c r="J357" s="702">
        <f t="shared" si="255"/>
        <v>369.08240000000001</v>
      </c>
      <c r="K357" s="702">
        <f t="shared" si="255"/>
        <v>369.08240000000001</v>
      </c>
      <c r="L357" s="702">
        <f t="shared" si="255"/>
        <v>0</v>
      </c>
      <c r="M357" s="702">
        <f t="shared" si="255"/>
        <v>0</v>
      </c>
      <c r="N357" s="702">
        <f t="shared" si="255"/>
        <v>0</v>
      </c>
      <c r="O357" s="702">
        <f t="shared" si="255"/>
        <v>0</v>
      </c>
      <c r="P357" s="674">
        <f t="shared" si="247"/>
        <v>2952.6592000000001</v>
      </c>
    </row>
    <row r="358" spans="1:16" hidden="1" outlineLevel="1">
      <c r="A358" s="670" t="s">
        <v>3233</v>
      </c>
      <c r="B358" s="336" t="s">
        <v>243</v>
      </c>
      <c r="C358" s="657" t="s">
        <v>192</v>
      </c>
      <c r="D358" s="702">
        <f t="shared" ref="D358:O358" si="256">IFERROR(0.08*D14,"")</f>
        <v>162.3424</v>
      </c>
      <c r="E358" s="702">
        <f t="shared" si="256"/>
        <v>162.3424</v>
      </c>
      <c r="F358" s="702">
        <f t="shared" si="256"/>
        <v>162.3424</v>
      </c>
      <c r="G358" s="702">
        <f t="shared" si="256"/>
        <v>162.3424</v>
      </c>
      <c r="H358" s="702">
        <f t="shared" si="256"/>
        <v>180.38080000000002</v>
      </c>
      <c r="I358" s="702">
        <f t="shared" si="256"/>
        <v>180.38080000000002</v>
      </c>
      <c r="J358" s="702">
        <f t="shared" si="256"/>
        <v>180.38080000000002</v>
      </c>
      <c r="K358" s="702">
        <f t="shared" si="256"/>
        <v>180.38080000000002</v>
      </c>
      <c r="L358" s="702">
        <f t="shared" si="256"/>
        <v>0</v>
      </c>
      <c r="M358" s="702">
        <f t="shared" si="256"/>
        <v>0</v>
      </c>
      <c r="N358" s="702">
        <f t="shared" si="256"/>
        <v>0</v>
      </c>
      <c r="O358" s="702">
        <f t="shared" si="256"/>
        <v>0</v>
      </c>
      <c r="P358" s="674">
        <f t="shared" si="247"/>
        <v>1370.8928000000001</v>
      </c>
    </row>
    <row r="359" spans="1:16" hidden="1" outlineLevel="1">
      <c r="A359" s="670" t="s">
        <v>224</v>
      </c>
      <c r="B359" s="336" t="s">
        <v>243</v>
      </c>
      <c r="C359" s="657" t="s">
        <v>192</v>
      </c>
      <c r="D359" s="702">
        <f t="shared" ref="D359:O359" si="257">IFERROR(0.08*D15,"")</f>
        <v>198.41840000000002</v>
      </c>
      <c r="E359" s="702">
        <f t="shared" si="257"/>
        <v>198.41840000000002</v>
      </c>
      <c r="F359" s="702">
        <f t="shared" si="257"/>
        <v>198.41840000000002</v>
      </c>
      <c r="G359" s="702">
        <f t="shared" si="257"/>
        <v>198.41840000000002</v>
      </c>
      <c r="H359" s="702">
        <f t="shared" si="257"/>
        <v>198.41840000000002</v>
      </c>
      <c r="I359" s="702">
        <f t="shared" si="257"/>
        <v>198.41840000000002</v>
      </c>
      <c r="J359" s="702">
        <f t="shared" si="257"/>
        <v>198.41840000000002</v>
      </c>
      <c r="K359" s="702">
        <f t="shared" si="257"/>
        <v>198.41840000000002</v>
      </c>
      <c r="L359" s="702">
        <f t="shared" si="257"/>
        <v>0</v>
      </c>
      <c r="M359" s="702">
        <f t="shared" si="257"/>
        <v>0</v>
      </c>
      <c r="N359" s="702">
        <f t="shared" si="257"/>
        <v>0</v>
      </c>
      <c r="O359" s="702">
        <f t="shared" si="257"/>
        <v>0</v>
      </c>
      <c r="P359" s="674">
        <f t="shared" si="247"/>
        <v>1587.3472000000002</v>
      </c>
    </row>
    <row r="360" spans="1:16" hidden="1" outlineLevel="1">
      <c r="A360" s="670" t="s">
        <v>3234</v>
      </c>
      <c r="B360" s="336" t="s">
        <v>243</v>
      </c>
      <c r="C360" s="657" t="s">
        <v>3235</v>
      </c>
      <c r="D360" s="702">
        <f t="shared" ref="D360:O360" si="258">IFERROR(0.08*D16,"")</f>
        <v>198.41840000000002</v>
      </c>
      <c r="E360" s="702">
        <f t="shared" si="258"/>
        <v>198.41840000000002</v>
      </c>
      <c r="F360" s="702">
        <f t="shared" si="258"/>
        <v>198.41840000000002</v>
      </c>
      <c r="G360" s="702">
        <f t="shared" si="258"/>
        <v>198.41840000000002</v>
      </c>
      <c r="H360" s="702">
        <f t="shared" si="258"/>
        <v>198.41840000000002</v>
      </c>
      <c r="I360" s="702">
        <f t="shared" si="258"/>
        <v>198.41840000000002</v>
      </c>
      <c r="J360" s="702">
        <f t="shared" si="258"/>
        <v>198.41840000000002</v>
      </c>
      <c r="K360" s="702">
        <f t="shared" si="258"/>
        <v>216.45680000000002</v>
      </c>
      <c r="L360" s="702">
        <f t="shared" si="258"/>
        <v>0</v>
      </c>
      <c r="M360" s="702">
        <f t="shared" si="258"/>
        <v>0</v>
      </c>
      <c r="N360" s="702">
        <f t="shared" si="258"/>
        <v>0</v>
      </c>
      <c r="O360" s="702">
        <f t="shared" si="258"/>
        <v>0</v>
      </c>
      <c r="P360" s="674">
        <f t="shared" si="247"/>
        <v>1605.3856000000001</v>
      </c>
    </row>
    <row r="361" spans="1:16" hidden="1" outlineLevel="1">
      <c r="A361" s="679" t="s">
        <v>3236</v>
      </c>
      <c r="B361" s="336" t="s">
        <v>3227</v>
      </c>
      <c r="C361" s="657" t="s">
        <v>3235</v>
      </c>
      <c r="D361" s="699"/>
      <c r="E361" s="699"/>
      <c r="F361" s="699"/>
      <c r="G361" s="699"/>
      <c r="H361" s="699"/>
      <c r="I361" s="699"/>
      <c r="J361" s="699"/>
      <c r="K361" s="699"/>
      <c r="L361" s="699"/>
      <c r="M361" s="699"/>
      <c r="N361" s="699"/>
      <c r="O361" s="699"/>
      <c r="P361" s="674">
        <f t="shared" si="247"/>
        <v>0</v>
      </c>
    </row>
    <row r="362" spans="1:16" hidden="1" outlineLevel="1">
      <c r="A362" s="670" t="s">
        <v>3237</v>
      </c>
      <c r="B362" s="336" t="s">
        <v>243</v>
      </c>
      <c r="C362" s="657" t="s">
        <v>3235</v>
      </c>
      <c r="D362" s="702">
        <f t="shared" ref="D362:O362" si="259">IFERROR(0.08*D18,"")</f>
        <v>198.41840000000002</v>
      </c>
      <c r="E362" s="702">
        <f t="shared" si="259"/>
        <v>198.41840000000002</v>
      </c>
      <c r="F362" s="702">
        <f t="shared" si="259"/>
        <v>198.41840000000002</v>
      </c>
      <c r="G362" s="702">
        <f t="shared" si="259"/>
        <v>198.41840000000002</v>
      </c>
      <c r="H362" s="702">
        <f t="shared" si="259"/>
        <v>198.41840000000002</v>
      </c>
      <c r="I362" s="702">
        <f t="shared" si="259"/>
        <v>198.41840000000002</v>
      </c>
      <c r="J362" s="702">
        <f t="shared" si="259"/>
        <v>198.41840000000002</v>
      </c>
      <c r="K362" s="702">
        <f t="shared" si="259"/>
        <v>198.41840000000002</v>
      </c>
      <c r="L362" s="702">
        <f t="shared" si="259"/>
        <v>0</v>
      </c>
      <c r="M362" s="702">
        <f t="shared" si="259"/>
        <v>0</v>
      </c>
      <c r="N362" s="702">
        <f t="shared" si="259"/>
        <v>0</v>
      </c>
      <c r="O362" s="702">
        <f t="shared" si="259"/>
        <v>0</v>
      </c>
      <c r="P362" s="674">
        <f t="shared" si="247"/>
        <v>1587.3472000000002</v>
      </c>
    </row>
    <row r="363" spans="1:16" hidden="1" outlineLevel="1">
      <c r="A363" s="682" t="s">
        <v>3238</v>
      </c>
      <c r="B363" s="336" t="s">
        <v>3227</v>
      </c>
      <c r="C363" s="657" t="s">
        <v>3235</v>
      </c>
      <c r="D363" s="699"/>
      <c r="E363" s="699"/>
      <c r="F363" s="699"/>
      <c r="G363" s="699"/>
      <c r="H363" s="699"/>
      <c r="I363" s="699"/>
      <c r="J363" s="699"/>
      <c r="K363" s="699"/>
      <c r="L363" s="699"/>
      <c r="M363" s="699"/>
      <c r="N363" s="699"/>
      <c r="O363" s="699"/>
      <c r="P363" s="674">
        <f t="shared" si="247"/>
        <v>0</v>
      </c>
    </row>
    <row r="364" spans="1:16" hidden="1" outlineLevel="1">
      <c r="A364" s="670" t="s">
        <v>3239</v>
      </c>
      <c r="B364" s="336" t="s">
        <v>243</v>
      </c>
      <c r="C364" s="657" t="s">
        <v>3235</v>
      </c>
      <c r="D364" s="702">
        <f t="shared" ref="D364:O364" si="260">IFERROR(0.08*D20,"")</f>
        <v>198.41840000000002</v>
      </c>
      <c r="E364" s="702">
        <f t="shared" si="260"/>
        <v>198.41840000000002</v>
      </c>
      <c r="F364" s="702">
        <f t="shared" si="260"/>
        <v>198.41840000000002</v>
      </c>
      <c r="G364" s="702">
        <f t="shared" si="260"/>
        <v>198.41840000000002</v>
      </c>
      <c r="H364" s="702">
        <f t="shared" si="260"/>
        <v>198.41840000000002</v>
      </c>
      <c r="I364" s="702">
        <f t="shared" si="260"/>
        <v>198.41840000000002</v>
      </c>
      <c r="J364" s="702">
        <f t="shared" si="260"/>
        <v>198.41840000000002</v>
      </c>
      <c r="K364" s="702">
        <f t="shared" si="260"/>
        <v>198.41840000000002</v>
      </c>
      <c r="L364" s="702">
        <f t="shared" si="260"/>
        <v>0</v>
      </c>
      <c r="M364" s="702">
        <f t="shared" si="260"/>
        <v>0</v>
      </c>
      <c r="N364" s="702">
        <f t="shared" si="260"/>
        <v>0</v>
      </c>
      <c r="O364" s="702">
        <f t="shared" si="260"/>
        <v>0</v>
      </c>
      <c r="P364" s="674">
        <f t="shared" si="247"/>
        <v>1587.3472000000002</v>
      </c>
    </row>
    <row r="365" spans="1:16" hidden="1" outlineLevel="1">
      <c r="A365" s="682" t="s">
        <v>3240</v>
      </c>
      <c r="B365" s="336" t="s">
        <v>3227</v>
      </c>
      <c r="C365" s="657" t="s">
        <v>3235</v>
      </c>
      <c r="D365" s="699"/>
      <c r="E365" s="699"/>
      <c r="F365" s="699"/>
      <c r="G365" s="699"/>
      <c r="H365" s="699"/>
      <c r="I365" s="699"/>
      <c r="J365" s="699"/>
      <c r="K365" s="699"/>
      <c r="L365" s="699"/>
      <c r="M365" s="699"/>
      <c r="N365" s="699"/>
      <c r="O365" s="699"/>
      <c r="P365" s="674">
        <f t="shared" si="247"/>
        <v>0</v>
      </c>
    </row>
    <row r="366" spans="1:16" hidden="1" outlineLevel="1">
      <c r="A366" s="682" t="s">
        <v>3241</v>
      </c>
      <c r="B366" s="336" t="s">
        <v>3227</v>
      </c>
      <c r="C366" s="657" t="s">
        <v>3235</v>
      </c>
      <c r="D366" s="699"/>
      <c r="E366" s="699"/>
      <c r="F366" s="699"/>
      <c r="G366" s="699"/>
      <c r="H366" s="699"/>
      <c r="I366" s="699"/>
      <c r="J366" s="699"/>
      <c r="K366" s="699"/>
      <c r="L366" s="699"/>
      <c r="M366" s="699"/>
      <c r="N366" s="699"/>
      <c r="O366" s="699"/>
      <c r="P366" s="674">
        <f t="shared" si="247"/>
        <v>0</v>
      </c>
    </row>
    <row r="367" spans="1:16" hidden="1" outlineLevel="1">
      <c r="A367" s="682" t="s">
        <v>3242</v>
      </c>
      <c r="B367" s="336" t="s">
        <v>3227</v>
      </c>
      <c r="C367" s="657" t="s">
        <v>3235</v>
      </c>
      <c r="D367" s="699"/>
      <c r="E367" s="699"/>
      <c r="F367" s="699"/>
      <c r="G367" s="699"/>
      <c r="H367" s="699"/>
      <c r="I367" s="699"/>
      <c r="J367" s="699"/>
      <c r="K367" s="699"/>
      <c r="L367" s="699"/>
      <c r="M367" s="699"/>
      <c r="N367" s="699"/>
      <c r="O367" s="699"/>
      <c r="P367" s="674">
        <f t="shared" si="247"/>
        <v>0</v>
      </c>
    </row>
    <row r="368" spans="1:16" hidden="1" outlineLevel="1">
      <c r="A368" s="683" t="s">
        <v>3243</v>
      </c>
      <c r="B368" s="336" t="s">
        <v>243</v>
      </c>
      <c r="C368" s="657" t="s">
        <v>3235</v>
      </c>
      <c r="D368" s="702">
        <f t="shared" ref="D368:O368" si="261">IFERROR(0.08*D24,"")</f>
        <v>0</v>
      </c>
      <c r="E368" s="702">
        <f t="shared" si="261"/>
        <v>0</v>
      </c>
      <c r="F368" s="702">
        <f t="shared" si="261"/>
        <v>0</v>
      </c>
      <c r="G368" s="702">
        <f t="shared" si="261"/>
        <v>0</v>
      </c>
      <c r="H368" s="702">
        <f t="shared" si="261"/>
        <v>0</v>
      </c>
      <c r="I368" s="702">
        <f t="shared" si="261"/>
        <v>0</v>
      </c>
      <c r="J368" s="702">
        <f t="shared" si="261"/>
        <v>0</v>
      </c>
      <c r="K368" s="702">
        <f t="shared" si="261"/>
        <v>0</v>
      </c>
      <c r="L368" s="702">
        <f t="shared" si="261"/>
        <v>0</v>
      </c>
      <c r="M368" s="702">
        <f t="shared" si="261"/>
        <v>0</v>
      </c>
      <c r="N368" s="702">
        <f t="shared" si="261"/>
        <v>0</v>
      </c>
      <c r="O368" s="702">
        <f t="shared" si="261"/>
        <v>0</v>
      </c>
      <c r="P368" s="674">
        <f t="shared" si="247"/>
        <v>0</v>
      </c>
    </row>
    <row r="369" spans="1:16" hidden="1" outlineLevel="1">
      <c r="A369" s="670" t="s">
        <v>3244</v>
      </c>
      <c r="B369" s="336" t="s">
        <v>3227</v>
      </c>
      <c r="C369" s="657" t="s">
        <v>476</v>
      </c>
      <c r="D369" s="702">
        <f t="shared" ref="D369:O369" si="262">IFERROR(0.08*D25,"")</f>
        <v>293.02</v>
      </c>
      <c r="E369" s="702">
        <f t="shared" si="262"/>
        <v>293.02</v>
      </c>
      <c r="F369" s="702">
        <f t="shared" si="262"/>
        <v>293.02</v>
      </c>
      <c r="G369" s="702">
        <f t="shared" si="262"/>
        <v>293.02</v>
      </c>
      <c r="H369" s="702">
        <f t="shared" si="262"/>
        <v>293.02</v>
      </c>
      <c r="I369" s="702">
        <f t="shared" si="262"/>
        <v>293.02</v>
      </c>
      <c r="J369" s="702">
        <f t="shared" si="262"/>
        <v>293.02</v>
      </c>
      <c r="K369" s="702">
        <f t="shared" si="262"/>
        <v>293.02</v>
      </c>
      <c r="L369" s="702">
        <f t="shared" si="262"/>
        <v>0</v>
      </c>
      <c r="M369" s="702">
        <f t="shared" si="262"/>
        <v>0</v>
      </c>
      <c r="N369" s="702">
        <f t="shared" si="262"/>
        <v>0</v>
      </c>
      <c r="O369" s="702">
        <f t="shared" si="262"/>
        <v>0</v>
      </c>
      <c r="P369" s="674">
        <f t="shared" si="247"/>
        <v>2344.16</v>
      </c>
    </row>
    <row r="370" spans="1:16" hidden="1" outlineLevel="1">
      <c r="A370" s="670" t="s">
        <v>3245</v>
      </c>
      <c r="B370" s="336" t="s">
        <v>3227</v>
      </c>
      <c r="C370" s="657" t="s">
        <v>476</v>
      </c>
      <c r="D370" s="702">
        <f t="shared" ref="D370:O370" si="263">IFERROR(0.08*D26,"")</f>
        <v>461.33280000000002</v>
      </c>
      <c r="E370" s="702">
        <f t="shared" si="263"/>
        <v>461.33280000000002</v>
      </c>
      <c r="F370" s="702">
        <f t="shared" si="263"/>
        <v>461.33280000000002</v>
      </c>
      <c r="G370" s="702">
        <f t="shared" si="263"/>
        <v>461.33280000000002</v>
      </c>
      <c r="H370" s="702">
        <f t="shared" si="263"/>
        <v>461.33280000000002</v>
      </c>
      <c r="I370" s="702">
        <f t="shared" si="263"/>
        <v>461.33280000000002</v>
      </c>
      <c r="J370" s="702">
        <f t="shared" si="263"/>
        <v>461.33280000000002</v>
      </c>
      <c r="K370" s="702">
        <f t="shared" si="263"/>
        <v>461.33280000000002</v>
      </c>
      <c r="L370" s="702">
        <f t="shared" si="263"/>
        <v>0</v>
      </c>
      <c r="M370" s="702">
        <f t="shared" si="263"/>
        <v>0</v>
      </c>
      <c r="N370" s="702">
        <f t="shared" si="263"/>
        <v>0</v>
      </c>
      <c r="O370" s="702">
        <f t="shared" si="263"/>
        <v>0</v>
      </c>
      <c r="P370" s="674">
        <f t="shared" si="247"/>
        <v>3690.6624000000006</v>
      </c>
    </row>
    <row r="371" spans="1:16" hidden="1" outlineLevel="1">
      <c r="A371" s="670" t="s">
        <v>3246</v>
      </c>
      <c r="B371" s="336" t="s">
        <v>3227</v>
      </c>
      <c r="C371" s="657" t="s">
        <v>476</v>
      </c>
      <c r="D371" s="702">
        <f t="shared" ref="D371:O371" si="264">IFERROR(0.08*D27,"")</f>
        <v>307.55520000000001</v>
      </c>
      <c r="E371" s="702">
        <f t="shared" si="264"/>
        <v>307.55520000000001</v>
      </c>
      <c r="F371" s="702">
        <f t="shared" si="264"/>
        <v>307.55520000000001</v>
      </c>
      <c r="G371" s="702">
        <f t="shared" si="264"/>
        <v>307.55520000000001</v>
      </c>
      <c r="H371" s="702">
        <f t="shared" si="264"/>
        <v>307.55520000000001</v>
      </c>
      <c r="I371" s="702">
        <f t="shared" si="264"/>
        <v>307.55520000000001</v>
      </c>
      <c r="J371" s="702">
        <f t="shared" si="264"/>
        <v>307.55520000000001</v>
      </c>
      <c r="K371" s="702">
        <f t="shared" si="264"/>
        <v>307.55520000000001</v>
      </c>
      <c r="L371" s="702">
        <f t="shared" si="264"/>
        <v>0</v>
      </c>
      <c r="M371" s="702">
        <f t="shared" si="264"/>
        <v>0</v>
      </c>
      <c r="N371" s="702">
        <f t="shared" si="264"/>
        <v>0</v>
      </c>
      <c r="O371" s="702">
        <f t="shared" si="264"/>
        <v>0</v>
      </c>
      <c r="P371" s="674">
        <f t="shared" si="247"/>
        <v>2460.4416000000001</v>
      </c>
    </row>
    <row r="372" spans="1:16" hidden="1" outlineLevel="1">
      <c r="A372" s="670" t="s">
        <v>3247</v>
      </c>
      <c r="B372" s="336" t="s">
        <v>3227</v>
      </c>
      <c r="C372" s="657" t="s">
        <v>476</v>
      </c>
      <c r="D372" s="702">
        <f t="shared" ref="D372:O372" si="265">IFERROR(0.08*D28,"")</f>
        <v>410.0736</v>
      </c>
      <c r="E372" s="702">
        <f t="shared" si="265"/>
        <v>410.0736</v>
      </c>
      <c r="F372" s="702">
        <f t="shared" si="265"/>
        <v>410.0736</v>
      </c>
      <c r="G372" s="702">
        <f t="shared" si="265"/>
        <v>410.0736</v>
      </c>
      <c r="H372" s="702">
        <f t="shared" si="265"/>
        <v>410.0736</v>
      </c>
      <c r="I372" s="702">
        <f t="shared" si="265"/>
        <v>410.0736</v>
      </c>
      <c r="J372" s="702">
        <f t="shared" si="265"/>
        <v>410.0736</v>
      </c>
      <c r="K372" s="702">
        <f t="shared" si="265"/>
        <v>410.0736</v>
      </c>
      <c r="L372" s="702">
        <f t="shared" si="265"/>
        <v>0</v>
      </c>
      <c r="M372" s="702">
        <f t="shared" si="265"/>
        <v>0</v>
      </c>
      <c r="N372" s="702">
        <f t="shared" si="265"/>
        <v>0</v>
      </c>
      <c r="O372" s="702">
        <f t="shared" si="265"/>
        <v>0</v>
      </c>
      <c r="P372" s="674">
        <f t="shared" si="247"/>
        <v>3280.5888000000004</v>
      </c>
    </row>
    <row r="373" spans="1:16" hidden="1" outlineLevel="1">
      <c r="A373" s="679" t="s">
        <v>3248</v>
      </c>
      <c r="B373" s="336" t="s">
        <v>3227</v>
      </c>
      <c r="C373" s="657" t="s">
        <v>476</v>
      </c>
      <c r="D373" s="702">
        <f t="shared" ref="D373:F373" si="266">IFERROR(0.08*D29,"")</f>
        <v>384.44400000000002</v>
      </c>
      <c r="E373" s="702">
        <f t="shared" si="266"/>
        <v>384.44400000000002</v>
      </c>
      <c r="F373" s="702">
        <f t="shared" si="266"/>
        <v>384.44400000000002</v>
      </c>
      <c r="G373" s="702"/>
      <c r="H373" s="702"/>
      <c r="I373" s="702"/>
      <c r="J373" s="702"/>
      <c r="K373" s="702"/>
      <c r="L373" s="702"/>
      <c r="M373" s="702"/>
      <c r="N373" s="702"/>
      <c r="O373" s="702"/>
      <c r="P373" s="674">
        <f t="shared" si="247"/>
        <v>1153.3320000000001</v>
      </c>
    </row>
    <row r="374" spans="1:16" hidden="1" outlineLevel="1">
      <c r="A374" s="679" t="s">
        <v>3249</v>
      </c>
      <c r="B374" s="336" t="s">
        <v>3227</v>
      </c>
      <c r="C374" s="657" t="s">
        <v>476</v>
      </c>
      <c r="D374" s="702">
        <f t="shared" ref="D374:F374" si="267">IFERROR(0.08*D30,"")</f>
        <v>297.19599999999997</v>
      </c>
      <c r="E374" s="702">
        <f t="shared" si="267"/>
        <v>297.19599999999997</v>
      </c>
      <c r="F374" s="702">
        <f t="shared" si="267"/>
        <v>297.19599999999997</v>
      </c>
      <c r="G374" s="702"/>
      <c r="H374" s="702"/>
      <c r="I374" s="702"/>
      <c r="J374" s="702"/>
      <c r="K374" s="702"/>
      <c r="L374" s="702"/>
      <c r="M374" s="702"/>
      <c r="N374" s="702"/>
      <c r="O374" s="702"/>
      <c r="P374" s="674">
        <f t="shared" si="247"/>
        <v>891.58799999999997</v>
      </c>
    </row>
    <row r="375" spans="1:16" hidden="1" outlineLevel="1">
      <c r="A375" s="686" t="s">
        <v>3250</v>
      </c>
      <c r="B375" s="336" t="s">
        <v>3227</v>
      </c>
      <c r="C375" s="657" t="s">
        <v>476</v>
      </c>
      <c r="D375" s="702">
        <f t="shared" ref="D375:O375" si="268">IFERROR(0.08*D31,"")</f>
        <v>0</v>
      </c>
      <c r="E375" s="702">
        <f t="shared" si="268"/>
        <v>0</v>
      </c>
      <c r="F375" s="702">
        <f t="shared" si="268"/>
        <v>0</v>
      </c>
      <c r="G375" s="702">
        <f t="shared" si="268"/>
        <v>0</v>
      </c>
      <c r="H375" s="702">
        <f t="shared" si="268"/>
        <v>0</v>
      </c>
      <c r="I375" s="702">
        <f t="shared" si="268"/>
        <v>410.0736</v>
      </c>
      <c r="J375" s="702">
        <f t="shared" si="268"/>
        <v>410.0736</v>
      </c>
      <c r="K375" s="702">
        <f t="shared" si="268"/>
        <v>410.0736</v>
      </c>
      <c r="L375" s="702">
        <f t="shared" si="268"/>
        <v>0</v>
      </c>
      <c r="M375" s="702">
        <f t="shared" si="268"/>
        <v>0</v>
      </c>
      <c r="N375" s="702">
        <f t="shared" si="268"/>
        <v>0</v>
      </c>
      <c r="O375" s="702">
        <f t="shared" si="268"/>
        <v>0</v>
      </c>
      <c r="P375" s="674">
        <f t="shared" si="247"/>
        <v>1230.2208000000001</v>
      </c>
    </row>
    <row r="376" spans="1:16" hidden="1" outlineLevel="1">
      <c r="A376" s="686" t="s">
        <v>3251</v>
      </c>
      <c r="B376" s="336" t="s">
        <v>243</v>
      </c>
      <c r="C376" s="657" t="s">
        <v>476</v>
      </c>
      <c r="D376" s="702"/>
      <c r="E376" s="702"/>
      <c r="F376" s="702"/>
      <c r="G376" s="702"/>
      <c r="H376" s="702"/>
      <c r="I376" s="702"/>
      <c r="J376" s="702"/>
      <c r="K376" s="702"/>
      <c r="L376" s="702"/>
      <c r="M376" s="702"/>
      <c r="N376" s="702"/>
      <c r="O376" s="702"/>
      <c r="P376" s="674"/>
    </row>
    <row r="377" spans="1:16" hidden="1" outlineLevel="1">
      <c r="A377" s="670" t="s">
        <v>3252</v>
      </c>
      <c r="B377" s="336" t="s">
        <v>3227</v>
      </c>
      <c r="C377" s="657" t="s">
        <v>422</v>
      </c>
      <c r="D377" s="702">
        <f t="shared" ref="D377:O377" si="269">IFERROR(0.08*D33,"")</f>
        <v>272.25759999999997</v>
      </c>
      <c r="E377" s="702">
        <f t="shared" si="269"/>
        <v>272.25759999999997</v>
      </c>
      <c r="F377" s="702">
        <f t="shared" si="269"/>
        <v>272.25759999999997</v>
      </c>
      <c r="G377" s="702">
        <f t="shared" si="269"/>
        <v>272.25759999999997</v>
      </c>
      <c r="H377" s="702">
        <f t="shared" si="269"/>
        <v>272.25759999999997</v>
      </c>
      <c r="I377" s="702">
        <f t="shared" si="269"/>
        <v>306.28960000000001</v>
      </c>
      <c r="J377" s="702">
        <f t="shared" si="269"/>
        <v>306.28960000000001</v>
      </c>
      <c r="K377" s="702">
        <f t="shared" si="269"/>
        <v>306.28960000000001</v>
      </c>
      <c r="L377" s="702">
        <f t="shared" si="269"/>
        <v>0</v>
      </c>
      <c r="M377" s="702">
        <f t="shared" si="269"/>
        <v>0</v>
      </c>
      <c r="N377" s="702">
        <f t="shared" si="269"/>
        <v>0</v>
      </c>
      <c r="O377" s="702">
        <f t="shared" si="269"/>
        <v>0</v>
      </c>
      <c r="P377" s="674">
        <f t="shared" ref="P377:P401" si="270">SUM(D377:O377)</f>
        <v>2280.1567999999997</v>
      </c>
    </row>
    <row r="378" spans="1:16" hidden="1" outlineLevel="1">
      <c r="A378" s="670" t="s">
        <v>3253</v>
      </c>
      <c r="B378" s="336" t="s">
        <v>3227</v>
      </c>
      <c r="C378" s="657" t="s">
        <v>422</v>
      </c>
      <c r="D378" s="702">
        <f t="shared" ref="D378:O378" si="271">IFERROR(0.08*D34,"")</f>
        <v>324.4248</v>
      </c>
      <c r="E378" s="702">
        <f t="shared" si="271"/>
        <v>324.4248</v>
      </c>
      <c r="F378" s="702">
        <f t="shared" si="271"/>
        <v>324.4248</v>
      </c>
      <c r="G378" s="702">
        <f t="shared" si="271"/>
        <v>324.4248</v>
      </c>
      <c r="H378" s="702">
        <f t="shared" si="271"/>
        <v>324.4248</v>
      </c>
      <c r="I378" s="702">
        <f t="shared" si="271"/>
        <v>324.4248</v>
      </c>
      <c r="J378" s="702">
        <f t="shared" si="271"/>
        <v>324.4248</v>
      </c>
      <c r="K378" s="702">
        <f t="shared" si="271"/>
        <v>324.4248</v>
      </c>
      <c r="L378" s="702">
        <f t="shared" si="271"/>
        <v>0</v>
      </c>
      <c r="M378" s="702">
        <f t="shared" si="271"/>
        <v>0</v>
      </c>
      <c r="N378" s="702">
        <f t="shared" si="271"/>
        <v>0</v>
      </c>
      <c r="O378" s="702">
        <f t="shared" si="271"/>
        <v>0</v>
      </c>
      <c r="P378" s="674">
        <f t="shared" si="270"/>
        <v>2595.3984</v>
      </c>
    </row>
    <row r="379" spans="1:16" hidden="1" outlineLevel="1">
      <c r="A379" s="679" t="s">
        <v>3254</v>
      </c>
      <c r="B379" s="336" t="s">
        <v>3227</v>
      </c>
      <c r="C379" s="657" t="s">
        <v>422</v>
      </c>
      <c r="D379" s="702"/>
      <c r="E379" s="702"/>
      <c r="F379" s="702"/>
      <c r="G379" s="702"/>
      <c r="H379" s="702"/>
      <c r="I379" s="702"/>
      <c r="J379" s="702"/>
      <c r="K379" s="702"/>
      <c r="L379" s="702"/>
      <c r="M379" s="702"/>
      <c r="N379" s="702"/>
      <c r="O379" s="702"/>
      <c r="P379" s="674">
        <f t="shared" si="270"/>
        <v>0</v>
      </c>
    </row>
    <row r="380" spans="1:16" hidden="1" outlineLevel="1">
      <c r="A380" s="686" t="s">
        <v>3255</v>
      </c>
      <c r="B380" s="336" t="s">
        <v>3227</v>
      </c>
      <c r="C380" s="657" t="s">
        <v>422</v>
      </c>
      <c r="D380" s="702">
        <f t="shared" ref="D380:O380" si="272">IFERROR(0.08*D36,"")</f>
        <v>0</v>
      </c>
      <c r="E380" s="702">
        <f t="shared" si="272"/>
        <v>0</v>
      </c>
      <c r="F380" s="702">
        <f t="shared" si="272"/>
        <v>0</v>
      </c>
      <c r="G380" s="702">
        <f t="shared" si="272"/>
        <v>0</v>
      </c>
      <c r="H380" s="702">
        <f t="shared" si="272"/>
        <v>0</v>
      </c>
      <c r="I380" s="702">
        <f t="shared" si="272"/>
        <v>0</v>
      </c>
      <c r="J380" s="702">
        <f t="shared" si="272"/>
        <v>0</v>
      </c>
      <c r="K380" s="702">
        <f t="shared" si="272"/>
        <v>0</v>
      </c>
      <c r="L380" s="702">
        <f t="shared" si="272"/>
        <v>0</v>
      </c>
      <c r="M380" s="702">
        <f t="shared" si="272"/>
        <v>0</v>
      </c>
      <c r="N380" s="702">
        <f t="shared" si="272"/>
        <v>0</v>
      </c>
      <c r="O380" s="702">
        <f t="shared" si="272"/>
        <v>0</v>
      </c>
      <c r="P380" s="674">
        <f t="shared" si="270"/>
        <v>0</v>
      </c>
    </row>
    <row r="381" spans="1:16" hidden="1" outlineLevel="1">
      <c r="A381" s="683" t="s">
        <v>2809</v>
      </c>
      <c r="B381" s="336" t="s">
        <v>3227</v>
      </c>
      <c r="C381" s="657" t="s">
        <v>422</v>
      </c>
      <c r="D381" s="702">
        <f t="shared" ref="D381:O381" si="273">IFERROR(0.08*D37,"")</f>
        <v>0</v>
      </c>
      <c r="E381" s="702">
        <f t="shared" si="273"/>
        <v>334.34559999999999</v>
      </c>
      <c r="F381" s="702">
        <f t="shared" si="273"/>
        <v>334.34559999999999</v>
      </c>
      <c r="G381" s="702">
        <f t="shared" si="273"/>
        <v>334.34559999999999</v>
      </c>
      <c r="H381" s="702">
        <f t="shared" si="273"/>
        <v>334.34559999999999</v>
      </c>
      <c r="I381" s="702">
        <f t="shared" si="273"/>
        <v>334.34559999999999</v>
      </c>
      <c r="J381" s="702">
        <f t="shared" si="273"/>
        <v>334.34559999999999</v>
      </c>
      <c r="K381" s="702">
        <f t="shared" si="273"/>
        <v>334.34559999999999</v>
      </c>
      <c r="L381" s="702">
        <f t="shared" si="273"/>
        <v>0</v>
      </c>
      <c r="M381" s="702">
        <f t="shared" si="273"/>
        <v>0</v>
      </c>
      <c r="N381" s="702">
        <f t="shared" si="273"/>
        <v>0</v>
      </c>
      <c r="O381" s="702">
        <f t="shared" si="273"/>
        <v>0</v>
      </c>
      <c r="P381" s="674">
        <f t="shared" si="270"/>
        <v>2340.4192000000003</v>
      </c>
    </row>
    <row r="382" spans="1:16" hidden="1" outlineLevel="1">
      <c r="A382" s="670" t="s">
        <v>3256</v>
      </c>
      <c r="B382" s="336" t="s">
        <v>243</v>
      </c>
      <c r="C382" s="657" t="s">
        <v>164</v>
      </c>
      <c r="D382" s="702">
        <f t="shared" ref="D382:O382" si="274">IFERROR(0.08*D38,"")</f>
        <v>294.94080000000002</v>
      </c>
      <c r="E382" s="702">
        <f t="shared" si="274"/>
        <v>294.94080000000002</v>
      </c>
      <c r="F382" s="702">
        <f t="shared" si="274"/>
        <v>294.94080000000002</v>
      </c>
      <c r="G382" s="702">
        <f t="shared" si="274"/>
        <v>294.94080000000002</v>
      </c>
      <c r="H382" s="702">
        <f t="shared" si="274"/>
        <v>325.57760000000002</v>
      </c>
      <c r="I382" s="702">
        <f t="shared" si="274"/>
        <v>325.57760000000002</v>
      </c>
      <c r="J382" s="702">
        <f t="shared" si="274"/>
        <v>325.57760000000002</v>
      </c>
      <c r="K382" s="702">
        <f t="shared" si="274"/>
        <v>325.57760000000002</v>
      </c>
      <c r="L382" s="702">
        <f t="shared" si="274"/>
        <v>0</v>
      </c>
      <c r="M382" s="702">
        <f t="shared" si="274"/>
        <v>0</v>
      </c>
      <c r="N382" s="702">
        <f t="shared" si="274"/>
        <v>0</v>
      </c>
      <c r="O382" s="702">
        <f t="shared" si="274"/>
        <v>0</v>
      </c>
      <c r="P382" s="674">
        <f t="shared" si="270"/>
        <v>2482.0736000000002</v>
      </c>
    </row>
    <row r="383" spans="1:16" hidden="1" outlineLevel="1">
      <c r="A383" s="670" t="s">
        <v>3257</v>
      </c>
      <c r="B383" s="336" t="s">
        <v>243</v>
      </c>
      <c r="C383" s="657" t="s">
        <v>164</v>
      </c>
      <c r="D383" s="702">
        <f t="shared" ref="D383:O383" si="275">IFERROR(0.08*D39,"")</f>
        <v>294.94080000000002</v>
      </c>
      <c r="E383" s="702">
        <f t="shared" si="275"/>
        <v>294.94080000000002</v>
      </c>
      <c r="F383" s="702">
        <f t="shared" si="275"/>
        <v>294.94080000000002</v>
      </c>
      <c r="G383" s="702">
        <f t="shared" si="275"/>
        <v>294.94080000000002</v>
      </c>
      <c r="H383" s="702">
        <f t="shared" si="275"/>
        <v>294.94080000000002</v>
      </c>
      <c r="I383" s="702">
        <f t="shared" si="275"/>
        <v>294.94080000000002</v>
      </c>
      <c r="J383" s="702">
        <f t="shared" si="275"/>
        <v>294.94080000000002</v>
      </c>
      <c r="K383" s="702">
        <f t="shared" si="275"/>
        <v>294.94080000000002</v>
      </c>
      <c r="L383" s="702">
        <f t="shared" si="275"/>
        <v>0</v>
      </c>
      <c r="M383" s="702">
        <f t="shared" si="275"/>
        <v>0</v>
      </c>
      <c r="N383" s="702">
        <f t="shared" si="275"/>
        <v>0</v>
      </c>
      <c r="O383" s="702">
        <f t="shared" si="275"/>
        <v>0</v>
      </c>
      <c r="P383" s="674">
        <f t="shared" si="270"/>
        <v>2359.5264000000002</v>
      </c>
    </row>
    <row r="384" spans="1:16" hidden="1" outlineLevel="1">
      <c r="A384" s="670" t="s">
        <v>669</v>
      </c>
      <c r="B384" s="336" t="s">
        <v>243</v>
      </c>
      <c r="C384" s="657" t="s">
        <v>164</v>
      </c>
      <c r="D384" s="702">
        <f t="shared" ref="D384:O384" si="276">IFERROR(0.08*D40,"")</f>
        <v>216.45680000000002</v>
      </c>
      <c r="E384" s="702">
        <f t="shared" si="276"/>
        <v>216.45680000000002</v>
      </c>
      <c r="F384" s="702">
        <f t="shared" si="276"/>
        <v>216.45680000000002</v>
      </c>
      <c r="G384" s="702">
        <f t="shared" si="276"/>
        <v>216.45680000000002</v>
      </c>
      <c r="H384" s="702">
        <f t="shared" si="276"/>
        <v>216.45680000000002</v>
      </c>
      <c r="I384" s="702">
        <f t="shared" si="276"/>
        <v>216.45680000000002</v>
      </c>
      <c r="J384" s="702">
        <f t="shared" si="276"/>
        <v>216.45680000000002</v>
      </c>
      <c r="K384" s="702">
        <f t="shared" si="276"/>
        <v>216.45680000000002</v>
      </c>
      <c r="L384" s="702">
        <f t="shared" si="276"/>
        <v>0</v>
      </c>
      <c r="M384" s="702">
        <f t="shared" si="276"/>
        <v>0</v>
      </c>
      <c r="N384" s="702">
        <f t="shared" si="276"/>
        <v>0</v>
      </c>
      <c r="O384" s="702">
        <f t="shared" si="276"/>
        <v>0</v>
      </c>
      <c r="P384" s="674">
        <f t="shared" si="270"/>
        <v>1731.6543999999999</v>
      </c>
    </row>
    <row r="385" spans="1:16" hidden="1" outlineLevel="1">
      <c r="A385" s="670" t="s">
        <v>176</v>
      </c>
      <c r="B385" s="336" t="s">
        <v>243</v>
      </c>
      <c r="C385" s="657" t="s">
        <v>164</v>
      </c>
      <c r="D385" s="702">
        <f t="shared" ref="D385:O385" si="277">IFERROR(0.08*D41,"")</f>
        <v>294.94080000000002</v>
      </c>
      <c r="E385" s="702">
        <f t="shared" si="277"/>
        <v>294.94080000000002</v>
      </c>
      <c r="F385" s="702">
        <f t="shared" si="277"/>
        <v>294.94080000000002</v>
      </c>
      <c r="G385" s="702">
        <f t="shared" si="277"/>
        <v>294.94080000000002</v>
      </c>
      <c r="H385" s="702">
        <f t="shared" si="277"/>
        <v>325.57760000000002</v>
      </c>
      <c r="I385" s="702">
        <f t="shared" si="277"/>
        <v>325.57760000000002</v>
      </c>
      <c r="J385" s="702">
        <f t="shared" si="277"/>
        <v>325.57760000000002</v>
      </c>
      <c r="K385" s="702">
        <f t="shared" si="277"/>
        <v>325.57760000000002</v>
      </c>
      <c r="L385" s="702">
        <f t="shared" si="277"/>
        <v>0</v>
      </c>
      <c r="M385" s="702">
        <f t="shared" si="277"/>
        <v>0</v>
      </c>
      <c r="N385" s="702">
        <f t="shared" si="277"/>
        <v>0</v>
      </c>
      <c r="O385" s="702">
        <f t="shared" si="277"/>
        <v>0</v>
      </c>
      <c r="P385" s="674">
        <f t="shared" si="270"/>
        <v>2482.0736000000002</v>
      </c>
    </row>
    <row r="386" spans="1:16" hidden="1" outlineLevel="1">
      <c r="A386" s="670" t="s">
        <v>178</v>
      </c>
      <c r="B386" s="336" t="s">
        <v>243</v>
      </c>
      <c r="C386" s="657" t="s">
        <v>164</v>
      </c>
      <c r="D386" s="702">
        <f t="shared" ref="D386:O386" si="278">IFERROR(0.08*D42,"")</f>
        <v>270.36240000000004</v>
      </c>
      <c r="E386" s="702">
        <f t="shared" si="278"/>
        <v>270.36240000000004</v>
      </c>
      <c r="F386" s="702">
        <f t="shared" si="278"/>
        <v>270.36240000000004</v>
      </c>
      <c r="G386" s="702">
        <f t="shared" si="278"/>
        <v>270.36240000000004</v>
      </c>
      <c r="H386" s="702">
        <f t="shared" si="278"/>
        <v>270.36240000000004</v>
      </c>
      <c r="I386" s="702">
        <f t="shared" si="278"/>
        <v>270.36240000000004</v>
      </c>
      <c r="J386" s="702">
        <f t="shared" si="278"/>
        <v>270.36240000000004</v>
      </c>
      <c r="K386" s="702">
        <f t="shared" si="278"/>
        <v>270.36240000000004</v>
      </c>
      <c r="L386" s="702">
        <f t="shared" si="278"/>
        <v>0</v>
      </c>
      <c r="M386" s="702">
        <f t="shared" si="278"/>
        <v>0</v>
      </c>
      <c r="N386" s="702">
        <f t="shared" si="278"/>
        <v>0</v>
      </c>
      <c r="O386" s="702">
        <f t="shared" si="278"/>
        <v>0</v>
      </c>
      <c r="P386" s="674">
        <f t="shared" si="270"/>
        <v>2162.8992000000003</v>
      </c>
    </row>
    <row r="387" spans="1:16" hidden="1" outlineLevel="1">
      <c r="A387" s="670" t="s">
        <v>3258</v>
      </c>
      <c r="B387" s="336" t="s">
        <v>243</v>
      </c>
      <c r="C387" s="657" t="s">
        <v>164</v>
      </c>
      <c r="D387" s="702">
        <f t="shared" ref="D387:O387" si="279">IFERROR(0.08*D43,"")</f>
        <v>294.94080000000002</v>
      </c>
      <c r="E387" s="702">
        <f t="shared" si="279"/>
        <v>294.94080000000002</v>
      </c>
      <c r="F387" s="702">
        <f t="shared" si="279"/>
        <v>294.94080000000002</v>
      </c>
      <c r="G387" s="702">
        <f t="shared" si="279"/>
        <v>294.94080000000002</v>
      </c>
      <c r="H387" s="702">
        <f t="shared" si="279"/>
        <v>294.94080000000002</v>
      </c>
      <c r="I387" s="702">
        <f t="shared" si="279"/>
        <v>294.94080000000002</v>
      </c>
      <c r="J387" s="702">
        <f t="shared" si="279"/>
        <v>325.57760000000002</v>
      </c>
      <c r="K387" s="702">
        <f t="shared" si="279"/>
        <v>325.57760000000002</v>
      </c>
      <c r="L387" s="702">
        <f t="shared" si="279"/>
        <v>0</v>
      </c>
      <c r="M387" s="702">
        <f t="shared" si="279"/>
        <v>0</v>
      </c>
      <c r="N387" s="702">
        <f t="shared" si="279"/>
        <v>0</v>
      </c>
      <c r="O387" s="702">
        <f t="shared" si="279"/>
        <v>0</v>
      </c>
      <c r="P387" s="674">
        <f t="shared" si="270"/>
        <v>2420.8000000000002</v>
      </c>
    </row>
    <row r="388" spans="1:16" hidden="1" outlineLevel="1">
      <c r="A388" s="670" t="s">
        <v>3259</v>
      </c>
      <c r="B388" s="336" t="s">
        <v>243</v>
      </c>
      <c r="C388" s="657" t="s">
        <v>164</v>
      </c>
      <c r="D388" s="702">
        <f t="shared" ref="D388:O388" si="280">IFERROR(0.08*D44,"")</f>
        <v>270.36240000000004</v>
      </c>
      <c r="E388" s="702">
        <f t="shared" si="280"/>
        <v>270.36240000000004</v>
      </c>
      <c r="F388" s="702">
        <f t="shared" si="280"/>
        <v>270.36240000000004</v>
      </c>
      <c r="G388" s="702">
        <f t="shared" si="280"/>
        <v>270.36240000000004</v>
      </c>
      <c r="H388" s="702">
        <f t="shared" si="280"/>
        <v>270.36240000000004</v>
      </c>
      <c r="I388" s="702">
        <f t="shared" si="280"/>
        <v>270.36240000000004</v>
      </c>
      <c r="J388" s="702">
        <f t="shared" si="280"/>
        <v>270.36240000000004</v>
      </c>
      <c r="K388" s="702">
        <f t="shared" si="280"/>
        <v>270.36240000000004</v>
      </c>
      <c r="L388" s="702">
        <f t="shared" si="280"/>
        <v>0</v>
      </c>
      <c r="M388" s="702">
        <f t="shared" si="280"/>
        <v>0</v>
      </c>
      <c r="N388" s="702">
        <f t="shared" si="280"/>
        <v>0</v>
      </c>
      <c r="O388" s="702">
        <f t="shared" si="280"/>
        <v>0</v>
      </c>
      <c r="P388" s="674">
        <f t="shared" si="270"/>
        <v>2162.8992000000003</v>
      </c>
    </row>
    <row r="389" spans="1:16" hidden="1" outlineLevel="1">
      <c r="A389" s="670" t="s">
        <v>3260</v>
      </c>
      <c r="B389" s="336" t="s">
        <v>243</v>
      </c>
      <c r="C389" s="657" t="s">
        <v>164</v>
      </c>
      <c r="D389" s="702">
        <f t="shared" ref="D389:O389" si="281">IFERROR(0.08*D45,"")</f>
        <v>245.78400000000002</v>
      </c>
      <c r="E389" s="702">
        <f t="shared" si="281"/>
        <v>245.78400000000002</v>
      </c>
      <c r="F389" s="702">
        <f t="shared" si="281"/>
        <v>245.78400000000002</v>
      </c>
      <c r="G389" s="702">
        <f t="shared" si="281"/>
        <v>245.78400000000002</v>
      </c>
      <c r="H389" s="702">
        <f t="shared" si="281"/>
        <v>270.36240000000004</v>
      </c>
      <c r="I389" s="702">
        <f t="shared" si="281"/>
        <v>270.36240000000004</v>
      </c>
      <c r="J389" s="702">
        <f t="shared" si="281"/>
        <v>270.36240000000004</v>
      </c>
      <c r="K389" s="702">
        <f t="shared" si="281"/>
        <v>270.36240000000004</v>
      </c>
      <c r="L389" s="702">
        <f t="shared" si="281"/>
        <v>0</v>
      </c>
      <c r="M389" s="702">
        <f t="shared" si="281"/>
        <v>0</v>
      </c>
      <c r="N389" s="702">
        <f t="shared" si="281"/>
        <v>0</v>
      </c>
      <c r="O389" s="702">
        <f t="shared" si="281"/>
        <v>0</v>
      </c>
      <c r="P389" s="674">
        <f t="shared" si="270"/>
        <v>2064.5856000000003</v>
      </c>
    </row>
    <row r="390" spans="1:16" hidden="1" outlineLevel="1">
      <c r="A390" s="670" t="s">
        <v>3261</v>
      </c>
      <c r="B390" s="336" t="s">
        <v>243</v>
      </c>
      <c r="C390" s="657" t="s">
        <v>169</v>
      </c>
      <c r="D390" s="702">
        <f t="shared" ref="D390:O390" si="282">IFERROR(0.08*D46,"")</f>
        <v>270.36240000000004</v>
      </c>
      <c r="E390" s="702">
        <f t="shared" si="282"/>
        <v>270.36240000000004</v>
      </c>
      <c r="F390" s="702">
        <f t="shared" si="282"/>
        <v>325.57760000000002</v>
      </c>
      <c r="G390" s="702">
        <f t="shared" si="282"/>
        <v>325.57760000000002</v>
      </c>
      <c r="H390" s="702">
        <f t="shared" si="282"/>
        <v>325.57760000000002</v>
      </c>
      <c r="I390" s="702">
        <f t="shared" si="282"/>
        <v>325.57760000000002</v>
      </c>
      <c r="J390" s="702">
        <f t="shared" si="282"/>
        <v>325.57760000000002</v>
      </c>
      <c r="K390" s="702">
        <f t="shared" si="282"/>
        <v>325.57760000000002</v>
      </c>
      <c r="L390" s="702">
        <f t="shared" si="282"/>
        <v>0</v>
      </c>
      <c r="M390" s="702">
        <f t="shared" si="282"/>
        <v>0</v>
      </c>
      <c r="N390" s="702">
        <f t="shared" si="282"/>
        <v>0</v>
      </c>
      <c r="O390" s="702">
        <f t="shared" si="282"/>
        <v>0</v>
      </c>
      <c r="P390" s="674">
        <f t="shared" si="270"/>
        <v>2494.1904000000004</v>
      </c>
    </row>
    <row r="391" spans="1:16" hidden="1" outlineLevel="1">
      <c r="A391" s="679" t="s">
        <v>3262</v>
      </c>
      <c r="B391" s="336" t="s">
        <v>3154</v>
      </c>
      <c r="C391" s="657" t="s">
        <v>169</v>
      </c>
      <c r="D391" s="702">
        <f t="shared" ref="D391:I391" si="283">IFERROR(0.08*D47,"")</f>
        <v>245.78319999999999</v>
      </c>
      <c r="E391" s="702">
        <f t="shared" si="283"/>
        <v>245.78319999999999</v>
      </c>
      <c r="F391" s="702">
        <f t="shared" si="283"/>
        <v>245.78319999999999</v>
      </c>
      <c r="G391" s="702">
        <f t="shared" si="283"/>
        <v>245.78319999999999</v>
      </c>
      <c r="H391" s="702">
        <f t="shared" si="283"/>
        <v>294.94080000000002</v>
      </c>
      <c r="I391" s="702">
        <f t="shared" si="283"/>
        <v>294.94080000000002</v>
      </c>
      <c r="J391" s="702"/>
      <c r="K391" s="702"/>
      <c r="L391" s="702"/>
      <c r="M391" s="702"/>
      <c r="N391" s="702"/>
      <c r="O391" s="702"/>
      <c r="P391" s="674">
        <f t="shared" si="270"/>
        <v>1573.0144</v>
      </c>
    </row>
    <row r="392" spans="1:16" hidden="1" outlineLevel="1">
      <c r="A392" s="687" t="s">
        <v>3263</v>
      </c>
      <c r="B392" s="336" t="s">
        <v>243</v>
      </c>
      <c r="C392" s="657" t="s">
        <v>169</v>
      </c>
      <c r="D392" s="702">
        <f t="shared" ref="D392:O392" si="284">IFERROR(0.08*D48,"")</f>
        <v>294.94080000000002</v>
      </c>
      <c r="E392" s="702">
        <f t="shared" si="284"/>
        <v>294.94080000000002</v>
      </c>
      <c r="F392" s="702">
        <f t="shared" si="284"/>
        <v>0</v>
      </c>
      <c r="G392" s="702">
        <f t="shared" si="284"/>
        <v>0</v>
      </c>
      <c r="H392" s="702">
        <f t="shared" si="284"/>
        <v>0</v>
      </c>
      <c r="I392" s="702">
        <f t="shared" si="284"/>
        <v>0</v>
      </c>
      <c r="J392" s="702">
        <f t="shared" si="284"/>
        <v>294.94080000000002</v>
      </c>
      <c r="K392" s="702">
        <f t="shared" si="284"/>
        <v>294.94080000000002</v>
      </c>
      <c r="L392" s="702">
        <f t="shared" si="284"/>
        <v>0</v>
      </c>
      <c r="M392" s="702">
        <f t="shared" si="284"/>
        <v>0</v>
      </c>
      <c r="N392" s="702">
        <f t="shared" si="284"/>
        <v>0</v>
      </c>
      <c r="O392" s="702">
        <f t="shared" si="284"/>
        <v>0</v>
      </c>
      <c r="P392" s="674">
        <f t="shared" si="270"/>
        <v>1179.7632000000001</v>
      </c>
    </row>
    <row r="393" spans="1:16" hidden="1" outlineLevel="1">
      <c r="A393" s="670" t="s">
        <v>3264</v>
      </c>
      <c r="B393" s="336" t="s">
        <v>243</v>
      </c>
      <c r="C393" s="657" t="s">
        <v>169</v>
      </c>
      <c r="D393" s="702">
        <f t="shared" ref="D393:O393" si="285">IFERROR(0.08*D49,"")</f>
        <v>221.2056</v>
      </c>
      <c r="E393" s="702">
        <f t="shared" si="285"/>
        <v>221.2056</v>
      </c>
      <c r="F393" s="702">
        <f t="shared" si="285"/>
        <v>221.2056</v>
      </c>
      <c r="G393" s="702">
        <f t="shared" si="285"/>
        <v>221.2056</v>
      </c>
      <c r="H393" s="702">
        <f t="shared" si="285"/>
        <v>221.2056</v>
      </c>
      <c r="I393" s="702">
        <f t="shared" si="285"/>
        <v>221.2056</v>
      </c>
      <c r="J393" s="702">
        <f t="shared" si="285"/>
        <v>221.2056</v>
      </c>
      <c r="K393" s="702">
        <f t="shared" si="285"/>
        <v>221.2056</v>
      </c>
      <c r="L393" s="702">
        <f t="shared" si="285"/>
        <v>0</v>
      </c>
      <c r="M393" s="702">
        <f t="shared" si="285"/>
        <v>0</v>
      </c>
      <c r="N393" s="702">
        <f t="shared" si="285"/>
        <v>0</v>
      </c>
      <c r="O393" s="702">
        <f t="shared" si="285"/>
        <v>0</v>
      </c>
      <c r="P393" s="674">
        <f t="shared" si="270"/>
        <v>1769.6448</v>
      </c>
    </row>
    <row r="394" spans="1:16" hidden="1" outlineLevel="1">
      <c r="A394" s="670" t="s">
        <v>1860</v>
      </c>
      <c r="B394" s="336" t="s">
        <v>243</v>
      </c>
      <c r="C394" s="657" t="s">
        <v>169</v>
      </c>
      <c r="D394" s="702">
        <f t="shared" ref="D394:O394" si="286">IFERROR(0.08*D50,"")</f>
        <v>270.36240000000004</v>
      </c>
      <c r="E394" s="702">
        <f t="shared" si="286"/>
        <v>270.36240000000004</v>
      </c>
      <c r="F394" s="702">
        <f t="shared" si="286"/>
        <v>270.36240000000004</v>
      </c>
      <c r="G394" s="702">
        <f t="shared" si="286"/>
        <v>270.36240000000004</v>
      </c>
      <c r="H394" s="702">
        <f t="shared" si="286"/>
        <v>270.36240000000004</v>
      </c>
      <c r="I394" s="702">
        <f t="shared" si="286"/>
        <v>294.94080000000002</v>
      </c>
      <c r="J394" s="702">
        <f t="shared" si="286"/>
        <v>294.94080000000002</v>
      </c>
      <c r="K394" s="702">
        <f t="shared" si="286"/>
        <v>294.94080000000002</v>
      </c>
      <c r="L394" s="702">
        <f t="shared" si="286"/>
        <v>0</v>
      </c>
      <c r="M394" s="702">
        <f t="shared" si="286"/>
        <v>0</v>
      </c>
      <c r="N394" s="702">
        <f t="shared" si="286"/>
        <v>0</v>
      </c>
      <c r="O394" s="702">
        <f t="shared" si="286"/>
        <v>0</v>
      </c>
      <c r="P394" s="674">
        <f t="shared" si="270"/>
        <v>2236.6344000000004</v>
      </c>
    </row>
    <row r="395" spans="1:16" hidden="1" outlineLevel="1">
      <c r="A395" s="670" t="s">
        <v>186</v>
      </c>
      <c r="B395" s="336" t="s">
        <v>243</v>
      </c>
      <c r="C395" s="657" t="s">
        <v>169</v>
      </c>
      <c r="D395" s="702">
        <f t="shared" ref="D395:O395" si="287">IFERROR(0.08*D51,"")</f>
        <v>325.57760000000002</v>
      </c>
      <c r="E395" s="702">
        <f t="shared" si="287"/>
        <v>325.57760000000002</v>
      </c>
      <c r="F395" s="702">
        <f t="shared" si="287"/>
        <v>325.57760000000002</v>
      </c>
      <c r="G395" s="702">
        <f t="shared" si="287"/>
        <v>325.57760000000002</v>
      </c>
      <c r="H395" s="702">
        <f t="shared" si="287"/>
        <v>325.57760000000002</v>
      </c>
      <c r="I395" s="702">
        <f t="shared" si="287"/>
        <v>390.6936</v>
      </c>
      <c r="J395" s="702">
        <f t="shared" si="287"/>
        <v>390.6936</v>
      </c>
      <c r="K395" s="702">
        <f t="shared" si="287"/>
        <v>390.6936</v>
      </c>
      <c r="L395" s="702">
        <f t="shared" si="287"/>
        <v>0</v>
      </c>
      <c r="M395" s="702">
        <f t="shared" si="287"/>
        <v>0</v>
      </c>
      <c r="N395" s="702">
        <f t="shared" si="287"/>
        <v>0</v>
      </c>
      <c r="O395" s="702">
        <f t="shared" si="287"/>
        <v>0</v>
      </c>
      <c r="P395" s="674">
        <f t="shared" si="270"/>
        <v>2799.9688000000001</v>
      </c>
    </row>
    <row r="396" spans="1:16" hidden="1" outlineLevel="1">
      <c r="A396" s="683" t="s">
        <v>3265</v>
      </c>
      <c r="B396" s="336" t="s">
        <v>243</v>
      </c>
      <c r="C396" s="657" t="s">
        <v>169</v>
      </c>
      <c r="D396" s="702">
        <f t="shared" ref="D396:O396" si="288">IFERROR(0.08*D52,"")</f>
        <v>0</v>
      </c>
      <c r="E396" s="702">
        <f t="shared" si="288"/>
        <v>0</v>
      </c>
      <c r="F396" s="702">
        <f t="shared" si="288"/>
        <v>196.62720000000002</v>
      </c>
      <c r="G396" s="702">
        <f t="shared" si="288"/>
        <v>196.62720000000002</v>
      </c>
      <c r="H396" s="702">
        <f t="shared" si="288"/>
        <v>196.62720000000002</v>
      </c>
      <c r="I396" s="702">
        <f t="shared" si="288"/>
        <v>196.62720000000002</v>
      </c>
      <c r="J396" s="702">
        <f t="shared" si="288"/>
        <v>196.62720000000002</v>
      </c>
      <c r="K396" s="702">
        <f t="shared" si="288"/>
        <v>196.62720000000002</v>
      </c>
      <c r="L396" s="702">
        <f t="shared" si="288"/>
        <v>0</v>
      </c>
      <c r="M396" s="702">
        <f t="shared" si="288"/>
        <v>0</v>
      </c>
      <c r="N396" s="702">
        <f t="shared" si="288"/>
        <v>0</v>
      </c>
      <c r="O396" s="702">
        <f t="shared" si="288"/>
        <v>0</v>
      </c>
      <c r="P396" s="674">
        <f t="shared" si="270"/>
        <v>1179.7632000000001</v>
      </c>
    </row>
    <row r="397" spans="1:16" hidden="1" outlineLevel="1">
      <c r="A397" s="670" t="s">
        <v>3266</v>
      </c>
      <c r="B397" s="336" t="s">
        <v>3227</v>
      </c>
      <c r="C397" s="657" t="s">
        <v>162</v>
      </c>
      <c r="D397" s="702">
        <f t="shared" ref="D397:O397" si="289">IFERROR(0.08*D53,"")</f>
        <v>260.4624</v>
      </c>
      <c r="E397" s="702">
        <f t="shared" si="289"/>
        <v>260.4624</v>
      </c>
      <c r="F397" s="702">
        <f t="shared" si="289"/>
        <v>260.4624</v>
      </c>
      <c r="G397" s="702">
        <f t="shared" si="289"/>
        <v>260.4624</v>
      </c>
      <c r="H397" s="702">
        <f t="shared" si="289"/>
        <v>293.02</v>
      </c>
      <c r="I397" s="702">
        <f t="shared" si="289"/>
        <v>293.02</v>
      </c>
      <c r="J397" s="702">
        <f t="shared" si="289"/>
        <v>293.02</v>
      </c>
      <c r="K397" s="702">
        <f t="shared" si="289"/>
        <v>293.02</v>
      </c>
      <c r="L397" s="702">
        <f t="shared" si="289"/>
        <v>0</v>
      </c>
      <c r="M397" s="702">
        <f t="shared" si="289"/>
        <v>0</v>
      </c>
      <c r="N397" s="702">
        <f t="shared" si="289"/>
        <v>0</v>
      </c>
      <c r="O397" s="702">
        <f t="shared" si="289"/>
        <v>0</v>
      </c>
      <c r="P397" s="674">
        <f t="shared" si="270"/>
        <v>2213.9295999999999</v>
      </c>
    </row>
    <row r="398" spans="1:16" hidden="1" outlineLevel="1">
      <c r="A398" s="679" t="s">
        <v>3267</v>
      </c>
      <c r="B398" s="336" t="s">
        <v>3227</v>
      </c>
      <c r="C398" s="657" t="s">
        <v>162</v>
      </c>
      <c r="D398" s="702">
        <f t="shared" ref="D398:I398" si="290">IFERROR(0.08*D54,"")</f>
        <v>397.18239999999997</v>
      </c>
      <c r="E398" s="702">
        <f t="shared" si="290"/>
        <v>397.18239999999997</v>
      </c>
      <c r="F398" s="702">
        <f t="shared" si="290"/>
        <v>397.18239999999997</v>
      </c>
      <c r="G398" s="702">
        <f t="shared" si="290"/>
        <v>397.18239999999997</v>
      </c>
      <c r="H398" s="702">
        <f t="shared" si="290"/>
        <v>397.18239999999997</v>
      </c>
      <c r="I398" s="702">
        <f t="shared" si="290"/>
        <v>0</v>
      </c>
      <c r="J398" s="702"/>
      <c r="K398" s="702"/>
      <c r="L398" s="702"/>
      <c r="M398" s="702"/>
      <c r="N398" s="702"/>
      <c r="O398" s="702"/>
      <c r="P398" s="674">
        <f t="shared" si="270"/>
        <v>1985.9119999999998</v>
      </c>
    </row>
    <row r="399" spans="1:16" hidden="1" outlineLevel="1">
      <c r="A399" s="670" t="s">
        <v>523</v>
      </c>
      <c r="B399" s="336" t="s">
        <v>3227</v>
      </c>
      <c r="C399" s="657" t="s">
        <v>162</v>
      </c>
      <c r="D399" s="702">
        <f t="shared" ref="D399:O399" si="291">IFERROR(0.08*D55,"")</f>
        <v>328.91360000000003</v>
      </c>
      <c r="E399" s="702">
        <f t="shared" si="291"/>
        <v>328.91360000000003</v>
      </c>
      <c r="F399" s="702">
        <f t="shared" si="291"/>
        <v>328.91360000000003</v>
      </c>
      <c r="G399" s="702">
        <f t="shared" si="291"/>
        <v>328.91360000000003</v>
      </c>
      <c r="H399" s="702">
        <f t="shared" si="291"/>
        <v>328.91360000000003</v>
      </c>
      <c r="I399" s="702">
        <f t="shared" si="291"/>
        <v>328.91360000000003</v>
      </c>
      <c r="J399" s="702">
        <f t="shared" si="291"/>
        <v>328.91360000000003</v>
      </c>
      <c r="K399" s="702">
        <f t="shared" si="291"/>
        <v>328.91360000000003</v>
      </c>
      <c r="L399" s="702">
        <f t="shared" si="291"/>
        <v>0</v>
      </c>
      <c r="M399" s="702">
        <f t="shared" si="291"/>
        <v>0</v>
      </c>
      <c r="N399" s="702">
        <f t="shared" si="291"/>
        <v>0</v>
      </c>
      <c r="O399" s="702">
        <f t="shared" si="291"/>
        <v>0</v>
      </c>
      <c r="P399" s="674">
        <f t="shared" si="270"/>
        <v>2631.3088000000002</v>
      </c>
    </row>
    <row r="400" spans="1:16" hidden="1" outlineLevel="1">
      <c r="A400" s="670" t="s">
        <v>2791</v>
      </c>
      <c r="B400" s="336" t="s">
        <v>243</v>
      </c>
      <c r="C400" s="336" t="s">
        <v>162</v>
      </c>
      <c r="D400" s="702">
        <f t="shared" ref="D400:O400" si="292">IFERROR(0.08*D56,"")</f>
        <v>293.02</v>
      </c>
      <c r="E400" s="702">
        <f t="shared" si="292"/>
        <v>293.02</v>
      </c>
      <c r="F400" s="702">
        <f t="shared" si="292"/>
        <v>293.02</v>
      </c>
      <c r="G400" s="702">
        <f t="shared" si="292"/>
        <v>293.02</v>
      </c>
      <c r="H400" s="702">
        <f t="shared" si="292"/>
        <v>293.02</v>
      </c>
      <c r="I400" s="702">
        <f t="shared" si="292"/>
        <v>293.02</v>
      </c>
      <c r="J400" s="702">
        <f t="shared" si="292"/>
        <v>293.02</v>
      </c>
      <c r="K400" s="702">
        <f t="shared" si="292"/>
        <v>293.02</v>
      </c>
      <c r="L400" s="702">
        <f t="shared" si="292"/>
        <v>0</v>
      </c>
      <c r="M400" s="702">
        <f t="shared" si="292"/>
        <v>0</v>
      </c>
      <c r="N400" s="702">
        <f t="shared" si="292"/>
        <v>0</v>
      </c>
      <c r="O400" s="702">
        <f t="shared" si="292"/>
        <v>0</v>
      </c>
      <c r="P400" s="674">
        <f t="shared" si="270"/>
        <v>2344.16</v>
      </c>
    </row>
    <row r="401" spans="1:16" hidden="1" outlineLevel="1">
      <c r="A401" s="689" t="s">
        <v>3268</v>
      </c>
      <c r="B401" s="336" t="s">
        <v>3227</v>
      </c>
      <c r="C401" s="657" t="s">
        <v>162</v>
      </c>
      <c r="D401" s="699"/>
      <c r="E401" s="699"/>
      <c r="F401" s="699"/>
      <c r="G401" s="699"/>
      <c r="H401" s="699"/>
      <c r="I401" s="699"/>
      <c r="J401" s="699"/>
      <c r="K401" s="699"/>
      <c r="L401" s="699"/>
      <c r="M401" s="699"/>
      <c r="N401" s="699"/>
      <c r="O401" s="699"/>
      <c r="P401" s="674">
        <f t="shared" si="270"/>
        <v>0</v>
      </c>
    </row>
    <row r="402" spans="1:16" hidden="1" outlineLevel="1">
      <c r="A402" s="683" t="s">
        <v>3269</v>
      </c>
      <c r="B402" s="336" t="s">
        <v>3227</v>
      </c>
      <c r="C402" s="657" t="s">
        <v>162</v>
      </c>
      <c r="D402" s="699"/>
      <c r="E402" s="699"/>
      <c r="F402" s="699"/>
      <c r="G402" s="699"/>
      <c r="H402" s="699"/>
      <c r="I402" s="699"/>
      <c r="J402" s="699"/>
      <c r="K402" s="699"/>
      <c r="L402" s="699"/>
      <c r="M402" s="699"/>
      <c r="N402" s="699"/>
      <c r="O402" s="699"/>
      <c r="P402" s="674"/>
    </row>
    <row r="403" spans="1:16" hidden="1" outlineLevel="1">
      <c r="A403" s="690" t="s">
        <v>3270</v>
      </c>
      <c r="B403" s="336" t="s">
        <v>3227</v>
      </c>
      <c r="C403" s="657" t="s">
        <v>143</v>
      </c>
      <c r="D403" s="702">
        <f t="shared" ref="D403:O403" si="293">IFERROR(0.08*D59,"")</f>
        <v>270.36320000000001</v>
      </c>
      <c r="E403" s="702">
        <f t="shared" si="293"/>
        <v>270.36320000000001</v>
      </c>
      <c r="F403" s="702">
        <f t="shared" si="293"/>
        <v>270.36320000000001</v>
      </c>
      <c r="G403" s="702">
        <f t="shared" si="293"/>
        <v>270.36320000000001</v>
      </c>
      <c r="H403" s="702">
        <f t="shared" si="293"/>
        <v>270.36320000000001</v>
      </c>
      <c r="I403" s="702">
        <f t="shared" si="293"/>
        <v>270.36320000000001</v>
      </c>
      <c r="J403" s="702">
        <f t="shared" si="293"/>
        <v>270.36320000000001</v>
      </c>
      <c r="K403" s="702">
        <f t="shared" si="293"/>
        <v>270.36320000000001</v>
      </c>
      <c r="L403" s="702">
        <f t="shared" si="293"/>
        <v>0</v>
      </c>
      <c r="M403" s="702">
        <f t="shared" si="293"/>
        <v>0</v>
      </c>
      <c r="N403" s="702">
        <f t="shared" si="293"/>
        <v>0</v>
      </c>
      <c r="O403" s="702">
        <f t="shared" si="293"/>
        <v>0</v>
      </c>
      <c r="P403" s="674">
        <f t="shared" ref="P403:P429" si="294">SUM(D403:O403)</f>
        <v>2162.9056</v>
      </c>
    </row>
    <row r="404" spans="1:16" hidden="1" outlineLevel="1">
      <c r="A404" s="690" t="s">
        <v>3271</v>
      </c>
      <c r="B404" s="336" t="s">
        <v>3227</v>
      </c>
      <c r="C404" s="657" t="s">
        <v>143</v>
      </c>
      <c r="D404" s="702">
        <f t="shared" ref="D404:O404" si="295">IFERROR(0.08*D60,"")</f>
        <v>260.4624</v>
      </c>
      <c r="E404" s="702">
        <f t="shared" si="295"/>
        <v>260.4624</v>
      </c>
      <c r="F404" s="702">
        <f t="shared" si="295"/>
        <v>260.4624</v>
      </c>
      <c r="G404" s="702">
        <f t="shared" si="295"/>
        <v>260.4624</v>
      </c>
      <c r="H404" s="702">
        <f t="shared" si="295"/>
        <v>293.02</v>
      </c>
      <c r="I404" s="702">
        <f t="shared" si="295"/>
        <v>293.02</v>
      </c>
      <c r="J404" s="702">
        <f t="shared" si="295"/>
        <v>293.02</v>
      </c>
      <c r="K404" s="702">
        <f t="shared" si="295"/>
        <v>293.02</v>
      </c>
      <c r="L404" s="702">
        <f t="shared" si="295"/>
        <v>0</v>
      </c>
      <c r="M404" s="702">
        <f t="shared" si="295"/>
        <v>0</v>
      </c>
      <c r="N404" s="702">
        <f t="shared" si="295"/>
        <v>0</v>
      </c>
      <c r="O404" s="702">
        <f t="shared" si="295"/>
        <v>0</v>
      </c>
      <c r="P404" s="674">
        <f t="shared" si="294"/>
        <v>2213.9295999999999</v>
      </c>
    </row>
    <row r="405" spans="1:16" hidden="1" outlineLevel="1">
      <c r="A405" s="690" t="s">
        <v>3272</v>
      </c>
      <c r="B405" s="336" t="s">
        <v>3227</v>
      </c>
      <c r="C405" s="657" t="s">
        <v>143</v>
      </c>
      <c r="D405" s="702">
        <f t="shared" ref="D405:O405" si="296">IFERROR(0.08*D61,"")</f>
        <v>198.41840000000002</v>
      </c>
      <c r="E405" s="702">
        <f t="shared" si="296"/>
        <v>198.41840000000002</v>
      </c>
      <c r="F405" s="702">
        <f t="shared" si="296"/>
        <v>198.41840000000002</v>
      </c>
      <c r="G405" s="702">
        <f t="shared" si="296"/>
        <v>198.41840000000002</v>
      </c>
      <c r="H405" s="702">
        <f t="shared" si="296"/>
        <v>198.41840000000002</v>
      </c>
      <c r="I405" s="702">
        <f t="shared" si="296"/>
        <v>198.41840000000002</v>
      </c>
      <c r="J405" s="702">
        <f t="shared" si="296"/>
        <v>221.2056</v>
      </c>
      <c r="K405" s="702">
        <f t="shared" si="296"/>
        <v>221.2056</v>
      </c>
      <c r="L405" s="702">
        <f t="shared" si="296"/>
        <v>0</v>
      </c>
      <c r="M405" s="702">
        <f t="shared" si="296"/>
        <v>0</v>
      </c>
      <c r="N405" s="702">
        <f t="shared" si="296"/>
        <v>0</v>
      </c>
      <c r="O405" s="702">
        <f t="shared" si="296"/>
        <v>0</v>
      </c>
      <c r="P405" s="674">
        <f t="shared" si="294"/>
        <v>1632.9216000000001</v>
      </c>
    </row>
    <row r="406" spans="1:16" hidden="1" outlineLevel="1">
      <c r="A406" s="691" t="s">
        <v>3273</v>
      </c>
      <c r="B406" s="336" t="s">
        <v>3227</v>
      </c>
      <c r="C406" s="657" t="s">
        <v>143</v>
      </c>
      <c r="D406" s="702">
        <f t="shared" ref="D406:I406" si="297">IFERROR(0.08*D62,"")</f>
        <v>334.34559999999999</v>
      </c>
      <c r="E406" s="702">
        <f t="shared" si="297"/>
        <v>334.34559999999999</v>
      </c>
      <c r="F406" s="702">
        <f t="shared" si="297"/>
        <v>334.34559999999999</v>
      </c>
      <c r="G406" s="702">
        <f t="shared" si="297"/>
        <v>334.34559999999999</v>
      </c>
      <c r="H406" s="702">
        <f t="shared" si="297"/>
        <v>334.34559999999999</v>
      </c>
      <c r="I406" s="702">
        <f t="shared" si="297"/>
        <v>334.34559999999999</v>
      </c>
      <c r="J406" s="702"/>
      <c r="K406" s="702"/>
      <c r="L406" s="702"/>
      <c r="M406" s="702"/>
      <c r="N406" s="702"/>
      <c r="O406" s="702"/>
      <c r="P406" s="674">
        <f t="shared" si="294"/>
        <v>2006.0736000000002</v>
      </c>
    </row>
    <row r="407" spans="1:16" hidden="1" outlineLevel="1">
      <c r="A407" s="690" t="s">
        <v>1643</v>
      </c>
      <c r="B407" s="336" t="s">
        <v>3227</v>
      </c>
      <c r="C407" s="657" t="s">
        <v>143</v>
      </c>
      <c r="D407" s="702">
        <f t="shared" ref="D407:O407" si="298">IFERROR(0.08*D63,"")</f>
        <v>206.13120000000001</v>
      </c>
      <c r="E407" s="702">
        <f t="shared" si="298"/>
        <v>206.13120000000001</v>
      </c>
      <c r="F407" s="702">
        <f t="shared" si="298"/>
        <v>206.13120000000001</v>
      </c>
      <c r="G407" s="702">
        <f t="shared" si="298"/>
        <v>206.13120000000001</v>
      </c>
      <c r="H407" s="702">
        <f t="shared" si="298"/>
        <v>206.13120000000001</v>
      </c>
      <c r="I407" s="702">
        <f t="shared" si="298"/>
        <v>206.13120000000001</v>
      </c>
      <c r="J407" s="702">
        <f t="shared" si="298"/>
        <v>206.13120000000001</v>
      </c>
      <c r="K407" s="702">
        <f t="shared" si="298"/>
        <v>206.13120000000001</v>
      </c>
      <c r="L407" s="702">
        <f t="shared" si="298"/>
        <v>0</v>
      </c>
      <c r="M407" s="702">
        <f t="shared" si="298"/>
        <v>0</v>
      </c>
      <c r="N407" s="702">
        <f t="shared" si="298"/>
        <v>0</v>
      </c>
      <c r="O407" s="702">
        <f t="shared" si="298"/>
        <v>0</v>
      </c>
      <c r="P407" s="674">
        <f t="shared" si="294"/>
        <v>1649.0496000000001</v>
      </c>
    </row>
    <row r="408" spans="1:16" hidden="1" outlineLevel="1">
      <c r="A408" s="690" t="s">
        <v>3274</v>
      </c>
      <c r="B408" s="336" t="s">
        <v>3227</v>
      </c>
      <c r="C408" s="657" t="s">
        <v>143</v>
      </c>
      <c r="D408" s="702">
        <f t="shared" ref="D408:O408" si="299">IFERROR(0.08*D64,"")</f>
        <v>216.45680000000002</v>
      </c>
      <c r="E408" s="702">
        <f t="shared" si="299"/>
        <v>216.45680000000002</v>
      </c>
      <c r="F408" s="702">
        <f t="shared" si="299"/>
        <v>216.45680000000002</v>
      </c>
      <c r="G408" s="702">
        <f t="shared" si="299"/>
        <v>270.36320000000001</v>
      </c>
      <c r="H408" s="702">
        <f t="shared" si="299"/>
        <v>270.36320000000001</v>
      </c>
      <c r="I408" s="702">
        <f t="shared" si="299"/>
        <v>270.36320000000001</v>
      </c>
      <c r="J408" s="702">
        <f t="shared" si="299"/>
        <v>270.36320000000001</v>
      </c>
      <c r="K408" s="702">
        <f t="shared" si="299"/>
        <v>270.36320000000001</v>
      </c>
      <c r="L408" s="702">
        <f t="shared" si="299"/>
        <v>0</v>
      </c>
      <c r="M408" s="702">
        <f t="shared" si="299"/>
        <v>0</v>
      </c>
      <c r="N408" s="702">
        <f t="shared" si="299"/>
        <v>0</v>
      </c>
      <c r="O408" s="702">
        <f t="shared" si="299"/>
        <v>0</v>
      </c>
      <c r="P408" s="674">
        <f t="shared" si="294"/>
        <v>2001.1864</v>
      </c>
    </row>
    <row r="409" spans="1:16" hidden="1" outlineLevel="1">
      <c r="A409" s="692" t="s">
        <v>3275</v>
      </c>
      <c r="B409" s="336" t="s">
        <v>3227</v>
      </c>
      <c r="C409" s="657" t="s">
        <v>143</v>
      </c>
      <c r="D409" s="702">
        <f t="shared" ref="D409:O409" si="300">IFERROR(0.08*D65,"")</f>
        <v>221.2056</v>
      </c>
      <c r="E409" s="702">
        <f t="shared" si="300"/>
        <v>221.2056</v>
      </c>
      <c r="F409" s="702">
        <f t="shared" si="300"/>
        <v>221.2056</v>
      </c>
      <c r="G409" s="702">
        <f t="shared" si="300"/>
        <v>0</v>
      </c>
      <c r="H409" s="702">
        <f t="shared" si="300"/>
        <v>0</v>
      </c>
      <c r="I409" s="702">
        <f t="shared" si="300"/>
        <v>0</v>
      </c>
      <c r="J409" s="702">
        <f t="shared" si="300"/>
        <v>0</v>
      </c>
      <c r="K409" s="702">
        <f t="shared" si="300"/>
        <v>0</v>
      </c>
      <c r="L409" s="702">
        <f t="shared" si="300"/>
        <v>0</v>
      </c>
      <c r="M409" s="702">
        <f t="shared" si="300"/>
        <v>0</v>
      </c>
      <c r="N409" s="702">
        <f t="shared" si="300"/>
        <v>0</v>
      </c>
      <c r="O409" s="702">
        <f t="shared" si="300"/>
        <v>0</v>
      </c>
      <c r="P409" s="674">
        <f t="shared" si="294"/>
        <v>663.61680000000001</v>
      </c>
    </row>
    <row r="410" spans="1:16" hidden="1" outlineLevel="1">
      <c r="A410" s="690" t="s">
        <v>3276</v>
      </c>
      <c r="B410" s="336" t="s">
        <v>243</v>
      </c>
      <c r="C410" s="657" t="s">
        <v>143</v>
      </c>
      <c r="D410" s="702">
        <f t="shared" ref="D410:O410" si="301">IFERROR(0.08*D66,"")</f>
        <v>358.1352</v>
      </c>
      <c r="E410" s="702">
        <f t="shared" si="301"/>
        <v>358.1352</v>
      </c>
      <c r="F410" s="702">
        <f t="shared" si="301"/>
        <v>358.1352</v>
      </c>
      <c r="G410" s="702">
        <f t="shared" si="301"/>
        <v>358.1352</v>
      </c>
      <c r="H410" s="702">
        <f t="shared" si="301"/>
        <v>397.1832</v>
      </c>
      <c r="I410" s="702">
        <f t="shared" si="301"/>
        <v>397.1832</v>
      </c>
      <c r="J410" s="702">
        <f t="shared" si="301"/>
        <v>397.1832</v>
      </c>
      <c r="K410" s="702">
        <f t="shared" si="301"/>
        <v>397.1832</v>
      </c>
      <c r="L410" s="702">
        <f t="shared" si="301"/>
        <v>0</v>
      </c>
      <c r="M410" s="702">
        <f t="shared" si="301"/>
        <v>0</v>
      </c>
      <c r="N410" s="702">
        <f t="shared" si="301"/>
        <v>0</v>
      </c>
      <c r="O410" s="702">
        <f t="shared" si="301"/>
        <v>0</v>
      </c>
      <c r="P410" s="674">
        <f t="shared" si="294"/>
        <v>3021.2736</v>
      </c>
    </row>
    <row r="411" spans="1:16" hidden="1" outlineLevel="1">
      <c r="A411" s="690" t="s">
        <v>3277</v>
      </c>
      <c r="B411" s="336" t="s">
        <v>3227</v>
      </c>
      <c r="C411" s="657" t="s">
        <v>143</v>
      </c>
      <c r="D411" s="702">
        <f t="shared" ref="D411:O411" si="302">IFERROR(0.08*D67,"")</f>
        <v>139.80879999999999</v>
      </c>
      <c r="E411" s="702">
        <f t="shared" si="302"/>
        <v>139.80879999999999</v>
      </c>
      <c r="F411" s="702">
        <f t="shared" si="302"/>
        <v>139.80879999999999</v>
      </c>
      <c r="G411" s="702">
        <f t="shared" si="302"/>
        <v>139.80879999999999</v>
      </c>
      <c r="H411" s="702">
        <f t="shared" si="302"/>
        <v>139.80879999999999</v>
      </c>
      <c r="I411" s="702">
        <f t="shared" si="302"/>
        <v>139.80879999999999</v>
      </c>
      <c r="J411" s="702">
        <f t="shared" si="302"/>
        <v>139.80879999999999</v>
      </c>
      <c r="K411" s="702">
        <f t="shared" si="302"/>
        <v>139.80879999999999</v>
      </c>
      <c r="L411" s="702">
        <f t="shared" si="302"/>
        <v>0</v>
      </c>
      <c r="M411" s="702">
        <f t="shared" si="302"/>
        <v>0</v>
      </c>
      <c r="N411" s="702">
        <f t="shared" si="302"/>
        <v>0</v>
      </c>
      <c r="O411" s="702">
        <f t="shared" si="302"/>
        <v>0</v>
      </c>
      <c r="P411" s="674">
        <f t="shared" si="294"/>
        <v>1118.4703999999999</v>
      </c>
    </row>
    <row r="412" spans="1:16" hidden="1" outlineLevel="1">
      <c r="A412" s="683" t="s">
        <v>3278</v>
      </c>
      <c r="B412" s="336" t="s">
        <v>3227</v>
      </c>
      <c r="C412" s="657" t="s">
        <v>143</v>
      </c>
      <c r="D412" s="702">
        <f t="shared" ref="D412:O412" si="303">IFERROR(0.08*D68,"")</f>
        <v>0</v>
      </c>
      <c r="E412" s="702">
        <f t="shared" si="303"/>
        <v>245.78400000000002</v>
      </c>
      <c r="F412" s="702">
        <f t="shared" si="303"/>
        <v>245.78400000000002</v>
      </c>
      <c r="G412" s="702">
        <f t="shared" si="303"/>
        <v>245.78400000000002</v>
      </c>
      <c r="H412" s="702">
        <f t="shared" si="303"/>
        <v>245.78400000000002</v>
      </c>
      <c r="I412" s="702">
        <f t="shared" si="303"/>
        <v>245.78400000000002</v>
      </c>
      <c r="J412" s="702">
        <f t="shared" si="303"/>
        <v>245.78400000000002</v>
      </c>
      <c r="K412" s="702">
        <f t="shared" si="303"/>
        <v>245.78400000000002</v>
      </c>
      <c r="L412" s="702">
        <f t="shared" si="303"/>
        <v>0</v>
      </c>
      <c r="M412" s="702">
        <f t="shared" si="303"/>
        <v>0</v>
      </c>
      <c r="N412" s="702">
        <f t="shared" si="303"/>
        <v>0</v>
      </c>
      <c r="O412" s="702">
        <f t="shared" si="303"/>
        <v>0</v>
      </c>
      <c r="P412" s="674">
        <f t="shared" si="294"/>
        <v>1720.4880000000003</v>
      </c>
    </row>
    <row r="413" spans="1:16" hidden="1" outlineLevel="1">
      <c r="A413" s="683" t="s">
        <v>3279</v>
      </c>
      <c r="B413" s="336" t="s">
        <v>3227</v>
      </c>
      <c r="C413" s="657" t="s">
        <v>143</v>
      </c>
      <c r="D413" s="702">
        <f t="shared" ref="D413:O413" si="304">IFERROR(0.08*D69,"")</f>
        <v>0</v>
      </c>
      <c r="E413" s="702">
        <f t="shared" si="304"/>
        <v>0</v>
      </c>
      <c r="F413" s="702">
        <f t="shared" si="304"/>
        <v>0</v>
      </c>
      <c r="G413" s="702">
        <f t="shared" si="304"/>
        <v>0</v>
      </c>
      <c r="H413" s="702">
        <f t="shared" si="304"/>
        <v>0</v>
      </c>
      <c r="I413" s="702">
        <f t="shared" si="304"/>
        <v>408.64480000000003</v>
      </c>
      <c r="J413" s="702">
        <f t="shared" si="304"/>
        <v>408.64480000000003</v>
      </c>
      <c r="K413" s="702">
        <f t="shared" si="304"/>
        <v>408.64480000000003</v>
      </c>
      <c r="L413" s="702">
        <f t="shared" si="304"/>
        <v>0</v>
      </c>
      <c r="M413" s="702">
        <f t="shared" si="304"/>
        <v>0</v>
      </c>
      <c r="N413" s="702">
        <f t="shared" si="304"/>
        <v>0</v>
      </c>
      <c r="O413" s="702">
        <f t="shared" si="304"/>
        <v>0</v>
      </c>
      <c r="P413" s="674">
        <f t="shared" si="294"/>
        <v>1225.9344000000001</v>
      </c>
    </row>
    <row r="414" spans="1:16" hidden="1" outlineLevel="1">
      <c r="A414" s="679" t="s">
        <v>3280</v>
      </c>
      <c r="B414" s="336" t="s">
        <v>3227</v>
      </c>
      <c r="C414" s="657" t="s">
        <v>159</v>
      </c>
      <c r="D414" s="702">
        <f t="shared" ref="D414:E414" si="305">IFERROR(0.08*D70,"")</f>
        <v>428.65519999999998</v>
      </c>
      <c r="E414" s="702">
        <f t="shared" si="305"/>
        <v>428.65519999999998</v>
      </c>
      <c r="F414" s="702"/>
      <c r="G414" s="702"/>
      <c r="H414" s="702"/>
      <c r="I414" s="702"/>
      <c r="J414" s="702"/>
      <c r="K414" s="702"/>
      <c r="L414" s="702"/>
      <c r="M414" s="702"/>
      <c r="N414" s="702"/>
      <c r="O414" s="702"/>
      <c r="P414" s="674">
        <f t="shared" si="294"/>
        <v>857.31039999999996</v>
      </c>
    </row>
    <row r="415" spans="1:16" hidden="1" outlineLevel="1">
      <c r="A415" s="670" t="s">
        <v>3281</v>
      </c>
      <c r="B415" s="336" t="s">
        <v>3227</v>
      </c>
      <c r="C415" s="657" t="s">
        <v>159</v>
      </c>
      <c r="D415" s="702">
        <f t="shared" ref="D415:O415" si="306">IFERROR(0.08*D71,"")</f>
        <v>180.38</v>
      </c>
      <c r="E415" s="702">
        <f t="shared" si="306"/>
        <v>180.38</v>
      </c>
      <c r="F415" s="702">
        <f t="shared" si="306"/>
        <v>180.38</v>
      </c>
      <c r="G415" s="702">
        <f t="shared" si="306"/>
        <v>180.38</v>
      </c>
      <c r="H415" s="702">
        <f t="shared" si="306"/>
        <v>221.2056</v>
      </c>
      <c r="I415" s="702">
        <f t="shared" si="306"/>
        <v>221.2056</v>
      </c>
      <c r="J415" s="702">
        <f t="shared" si="306"/>
        <v>221.2056</v>
      </c>
      <c r="K415" s="702">
        <f t="shared" si="306"/>
        <v>221.2056</v>
      </c>
      <c r="L415" s="702">
        <f t="shared" si="306"/>
        <v>0</v>
      </c>
      <c r="M415" s="702">
        <f t="shared" si="306"/>
        <v>0</v>
      </c>
      <c r="N415" s="702">
        <f t="shared" si="306"/>
        <v>0</v>
      </c>
      <c r="O415" s="702">
        <f t="shared" si="306"/>
        <v>0</v>
      </c>
      <c r="P415" s="674">
        <f t="shared" si="294"/>
        <v>1606.3424</v>
      </c>
    </row>
    <row r="416" spans="1:16" hidden="1" outlineLevel="1">
      <c r="A416" s="670" t="s">
        <v>3282</v>
      </c>
      <c r="B416" s="336" t="s">
        <v>3227</v>
      </c>
      <c r="C416" s="657" t="s">
        <v>159</v>
      </c>
      <c r="D416" s="702">
        <f t="shared" ref="D416:O416" si="307">IFERROR(0.08*D72,"")</f>
        <v>381.02640000000002</v>
      </c>
      <c r="E416" s="702">
        <f t="shared" si="307"/>
        <v>381.02640000000002</v>
      </c>
      <c r="F416" s="702">
        <f t="shared" si="307"/>
        <v>381.02640000000002</v>
      </c>
      <c r="G416" s="702">
        <f t="shared" si="307"/>
        <v>381.02640000000002</v>
      </c>
      <c r="H416" s="702">
        <f t="shared" si="307"/>
        <v>381.02640000000002</v>
      </c>
      <c r="I416" s="702">
        <f t="shared" si="307"/>
        <v>381.02640000000002</v>
      </c>
      <c r="J416" s="702">
        <f t="shared" si="307"/>
        <v>381.02640000000002</v>
      </c>
      <c r="K416" s="702">
        <f t="shared" si="307"/>
        <v>381.02640000000002</v>
      </c>
      <c r="L416" s="702">
        <f t="shared" si="307"/>
        <v>0</v>
      </c>
      <c r="M416" s="702">
        <f t="shared" si="307"/>
        <v>0</v>
      </c>
      <c r="N416" s="702">
        <f t="shared" si="307"/>
        <v>0</v>
      </c>
      <c r="O416" s="702">
        <f t="shared" si="307"/>
        <v>0</v>
      </c>
      <c r="P416" s="674">
        <f t="shared" si="294"/>
        <v>3048.2112000000006</v>
      </c>
    </row>
    <row r="417" spans="1:16" hidden="1" outlineLevel="1">
      <c r="A417" s="670" t="s">
        <v>3283</v>
      </c>
      <c r="B417" s="336" t="s">
        <v>3227</v>
      </c>
      <c r="C417" s="657" t="s">
        <v>159</v>
      </c>
      <c r="D417" s="702">
        <f t="shared" ref="D417:O417" si="308">IFERROR(0.08*D73,"")</f>
        <v>325.57760000000002</v>
      </c>
      <c r="E417" s="702">
        <f t="shared" si="308"/>
        <v>390.6936</v>
      </c>
      <c r="F417" s="702">
        <f t="shared" si="308"/>
        <v>390.6936</v>
      </c>
      <c r="G417" s="702">
        <f t="shared" si="308"/>
        <v>390.6936</v>
      </c>
      <c r="H417" s="702">
        <f t="shared" si="308"/>
        <v>390.6936</v>
      </c>
      <c r="I417" s="702">
        <f t="shared" si="308"/>
        <v>390.6936</v>
      </c>
      <c r="J417" s="702">
        <f t="shared" si="308"/>
        <v>390.6936</v>
      </c>
      <c r="K417" s="702">
        <f t="shared" si="308"/>
        <v>390.6936</v>
      </c>
      <c r="L417" s="702">
        <f t="shared" si="308"/>
        <v>0</v>
      </c>
      <c r="M417" s="702">
        <f t="shared" si="308"/>
        <v>0</v>
      </c>
      <c r="N417" s="702">
        <f t="shared" si="308"/>
        <v>0</v>
      </c>
      <c r="O417" s="702">
        <f t="shared" si="308"/>
        <v>0</v>
      </c>
      <c r="P417" s="674">
        <f t="shared" si="294"/>
        <v>3060.4328</v>
      </c>
    </row>
    <row r="418" spans="1:16" hidden="1" outlineLevel="1">
      <c r="A418" s="679" t="s">
        <v>3284</v>
      </c>
      <c r="B418" s="336" t="s">
        <v>3227</v>
      </c>
      <c r="C418" s="657" t="s">
        <v>159</v>
      </c>
      <c r="D418" s="702">
        <f t="shared" ref="D418:F418" si="309">IFERROR(0.08*D74,"")</f>
        <v>196.62799999999999</v>
      </c>
      <c r="E418" s="702">
        <f t="shared" si="309"/>
        <v>196.62799999999999</v>
      </c>
      <c r="F418" s="702">
        <f t="shared" si="309"/>
        <v>196.62799999999999</v>
      </c>
      <c r="G418" s="702"/>
      <c r="H418" s="702"/>
      <c r="I418" s="702"/>
      <c r="J418" s="702"/>
      <c r="K418" s="702"/>
      <c r="L418" s="702"/>
      <c r="M418" s="702"/>
      <c r="N418" s="702"/>
      <c r="O418" s="702"/>
      <c r="P418" s="674">
        <f t="shared" si="294"/>
        <v>589.88400000000001</v>
      </c>
    </row>
    <row r="419" spans="1:16" hidden="1" outlineLevel="1">
      <c r="A419" s="670" t="s">
        <v>3285</v>
      </c>
      <c r="B419" s="336" t="s">
        <v>3227</v>
      </c>
      <c r="C419" s="657" t="s">
        <v>159</v>
      </c>
      <c r="D419" s="702">
        <f t="shared" ref="D419:O419" si="310">IFERROR(0.08*D75,"")</f>
        <v>446.8304</v>
      </c>
      <c r="E419" s="702">
        <f t="shared" si="310"/>
        <v>446.8304</v>
      </c>
      <c r="F419" s="702">
        <f t="shared" si="310"/>
        <v>446.8304</v>
      </c>
      <c r="G419" s="702">
        <f t="shared" si="310"/>
        <v>446.8304</v>
      </c>
      <c r="H419" s="702">
        <f t="shared" si="310"/>
        <v>446.8304</v>
      </c>
      <c r="I419" s="702">
        <f t="shared" si="310"/>
        <v>446.8304</v>
      </c>
      <c r="J419" s="702">
        <f t="shared" si="310"/>
        <v>446.8304</v>
      </c>
      <c r="K419" s="702">
        <f t="shared" si="310"/>
        <v>546.12</v>
      </c>
      <c r="L419" s="702">
        <f t="shared" si="310"/>
        <v>0</v>
      </c>
      <c r="M419" s="702">
        <f t="shared" si="310"/>
        <v>0</v>
      </c>
      <c r="N419" s="702">
        <f t="shared" si="310"/>
        <v>0</v>
      </c>
      <c r="O419" s="702">
        <f t="shared" si="310"/>
        <v>0</v>
      </c>
      <c r="P419" s="674">
        <f t="shared" si="294"/>
        <v>3673.9327999999996</v>
      </c>
    </row>
    <row r="420" spans="1:16" hidden="1" outlineLevel="1">
      <c r="A420" s="686" t="s">
        <v>3286</v>
      </c>
      <c r="B420" s="336" t="s">
        <v>3227</v>
      </c>
      <c r="C420" s="657" t="s">
        <v>159</v>
      </c>
      <c r="D420" s="702">
        <f t="shared" ref="D420:O420" si="311">IFERROR(0.08*D76,"")</f>
        <v>216.97200000000001</v>
      </c>
      <c r="E420" s="702">
        <f t="shared" si="311"/>
        <v>216.97200000000001</v>
      </c>
      <c r="F420" s="702">
        <f t="shared" si="311"/>
        <v>216.97200000000001</v>
      </c>
      <c r="G420" s="702">
        <f t="shared" si="311"/>
        <v>216.97200000000001</v>
      </c>
      <c r="H420" s="702">
        <f t="shared" si="311"/>
        <v>216.97200000000001</v>
      </c>
      <c r="I420" s="702">
        <f t="shared" si="311"/>
        <v>216.97200000000001</v>
      </c>
      <c r="J420" s="702">
        <f t="shared" si="311"/>
        <v>216.97200000000001</v>
      </c>
      <c r="K420" s="702">
        <f t="shared" si="311"/>
        <v>216.97200000000001</v>
      </c>
      <c r="L420" s="702">
        <f t="shared" si="311"/>
        <v>0</v>
      </c>
      <c r="M420" s="702">
        <f t="shared" si="311"/>
        <v>0</v>
      </c>
      <c r="N420" s="702">
        <f t="shared" si="311"/>
        <v>0</v>
      </c>
      <c r="O420" s="702">
        <f t="shared" si="311"/>
        <v>0</v>
      </c>
      <c r="P420" s="674">
        <f t="shared" si="294"/>
        <v>1735.7760000000001</v>
      </c>
    </row>
    <row r="421" spans="1:16" hidden="1" outlineLevel="1">
      <c r="A421" s="679" t="s">
        <v>3287</v>
      </c>
      <c r="B421" s="336" t="s">
        <v>243</v>
      </c>
      <c r="C421" s="657" t="s">
        <v>159</v>
      </c>
      <c r="D421" s="702">
        <f t="shared" ref="D421:I421" si="312">IFERROR(0.08*D77,"")</f>
        <v>0</v>
      </c>
      <c r="E421" s="702">
        <f t="shared" si="312"/>
        <v>0</v>
      </c>
      <c r="F421" s="702">
        <f t="shared" si="312"/>
        <v>65.543199999999999</v>
      </c>
      <c r="G421" s="702">
        <f t="shared" si="312"/>
        <v>245.78400000000002</v>
      </c>
      <c r="H421" s="702">
        <f t="shared" si="312"/>
        <v>245.78400000000002</v>
      </c>
      <c r="I421" s="702">
        <f t="shared" si="312"/>
        <v>245.78400000000002</v>
      </c>
      <c r="J421" s="702"/>
      <c r="K421" s="702"/>
      <c r="L421" s="702"/>
      <c r="M421" s="702"/>
      <c r="N421" s="702"/>
      <c r="O421" s="702"/>
      <c r="P421" s="674">
        <f t="shared" si="294"/>
        <v>802.89520000000005</v>
      </c>
    </row>
    <row r="422" spans="1:16" hidden="1" outlineLevel="1">
      <c r="A422" s="670" t="s">
        <v>3288</v>
      </c>
      <c r="B422" s="336" t="s">
        <v>3227</v>
      </c>
      <c r="C422" s="657" t="s">
        <v>2109</v>
      </c>
      <c r="D422" s="702">
        <f t="shared" ref="D422:O422" si="313">IFERROR(0.08*D78,"")</f>
        <v>325.57760000000002</v>
      </c>
      <c r="E422" s="702">
        <f t="shared" si="313"/>
        <v>325.57760000000002</v>
      </c>
      <c r="F422" s="702">
        <f t="shared" si="313"/>
        <v>325.57760000000002</v>
      </c>
      <c r="G422" s="702">
        <f t="shared" si="313"/>
        <v>325.57760000000002</v>
      </c>
      <c r="H422" s="702">
        <f t="shared" si="313"/>
        <v>358.1352</v>
      </c>
      <c r="I422" s="702">
        <f t="shared" si="313"/>
        <v>358.1352</v>
      </c>
      <c r="J422" s="702">
        <f t="shared" si="313"/>
        <v>358.1352</v>
      </c>
      <c r="K422" s="702">
        <f t="shared" si="313"/>
        <v>358.1352</v>
      </c>
      <c r="L422" s="702">
        <f t="shared" si="313"/>
        <v>0</v>
      </c>
      <c r="M422" s="702">
        <f t="shared" si="313"/>
        <v>0</v>
      </c>
      <c r="N422" s="702">
        <f t="shared" si="313"/>
        <v>0</v>
      </c>
      <c r="O422" s="702">
        <f t="shared" si="313"/>
        <v>0</v>
      </c>
      <c r="P422" s="674">
        <f t="shared" si="294"/>
        <v>2734.8512000000001</v>
      </c>
    </row>
    <row r="423" spans="1:16" hidden="1" outlineLevel="1">
      <c r="A423" s="670" t="s">
        <v>3289</v>
      </c>
      <c r="B423" s="336" t="s">
        <v>3227</v>
      </c>
      <c r="C423" s="657" t="s">
        <v>2109</v>
      </c>
      <c r="D423" s="702">
        <f t="shared" ref="D423:O423" si="314">IFERROR(0.08*D79,"")</f>
        <v>260.4624</v>
      </c>
      <c r="E423" s="702">
        <f t="shared" si="314"/>
        <v>293.02</v>
      </c>
      <c r="F423" s="702">
        <f t="shared" si="314"/>
        <v>293.02</v>
      </c>
      <c r="G423" s="702">
        <f t="shared" si="314"/>
        <v>293.02</v>
      </c>
      <c r="H423" s="702">
        <f t="shared" si="314"/>
        <v>293.02</v>
      </c>
      <c r="I423" s="702">
        <f t="shared" si="314"/>
        <v>293.02</v>
      </c>
      <c r="J423" s="702">
        <f t="shared" si="314"/>
        <v>293.02</v>
      </c>
      <c r="K423" s="702">
        <f t="shared" si="314"/>
        <v>293.02</v>
      </c>
      <c r="L423" s="702">
        <f t="shared" si="314"/>
        <v>0</v>
      </c>
      <c r="M423" s="702">
        <f t="shared" si="314"/>
        <v>0</v>
      </c>
      <c r="N423" s="702">
        <f t="shared" si="314"/>
        <v>0</v>
      </c>
      <c r="O423" s="702">
        <f t="shared" si="314"/>
        <v>0</v>
      </c>
      <c r="P423" s="674">
        <f t="shared" si="294"/>
        <v>2311.6023999999998</v>
      </c>
    </row>
    <row r="424" spans="1:16" hidden="1" outlineLevel="1">
      <c r="A424" s="690" t="s">
        <v>1682</v>
      </c>
      <c r="B424" s="336" t="s">
        <v>3227</v>
      </c>
      <c r="C424" s="657" t="s">
        <v>2109</v>
      </c>
      <c r="D424" s="702">
        <f t="shared" ref="D424:O424" si="315">IFERROR(0.08*D80,"")</f>
        <v>270.36240000000004</v>
      </c>
      <c r="E424" s="702">
        <f t="shared" si="315"/>
        <v>293.02</v>
      </c>
      <c r="F424" s="702">
        <f t="shared" si="315"/>
        <v>293.02</v>
      </c>
      <c r="G424" s="702">
        <f t="shared" si="315"/>
        <v>293.02</v>
      </c>
      <c r="H424" s="702">
        <f t="shared" si="315"/>
        <v>293.02</v>
      </c>
      <c r="I424" s="702">
        <f t="shared" si="315"/>
        <v>293.02</v>
      </c>
      <c r="J424" s="702">
        <f t="shared" si="315"/>
        <v>293.02</v>
      </c>
      <c r="K424" s="702">
        <f t="shared" si="315"/>
        <v>293.02</v>
      </c>
      <c r="L424" s="702">
        <f t="shared" si="315"/>
        <v>0</v>
      </c>
      <c r="M424" s="702">
        <f t="shared" si="315"/>
        <v>0</v>
      </c>
      <c r="N424" s="702">
        <f t="shared" si="315"/>
        <v>0</v>
      </c>
      <c r="O424" s="702">
        <f t="shared" si="315"/>
        <v>0</v>
      </c>
      <c r="P424" s="674">
        <f t="shared" si="294"/>
        <v>2321.5023999999999</v>
      </c>
    </row>
    <row r="425" spans="1:16" hidden="1" outlineLevel="1">
      <c r="A425" s="690" t="s">
        <v>3290</v>
      </c>
      <c r="B425" s="336" t="s">
        <v>3227</v>
      </c>
      <c r="C425" s="657" t="s">
        <v>964</v>
      </c>
      <c r="D425" s="702">
        <f t="shared" ref="D425:O425" si="316">IFERROR(0.08*D81,"")</f>
        <v>332.64</v>
      </c>
      <c r="E425" s="702">
        <f t="shared" si="316"/>
        <v>332.64</v>
      </c>
      <c r="F425" s="702">
        <f t="shared" si="316"/>
        <v>332.64</v>
      </c>
      <c r="G425" s="702">
        <f t="shared" si="316"/>
        <v>332.64</v>
      </c>
      <c r="H425" s="702">
        <f t="shared" si="316"/>
        <v>332.64</v>
      </c>
      <c r="I425" s="702">
        <f t="shared" si="316"/>
        <v>332.64</v>
      </c>
      <c r="J425" s="702">
        <f t="shared" si="316"/>
        <v>332.64</v>
      </c>
      <c r="K425" s="702">
        <f t="shared" si="316"/>
        <v>365.90559999999999</v>
      </c>
      <c r="L425" s="702">
        <f t="shared" si="316"/>
        <v>0</v>
      </c>
      <c r="M425" s="702">
        <f t="shared" si="316"/>
        <v>0</v>
      </c>
      <c r="N425" s="702">
        <f t="shared" si="316"/>
        <v>0</v>
      </c>
      <c r="O425" s="702">
        <f t="shared" si="316"/>
        <v>0</v>
      </c>
      <c r="P425" s="674">
        <f t="shared" si="294"/>
        <v>2694.3855999999996</v>
      </c>
    </row>
    <row r="426" spans="1:16" hidden="1" outlineLevel="1">
      <c r="A426" s="690" t="s">
        <v>3291</v>
      </c>
      <c r="B426" s="336" t="s">
        <v>3227</v>
      </c>
      <c r="C426" s="657" t="s">
        <v>964</v>
      </c>
      <c r="D426" s="702">
        <f t="shared" ref="D426:O426" si="317">IFERROR(0.08*D82,"")</f>
        <v>399.1696</v>
      </c>
      <c r="E426" s="702">
        <f t="shared" si="317"/>
        <v>399.1696</v>
      </c>
      <c r="F426" s="702">
        <f t="shared" si="317"/>
        <v>399.1696</v>
      </c>
      <c r="G426" s="702">
        <f t="shared" si="317"/>
        <v>413.07040000000001</v>
      </c>
      <c r="H426" s="702">
        <f t="shared" si="317"/>
        <v>413.07040000000001</v>
      </c>
      <c r="I426" s="702">
        <f t="shared" si="317"/>
        <v>413.07040000000001</v>
      </c>
      <c r="J426" s="702">
        <f t="shared" si="317"/>
        <v>413.07040000000001</v>
      </c>
      <c r="K426" s="702">
        <f t="shared" si="317"/>
        <v>413.07040000000001</v>
      </c>
      <c r="L426" s="702">
        <f t="shared" si="317"/>
        <v>0</v>
      </c>
      <c r="M426" s="702">
        <f t="shared" si="317"/>
        <v>0</v>
      </c>
      <c r="N426" s="702">
        <f t="shared" si="317"/>
        <v>0</v>
      </c>
      <c r="O426" s="702">
        <f t="shared" si="317"/>
        <v>0</v>
      </c>
      <c r="P426" s="674">
        <f t="shared" si="294"/>
        <v>3262.8608000000004</v>
      </c>
    </row>
    <row r="427" spans="1:16" hidden="1" outlineLevel="1">
      <c r="A427" s="690" t="s">
        <v>3292</v>
      </c>
      <c r="B427" s="336" t="s">
        <v>3227</v>
      </c>
      <c r="C427" s="657" t="s">
        <v>964</v>
      </c>
      <c r="D427" s="702">
        <f t="shared" ref="D427:O427" si="318">IFERROR(0.08*D83,"")</f>
        <v>358.40559999999999</v>
      </c>
      <c r="E427" s="702">
        <f t="shared" si="318"/>
        <v>358.40559999999999</v>
      </c>
      <c r="F427" s="702">
        <f t="shared" si="318"/>
        <v>358.40559999999999</v>
      </c>
      <c r="G427" s="702">
        <f t="shared" si="318"/>
        <v>358.40559999999999</v>
      </c>
      <c r="H427" s="702">
        <f t="shared" si="318"/>
        <v>358.40559999999999</v>
      </c>
      <c r="I427" s="702">
        <f t="shared" si="318"/>
        <v>358.40559999999999</v>
      </c>
      <c r="J427" s="702">
        <f t="shared" si="318"/>
        <v>358.40559999999999</v>
      </c>
      <c r="K427" s="702">
        <f t="shared" si="318"/>
        <v>358.40559999999999</v>
      </c>
      <c r="L427" s="702">
        <f t="shared" si="318"/>
        <v>0</v>
      </c>
      <c r="M427" s="702">
        <f t="shared" si="318"/>
        <v>0</v>
      </c>
      <c r="N427" s="702">
        <f t="shared" si="318"/>
        <v>0</v>
      </c>
      <c r="O427" s="702">
        <f t="shared" si="318"/>
        <v>0</v>
      </c>
      <c r="P427" s="674">
        <f t="shared" si="294"/>
        <v>2867.2447999999999</v>
      </c>
    </row>
    <row r="428" spans="1:16" hidden="1" outlineLevel="1">
      <c r="A428" s="690" t="s">
        <v>3293</v>
      </c>
      <c r="B428" s="336" t="s">
        <v>3227</v>
      </c>
      <c r="C428" s="657" t="s">
        <v>964</v>
      </c>
      <c r="D428" s="702">
        <f t="shared" ref="D428:O428" si="319">IFERROR(0.08*D84,"")</f>
        <v>399.1696</v>
      </c>
      <c r="E428" s="702">
        <f t="shared" si="319"/>
        <v>399.1696</v>
      </c>
      <c r="F428" s="702">
        <f t="shared" si="319"/>
        <v>399.1696</v>
      </c>
      <c r="G428" s="702">
        <f t="shared" si="319"/>
        <v>399.1696</v>
      </c>
      <c r="H428" s="702">
        <f t="shared" si="319"/>
        <v>399.1696</v>
      </c>
      <c r="I428" s="702">
        <f t="shared" si="319"/>
        <v>399.1696</v>
      </c>
      <c r="J428" s="702">
        <f t="shared" si="319"/>
        <v>399.1696</v>
      </c>
      <c r="K428" s="702">
        <f t="shared" si="319"/>
        <v>399.1696</v>
      </c>
      <c r="L428" s="702">
        <f t="shared" si="319"/>
        <v>0</v>
      </c>
      <c r="M428" s="702">
        <f t="shared" si="319"/>
        <v>0</v>
      </c>
      <c r="N428" s="702">
        <f t="shared" si="319"/>
        <v>0</v>
      </c>
      <c r="O428" s="702">
        <f t="shared" si="319"/>
        <v>0</v>
      </c>
      <c r="P428" s="674">
        <f t="shared" si="294"/>
        <v>3193.3568000000005</v>
      </c>
    </row>
    <row r="429" spans="1:16" hidden="1" outlineLevel="1">
      <c r="A429" s="690" t="s">
        <v>3294</v>
      </c>
      <c r="B429" s="336" t="s">
        <v>3227</v>
      </c>
      <c r="C429" s="657" t="s">
        <v>964</v>
      </c>
      <c r="D429" s="702">
        <f t="shared" ref="D429:O429" si="320">IFERROR(0.08*D85,"")</f>
        <v>436.9008</v>
      </c>
      <c r="E429" s="702">
        <f t="shared" si="320"/>
        <v>436.9008</v>
      </c>
      <c r="F429" s="702">
        <f t="shared" si="320"/>
        <v>436.9008</v>
      </c>
      <c r="G429" s="702">
        <f t="shared" si="320"/>
        <v>436.9008</v>
      </c>
      <c r="H429" s="702">
        <f t="shared" si="320"/>
        <v>436.9008</v>
      </c>
      <c r="I429" s="702">
        <f t="shared" si="320"/>
        <v>436.9008</v>
      </c>
      <c r="J429" s="702">
        <f t="shared" si="320"/>
        <v>436.9008</v>
      </c>
      <c r="K429" s="702">
        <f t="shared" si="320"/>
        <v>436.9008</v>
      </c>
      <c r="L429" s="702">
        <f t="shared" si="320"/>
        <v>0</v>
      </c>
      <c r="M429" s="702">
        <f t="shared" si="320"/>
        <v>0</v>
      </c>
      <c r="N429" s="702">
        <f t="shared" si="320"/>
        <v>0</v>
      </c>
      <c r="O429" s="702">
        <f t="shared" si="320"/>
        <v>0</v>
      </c>
      <c r="P429" s="674">
        <f t="shared" si="294"/>
        <v>3495.2063999999996</v>
      </c>
    </row>
    <row r="430" spans="1:16">
      <c r="C430" s="695"/>
      <c r="D430" s="696"/>
      <c r="P430" s="685"/>
    </row>
    <row r="431" spans="1:16">
      <c r="C431" s="695"/>
      <c r="D431" s="696"/>
      <c r="P431" s="685"/>
    </row>
    <row r="432" spans="1:16" ht="19.5">
      <c r="A432" s="659" t="s">
        <v>75</v>
      </c>
      <c r="C432" s="660" t="str">
        <f>$C$1</f>
        <v>TI</v>
      </c>
      <c r="D432" s="658">
        <f t="shared" ref="D432:P432" si="321">SUMIF($C435:$C515,$C432,D435:D515)</f>
        <v>2326</v>
      </c>
      <c r="E432" s="658">
        <f t="shared" si="321"/>
        <v>2451</v>
      </c>
      <c r="F432" s="658">
        <f t="shared" si="321"/>
        <v>2451</v>
      </c>
      <c r="G432" s="658">
        <f t="shared" si="321"/>
        <v>2451</v>
      </c>
      <c r="H432" s="658">
        <f t="shared" si="321"/>
        <v>2501</v>
      </c>
      <c r="I432" s="658">
        <f t="shared" si="321"/>
        <v>2501</v>
      </c>
      <c r="J432" s="658">
        <f t="shared" si="321"/>
        <v>2501</v>
      </c>
      <c r="K432" s="658">
        <f t="shared" si="321"/>
        <v>2501</v>
      </c>
      <c r="L432" s="658">
        <f t="shared" si="321"/>
        <v>0</v>
      </c>
      <c r="M432" s="658">
        <f t="shared" si="321"/>
        <v>0</v>
      </c>
      <c r="N432" s="658">
        <f t="shared" si="321"/>
        <v>0</v>
      </c>
      <c r="O432" s="658">
        <f t="shared" si="321"/>
        <v>0</v>
      </c>
      <c r="P432" s="658">
        <f t="shared" si="321"/>
        <v>19683</v>
      </c>
    </row>
    <row r="433" spans="1:16" ht="30">
      <c r="A433" s="662" t="s">
        <v>3222</v>
      </c>
      <c r="B433" s="663" t="s">
        <v>3223</v>
      </c>
      <c r="C433" s="664" t="s">
        <v>135</v>
      </c>
      <c r="D433" s="662" t="s">
        <v>0</v>
      </c>
      <c r="E433" s="662" t="s">
        <v>1</v>
      </c>
      <c r="F433" s="662" t="s">
        <v>2</v>
      </c>
      <c r="G433" s="662" t="s">
        <v>3</v>
      </c>
      <c r="H433" s="662" t="s">
        <v>4</v>
      </c>
      <c r="I433" s="662" t="s">
        <v>5</v>
      </c>
      <c r="J433" s="662" t="s">
        <v>6</v>
      </c>
      <c r="K433" s="662" t="s">
        <v>7</v>
      </c>
      <c r="L433" s="662" t="s">
        <v>8</v>
      </c>
      <c r="M433" s="662" t="s">
        <v>9</v>
      </c>
      <c r="N433" s="662" t="s">
        <v>10</v>
      </c>
      <c r="O433" s="662" t="s">
        <v>11</v>
      </c>
      <c r="P433" s="666" t="s">
        <v>3199</v>
      </c>
    </row>
    <row r="434" spans="1:16" collapsed="1">
      <c r="A434" s="667" t="s">
        <v>3199</v>
      </c>
      <c r="B434" s="667"/>
      <c r="C434" s="668"/>
      <c r="D434" s="701">
        <f t="shared" ref="D434:P434" si="322">SUBTOTAL(9,D435:D515)</f>
        <v>35823.14</v>
      </c>
      <c r="E434" s="701">
        <f t="shared" si="322"/>
        <v>39531.39</v>
      </c>
      <c r="F434" s="701">
        <f t="shared" si="322"/>
        <v>40001.379999999997</v>
      </c>
      <c r="G434" s="701">
        <f t="shared" si="322"/>
        <v>39103.17</v>
      </c>
      <c r="H434" s="701">
        <f t="shared" si="322"/>
        <v>38078.130000000005</v>
      </c>
      <c r="I434" s="701">
        <f t="shared" si="322"/>
        <v>38841.599999999999</v>
      </c>
      <c r="J434" s="701">
        <f t="shared" si="322"/>
        <v>37844.81</v>
      </c>
      <c r="K434" s="701">
        <f t="shared" si="322"/>
        <v>37735.17</v>
      </c>
      <c r="L434" s="701">
        <f t="shared" si="322"/>
        <v>0</v>
      </c>
      <c r="M434" s="701">
        <f t="shared" si="322"/>
        <v>0</v>
      </c>
      <c r="N434" s="701">
        <f t="shared" si="322"/>
        <v>0</v>
      </c>
      <c r="O434" s="701">
        <f t="shared" si="322"/>
        <v>0</v>
      </c>
      <c r="P434" s="701">
        <f t="shared" si="322"/>
        <v>301241.30000000005</v>
      </c>
    </row>
    <row r="435" spans="1:16" hidden="1" outlineLevel="1">
      <c r="A435" s="670" t="s">
        <v>3224</v>
      </c>
      <c r="B435" s="336" t="s">
        <v>243</v>
      </c>
      <c r="C435" s="657" t="s">
        <v>192</v>
      </c>
      <c r="D435" s="483">
        <v>450</v>
      </c>
      <c r="E435" s="483">
        <v>625</v>
      </c>
      <c r="F435" s="483">
        <v>625</v>
      </c>
      <c r="G435" s="483">
        <v>625</v>
      </c>
      <c r="H435" s="483">
        <v>542.5</v>
      </c>
      <c r="I435" s="483">
        <v>625</v>
      </c>
      <c r="J435" s="483">
        <v>625</v>
      </c>
      <c r="K435" s="483">
        <v>625</v>
      </c>
      <c r="L435" s="334"/>
      <c r="M435" s="334"/>
      <c r="N435" s="334"/>
      <c r="O435" s="334"/>
      <c r="P435" s="674">
        <f t="shared" ref="P435:P460" si="323">SUM(D435:O435)</f>
        <v>4742.5</v>
      </c>
    </row>
    <row r="436" spans="1:16" hidden="1" outlineLevel="1">
      <c r="A436" s="670" t="s">
        <v>3225</v>
      </c>
      <c r="B436" s="336" t="s">
        <v>243</v>
      </c>
      <c r="C436" s="657" t="s">
        <v>192</v>
      </c>
      <c r="D436" s="483">
        <v>400</v>
      </c>
      <c r="E436" s="483">
        <v>420</v>
      </c>
      <c r="F436" s="483">
        <v>420</v>
      </c>
      <c r="G436" s="483">
        <v>420</v>
      </c>
      <c r="H436" s="483">
        <v>420</v>
      </c>
      <c r="I436" s="483">
        <v>420</v>
      </c>
      <c r="J436" s="483">
        <v>420</v>
      </c>
      <c r="K436" s="483">
        <v>420</v>
      </c>
      <c r="L436" s="334"/>
      <c r="M436" s="334"/>
      <c r="N436" s="334"/>
      <c r="O436" s="334"/>
      <c r="P436" s="674">
        <f t="shared" si="323"/>
        <v>3340</v>
      </c>
    </row>
    <row r="437" spans="1:16" hidden="1" outlineLevel="1">
      <c r="A437" s="670" t="s">
        <v>3226</v>
      </c>
      <c r="B437" s="336" t="s">
        <v>3227</v>
      </c>
      <c r="C437" s="657" t="s">
        <v>192</v>
      </c>
      <c r="D437" s="483">
        <v>400</v>
      </c>
      <c r="E437" s="483">
        <v>420</v>
      </c>
      <c r="F437" s="483">
        <v>420</v>
      </c>
      <c r="G437" s="483">
        <v>420</v>
      </c>
      <c r="H437" s="483">
        <v>420</v>
      </c>
      <c r="I437" s="483">
        <v>420</v>
      </c>
      <c r="J437" s="483">
        <v>420</v>
      </c>
      <c r="K437" s="483">
        <v>420</v>
      </c>
      <c r="L437" s="334"/>
      <c r="M437" s="334"/>
      <c r="N437" s="334"/>
      <c r="O437" s="334"/>
      <c r="P437" s="674">
        <f t="shared" si="323"/>
        <v>3340</v>
      </c>
    </row>
    <row r="438" spans="1:16" hidden="1" outlineLevel="1">
      <c r="A438" s="670" t="s">
        <v>3228</v>
      </c>
      <c r="B438" s="336" t="s">
        <v>243</v>
      </c>
      <c r="C438" s="657" t="s">
        <v>192</v>
      </c>
      <c r="D438" s="483">
        <v>400</v>
      </c>
      <c r="E438" s="483">
        <v>420</v>
      </c>
      <c r="F438" s="483">
        <v>420</v>
      </c>
      <c r="G438" s="483">
        <v>420</v>
      </c>
      <c r="H438" s="483">
        <v>420</v>
      </c>
      <c r="I438" s="483">
        <v>420</v>
      </c>
      <c r="J438" s="483">
        <v>420</v>
      </c>
      <c r="K438" s="483">
        <v>420</v>
      </c>
      <c r="L438" s="678"/>
      <c r="M438" s="678"/>
      <c r="N438" s="678"/>
      <c r="O438" s="678"/>
      <c r="P438" s="674">
        <f t="shared" si="323"/>
        <v>3340</v>
      </c>
    </row>
    <row r="439" spans="1:16" hidden="1" outlineLevel="1">
      <c r="A439" s="679" t="s">
        <v>3229</v>
      </c>
      <c r="B439" s="336" t="s">
        <v>243</v>
      </c>
      <c r="C439" s="657" t="s">
        <v>192</v>
      </c>
      <c r="D439" s="483">
        <v>400</v>
      </c>
      <c r="E439" s="483">
        <v>420</v>
      </c>
      <c r="F439" s="483">
        <v>420</v>
      </c>
      <c r="G439" s="483">
        <v>420</v>
      </c>
      <c r="H439" s="483">
        <v>420</v>
      </c>
      <c r="I439" s="483">
        <v>0</v>
      </c>
      <c r="J439" s="483">
        <v>0</v>
      </c>
      <c r="K439" s="483">
        <v>0</v>
      </c>
      <c r="L439" s="334"/>
      <c r="M439" s="334"/>
      <c r="N439" s="334"/>
      <c r="O439" s="334"/>
      <c r="P439" s="674">
        <f t="shared" si="323"/>
        <v>2080</v>
      </c>
    </row>
    <row r="440" spans="1:16" hidden="1" outlineLevel="1">
      <c r="A440" s="670" t="s">
        <v>3230</v>
      </c>
      <c r="B440" s="336" t="s">
        <v>243</v>
      </c>
      <c r="C440" s="657" t="s">
        <v>192</v>
      </c>
      <c r="D440" s="483">
        <v>547.5</v>
      </c>
      <c r="E440" s="483">
        <v>572.5</v>
      </c>
      <c r="F440" s="483">
        <v>572.5</v>
      </c>
      <c r="G440" s="483">
        <v>572.5</v>
      </c>
      <c r="H440" s="483">
        <v>572.5</v>
      </c>
      <c r="I440" s="483">
        <v>572.5</v>
      </c>
      <c r="J440" s="483">
        <v>572.5</v>
      </c>
      <c r="K440" s="483">
        <v>572.5</v>
      </c>
      <c r="L440" s="334"/>
      <c r="M440" s="334"/>
      <c r="N440" s="334"/>
      <c r="O440" s="334"/>
      <c r="P440" s="674">
        <f t="shared" si="323"/>
        <v>4555</v>
      </c>
    </row>
    <row r="441" spans="1:16" hidden="1" outlineLevel="1">
      <c r="A441" s="670" t="s">
        <v>3231</v>
      </c>
      <c r="B441" s="336" t="s">
        <v>243</v>
      </c>
      <c r="C441" s="657" t="s">
        <v>192</v>
      </c>
      <c r="D441" s="483">
        <v>650</v>
      </c>
      <c r="E441" s="483">
        <v>725</v>
      </c>
      <c r="F441" s="483">
        <v>725</v>
      </c>
      <c r="G441" s="483">
        <v>725</v>
      </c>
      <c r="H441" s="483">
        <v>725</v>
      </c>
      <c r="I441" s="483">
        <v>725</v>
      </c>
      <c r="J441" s="483">
        <v>698.91</v>
      </c>
      <c r="K441" s="483">
        <v>648.80999999999995</v>
      </c>
      <c r="L441" s="334"/>
      <c r="M441" s="334"/>
      <c r="N441" s="334"/>
      <c r="O441" s="334"/>
      <c r="P441" s="674">
        <f t="shared" si="323"/>
        <v>5622.7199999999993</v>
      </c>
    </row>
    <row r="442" spans="1:16" hidden="1" outlineLevel="1">
      <c r="A442" s="670" t="s">
        <v>3232</v>
      </c>
      <c r="B442" s="336" t="s">
        <v>243</v>
      </c>
      <c r="C442" s="657" t="s">
        <v>192</v>
      </c>
      <c r="D442" s="483">
        <v>400</v>
      </c>
      <c r="E442" s="483">
        <v>420</v>
      </c>
      <c r="F442" s="483">
        <v>420</v>
      </c>
      <c r="G442" s="483">
        <v>420</v>
      </c>
      <c r="H442" s="483">
        <v>420</v>
      </c>
      <c r="I442" s="483">
        <v>420</v>
      </c>
      <c r="J442" s="483">
        <v>420</v>
      </c>
      <c r="K442" s="483">
        <v>420</v>
      </c>
      <c r="L442" s="334"/>
      <c r="M442" s="334"/>
      <c r="N442" s="334"/>
      <c r="O442" s="334"/>
      <c r="P442" s="674">
        <f t="shared" si="323"/>
        <v>3340</v>
      </c>
    </row>
    <row r="443" spans="1:16" hidden="1" outlineLevel="1">
      <c r="A443" s="670" t="s">
        <v>190</v>
      </c>
      <c r="B443" s="336" t="s">
        <v>243</v>
      </c>
      <c r="C443" s="657" t="s">
        <v>192</v>
      </c>
      <c r="D443" s="483">
        <v>750</v>
      </c>
      <c r="E443" s="483">
        <v>775</v>
      </c>
      <c r="F443" s="483">
        <v>775</v>
      </c>
      <c r="G443" s="483">
        <v>775</v>
      </c>
      <c r="H443" s="483">
        <v>825</v>
      </c>
      <c r="I443" s="483">
        <v>825</v>
      </c>
      <c r="J443" s="483">
        <v>681.52</v>
      </c>
      <c r="K443" s="483">
        <v>825</v>
      </c>
      <c r="L443" s="334"/>
      <c r="M443" s="334"/>
      <c r="N443" s="334"/>
      <c r="O443" s="334"/>
      <c r="P443" s="674">
        <f t="shared" si="323"/>
        <v>6231.52</v>
      </c>
    </row>
    <row r="444" spans="1:16" hidden="1" outlineLevel="1">
      <c r="A444" s="670" t="s">
        <v>3233</v>
      </c>
      <c r="B444" s="336" t="s">
        <v>243</v>
      </c>
      <c r="C444" s="657" t="s">
        <v>192</v>
      </c>
      <c r="D444" s="483">
        <v>400</v>
      </c>
      <c r="E444" s="483">
        <v>420</v>
      </c>
      <c r="F444" s="483">
        <v>420</v>
      </c>
      <c r="G444" s="483">
        <v>420</v>
      </c>
      <c r="H444" s="483">
        <v>420</v>
      </c>
      <c r="I444" s="483">
        <v>420</v>
      </c>
      <c r="J444" s="483">
        <v>420</v>
      </c>
      <c r="K444" s="483">
        <v>420</v>
      </c>
      <c r="L444" s="334"/>
      <c r="M444" s="334"/>
      <c r="N444" s="334"/>
      <c r="O444" s="334"/>
      <c r="P444" s="674">
        <f t="shared" si="323"/>
        <v>3340</v>
      </c>
    </row>
    <row r="445" spans="1:16" hidden="1" outlineLevel="1">
      <c r="A445" s="670" t="s">
        <v>224</v>
      </c>
      <c r="B445" s="336" t="s">
        <v>243</v>
      </c>
      <c r="C445" s="657" t="s">
        <v>192</v>
      </c>
      <c r="D445" s="483">
        <v>400</v>
      </c>
      <c r="E445" s="483">
        <v>420</v>
      </c>
      <c r="F445" s="483">
        <v>420</v>
      </c>
      <c r="G445" s="483">
        <v>420</v>
      </c>
      <c r="H445" s="483">
        <v>420</v>
      </c>
      <c r="I445" s="483">
        <v>420</v>
      </c>
      <c r="J445" s="483">
        <v>420</v>
      </c>
      <c r="K445" s="483">
        <v>420</v>
      </c>
      <c r="L445" s="334"/>
      <c r="M445" s="334"/>
      <c r="N445" s="334"/>
      <c r="O445" s="334"/>
      <c r="P445" s="674">
        <f t="shared" si="323"/>
        <v>3340</v>
      </c>
    </row>
    <row r="446" spans="1:16" hidden="1" outlineLevel="1">
      <c r="A446" s="670" t="s">
        <v>3234</v>
      </c>
      <c r="B446" s="336" t="s">
        <v>243</v>
      </c>
      <c r="C446" s="657" t="s">
        <v>3235</v>
      </c>
      <c r="D446" s="483">
        <v>400</v>
      </c>
      <c r="E446" s="483">
        <v>420</v>
      </c>
      <c r="F446" s="483">
        <v>420</v>
      </c>
      <c r="G446" s="483">
        <v>420</v>
      </c>
      <c r="H446" s="483">
        <v>420</v>
      </c>
      <c r="I446" s="483">
        <v>420</v>
      </c>
      <c r="J446" s="483">
        <v>420</v>
      </c>
      <c r="K446" s="483">
        <v>420</v>
      </c>
      <c r="L446" s="334"/>
      <c r="M446" s="334"/>
      <c r="N446" s="334"/>
      <c r="O446" s="334"/>
      <c r="P446" s="674">
        <f t="shared" si="323"/>
        <v>3340</v>
      </c>
    </row>
    <row r="447" spans="1:16" hidden="1" outlineLevel="1">
      <c r="A447" s="679" t="s">
        <v>3236</v>
      </c>
      <c r="B447" s="336" t="s">
        <v>3227</v>
      </c>
      <c r="C447" s="657" t="s">
        <v>3235</v>
      </c>
      <c r="D447" s="483">
        <v>0</v>
      </c>
      <c r="E447" s="483">
        <v>100</v>
      </c>
      <c r="F447" s="483">
        <v>100</v>
      </c>
      <c r="G447" s="483">
        <v>100</v>
      </c>
      <c r="H447" s="483">
        <v>100</v>
      </c>
      <c r="I447" s="483">
        <v>0</v>
      </c>
      <c r="J447" s="483">
        <v>0</v>
      </c>
      <c r="K447" s="483">
        <v>0</v>
      </c>
      <c r="L447" s="334"/>
      <c r="M447" s="334"/>
      <c r="N447" s="334"/>
      <c r="O447" s="334"/>
      <c r="P447" s="674">
        <f t="shared" si="323"/>
        <v>400</v>
      </c>
    </row>
    <row r="448" spans="1:16" hidden="1" outlineLevel="1">
      <c r="A448" s="670" t="s">
        <v>3237</v>
      </c>
      <c r="B448" s="336" t="s">
        <v>243</v>
      </c>
      <c r="C448" s="657" t="s">
        <v>3235</v>
      </c>
      <c r="D448" s="483">
        <v>400</v>
      </c>
      <c r="E448" s="483">
        <v>420</v>
      </c>
      <c r="F448" s="483">
        <v>420</v>
      </c>
      <c r="G448" s="483">
        <v>420</v>
      </c>
      <c r="H448" s="483">
        <v>420</v>
      </c>
      <c r="I448" s="483">
        <v>420</v>
      </c>
      <c r="J448" s="483">
        <v>420</v>
      </c>
      <c r="K448" s="483">
        <v>420</v>
      </c>
      <c r="L448" s="334"/>
      <c r="M448" s="334"/>
      <c r="N448" s="334"/>
      <c r="O448" s="334"/>
      <c r="P448" s="674">
        <f t="shared" si="323"/>
        <v>3340</v>
      </c>
    </row>
    <row r="449" spans="1:16" hidden="1" outlineLevel="1">
      <c r="A449" s="682" t="s">
        <v>3238</v>
      </c>
      <c r="B449" s="336" t="s">
        <v>3227</v>
      </c>
      <c r="C449" s="657" t="s">
        <v>3235</v>
      </c>
      <c r="D449" s="483">
        <v>0</v>
      </c>
      <c r="E449" s="483">
        <v>100</v>
      </c>
      <c r="F449" s="483">
        <v>100</v>
      </c>
      <c r="G449" s="483">
        <v>100</v>
      </c>
      <c r="H449" s="483">
        <v>100</v>
      </c>
      <c r="I449" s="483">
        <v>100</v>
      </c>
      <c r="J449" s="483">
        <v>420</v>
      </c>
      <c r="K449" s="483">
        <v>420</v>
      </c>
      <c r="P449" s="674">
        <f t="shared" si="323"/>
        <v>1340</v>
      </c>
    </row>
    <row r="450" spans="1:16" hidden="1" outlineLevel="1">
      <c r="A450" s="670" t="s">
        <v>3239</v>
      </c>
      <c r="B450" s="336" t="s">
        <v>243</v>
      </c>
      <c r="C450" s="657" t="s">
        <v>3235</v>
      </c>
      <c r="D450" s="483">
        <v>400</v>
      </c>
      <c r="E450" s="483">
        <v>420</v>
      </c>
      <c r="F450" s="483">
        <v>420</v>
      </c>
      <c r="G450" s="483">
        <v>420</v>
      </c>
      <c r="H450" s="483">
        <v>420</v>
      </c>
      <c r="I450" s="483">
        <v>420</v>
      </c>
      <c r="J450" s="483">
        <v>420</v>
      </c>
      <c r="K450" s="483">
        <v>420</v>
      </c>
      <c r="L450" s="334"/>
      <c r="M450" s="334"/>
      <c r="N450" s="334"/>
      <c r="O450" s="334"/>
      <c r="P450" s="674">
        <f t="shared" si="323"/>
        <v>3340</v>
      </c>
    </row>
    <row r="451" spans="1:16" hidden="1" outlineLevel="1">
      <c r="A451" s="682" t="s">
        <v>3240</v>
      </c>
      <c r="B451" s="336" t="s">
        <v>3227</v>
      </c>
      <c r="C451" s="657" t="s">
        <v>3235</v>
      </c>
      <c r="D451" s="483">
        <v>0</v>
      </c>
      <c r="E451" s="483">
        <v>100</v>
      </c>
      <c r="F451" s="483">
        <v>100</v>
      </c>
      <c r="G451" s="483">
        <v>100</v>
      </c>
      <c r="H451" s="483">
        <v>100</v>
      </c>
      <c r="I451" s="483">
        <v>100</v>
      </c>
      <c r="J451" s="483">
        <v>100</v>
      </c>
      <c r="K451" s="483">
        <v>100</v>
      </c>
      <c r="L451" s="334"/>
      <c r="M451" s="334"/>
      <c r="N451" s="334"/>
      <c r="O451" s="334"/>
      <c r="P451" s="674">
        <f t="shared" si="323"/>
        <v>700</v>
      </c>
    </row>
    <row r="452" spans="1:16" hidden="1" outlineLevel="1">
      <c r="A452" s="682" t="s">
        <v>3241</v>
      </c>
      <c r="B452" s="336" t="s">
        <v>3227</v>
      </c>
      <c r="C452" s="657" t="s">
        <v>3235</v>
      </c>
      <c r="D452" s="483">
        <v>0</v>
      </c>
      <c r="E452" s="483">
        <v>100</v>
      </c>
      <c r="F452" s="483">
        <v>100</v>
      </c>
      <c r="G452" s="483">
        <v>100</v>
      </c>
      <c r="H452" s="483">
        <v>100</v>
      </c>
      <c r="I452" s="483">
        <v>100</v>
      </c>
      <c r="J452" s="483">
        <v>100</v>
      </c>
      <c r="K452" s="483">
        <v>100</v>
      </c>
      <c r="L452" s="334"/>
      <c r="M452" s="334"/>
      <c r="N452" s="334"/>
      <c r="P452" s="674">
        <f t="shared" si="323"/>
        <v>700</v>
      </c>
    </row>
    <row r="453" spans="1:16" hidden="1" outlineLevel="1">
      <c r="A453" s="682" t="s">
        <v>3242</v>
      </c>
      <c r="B453" s="336" t="s">
        <v>3227</v>
      </c>
      <c r="C453" s="657" t="s">
        <v>3235</v>
      </c>
      <c r="D453" s="483">
        <v>0</v>
      </c>
      <c r="E453" s="483">
        <v>100</v>
      </c>
      <c r="F453" s="483">
        <v>100</v>
      </c>
      <c r="G453" s="483">
        <v>100</v>
      </c>
      <c r="H453" s="483">
        <v>100</v>
      </c>
      <c r="I453" s="483">
        <v>100</v>
      </c>
      <c r="J453" s="483">
        <v>100</v>
      </c>
      <c r="K453" s="483">
        <v>100</v>
      </c>
      <c r="L453" s="334"/>
      <c r="M453" s="334"/>
      <c r="N453" s="334"/>
      <c r="O453" s="334"/>
      <c r="P453" s="674">
        <f t="shared" si="323"/>
        <v>700</v>
      </c>
    </row>
    <row r="454" spans="1:16" hidden="1" outlineLevel="1">
      <c r="A454" s="683" t="s">
        <v>3243</v>
      </c>
      <c r="B454" s="336" t="s">
        <v>243</v>
      </c>
      <c r="C454" s="657" t="s">
        <v>3235</v>
      </c>
      <c r="D454" s="483">
        <v>0</v>
      </c>
      <c r="E454" s="483">
        <v>0</v>
      </c>
      <c r="F454" s="483">
        <v>0</v>
      </c>
      <c r="G454" s="483">
        <v>0</v>
      </c>
      <c r="H454" s="483">
        <v>0</v>
      </c>
      <c r="I454" s="483">
        <v>0</v>
      </c>
      <c r="J454" s="483">
        <v>0</v>
      </c>
      <c r="K454" s="483">
        <v>0</v>
      </c>
      <c r="L454" s="334"/>
      <c r="M454" s="334"/>
      <c r="N454" s="334"/>
      <c r="O454" s="334"/>
      <c r="P454" s="674">
        <f t="shared" si="323"/>
        <v>0</v>
      </c>
    </row>
    <row r="455" spans="1:16" hidden="1" outlineLevel="1">
      <c r="A455" s="670" t="s">
        <v>3244</v>
      </c>
      <c r="B455" s="336" t="s">
        <v>3227</v>
      </c>
      <c r="C455" s="657" t="s">
        <v>476</v>
      </c>
      <c r="D455" s="483">
        <v>650</v>
      </c>
      <c r="E455" s="483">
        <v>675</v>
      </c>
      <c r="F455" s="483">
        <v>675</v>
      </c>
      <c r="G455" s="483">
        <v>675</v>
      </c>
      <c r="H455" s="483">
        <v>675</v>
      </c>
      <c r="I455" s="483">
        <v>675</v>
      </c>
      <c r="J455" s="483">
        <v>675</v>
      </c>
      <c r="K455" s="483">
        <v>675</v>
      </c>
      <c r="L455" s="334"/>
      <c r="M455" s="334"/>
      <c r="N455" s="334"/>
      <c r="O455" s="334"/>
      <c r="P455" s="674">
        <f t="shared" si="323"/>
        <v>5375</v>
      </c>
    </row>
    <row r="456" spans="1:16" hidden="1" outlineLevel="1">
      <c r="A456" s="670" t="s">
        <v>3245</v>
      </c>
      <c r="B456" s="336" t="s">
        <v>3227</v>
      </c>
      <c r="C456" s="657" t="s">
        <v>476</v>
      </c>
      <c r="D456" s="483">
        <v>630</v>
      </c>
      <c r="E456" s="483">
        <v>655</v>
      </c>
      <c r="F456" s="483">
        <v>655</v>
      </c>
      <c r="G456" s="483">
        <v>655</v>
      </c>
      <c r="H456" s="483">
        <v>655</v>
      </c>
      <c r="I456" s="483">
        <v>655</v>
      </c>
      <c r="J456" s="483">
        <v>655</v>
      </c>
      <c r="K456" s="483">
        <v>655</v>
      </c>
      <c r="L456" s="334"/>
      <c r="M456" s="334"/>
      <c r="N456" s="334"/>
      <c r="O456" s="334"/>
      <c r="P456" s="674">
        <f t="shared" si="323"/>
        <v>5215</v>
      </c>
    </row>
    <row r="457" spans="1:16" hidden="1" outlineLevel="1">
      <c r="A457" s="670" t="s">
        <v>3246</v>
      </c>
      <c r="B457" s="336" t="s">
        <v>3227</v>
      </c>
      <c r="C457" s="657" t="s">
        <v>476</v>
      </c>
      <c r="D457" s="483">
        <v>547.5</v>
      </c>
      <c r="E457" s="483">
        <v>572.5</v>
      </c>
      <c r="F457" s="483">
        <v>572.5</v>
      </c>
      <c r="G457" s="483">
        <v>572.5</v>
      </c>
      <c r="H457" s="483">
        <v>572.5</v>
      </c>
      <c r="I457" s="483">
        <v>572.5</v>
      </c>
      <c r="J457" s="483">
        <v>572.5</v>
      </c>
      <c r="K457" s="483">
        <v>572.5</v>
      </c>
      <c r="L457" s="334"/>
      <c r="M457" s="334"/>
      <c r="N457" s="334"/>
      <c r="O457" s="334"/>
      <c r="P457" s="674">
        <f t="shared" si="323"/>
        <v>4555</v>
      </c>
    </row>
    <row r="458" spans="1:16" hidden="1" outlineLevel="1">
      <c r="A458" s="670" t="s">
        <v>3247</v>
      </c>
      <c r="B458" s="336" t="s">
        <v>3227</v>
      </c>
      <c r="C458" s="657" t="s">
        <v>476</v>
      </c>
      <c r="D458" s="483">
        <v>565</v>
      </c>
      <c r="E458" s="483">
        <v>590</v>
      </c>
      <c r="F458" s="483">
        <v>590</v>
      </c>
      <c r="G458" s="483">
        <v>590</v>
      </c>
      <c r="H458" s="483">
        <v>590</v>
      </c>
      <c r="I458" s="483">
        <v>590</v>
      </c>
      <c r="J458" s="483">
        <v>590</v>
      </c>
      <c r="K458" s="483">
        <v>590</v>
      </c>
      <c r="L458" s="334"/>
      <c r="M458" s="334"/>
      <c r="N458" s="334"/>
      <c r="O458" s="334"/>
      <c r="P458" s="674">
        <f t="shared" si="323"/>
        <v>4695</v>
      </c>
    </row>
    <row r="459" spans="1:16" hidden="1" outlineLevel="1">
      <c r="A459" s="679" t="s">
        <v>3248</v>
      </c>
      <c r="B459" s="336" t="s">
        <v>3227</v>
      </c>
      <c r="C459" s="657" t="s">
        <v>476</v>
      </c>
      <c r="D459" s="483">
        <v>650</v>
      </c>
      <c r="E459" s="483">
        <v>675</v>
      </c>
      <c r="F459" s="483">
        <v>675</v>
      </c>
      <c r="G459" s="483">
        <v>675</v>
      </c>
      <c r="H459" s="483">
        <v>0</v>
      </c>
      <c r="I459" s="483">
        <v>0</v>
      </c>
      <c r="J459" s="483">
        <v>0</v>
      </c>
      <c r="K459" s="483">
        <v>0</v>
      </c>
      <c r="L459" s="334"/>
      <c r="M459" s="334"/>
      <c r="N459" s="334"/>
      <c r="O459" s="334"/>
      <c r="P459" s="674">
        <f t="shared" si="323"/>
        <v>2675</v>
      </c>
    </row>
    <row r="460" spans="1:16" hidden="1" outlineLevel="1">
      <c r="A460" s="679" t="s">
        <v>3249</v>
      </c>
      <c r="B460" s="336" t="s">
        <v>3227</v>
      </c>
      <c r="C460" s="657" t="s">
        <v>476</v>
      </c>
      <c r="D460" s="483">
        <v>269.64</v>
      </c>
      <c r="E460" s="483">
        <v>622.5</v>
      </c>
      <c r="F460" s="483">
        <v>622.5</v>
      </c>
      <c r="G460" s="483">
        <v>622.5</v>
      </c>
      <c r="H460" s="483">
        <v>0</v>
      </c>
      <c r="I460" s="483">
        <v>0</v>
      </c>
      <c r="J460" s="483">
        <v>0</v>
      </c>
      <c r="K460" s="483">
        <v>0</v>
      </c>
      <c r="L460" s="334"/>
      <c r="M460" s="334"/>
      <c r="N460" s="334"/>
      <c r="O460" s="334"/>
      <c r="P460" s="674">
        <f t="shared" si="323"/>
        <v>2137.14</v>
      </c>
    </row>
    <row r="461" spans="1:16" hidden="1" outlineLevel="1">
      <c r="A461" s="686" t="s">
        <v>3250</v>
      </c>
      <c r="B461" s="336" t="s">
        <v>3227</v>
      </c>
      <c r="C461" s="657" t="s">
        <v>476</v>
      </c>
      <c r="D461" s="483">
        <v>0</v>
      </c>
      <c r="E461" s="483">
        <v>0</v>
      </c>
      <c r="F461" s="483">
        <v>0</v>
      </c>
      <c r="G461" s="483">
        <v>0</v>
      </c>
      <c r="H461" s="483">
        <v>0</v>
      </c>
      <c r="I461" s="483">
        <v>516.66999999999996</v>
      </c>
      <c r="J461" s="483">
        <v>775</v>
      </c>
      <c r="K461" s="483">
        <v>775</v>
      </c>
      <c r="L461" s="334"/>
      <c r="M461" s="334"/>
      <c r="N461" s="334"/>
      <c r="O461" s="334"/>
      <c r="P461" s="685"/>
    </row>
    <row r="462" spans="1:16" hidden="1" outlineLevel="1">
      <c r="A462" s="686" t="s">
        <v>3251</v>
      </c>
      <c r="B462" s="336" t="s">
        <v>243</v>
      </c>
      <c r="C462" s="657" t="s">
        <v>476</v>
      </c>
      <c r="D462" s="483"/>
      <c r="E462" s="483"/>
      <c r="F462" s="483"/>
      <c r="G462" s="483"/>
      <c r="H462" s="483"/>
      <c r="I462" s="483"/>
      <c r="J462" s="483">
        <v>637.5</v>
      </c>
      <c r="K462" s="483">
        <v>637.5</v>
      </c>
      <c r="L462" s="334"/>
      <c r="M462" s="334"/>
      <c r="N462" s="334"/>
      <c r="O462" s="334"/>
      <c r="P462" s="685"/>
    </row>
    <row r="463" spans="1:16" hidden="1" outlineLevel="1">
      <c r="A463" s="670" t="s">
        <v>3252</v>
      </c>
      <c r="B463" s="336" t="s">
        <v>3227</v>
      </c>
      <c r="C463" s="657" t="s">
        <v>422</v>
      </c>
      <c r="D463" s="483">
        <v>700</v>
      </c>
      <c r="E463" s="483">
        <v>725</v>
      </c>
      <c r="F463" s="483">
        <v>725</v>
      </c>
      <c r="G463" s="483">
        <v>725</v>
      </c>
      <c r="H463" s="483">
        <v>725</v>
      </c>
      <c r="I463" s="483">
        <v>725</v>
      </c>
      <c r="J463" s="483">
        <v>725</v>
      </c>
      <c r="K463" s="483">
        <v>629.76</v>
      </c>
      <c r="L463" s="334"/>
      <c r="M463" s="334"/>
      <c r="N463" s="334"/>
      <c r="O463" s="334"/>
      <c r="P463" s="674">
        <f t="shared" ref="P463:P487" si="324">SUM(D463:O463)</f>
        <v>5679.76</v>
      </c>
    </row>
    <row r="464" spans="1:16" hidden="1" outlineLevel="1">
      <c r="A464" s="670" t="s">
        <v>3253</v>
      </c>
      <c r="B464" s="336" t="s">
        <v>3227</v>
      </c>
      <c r="C464" s="657" t="s">
        <v>422</v>
      </c>
      <c r="D464" s="483">
        <v>550</v>
      </c>
      <c r="E464" s="483">
        <v>575</v>
      </c>
      <c r="F464" s="483">
        <v>575</v>
      </c>
      <c r="G464" s="483">
        <v>575</v>
      </c>
      <c r="H464" s="483">
        <v>575</v>
      </c>
      <c r="I464" s="483">
        <v>575</v>
      </c>
      <c r="J464" s="483">
        <v>540.22</v>
      </c>
      <c r="K464" s="483">
        <v>575</v>
      </c>
      <c r="L464" s="334"/>
      <c r="M464" s="334"/>
      <c r="N464" s="334"/>
      <c r="O464" s="334"/>
      <c r="P464" s="674">
        <f t="shared" si="324"/>
        <v>4540.22</v>
      </c>
    </row>
    <row r="465" spans="1:16" hidden="1" outlineLevel="1">
      <c r="A465" s="679" t="s">
        <v>3254</v>
      </c>
      <c r="B465" s="336" t="s">
        <v>3227</v>
      </c>
      <c r="C465" s="657" t="s">
        <v>422</v>
      </c>
      <c r="D465" s="483">
        <v>0</v>
      </c>
      <c r="E465" s="483">
        <v>100</v>
      </c>
      <c r="F465" s="483">
        <v>100</v>
      </c>
      <c r="G465" s="483">
        <v>0</v>
      </c>
      <c r="H465" s="483">
        <v>0</v>
      </c>
      <c r="I465" s="483">
        <v>0</v>
      </c>
      <c r="J465" s="483">
        <v>0</v>
      </c>
      <c r="K465" s="483">
        <v>0</v>
      </c>
      <c r="P465" s="674">
        <f t="shared" si="324"/>
        <v>200</v>
      </c>
    </row>
    <row r="466" spans="1:16" hidden="1" outlineLevel="1">
      <c r="A466" s="686" t="s">
        <v>3255</v>
      </c>
      <c r="B466" s="336" t="s">
        <v>3227</v>
      </c>
      <c r="C466" s="657" t="s">
        <v>422</v>
      </c>
      <c r="D466" s="483">
        <v>0</v>
      </c>
      <c r="E466" s="483">
        <v>0</v>
      </c>
      <c r="F466" s="483">
        <v>0</v>
      </c>
      <c r="G466" s="483">
        <v>0</v>
      </c>
      <c r="H466" s="483">
        <v>0</v>
      </c>
      <c r="I466" s="483">
        <v>0</v>
      </c>
      <c r="J466" s="483">
        <v>0</v>
      </c>
      <c r="K466" s="483">
        <v>0</v>
      </c>
      <c r="L466" s="334"/>
      <c r="M466" s="334"/>
      <c r="N466" s="334"/>
      <c r="O466" s="334"/>
      <c r="P466" s="674">
        <f t="shared" si="324"/>
        <v>0</v>
      </c>
    </row>
    <row r="467" spans="1:16" hidden="1" outlineLevel="1">
      <c r="A467" s="683" t="s">
        <v>2809</v>
      </c>
      <c r="B467" s="336" t="s">
        <v>3227</v>
      </c>
      <c r="C467" s="657" t="s">
        <v>422</v>
      </c>
      <c r="D467" s="483">
        <v>0</v>
      </c>
      <c r="E467" s="483">
        <v>435.13</v>
      </c>
      <c r="F467" s="483">
        <v>687.5</v>
      </c>
      <c r="G467" s="483">
        <v>687.5</v>
      </c>
      <c r="H467" s="483">
        <v>622.5</v>
      </c>
      <c r="I467" s="483">
        <v>622.5</v>
      </c>
      <c r="J467" s="483">
        <v>622.5</v>
      </c>
      <c r="K467" s="483">
        <v>622.5</v>
      </c>
      <c r="L467" s="334"/>
      <c r="M467" s="334"/>
      <c r="N467" s="334"/>
      <c r="O467" s="334"/>
      <c r="P467" s="674">
        <f t="shared" si="324"/>
        <v>4300.13</v>
      </c>
    </row>
    <row r="468" spans="1:16" hidden="1" outlineLevel="1">
      <c r="A468" s="670" t="s">
        <v>3256</v>
      </c>
      <c r="B468" s="336" t="s">
        <v>243</v>
      </c>
      <c r="C468" s="657" t="s">
        <v>164</v>
      </c>
      <c r="D468" s="483">
        <v>650</v>
      </c>
      <c r="E468" s="483">
        <v>675</v>
      </c>
      <c r="F468" s="483">
        <v>675</v>
      </c>
      <c r="G468" s="483">
        <v>675</v>
      </c>
      <c r="H468" s="483">
        <v>675</v>
      </c>
      <c r="I468" s="483">
        <v>620.24</v>
      </c>
      <c r="J468" s="483">
        <v>725</v>
      </c>
      <c r="K468" s="483">
        <v>725</v>
      </c>
      <c r="L468" s="334"/>
      <c r="M468" s="334"/>
      <c r="N468" s="334"/>
      <c r="O468" s="334"/>
      <c r="P468" s="674">
        <f t="shared" si="324"/>
        <v>5420.24</v>
      </c>
    </row>
    <row r="469" spans="1:16" hidden="1" outlineLevel="1">
      <c r="A469" s="670" t="s">
        <v>3257</v>
      </c>
      <c r="B469" s="336" t="s">
        <v>243</v>
      </c>
      <c r="C469" s="657" t="s">
        <v>164</v>
      </c>
      <c r="D469" s="483">
        <v>450</v>
      </c>
      <c r="E469" s="483">
        <v>690</v>
      </c>
      <c r="F469" s="483">
        <v>690</v>
      </c>
      <c r="G469" s="483">
        <v>690</v>
      </c>
      <c r="H469" s="483">
        <v>690</v>
      </c>
      <c r="I469" s="483">
        <v>690</v>
      </c>
      <c r="J469" s="483">
        <v>690</v>
      </c>
      <c r="K469" s="483">
        <v>690</v>
      </c>
      <c r="L469" s="334"/>
      <c r="M469" s="334"/>
      <c r="N469" s="334"/>
      <c r="O469" s="334"/>
      <c r="P469" s="674">
        <f t="shared" si="324"/>
        <v>5280</v>
      </c>
    </row>
    <row r="470" spans="1:16" hidden="1" outlineLevel="1">
      <c r="A470" s="670" t="s">
        <v>669</v>
      </c>
      <c r="B470" s="336" t="s">
        <v>243</v>
      </c>
      <c r="C470" s="657" t="s">
        <v>164</v>
      </c>
      <c r="D470" s="483">
        <v>550</v>
      </c>
      <c r="E470" s="483">
        <v>870</v>
      </c>
      <c r="F470" s="483">
        <v>870</v>
      </c>
      <c r="G470" s="483">
        <v>870</v>
      </c>
      <c r="H470" s="483">
        <v>870</v>
      </c>
      <c r="I470" s="483">
        <v>870</v>
      </c>
      <c r="J470" s="483">
        <v>654.78</v>
      </c>
      <c r="K470" s="483">
        <v>870</v>
      </c>
      <c r="L470" s="334"/>
      <c r="M470" s="334"/>
      <c r="N470" s="334"/>
      <c r="O470" s="334"/>
      <c r="P470" s="674">
        <f t="shared" si="324"/>
        <v>6424.78</v>
      </c>
    </row>
    <row r="471" spans="1:16" hidden="1" outlineLevel="1">
      <c r="A471" s="670" t="s">
        <v>176</v>
      </c>
      <c r="B471" s="336" t="s">
        <v>243</v>
      </c>
      <c r="C471" s="657" t="s">
        <v>164</v>
      </c>
      <c r="D471" s="483">
        <v>650</v>
      </c>
      <c r="E471" s="483">
        <v>675</v>
      </c>
      <c r="F471" s="483">
        <v>675</v>
      </c>
      <c r="G471" s="483">
        <v>675</v>
      </c>
      <c r="H471" s="483">
        <v>675</v>
      </c>
      <c r="I471" s="483">
        <v>725</v>
      </c>
      <c r="J471" s="483">
        <v>725</v>
      </c>
      <c r="K471" s="483">
        <v>725</v>
      </c>
      <c r="L471" s="334"/>
      <c r="M471" s="334"/>
      <c r="N471" s="334"/>
      <c r="O471" s="334"/>
      <c r="P471" s="674">
        <f t="shared" si="324"/>
        <v>5525</v>
      </c>
    </row>
    <row r="472" spans="1:16" hidden="1" outlineLevel="1">
      <c r="A472" s="670" t="s">
        <v>178</v>
      </c>
      <c r="B472" s="336" t="s">
        <v>243</v>
      </c>
      <c r="C472" s="657" t="s">
        <v>164</v>
      </c>
      <c r="D472" s="483">
        <v>580</v>
      </c>
      <c r="E472" s="483">
        <v>605</v>
      </c>
      <c r="F472" s="483">
        <v>605</v>
      </c>
      <c r="G472" s="483">
        <v>605</v>
      </c>
      <c r="H472" s="483">
        <v>725</v>
      </c>
      <c r="I472" s="483">
        <v>725</v>
      </c>
      <c r="J472" s="483">
        <v>579.35</v>
      </c>
      <c r="K472" s="483">
        <v>675</v>
      </c>
      <c r="L472" s="334"/>
      <c r="M472" s="334"/>
      <c r="N472" s="334"/>
      <c r="O472" s="334"/>
      <c r="P472" s="674">
        <f t="shared" si="324"/>
        <v>5099.3500000000004</v>
      </c>
    </row>
    <row r="473" spans="1:16" hidden="1" outlineLevel="1">
      <c r="A473" s="670" t="s">
        <v>3258</v>
      </c>
      <c r="B473" s="336" t="s">
        <v>243</v>
      </c>
      <c r="C473" s="657" t="s">
        <v>164</v>
      </c>
      <c r="D473" s="483">
        <v>750</v>
      </c>
      <c r="E473" s="483">
        <v>775</v>
      </c>
      <c r="F473" s="483">
        <v>775</v>
      </c>
      <c r="G473" s="483">
        <v>775</v>
      </c>
      <c r="H473" s="483">
        <v>775</v>
      </c>
      <c r="I473" s="483">
        <v>775</v>
      </c>
      <c r="J473" s="483">
        <v>775</v>
      </c>
      <c r="K473" s="483">
        <v>667.86</v>
      </c>
      <c r="L473" s="334"/>
      <c r="M473" s="334"/>
      <c r="N473" s="334"/>
      <c r="O473" s="334"/>
      <c r="P473" s="674">
        <f t="shared" si="324"/>
        <v>6067.86</v>
      </c>
    </row>
    <row r="474" spans="1:16" hidden="1" outlineLevel="1">
      <c r="A474" s="670" t="s">
        <v>3259</v>
      </c>
      <c r="B474" s="336" t="s">
        <v>243</v>
      </c>
      <c r="C474" s="657" t="s">
        <v>164</v>
      </c>
      <c r="D474" s="483">
        <v>547.5</v>
      </c>
      <c r="E474" s="483">
        <v>572.5</v>
      </c>
      <c r="F474" s="483">
        <v>572.5</v>
      </c>
      <c r="G474" s="483">
        <v>572.5</v>
      </c>
      <c r="H474" s="483">
        <v>543.25</v>
      </c>
      <c r="I474" s="483">
        <v>572.5</v>
      </c>
      <c r="J474" s="483">
        <v>572.5</v>
      </c>
      <c r="K474" s="483">
        <v>572.5</v>
      </c>
      <c r="L474" s="334"/>
      <c r="M474" s="334"/>
      <c r="N474" s="334"/>
      <c r="O474" s="334"/>
      <c r="P474" s="674">
        <f t="shared" si="324"/>
        <v>4525.75</v>
      </c>
    </row>
    <row r="475" spans="1:16" hidden="1" outlineLevel="1">
      <c r="A475" s="670" t="s">
        <v>3260</v>
      </c>
      <c r="B475" s="336" t="s">
        <v>243</v>
      </c>
      <c r="C475" s="657" t="s">
        <v>164</v>
      </c>
      <c r="D475" s="483">
        <v>547.5</v>
      </c>
      <c r="E475" s="483">
        <v>572.5</v>
      </c>
      <c r="F475" s="483">
        <v>572.5</v>
      </c>
      <c r="G475" s="483">
        <v>572.5</v>
      </c>
      <c r="H475" s="483">
        <v>572.5</v>
      </c>
      <c r="I475" s="483">
        <v>572.5</v>
      </c>
      <c r="J475" s="483">
        <v>572.5</v>
      </c>
      <c r="K475" s="483">
        <v>572.5</v>
      </c>
      <c r="L475" s="334"/>
      <c r="M475" s="334"/>
      <c r="N475" s="334"/>
      <c r="O475" s="334"/>
      <c r="P475" s="674">
        <f t="shared" si="324"/>
        <v>4555</v>
      </c>
    </row>
    <row r="476" spans="1:16" hidden="1" outlineLevel="1">
      <c r="A476" s="670" t="s">
        <v>3261</v>
      </c>
      <c r="B476" s="336" t="s">
        <v>243</v>
      </c>
      <c r="C476" s="657" t="s">
        <v>169</v>
      </c>
      <c r="D476" s="483">
        <v>580</v>
      </c>
      <c r="E476" s="483">
        <v>605</v>
      </c>
      <c r="F476" s="483">
        <v>605</v>
      </c>
      <c r="G476" s="483">
        <v>655</v>
      </c>
      <c r="H476" s="483">
        <v>725</v>
      </c>
      <c r="I476" s="483">
        <v>725</v>
      </c>
      <c r="J476" s="483">
        <v>725</v>
      </c>
      <c r="K476" s="483">
        <v>725</v>
      </c>
      <c r="L476" s="334"/>
      <c r="M476" s="334"/>
      <c r="N476" s="334"/>
      <c r="O476" s="334"/>
      <c r="P476" s="674">
        <f t="shared" si="324"/>
        <v>5345</v>
      </c>
    </row>
    <row r="477" spans="1:16" hidden="1" outlineLevel="1">
      <c r="A477" s="679" t="s">
        <v>3262</v>
      </c>
      <c r="B477" s="336" t="s">
        <v>3154</v>
      </c>
      <c r="C477" s="657" t="s">
        <v>169</v>
      </c>
      <c r="D477" s="483">
        <v>600</v>
      </c>
      <c r="E477" s="483">
        <v>625</v>
      </c>
      <c r="F477" s="483">
        <v>625</v>
      </c>
      <c r="G477" s="483">
        <v>625</v>
      </c>
      <c r="H477" s="483">
        <v>595</v>
      </c>
      <c r="I477" s="483">
        <v>625</v>
      </c>
      <c r="J477" s="483">
        <v>0</v>
      </c>
      <c r="K477" s="483">
        <v>0</v>
      </c>
      <c r="L477" s="334"/>
      <c r="M477" s="334"/>
      <c r="N477" s="334"/>
      <c r="O477" s="334"/>
      <c r="P477" s="674">
        <f t="shared" si="324"/>
        <v>3695</v>
      </c>
    </row>
    <row r="478" spans="1:16" hidden="1" outlineLevel="1">
      <c r="A478" s="687" t="s">
        <v>3263</v>
      </c>
      <c r="B478" s="336" t="s">
        <v>243</v>
      </c>
      <c r="C478" s="657" t="s">
        <v>169</v>
      </c>
      <c r="D478" s="483">
        <v>965</v>
      </c>
      <c r="E478" s="483">
        <v>475</v>
      </c>
      <c r="F478" s="483">
        <v>0</v>
      </c>
      <c r="G478" s="483">
        <v>0</v>
      </c>
      <c r="H478" s="483">
        <v>0</v>
      </c>
      <c r="I478" s="483">
        <v>475</v>
      </c>
      <c r="J478" s="483">
        <v>475</v>
      </c>
      <c r="K478" s="483">
        <v>475</v>
      </c>
      <c r="L478" s="334"/>
      <c r="M478" s="334"/>
      <c r="N478" s="334"/>
      <c r="O478" s="334"/>
      <c r="P478" s="674">
        <f t="shared" si="324"/>
        <v>2865</v>
      </c>
    </row>
    <row r="479" spans="1:16" hidden="1" outlineLevel="1">
      <c r="A479" s="670" t="s">
        <v>3264</v>
      </c>
      <c r="B479" s="336" t="s">
        <v>243</v>
      </c>
      <c r="C479" s="657" t="s">
        <v>169</v>
      </c>
      <c r="D479" s="483">
        <v>650</v>
      </c>
      <c r="E479" s="483">
        <v>675</v>
      </c>
      <c r="F479" s="483">
        <v>675</v>
      </c>
      <c r="G479" s="483">
        <v>675</v>
      </c>
      <c r="H479" s="483">
        <v>675</v>
      </c>
      <c r="I479" s="483">
        <v>675</v>
      </c>
      <c r="J479" s="483">
        <v>675</v>
      </c>
      <c r="K479" s="483">
        <v>675</v>
      </c>
      <c r="L479" s="334"/>
      <c r="M479" s="334"/>
      <c r="N479" s="334"/>
      <c r="O479" s="334"/>
      <c r="P479" s="674">
        <f t="shared" si="324"/>
        <v>5375</v>
      </c>
    </row>
    <row r="480" spans="1:16" hidden="1" outlineLevel="1">
      <c r="A480" s="670" t="s">
        <v>1860</v>
      </c>
      <c r="B480" s="336" t="s">
        <v>243</v>
      </c>
      <c r="C480" s="657" t="s">
        <v>169</v>
      </c>
      <c r="D480" s="483">
        <v>700</v>
      </c>
      <c r="E480" s="483">
        <v>725</v>
      </c>
      <c r="F480" s="483">
        <v>725</v>
      </c>
      <c r="G480" s="483">
        <v>725</v>
      </c>
      <c r="H480" s="483">
        <v>725</v>
      </c>
      <c r="I480" s="483">
        <v>725</v>
      </c>
      <c r="J480" s="483">
        <v>725</v>
      </c>
      <c r="K480" s="483">
        <v>725</v>
      </c>
      <c r="L480" s="334"/>
      <c r="P480" s="674">
        <f t="shared" si="324"/>
        <v>5775</v>
      </c>
    </row>
    <row r="481" spans="1:16" hidden="1" outlineLevel="1">
      <c r="A481" s="670" t="s">
        <v>186</v>
      </c>
      <c r="B481" s="336" t="s">
        <v>243</v>
      </c>
      <c r="C481" s="657" t="s">
        <v>169</v>
      </c>
      <c r="D481" s="483">
        <v>750</v>
      </c>
      <c r="E481" s="483">
        <v>775</v>
      </c>
      <c r="F481" s="483">
        <v>775</v>
      </c>
      <c r="G481" s="483">
        <v>775</v>
      </c>
      <c r="H481" s="483">
        <v>775</v>
      </c>
      <c r="I481" s="483">
        <v>775</v>
      </c>
      <c r="J481" s="483">
        <v>775</v>
      </c>
      <c r="K481" s="483">
        <v>679.76</v>
      </c>
      <c r="L481" s="334"/>
      <c r="M481" s="334"/>
      <c r="N481" s="334"/>
      <c r="O481" s="334"/>
      <c r="P481" s="674">
        <f t="shared" si="324"/>
        <v>6079.76</v>
      </c>
    </row>
    <row r="482" spans="1:16" hidden="1" outlineLevel="1">
      <c r="A482" s="683" t="s">
        <v>3265</v>
      </c>
      <c r="B482" s="336" t="s">
        <v>243</v>
      </c>
      <c r="C482" s="657" t="s">
        <v>169</v>
      </c>
      <c r="D482" s="483">
        <v>0</v>
      </c>
      <c r="E482" s="483">
        <v>0</v>
      </c>
      <c r="F482" s="483">
        <v>31.67</v>
      </c>
      <c r="G482" s="483">
        <v>475</v>
      </c>
      <c r="H482" s="483">
        <v>637.5</v>
      </c>
      <c r="I482" s="483">
        <v>637.5</v>
      </c>
      <c r="J482" s="483">
        <v>637.5</v>
      </c>
      <c r="K482" s="483">
        <v>637.5</v>
      </c>
      <c r="L482" s="334"/>
      <c r="M482" s="334"/>
      <c r="N482" s="334"/>
      <c r="O482" s="334"/>
      <c r="P482" s="674">
        <f t="shared" si="324"/>
        <v>3056.67</v>
      </c>
    </row>
    <row r="483" spans="1:16" hidden="1" outlineLevel="1">
      <c r="A483" s="670" t="s">
        <v>3266</v>
      </c>
      <c r="B483" s="336" t="s">
        <v>3227</v>
      </c>
      <c r="C483" s="657" t="s">
        <v>162</v>
      </c>
      <c r="D483" s="483">
        <v>800</v>
      </c>
      <c r="E483" s="483">
        <v>825</v>
      </c>
      <c r="F483" s="483">
        <v>825</v>
      </c>
      <c r="G483" s="483">
        <v>825</v>
      </c>
      <c r="H483" s="483">
        <v>825</v>
      </c>
      <c r="I483" s="483">
        <v>825</v>
      </c>
      <c r="J483" s="483">
        <v>775</v>
      </c>
      <c r="K483" s="483">
        <v>644.04999999999995</v>
      </c>
      <c r="L483" s="334"/>
      <c r="M483" s="334"/>
      <c r="N483" s="334"/>
      <c r="O483" s="334"/>
      <c r="P483" s="674">
        <f t="shared" si="324"/>
        <v>6344.05</v>
      </c>
    </row>
    <row r="484" spans="1:16" hidden="1" outlineLevel="1">
      <c r="A484" s="679" t="s">
        <v>3267</v>
      </c>
      <c r="B484" s="336" t="s">
        <v>3227</v>
      </c>
      <c r="C484" s="657" t="s">
        <v>162</v>
      </c>
      <c r="D484" s="483">
        <v>800</v>
      </c>
      <c r="E484" s="483">
        <v>825</v>
      </c>
      <c r="F484" s="483">
        <v>825</v>
      </c>
      <c r="G484" s="483">
        <v>825</v>
      </c>
      <c r="H484" s="483">
        <v>825</v>
      </c>
      <c r="I484" s="483">
        <v>825</v>
      </c>
      <c r="J484" s="483">
        <v>0</v>
      </c>
      <c r="K484" s="483">
        <v>0</v>
      </c>
      <c r="L484" s="334"/>
      <c r="M484" s="334"/>
      <c r="N484" s="334"/>
      <c r="O484" s="334"/>
      <c r="P484" s="674">
        <f t="shared" si="324"/>
        <v>4925</v>
      </c>
    </row>
    <row r="485" spans="1:16" hidden="1" outlineLevel="1">
      <c r="A485" s="670" t="s">
        <v>523</v>
      </c>
      <c r="B485" s="336" t="s">
        <v>3227</v>
      </c>
      <c r="C485" s="657" t="s">
        <v>162</v>
      </c>
      <c r="D485" s="483">
        <v>597.5</v>
      </c>
      <c r="E485" s="483">
        <v>622.5</v>
      </c>
      <c r="F485" s="483">
        <v>622.5</v>
      </c>
      <c r="G485" s="483">
        <v>622.5</v>
      </c>
      <c r="H485" s="483">
        <v>622.5</v>
      </c>
      <c r="I485" s="483">
        <v>622.5</v>
      </c>
      <c r="J485" s="483">
        <v>622.5</v>
      </c>
      <c r="K485" s="483">
        <v>571.42999999999995</v>
      </c>
      <c r="P485" s="674">
        <f t="shared" si="324"/>
        <v>4903.93</v>
      </c>
    </row>
    <row r="486" spans="1:16" hidden="1" outlineLevel="1">
      <c r="A486" s="670" t="s">
        <v>2791</v>
      </c>
      <c r="B486" s="336" t="s">
        <v>243</v>
      </c>
      <c r="C486" s="336" t="s">
        <v>162</v>
      </c>
      <c r="D486" s="483">
        <v>800</v>
      </c>
      <c r="E486" s="483">
        <v>825</v>
      </c>
      <c r="F486" s="483">
        <v>775</v>
      </c>
      <c r="G486" s="483">
        <v>775</v>
      </c>
      <c r="H486" s="483">
        <v>775</v>
      </c>
      <c r="I486" s="483">
        <v>644.04999999999995</v>
      </c>
      <c r="J486" s="483">
        <v>775</v>
      </c>
      <c r="K486" s="483">
        <v>775</v>
      </c>
      <c r="L486" s="334"/>
      <c r="M486" s="334"/>
      <c r="N486" s="334"/>
      <c r="O486" s="334"/>
      <c r="P486" s="674">
        <f t="shared" si="324"/>
        <v>6144.05</v>
      </c>
    </row>
    <row r="487" spans="1:16" hidden="1" outlineLevel="1">
      <c r="A487" s="689" t="s">
        <v>3268</v>
      </c>
      <c r="B487" s="336" t="s">
        <v>3227</v>
      </c>
      <c r="C487" s="657" t="s">
        <v>162</v>
      </c>
      <c r="D487" s="483">
        <v>0</v>
      </c>
      <c r="E487" s="483">
        <v>100</v>
      </c>
      <c r="F487" s="483">
        <v>100</v>
      </c>
      <c r="G487" s="483">
        <v>100</v>
      </c>
      <c r="H487" s="483">
        <v>100</v>
      </c>
      <c r="I487" s="483">
        <v>100</v>
      </c>
      <c r="J487" s="483">
        <v>100</v>
      </c>
      <c r="K487" s="483">
        <v>100</v>
      </c>
      <c r="L487" s="334"/>
      <c r="M487" s="334"/>
      <c r="N487" s="334"/>
      <c r="O487" s="334"/>
      <c r="P487" s="674">
        <f t="shared" si="324"/>
        <v>700</v>
      </c>
    </row>
    <row r="488" spans="1:16" hidden="1" outlineLevel="1">
      <c r="A488" s="683" t="s">
        <v>3269</v>
      </c>
      <c r="B488" s="336" t="s">
        <v>3227</v>
      </c>
      <c r="C488" s="657" t="s">
        <v>162</v>
      </c>
      <c r="D488" s="483"/>
      <c r="E488" s="483"/>
      <c r="F488" s="483"/>
      <c r="G488" s="483"/>
      <c r="H488" s="483"/>
      <c r="I488" s="483"/>
      <c r="J488" s="483">
        <v>120.11</v>
      </c>
      <c r="K488" s="483">
        <v>675</v>
      </c>
      <c r="L488" s="334"/>
      <c r="M488" s="334"/>
      <c r="N488" s="334"/>
      <c r="O488" s="334"/>
      <c r="P488" s="685"/>
    </row>
    <row r="489" spans="1:16" hidden="1" outlineLevel="1">
      <c r="A489" s="690" t="s">
        <v>3270</v>
      </c>
      <c r="B489" s="336" t="s">
        <v>3227</v>
      </c>
      <c r="C489" s="657" t="s">
        <v>143</v>
      </c>
      <c r="D489" s="483">
        <v>547.5</v>
      </c>
      <c r="E489" s="483">
        <v>572.5</v>
      </c>
      <c r="F489" s="483">
        <v>572.5</v>
      </c>
      <c r="G489" s="483">
        <v>572.5</v>
      </c>
      <c r="H489" s="483">
        <v>572.5</v>
      </c>
      <c r="I489" s="483">
        <v>521.42999999999995</v>
      </c>
      <c r="J489" s="483">
        <v>572.5</v>
      </c>
      <c r="K489" s="483">
        <v>572.5</v>
      </c>
      <c r="L489" s="334"/>
      <c r="M489" s="334"/>
      <c r="N489" s="334"/>
      <c r="O489" s="334"/>
      <c r="P489" s="674">
        <f t="shared" ref="P489:P498" si="325">SUM(D489:O489)</f>
        <v>4503.93</v>
      </c>
    </row>
    <row r="490" spans="1:16" hidden="1" outlineLevel="1">
      <c r="A490" s="690" t="s">
        <v>3271</v>
      </c>
      <c r="B490" s="336" t="s">
        <v>3227</v>
      </c>
      <c r="C490" s="657" t="s">
        <v>143</v>
      </c>
      <c r="D490" s="483">
        <v>650</v>
      </c>
      <c r="E490" s="483">
        <v>675</v>
      </c>
      <c r="F490" s="483">
        <v>675</v>
      </c>
      <c r="G490" s="483">
        <v>675</v>
      </c>
      <c r="H490" s="483">
        <v>675</v>
      </c>
      <c r="I490" s="483">
        <v>622.5</v>
      </c>
      <c r="J490" s="483">
        <v>622.5</v>
      </c>
      <c r="K490" s="483">
        <v>622.5</v>
      </c>
      <c r="L490" s="334"/>
      <c r="M490" s="334"/>
      <c r="N490" s="334"/>
      <c r="O490" s="334"/>
      <c r="P490" s="674">
        <f t="shared" si="325"/>
        <v>5217.5</v>
      </c>
    </row>
    <row r="491" spans="1:16" hidden="1" outlineLevel="1">
      <c r="A491" s="690" t="s">
        <v>3272</v>
      </c>
      <c r="B491" s="336" t="s">
        <v>3227</v>
      </c>
      <c r="C491" s="657" t="s">
        <v>143</v>
      </c>
      <c r="D491" s="483">
        <v>497.5</v>
      </c>
      <c r="E491" s="483">
        <v>517.5</v>
      </c>
      <c r="F491" s="483">
        <v>517.5</v>
      </c>
      <c r="G491" s="483">
        <v>517.5</v>
      </c>
      <c r="H491" s="483">
        <v>517.5</v>
      </c>
      <c r="I491" s="483">
        <v>517.5</v>
      </c>
      <c r="J491" s="483">
        <v>525.87</v>
      </c>
      <c r="K491" s="483">
        <v>572.5</v>
      </c>
      <c r="L491" s="334"/>
      <c r="M491" s="334"/>
      <c r="N491" s="334"/>
      <c r="O491" s="334"/>
      <c r="P491" s="674">
        <f t="shared" si="325"/>
        <v>4183.37</v>
      </c>
    </row>
    <row r="492" spans="1:16" hidden="1" outlineLevel="1">
      <c r="A492" s="691" t="s">
        <v>3273</v>
      </c>
      <c r="B492" s="336" t="s">
        <v>3227</v>
      </c>
      <c r="C492" s="657" t="s">
        <v>143</v>
      </c>
      <c r="D492" s="483">
        <v>630</v>
      </c>
      <c r="E492" s="483">
        <v>655</v>
      </c>
      <c r="F492" s="483">
        <v>655</v>
      </c>
      <c r="G492" s="483">
        <v>655</v>
      </c>
      <c r="H492" s="483">
        <v>655</v>
      </c>
      <c r="I492" s="483">
        <v>655</v>
      </c>
      <c r="J492" s="483">
        <v>0</v>
      </c>
      <c r="K492" s="483">
        <v>0</v>
      </c>
      <c r="L492" s="678"/>
      <c r="M492" s="678"/>
      <c r="N492" s="678"/>
      <c r="O492" s="678"/>
      <c r="P492" s="674">
        <f t="shared" si="325"/>
        <v>3905</v>
      </c>
    </row>
    <row r="493" spans="1:16" hidden="1" outlineLevel="1">
      <c r="A493" s="690" t="s">
        <v>1643</v>
      </c>
      <c r="B493" s="336" t="s">
        <v>3227</v>
      </c>
      <c r="C493" s="657" t="s">
        <v>143</v>
      </c>
      <c r="D493" s="483">
        <v>530</v>
      </c>
      <c r="E493" s="483">
        <v>550</v>
      </c>
      <c r="F493" s="483">
        <v>570</v>
      </c>
      <c r="G493" s="483">
        <v>570</v>
      </c>
      <c r="H493" s="483">
        <v>570</v>
      </c>
      <c r="I493" s="483">
        <v>570</v>
      </c>
      <c r="J493" s="483">
        <v>517.83000000000004</v>
      </c>
      <c r="K493" s="483">
        <v>570</v>
      </c>
      <c r="L493" s="334"/>
      <c r="M493" s="334"/>
      <c r="N493" s="334"/>
      <c r="O493" s="334"/>
      <c r="P493" s="674">
        <f t="shared" si="325"/>
        <v>4447.83</v>
      </c>
    </row>
    <row r="494" spans="1:16" hidden="1" outlineLevel="1">
      <c r="A494" s="690" t="s">
        <v>3274</v>
      </c>
      <c r="B494" s="336" t="s">
        <v>3227</v>
      </c>
      <c r="C494" s="657" t="s">
        <v>143</v>
      </c>
      <c r="D494" s="483">
        <v>497.5</v>
      </c>
      <c r="E494" s="483">
        <v>517.5</v>
      </c>
      <c r="F494" s="483">
        <v>517.5</v>
      </c>
      <c r="G494" s="483">
        <v>517.5</v>
      </c>
      <c r="H494" s="483">
        <v>572.5</v>
      </c>
      <c r="I494" s="483">
        <v>572.5</v>
      </c>
      <c r="J494" s="483">
        <v>525.87</v>
      </c>
      <c r="K494" s="483">
        <v>572.5</v>
      </c>
      <c r="L494" s="678"/>
      <c r="M494" s="678"/>
      <c r="N494" s="678"/>
      <c r="O494" s="678"/>
      <c r="P494" s="674">
        <f t="shared" si="325"/>
        <v>4293.37</v>
      </c>
    </row>
    <row r="495" spans="1:16" hidden="1" outlineLevel="1">
      <c r="A495" s="692" t="s">
        <v>3275</v>
      </c>
      <c r="B495" s="336" t="s">
        <v>3227</v>
      </c>
      <c r="C495" s="657" t="s">
        <v>143</v>
      </c>
      <c r="D495" s="483">
        <v>450</v>
      </c>
      <c r="E495" s="483">
        <v>475</v>
      </c>
      <c r="F495" s="483">
        <v>475</v>
      </c>
      <c r="G495" s="483">
        <v>0</v>
      </c>
      <c r="H495" s="483">
        <v>0</v>
      </c>
      <c r="I495" s="483">
        <v>0</v>
      </c>
      <c r="J495" s="483">
        <v>0</v>
      </c>
      <c r="K495" s="483">
        <v>0</v>
      </c>
      <c r="L495" s="334"/>
      <c r="M495" s="334"/>
      <c r="N495" s="334"/>
      <c r="O495" s="334"/>
      <c r="P495" s="674">
        <f t="shared" si="325"/>
        <v>1400</v>
      </c>
    </row>
    <row r="496" spans="1:16" hidden="1" outlineLevel="1">
      <c r="A496" s="690" t="s">
        <v>3276</v>
      </c>
      <c r="B496" s="336" t="s">
        <v>243</v>
      </c>
      <c r="C496" s="657" t="s">
        <v>143</v>
      </c>
      <c r="D496" s="483">
        <v>630</v>
      </c>
      <c r="E496" s="483">
        <v>655</v>
      </c>
      <c r="F496" s="483">
        <v>655</v>
      </c>
      <c r="G496" s="483">
        <v>655</v>
      </c>
      <c r="H496" s="483">
        <v>725</v>
      </c>
      <c r="I496" s="483">
        <v>725</v>
      </c>
      <c r="J496" s="483">
        <v>629.35</v>
      </c>
      <c r="K496" s="483">
        <v>725</v>
      </c>
      <c r="L496" s="334"/>
      <c r="M496" s="334"/>
      <c r="N496" s="334"/>
      <c r="O496" s="334"/>
      <c r="P496" s="674">
        <f t="shared" si="325"/>
        <v>5399.35</v>
      </c>
    </row>
    <row r="497" spans="1:16" hidden="1" outlineLevel="1">
      <c r="A497" s="690" t="s">
        <v>3277</v>
      </c>
      <c r="B497" s="336" t="s">
        <v>3227</v>
      </c>
      <c r="C497" s="657" t="s">
        <v>143</v>
      </c>
      <c r="D497" s="483">
        <v>497.5</v>
      </c>
      <c r="E497" s="483">
        <v>517.5</v>
      </c>
      <c r="F497" s="483">
        <v>517.5</v>
      </c>
      <c r="G497" s="483">
        <v>517.5</v>
      </c>
      <c r="H497" s="483">
        <v>463.88</v>
      </c>
      <c r="I497" s="483">
        <v>517.5</v>
      </c>
      <c r="J497" s="483">
        <v>517.5</v>
      </c>
      <c r="K497" s="483">
        <v>377.5</v>
      </c>
      <c r="L497" s="334"/>
      <c r="M497" s="334"/>
      <c r="N497" s="334"/>
      <c r="O497" s="334"/>
      <c r="P497" s="674">
        <f t="shared" si="325"/>
        <v>3926.38</v>
      </c>
    </row>
    <row r="498" spans="1:16" hidden="1" outlineLevel="1">
      <c r="A498" s="683" t="s">
        <v>3278</v>
      </c>
      <c r="B498" s="336" t="s">
        <v>3227</v>
      </c>
      <c r="C498" s="657" t="s">
        <v>143</v>
      </c>
      <c r="D498" s="483">
        <v>0</v>
      </c>
      <c r="E498" s="483">
        <v>245.26</v>
      </c>
      <c r="F498" s="483">
        <v>625</v>
      </c>
      <c r="G498" s="483">
        <v>625</v>
      </c>
      <c r="H498" s="483">
        <v>625</v>
      </c>
      <c r="I498" s="483">
        <v>625</v>
      </c>
      <c r="J498" s="483">
        <v>625</v>
      </c>
      <c r="K498" s="483">
        <v>625</v>
      </c>
      <c r="L498" s="334"/>
      <c r="M498" s="334"/>
      <c r="N498" s="334"/>
      <c r="O498" s="334"/>
      <c r="P498" s="674">
        <f t="shared" si="325"/>
        <v>3995.26</v>
      </c>
    </row>
    <row r="499" spans="1:16" hidden="1" outlineLevel="1">
      <c r="A499" s="683" t="s">
        <v>3279</v>
      </c>
      <c r="B499" s="336" t="s">
        <v>3227</v>
      </c>
      <c r="C499" s="657" t="s">
        <v>143</v>
      </c>
      <c r="D499" s="483">
        <v>0</v>
      </c>
      <c r="E499" s="483">
        <v>0</v>
      </c>
      <c r="F499" s="483">
        <v>0</v>
      </c>
      <c r="G499" s="483">
        <v>0</v>
      </c>
      <c r="H499" s="483">
        <v>0</v>
      </c>
      <c r="I499" s="483">
        <v>335.71</v>
      </c>
      <c r="J499" s="483">
        <v>622.5</v>
      </c>
      <c r="K499" s="483">
        <v>622.5</v>
      </c>
      <c r="L499" s="334"/>
      <c r="M499" s="334"/>
      <c r="N499" s="334"/>
      <c r="O499" s="334"/>
      <c r="P499" s="685"/>
    </row>
    <row r="500" spans="1:16" hidden="1" outlineLevel="1">
      <c r="A500" s="679" t="s">
        <v>3280</v>
      </c>
      <c r="B500" s="336" t="s">
        <v>3227</v>
      </c>
      <c r="C500" s="657" t="s">
        <v>159</v>
      </c>
      <c r="D500" s="483">
        <v>750</v>
      </c>
      <c r="E500" s="483">
        <v>775</v>
      </c>
      <c r="F500" s="483">
        <v>775</v>
      </c>
      <c r="G500" s="483">
        <v>0</v>
      </c>
      <c r="H500" s="483">
        <v>0</v>
      </c>
      <c r="I500" s="483">
        <v>0</v>
      </c>
      <c r="J500" s="483">
        <v>0</v>
      </c>
      <c r="K500" s="483">
        <v>0</v>
      </c>
      <c r="L500" s="334"/>
      <c r="M500" s="334"/>
      <c r="N500" s="334"/>
      <c r="O500" s="334"/>
      <c r="P500" s="674">
        <f t="shared" ref="P500:P515" si="326">SUM(D500:O500)</f>
        <v>2300</v>
      </c>
    </row>
    <row r="501" spans="1:16" hidden="1" outlineLevel="1">
      <c r="A501" s="670" t="s">
        <v>3281</v>
      </c>
      <c r="B501" s="336" t="s">
        <v>3227</v>
      </c>
      <c r="C501" s="657" t="s">
        <v>159</v>
      </c>
      <c r="D501" s="483">
        <v>497.5</v>
      </c>
      <c r="E501" s="483">
        <v>517.5</v>
      </c>
      <c r="F501" s="483">
        <v>517.5</v>
      </c>
      <c r="G501" s="483">
        <v>517.5</v>
      </c>
      <c r="H501" s="483">
        <v>517.5</v>
      </c>
      <c r="I501" s="483">
        <v>517.5</v>
      </c>
      <c r="J501" s="483">
        <v>517.5</v>
      </c>
      <c r="K501" s="483">
        <v>517.5</v>
      </c>
      <c r="P501" s="674">
        <f t="shared" si="326"/>
        <v>4120</v>
      </c>
    </row>
    <row r="502" spans="1:16" hidden="1" outlineLevel="1">
      <c r="A502" s="670" t="s">
        <v>3282</v>
      </c>
      <c r="B502" s="336" t="s">
        <v>3227</v>
      </c>
      <c r="C502" s="657" t="s">
        <v>159</v>
      </c>
      <c r="D502" s="483">
        <v>500</v>
      </c>
      <c r="E502" s="483">
        <v>525</v>
      </c>
      <c r="F502" s="483">
        <v>525</v>
      </c>
      <c r="G502" s="483">
        <v>525</v>
      </c>
      <c r="H502" s="483">
        <v>525</v>
      </c>
      <c r="I502" s="483">
        <v>525</v>
      </c>
      <c r="J502" s="483">
        <v>525</v>
      </c>
      <c r="K502" s="483">
        <v>525</v>
      </c>
      <c r="L502" s="334"/>
      <c r="M502" s="334"/>
      <c r="N502" s="334"/>
      <c r="O502" s="334"/>
      <c r="P502" s="674">
        <f t="shared" si="326"/>
        <v>4175</v>
      </c>
    </row>
    <row r="503" spans="1:16" hidden="1" outlineLevel="1">
      <c r="A503" s="670" t="s">
        <v>3283</v>
      </c>
      <c r="B503" s="336" t="s">
        <v>3227</v>
      </c>
      <c r="C503" s="657" t="s">
        <v>159</v>
      </c>
      <c r="D503" s="483">
        <v>500</v>
      </c>
      <c r="E503" s="483">
        <v>525</v>
      </c>
      <c r="F503" s="483">
        <v>525</v>
      </c>
      <c r="G503" s="483">
        <v>525</v>
      </c>
      <c r="H503" s="483">
        <v>525</v>
      </c>
      <c r="I503" s="483">
        <v>525</v>
      </c>
      <c r="J503" s="483">
        <v>525</v>
      </c>
      <c r="K503" s="483">
        <v>525</v>
      </c>
      <c r="L503" s="334"/>
      <c r="P503" s="674">
        <f t="shared" si="326"/>
        <v>4175</v>
      </c>
    </row>
    <row r="504" spans="1:16" hidden="1" outlineLevel="1">
      <c r="A504" s="679" t="s">
        <v>3284</v>
      </c>
      <c r="B504" s="336" t="s">
        <v>3227</v>
      </c>
      <c r="C504" s="657" t="s">
        <v>159</v>
      </c>
      <c r="D504" s="483">
        <v>580</v>
      </c>
      <c r="E504" s="483">
        <v>605</v>
      </c>
      <c r="F504" s="483">
        <v>605</v>
      </c>
      <c r="G504" s="483">
        <v>44.67</v>
      </c>
      <c r="H504" s="483">
        <v>0</v>
      </c>
      <c r="I504" s="483">
        <v>0</v>
      </c>
      <c r="J504" s="483">
        <v>0</v>
      </c>
      <c r="K504" s="483">
        <v>0</v>
      </c>
      <c r="L504" s="334"/>
      <c r="M504" s="334"/>
      <c r="N504" s="334"/>
      <c r="O504" s="334"/>
      <c r="P504" s="674">
        <f t="shared" si="326"/>
        <v>1834.67</v>
      </c>
    </row>
    <row r="505" spans="1:16" hidden="1" outlineLevel="1">
      <c r="A505" s="670" t="s">
        <v>3285</v>
      </c>
      <c r="B505" s="336" t="s">
        <v>3227</v>
      </c>
      <c r="C505" s="657" t="s">
        <v>159</v>
      </c>
      <c r="D505" s="483">
        <v>600</v>
      </c>
      <c r="E505" s="483">
        <v>625</v>
      </c>
      <c r="F505" s="483">
        <v>625</v>
      </c>
      <c r="G505" s="483">
        <v>625</v>
      </c>
      <c r="H505" s="483">
        <v>625</v>
      </c>
      <c r="I505" s="483">
        <v>625</v>
      </c>
      <c r="J505" s="483">
        <v>625</v>
      </c>
      <c r="K505" s="483">
        <v>625</v>
      </c>
      <c r="L505" s="334"/>
      <c r="M505" s="334"/>
      <c r="N505" s="334"/>
      <c r="O505" s="334"/>
      <c r="P505" s="674">
        <f t="shared" si="326"/>
        <v>4975</v>
      </c>
    </row>
    <row r="506" spans="1:16" hidden="1" outlineLevel="1">
      <c r="A506" s="686" t="s">
        <v>3286</v>
      </c>
      <c r="B506" s="336" t="s">
        <v>3227</v>
      </c>
      <c r="C506" s="657" t="s">
        <v>159</v>
      </c>
      <c r="D506" s="483">
        <v>165</v>
      </c>
      <c r="E506" s="483">
        <v>475</v>
      </c>
      <c r="F506" s="483">
        <v>475</v>
      </c>
      <c r="G506" s="483">
        <v>475</v>
      </c>
      <c r="H506" s="483">
        <v>475</v>
      </c>
      <c r="I506" s="483">
        <v>475</v>
      </c>
      <c r="J506" s="483">
        <v>475</v>
      </c>
      <c r="K506" s="483">
        <v>475</v>
      </c>
      <c r="L506" s="334"/>
      <c r="P506" s="674">
        <f t="shared" si="326"/>
        <v>3490</v>
      </c>
    </row>
    <row r="507" spans="1:16" hidden="1" outlineLevel="1">
      <c r="A507" s="679" t="s">
        <v>3287</v>
      </c>
      <c r="B507" s="336" t="s">
        <v>243</v>
      </c>
      <c r="C507" s="657" t="s">
        <v>159</v>
      </c>
      <c r="D507" s="483">
        <v>0</v>
      </c>
      <c r="E507" s="483">
        <v>0</v>
      </c>
      <c r="F507" s="483">
        <v>206.21</v>
      </c>
      <c r="G507" s="483">
        <v>725</v>
      </c>
      <c r="H507" s="483">
        <v>725</v>
      </c>
      <c r="I507" s="483">
        <v>725</v>
      </c>
      <c r="J507" s="483">
        <v>725</v>
      </c>
      <c r="K507" s="483">
        <v>0</v>
      </c>
      <c r="L507" s="334"/>
      <c r="M507" s="334"/>
      <c r="N507" s="334"/>
      <c r="O507" s="334"/>
      <c r="P507" s="674">
        <f t="shared" si="326"/>
        <v>3106.21</v>
      </c>
    </row>
    <row r="508" spans="1:16" hidden="1" outlineLevel="1">
      <c r="A508" s="670" t="s">
        <v>3288</v>
      </c>
      <c r="B508" s="336" t="s">
        <v>3227</v>
      </c>
      <c r="C508" s="657" t="s">
        <v>2109</v>
      </c>
      <c r="D508" s="483">
        <v>597.5</v>
      </c>
      <c r="E508" s="483">
        <v>622.5</v>
      </c>
      <c r="F508" s="483">
        <v>622.5</v>
      </c>
      <c r="G508" s="483">
        <v>622.5</v>
      </c>
      <c r="H508" s="483">
        <v>622.5</v>
      </c>
      <c r="I508" s="483">
        <v>622.5</v>
      </c>
      <c r="J508" s="483">
        <v>622.5</v>
      </c>
      <c r="K508" s="483">
        <v>622.5</v>
      </c>
      <c r="L508" s="334"/>
      <c r="M508" s="334"/>
      <c r="N508" s="334"/>
      <c r="O508" s="334"/>
      <c r="P508" s="674">
        <f t="shared" si="326"/>
        <v>4955</v>
      </c>
    </row>
    <row r="509" spans="1:16" hidden="1" outlineLevel="1">
      <c r="A509" s="670" t="s">
        <v>3289</v>
      </c>
      <c r="B509" s="336" t="s">
        <v>3227</v>
      </c>
      <c r="C509" s="657" t="s">
        <v>2109</v>
      </c>
      <c r="D509" s="483">
        <v>800</v>
      </c>
      <c r="E509" s="483">
        <v>825</v>
      </c>
      <c r="F509" s="483">
        <v>825</v>
      </c>
      <c r="G509" s="483">
        <v>825</v>
      </c>
      <c r="H509" s="483">
        <v>825</v>
      </c>
      <c r="I509" s="483">
        <v>825</v>
      </c>
      <c r="J509" s="483">
        <v>825</v>
      </c>
      <c r="K509" s="483">
        <v>825</v>
      </c>
      <c r="L509" s="678"/>
      <c r="M509" s="678"/>
      <c r="N509" s="678"/>
      <c r="O509" s="678"/>
      <c r="P509" s="674">
        <f t="shared" si="326"/>
        <v>6575</v>
      </c>
    </row>
    <row r="510" spans="1:16" hidden="1" outlineLevel="1">
      <c r="A510" s="690" t="s">
        <v>1682</v>
      </c>
      <c r="B510" s="336" t="s">
        <v>3227</v>
      </c>
      <c r="C510" s="657" t="s">
        <v>2109</v>
      </c>
      <c r="D510" s="483">
        <v>650</v>
      </c>
      <c r="E510" s="483">
        <v>670</v>
      </c>
      <c r="F510" s="483">
        <v>775</v>
      </c>
      <c r="G510" s="483">
        <v>775</v>
      </c>
      <c r="H510" s="483">
        <v>775</v>
      </c>
      <c r="I510" s="483">
        <v>775</v>
      </c>
      <c r="J510" s="483">
        <v>775</v>
      </c>
      <c r="K510" s="483">
        <v>775</v>
      </c>
      <c r="L510" s="678"/>
      <c r="M510" s="678"/>
      <c r="N510" s="678"/>
      <c r="O510" s="678"/>
      <c r="P510" s="674">
        <f t="shared" si="326"/>
        <v>5970</v>
      </c>
    </row>
    <row r="511" spans="1:16" hidden="1" outlineLevel="1">
      <c r="A511" s="690" t="s">
        <v>3290</v>
      </c>
      <c r="B511" s="336" t="s">
        <v>3227</v>
      </c>
      <c r="C511" s="657" t="s">
        <v>964</v>
      </c>
      <c r="D511" s="483">
        <v>450</v>
      </c>
      <c r="E511" s="483">
        <v>475</v>
      </c>
      <c r="F511" s="483">
        <v>475</v>
      </c>
      <c r="G511" s="483">
        <v>475</v>
      </c>
      <c r="H511" s="483">
        <v>475</v>
      </c>
      <c r="I511" s="483">
        <v>475</v>
      </c>
      <c r="J511" s="483">
        <v>475</v>
      </c>
      <c r="K511" s="483">
        <v>475</v>
      </c>
      <c r="P511" s="674">
        <f t="shared" si="326"/>
        <v>3775</v>
      </c>
    </row>
    <row r="512" spans="1:16" hidden="1" outlineLevel="1">
      <c r="A512" s="690" t="s">
        <v>3291</v>
      </c>
      <c r="B512" s="336" t="s">
        <v>3227</v>
      </c>
      <c r="C512" s="657" t="s">
        <v>964</v>
      </c>
      <c r="D512" s="483">
        <v>450</v>
      </c>
      <c r="E512" s="483">
        <v>475</v>
      </c>
      <c r="F512" s="483">
        <v>475</v>
      </c>
      <c r="G512" s="483">
        <v>475</v>
      </c>
      <c r="H512" s="483">
        <v>525</v>
      </c>
      <c r="I512" s="483">
        <v>525</v>
      </c>
      <c r="J512" s="483">
        <v>525</v>
      </c>
      <c r="K512" s="483">
        <v>525</v>
      </c>
      <c r="L512" s="334"/>
      <c r="M512" s="334"/>
      <c r="N512" s="334"/>
      <c r="O512" s="334"/>
      <c r="P512" s="674">
        <f t="shared" si="326"/>
        <v>3975</v>
      </c>
    </row>
    <row r="513" spans="1:16" hidden="1" outlineLevel="1">
      <c r="A513" s="690" t="s">
        <v>3292</v>
      </c>
      <c r="B513" s="336" t="s">
        <v>3227</v>
      </c>
      <c r="C513" s="657" t="s">
        <v>964</v>
      </c>
      <c r="D513" s="483">
        <v>476</v>
      </c>
      <c r="E513" s="483">
        <v>501</v>
      </c>
      <c r="F513" s="483">
        <v>501</v>
      </c>
      <c r="G513" s="483">
        <v>501</v>
      </c>
      <c r="H513" s="483">
        <v>501</v>
      </c>
      <c r="I513" s="483">
        <v>501</v>
      </c>
      <c r="J513" s="483">
        <v>501</v>
      </c>
      <c r="K513" s="483">
        <v>501</v>
      </c>
      <c r="P513" s="674">
        <f t="shared" si="326"/>
        <v>3983</v>
      </c>
    </row>
    <row r="514" spans="1:16" hidden="1" outlineLevel="1">
      <c r="A514" s="690" t="s">
        <v>3293</v>
      </c>
      <c r="B514" s="336" t="s">
        <v>3227</v>
      </c>
      <c r="C514" s="657" t="s">
        <v>964</v>
      </c>
      <c r="D514" s="483">
        <v>450</v>
      </c>
      <c r="E514" s="483">
        <v>475</v>
      </c>
      <c r="F514" s="483">
        <v>475</v>
      </c>
      <c r="G514" s="483">
        <v>475</v>
      </c>
      <c r="H514" s="483">
        <v>475</v>
      </c>
      <c r="I514" s="483">
        <v>475</v>
      </c>
      <c r="J514" s="483">
        <v>475</v>
      </c>
      <c r="K514" s="483">
        <v>475</v>
      </c>
      <c r="L514" s="334"/>
      <c r="M514" s="334"/>
      <c r="N514" s="334"/>
      <c r="O514" s="334"/>
      <c r="P514" s="674">
        <f t="shared" si="326"/>
        <v>3775</v>
      </c>
    </row>
    <row r="515" spans="1:16" hidden="1" outlineLevel="1">
      <c r="A515" s="690" t="s">
        <v>3294</v>
      </c>
      <c r="B515" s="336" t="s">
        <v>3227</v>
      </c>
      <c r="C515" s="657" t="s">
        <v>964</v>
      </c>
      <c r="D515" s="483">
        <v>500</v>
      </c>
      <c r="E515" s="483">
        <v>525</v>
      </c>
      <c r="F515" s="483">
        <v>525</v>
      </c>
      <c r="G515" s="483">
        <v>525</v>
      </c>
      <c r="H515" s="483">
        <v>525</v>
      </c>
      <c r="I515" s="483">
        <v>525</v>
      </c>
      <c r="J515" s="483">
        <v>525</v>
      </c>
      <c r="K515" s="483">
        <v>525</v>
      </c>
      <c r="L515" s="334"/>
      <c r="M515" s="334"/>
      <c r="N515" s="334"/>
      <c r="O515" s="334"/>
      <c r="P515" s="674">
        <f t="shared" si="326"/>
        <v>4175</v>
      </c>
    </row>
    <row r="516" spans="1:16">
      <c r="C516" s="695"/>
      <c r="D516" s="703"/>
      <c r="E516" s="703"/>
      <c r="P516" s="685"/>
    </row>
    <row r="517" spans="1:16" ht="19.5">
      <c r="A517" s="659" t="s">
        <v>79</v>
      </c>
      <c r="B517" s="704"/>
      <c r="C517" s="660" t="str">
        <f>$C$1</f>
        <v>TI</v>
      </c>
      <c r="D517" s="661">
        <f t="shared" ref="D517:P517" si="327">SUMIF($C520:$C600,$C517,D520:D600)</f>
        <v>690</v>
      </c>
      <c r="E517" s="661">
        <f t="shared" si="327"/>
        <v>690</v>
      </c>
      <c r="F517" s="661">
        <f t="shared" si="327"/>
        <v>690</v>
      </c>
      <c r="G517" s="661">
        <f t="shared" si="327"/>
        <v>690</v>
      </c>
      <c r="H517" s="661">
        <f t="shared" si="327"/>
        <v>690</v>
      </c>
      <c r="I517" s="661">
        <f t="shared" si="327"/>
        <v>690</v>
      </c>
      <c r="J517" s="661">
        <f t="shared" si="327"/>
        <v>690</v>
      </c>
      <c r="K517" s="661">
        <f t="shared" si="327"/>
        <v>690</v>
      </c>
      <c r="L517" s="661">
        <f t="shared" si="327"/>
        <v>0</v>
      </c>
      <c r="M517" s="661">
        <f t="shared" si="327"/>
        <v>0</v>
      </c>
      <c r="N517" s="661">
        <f t="shared" si="327"/>
        <v>0</v>
      </c>
      <c r="O517" s="661">
        <f t="shared" si="327"/>
        <v>0</v>
      </c>
      <c r="P517" s="661">
        <f t="shared" si="327"/>
        <v>5520</v>
      </c>
    </row>
    <row r="518" spans="1:16" ht="30">
      <c r="A518" s="662" t="s">
        <v>3222</v>
      </c>
      <c r="B518" s="663" t="s">
        <v>3223</v>
      </c>
      <c r="C518" s="664" t="s">
        <v>135</v>
      </c>
      <c r="D518" s="705" t="s">
        <v>0</v>
      </c>
      <c r="E518" s="705" t="s">
        <v>1</v>
      </c>
      <c r="F518" s="662" t="s">
        <v>2</v>
      </c>
      <c r="G518" s="662" t="s">
        <v>3</v>
      </c>
      <c r="H518" s="662" t="s">
        <v>4</v>
      </c>
      <c r="I518" s="662" t="s">
        <v>5</v>
      </c>
      <c r="J518" s="662" t="s">
        <v>6</v>
      </c>
      <c r="K518" s="662" t="s">
        <v>7</v>
      </c>
      <c r="L518" s="662" t="s">
        <v>8</v>
      </c>
      <c r="M518" s="662" t="s">
        <v>9</v>
      </c>
      <c r="N518" s="662" t="s">
        <v>10</v>
      </c>
      <c r="O518" s="662" t="s">
        <v>11</v>
      </c>
      <c r="P518" s="666" t="s">
        <v>3199</v>
      </c>
    </row>
    <row r="519" spans="1:16" collapsed="1">
      <c r="A519" s="667" t="s">
        <v>3199</v>
      </c>
      <c r="B519" s="667"/>
      <c r="C519" s="668"/>
      <c r="D519" s="701">
        <f t="shared" ref="D519:P519" si="328">SUBTOTAL(9,D520:D600)</f>
        <v>3690</v>
      </c>
      <c r="E519" s="701">
        <f t="shared" si="328"/>
        <v>3540</v>
      </c>
      <c r="F519" s="701">
        <f t="shared" si="328"/>
        <v>3540</v>
      </c>
      <c r="G519" s="701">
        <f t="shared" si="328"/>
        <v>3540</v>
      </c>
      <c r="H519" s="701">
        <f t="shared" si="328"/>
        <v>3240</v>
      </c>
      <c r="I519" s="701">
        <f t="shared" si="328"/>
        <v>3390</v>
      </c>
      <c r="J519" s="701">
        <f t="shared" si="328"/>
        <v>3390</v>
      </c>
      <c r="K519" s="701">
        <f t="shared" si="328"/>
        <v>3390</v>
      </c>
      <c r="L519" s="701">
        <f t="shared" si="328"/>
        <v>0</v>
      </c>
      <c r="M519" s="701">
        <f t="shared" si="328"/>
        <v>0</v>
      </c>
      <c r="N519" s="701">
        <f t="shared" si="328"/>
        <v>0</v>
      </c>
      <c r="O519" s="701">
        <f t="shared" si="328"/>
        <v>0</v>
      </c>
      <c r="P519" s="701">
        <f t="shared" si="328"/>
        <v>27720</v>
      </c>
    </row>
    <row r="520" spans="1:16" hidden="1" outlineLevel="1">
      <c r="A520" s="670" t="s">
        <v>3224</v>
      </c>
      <c r="B520" s="336" t="s">
        <v>243</v>
      </c>
      <c r="C520" s="657" t="s">
        <v>192</v>
      </c>
      <c r="D520" s="702">
        <v>0</v>
      </c>
      <c r="E520" s="702">
        <v>0</v>
      </c>
      <c r="F520" s="702">
        <v>0</v>
      </c>
      <c r="G520" s="702">
        <v>0</v>
      </c>
      <c r="H520" s="702">
        <v>0</v>
      </c>
      <c r="I520" s="702">
        <v>0</v>
      </c>
      <c r="J520" s="702">
        <v>0</v>
      </c>
      <c r="K520" s="702">
        <v>0</v>
      </c>
      <c r="L520" s="702"/>
      <c r="M520" s="702"/>
      <c r="N520" s="702"/>
      <c r="O520" s="702"/>
      <c r="P520" s="674">
        <f t="shared" ref="P520:P545" si="329">SUM(D520:O520)</f>
        <v>0</v>
      </c>
    </row>
    <row r="521" spans="1:16" hidden="1" outlineLevel="1">
      <c r="A521" s="670" t="s">
        <v>3225</v>
      </c>
      <c r="B521" s="336" t="s">
        <v>243</v>
      </c>
      <c r="C521" s="657" t="s">
        <v>192</v>
      </c>
      <c r="D521" s="702">
        <v>150</v>
      </c>
      <c r="E521" s="702">
        <v>150</v>
      </c>
      <c r="F521" s="702">
        <v>150</v>
      </c>
      <c r="G521" s="483">
        <v>150</v>
      </c>
      <c r="H521" s="483">
        <v>150</v>
      </c>
      <c r="I521" s="483">
        <v>150</v>
      </c>
      <c r="J521" s="483">
        <v>150</v>
      </c>
      <c r="K521" s="483">
        <v>150</v>
      </c>
      <c r="L521" s="483"/>
      <c r="M521" s="483"/>
      <c r="N521" s="483"/>
      <c r="O521" s="483"/>
      <c r="P521" s="674">
        <f t="shared" si="329"/>
        <v>1200</v>
      </c>
    </row>
    <row r="522" spans="1:16" hidden="1" outlineLevel="1">
      <c r="A522" s="670" t="s">
        <v>3226</v>
      </c>
      <c r="B522" s="336" t="s">
        <v>3227</v>
      </c>
      <c r="C522" s="657" t="s">
        <v>192</v>
      </c>
      <c r="D522" s="702">
        <v>150</v>
      </c>
      <c r="E522" s="702">
        <v>150</v>
      </c>
      <c r="F522" s="702">
        <v>150</v>
      </c>
      <c r="G522" s="483">
        <v>150</v>
      </c>
      <c r="H522" s="483">
        <v>150</v>
      </c>
      <c r="I522" s="483">
        <v>150</v>
      </c>
      <c r="J522" s="483">
        <v>150</v>
      </c>
      <c r="K522" s="483">
        <v>150</v>
      </c>
      <c r="L522" s="483"/>
      <c r="M522" s="483"/>
      <c r="N522" s="483"/>
      <c r="O522" s="483"/>
      <c r="P522" s="674">
        <f t="shared" si="329"/>
        <v>1200</v>
      </c>
    </row>
    <row r="523" spans="1:16" hidden="1" outlineLevel="1">
      <c r="A523" s="670" t="s">
        <v>3228</v>
      </c>
      <c r="B523" s="336" t="s">
        <v>243</v>
      </c>
      <c r="C523" s="657" t="s">
        <v>192</v>
      </c>
      <c r="D523" s="702">
        <v>150</v>
      </c>
      <c r="E523" s="702">
        <v>150</v>
      </c>
      <c r="F523" s="702">
        <v>150</v>
      </c>
      <c r="G523" s="483">
        <v>150</v>
      </c>
      <c r="H523" s="702">
        <v>150</v>
      </c>
      <c r="I523" s="702">
        <v>150</v>
      </c>
      <c r="J523" s="702">
        <v>150</v>
      </c>
      <c r="K523" s="702">
        <v>150</v>
      </c>
      <c r="L523" s="702"/>
      <c r="M523" s="702"/>
      <c r="N523" s="702"/>
      <c r="O523" s="702"/>
      <c r="P523" s="674">
        <f t="shared" si="329"/>
        <v>1200</v>
      </c>
    </row>
    <row r="524" spans="1:16" hidden="1" outlineLevel="1">
      <c r="A524" s="679" t="s">
        <v>3229</v>
      </c>
      <c r="B524" s="336" t="s">
        <v>243</v>
      </c>
      <c r="C524" s="657" t="s">
        <v>192</v>
      </c>
      <c r="D524" s="702">
        <v>150</v>
      </c>
      <c r="E524" s="702">
        <v>150</v>
      </c>
      <c r="F524" s="702">
        <v>150</v>
      </c>
      <c r="G524" s="483">
        <v>150</v>
      </c>
      <c r="H524" s="483">
        <v>0</v>
      </c>
      <c r="I524" s="483">
        <v>0</v>
      </c>
      <c r="J524" s="483">
        <v>0</v>
      </c>
      <c r="K524" s="483">
        <v>0</v>
      </c>
      <c r="L524" s="483"/>
      <c r="M524" s="483"/>
      <c r="N524" s="483"/>
      <c r="O524" s="483"/>
      <c r="P524" s="674">
        <f t="shared" si="329"/>
        <v>600</v>
      </c>
    </row>
    <row r="525" spans="1:16" hidden="1" outlineLevel="1">
      <c r="A525" s="670" t="s">
        <v>3230</v>
      </c>
      <c r="B525" s="336" t="s">
        <v>243</v>
      </c>
      <c r="C525" s="657" t="s">
        <v>192</v>
      </c>
      <c r="D525" s="702">
        <v>0</v>
      </c>
      <c r="E525" s="702">
        <v>0</v>
      </c>
      <c r="F525" s="702">
        <v>0</v>
      </c>
      <c r="G525" s="702">
        <v>0</v>
      </c>
      <c r="H525" s="483">
        <v>0</v>
      </c>
      <c r="I525" s="483">
        <v>0</v>
      </c>
      <c r="J525" s="483">
        <v>0</v>
      </c>
      <c r="K525" s="483">
        <v>0</v>
      </c>
      <c r="L525" s="483"/>
      <c r="M525" s="483"/>
      <c r="N525" s="483"/>
      <c r="O525" s="483"/>
      <c r="P525" s="674">
        <f t="shared" si="329"/>
        <v>0</v>
      </c>
    </row>
    <row r="526" spans="1:16" hidden="1" outlineLevel="1">
      <c r="A526" s="670" t="s">
        <v>3231</v>
      </c>
      <c r="B526" s="336" t="s">
        <v>243</v>
      </c>
      <c r="C526" s="657" t="s">
        <v>192</v>
      </c>
      <c r="D526" s="702">
        <v>0</v>
      </c>
      <c r="E526" s="702">
        <v>0</v>
      </c>
      <c r="F526" s="702">
        <v>0</v>
      </c>
      <c r="G526" s="702">
        <v>0</v>
      </c>
      <c r="H526" s="702">
        <v>0</v>
      </c>
      <c r="I526" s="702">
        <v>0</v>
      </c>
      <c r="J526" s="702">
        <v>0</v>
      </c>
      <c r="K526" s="702">
        <v>0</v>
      </c>
      <c r="L526" s="702"/>
      <c r="M526" s="702"/>
      <c r="N526" s="702"/>
      <c r="O526" s="702"/>
      <c r="P526" s="674">
        <f t="shared" si="329"/>
        <v>0</v>
      </c>
    </row>
    <row r="527" spans="1:16" hidden="1" outlineLevel="1">
      <c r="A527" s="670" t="s">
        <v>3232</v>
      </c>
      <c r="B527" s="336" t="s">
        <v>243</v>
      </c>
      <c r="C527" s="657" t="s">
        <v>192</v>
      </c>
      <c r="D527" s="702">
        <v>150</v>
      </c>
      <c r="E527" s="702">
        <v>150</v>
      </c>
      <c r="F527" s="702">
        <v>150</v>
      </c>
      <c r="G527" s="702">
        <v>150</v>
      </c>
      <c r="H527" s="702">
        <v>150</v>
      </c>
      <c r="I527" s="702">
        <v>150</v>
      </c>
      <c r="J527" s="702">
        <v>150</v>
      </c>
      <c r="K527" s="702">
        <v>150</v>
      </c>
      <c r="L527" s="702"/>
      <c r="M527" s="702"/>
      <c r="N527" s="702"/>
      <c r="O527" s="702"/>
      <c r="P527" s="674">
        <f t="shared" si="329"/>
        <v>1200</v>
      </c>
    </row>
    <row r="528" spans="1:16" hidden="1" outlineLevel="1">
      <c r="A528" s="670" t="s">
        <v>190</v>
      </c>
      <c r="B528" s="336" t="s">
        <v>243</v>
      </c>
      <c r="C528" s="657" t="s">
        <v>192</v>
      </c>
      <c r="D528" s="702">
        <v>0</v>
      </c>
      <c r="E528" s="702">
        <v>0</v>
      </c>
      <c r="F528" s="702">
        <v>0</v>
      </c>
      <c r="G528" s="702">
        <v>0</v>
      </c>
      <c r="H528" s="483">
        <v>0</v>
      </c>
      <c r="I528" s="483">
        <v>0</v>
      </c>
      <c r="J528" s="483">
        <v>0</v>
      </c>
      <c r="K528" s="483">
        <v>0</v>
      </c>
      <c r="L528" s="483"/>
      <c r="M528" s="483"/>
      <c r="N528" s="483"/>
      <c r="O528" s="483"/>
      <c r="P528" s="674">
        <f t="shared" si="329"/>
        <v>0</v>
      </c>
    </row>
    <row r="529" spans="1:16" hidden="1" outlineLevel="1">
      <c r="A529" s="670" t="s">
        <v>3233</v>
      </c>
      <c r="B529" s="336" t="s">
        <v>243</v>
      </c>
      <c r="C529" s="657" t="s">
        <v>192</v>
      </c>
      <c r="D529" s="702">
        <v>150</v>
      </c>
      <c r="E529" s="702">
        <v>150</v>
      </c>
      <c r="F529" s="702">
        <v>150</v>
      </c>
      <c r="G529" s="483">
        <v>150</v>
      </c>
      <c r="H529" s="483">
        <v>150</v>
      </c>
      <c r="I529" s="483">
        <v>150</v>
      </c>
      <c r="J529" s="483">
        <v>150</v>
      </c>
      <c r="K529" s="483">
        <v>150</v>
      </c>
      <c r="L529" s="483"/>
      <c r="M529" s="483"/>
      <c r="N529" s="483"/>
      <c r="O529" s="483"/>
      <c r="P529" s="674">
        <f t="shared" si="329"/>
        <v>1200</v>
      </c>
    </row>
    <row r="530" spans="1:16" hidden="1" outlineLevel="1">
      <c r="A530" s="670" t="s">
        <v>224</v>
      </c>
      <c r="B530" s="336" t="s">
        <v>243</v>
      </c>
      <c r="C530" s="657" t="s">
        <v>192</v>
      </c>
      <c r="D530" s="702">
        <v>150</v>
      </c>
      <c r="E530" s="702">
        <v>150</v>
      </c>
      <c r="F530" s="702">
        <v>150</v>
      </c>
      <c r="G530" s="702">
        <v>150</v>
      </c>
      <c r="H530" s="702">
        <v>150</v>
      </c>
      <c r="I530" s="702">
        <v>150</v>
      </c>
      <c r="J530" s="702">
        <v>150</v>
      </c>
      <c r="K530" s="702">
        <v>150</v>
      </c>
      <c r="L530" s="702"/>
      <c r="M530" s="702"/>
      <c r="N530" s="702"/>
      <c r="O530" s="702"/>
      <c r="P530" s="674">
        <f t="shared" si="329"/>
        <v>1200</v>
      </c>
    </row>
    <row r="531" spans="1:16" hidden="1" outlineLevel="1">
      <c r="A531" s="670" t="s">
        <v>3234</v>
      </c>
      <c r="B531" s="336" t="s">
        <v>243</v>
      </c>
      <c r="C531" s="657" t="s">
        <v>3235</v>
      </c>
      <c r="D531" s="702">
        <v>150</v>
      </c>
      <c r="E531" s="702">
        <v>150</v>
      </c>
      <c r="F531" s="702">
        <v>150</v>
      </c>
      <c r="G531" s="483">
        <v>150</v>
      </c>
      <c r="H531" s="483">
        <v>150</v>
      </c>
      <c r="I531" s="483">
        <v>150</v>
      </c>
      <c r="J531" s="483">
        <v>150</v>
      </c>
      <c r="K531" s="483">
        <v>150</v>
      </c>
      <c r="L531" s="483"/>
      <c r="M531" s="483"/>
      <c r="N531" s="483"/>
      <c r="O531" s="483"/>
      <c r="P531" s="674">
        <f t="shared" si="329"/>
        <v>1200</v>
      </c>
    </row>
    <row r="532" spans="1:16" hidden="1" outlineLevel="1">
      <c r="A532" s="679" t="s">
        <v>3236</v>
      </c>
      <c r="B532" s="336" t="s">
        <v>3227</v>
      </c>
      <c r="C532" s="657" t="s">
        <v>3235</v>
      </c>
      <c r="D532" s="702">
        <v>150</v>
      </c>
      <c r="E532" s="702">
        <v>150</v>
      </c>
      <c r="F532" s="702">
        <v>150</v>
      </c>
      <c r="G532" s="483">
        <v>150</v>
      </c>
      <c r="H532" s="483">
        <v>0</v>
      </c>
      <c r="I532" s="483">
        <v>0</v>
      </c>
      <c r="J532" s="483">
        <v>0</v>
      </c>
      <c r="K532" s="483">
        <v>0</v>
      </c>
      <c r="L532" s="483"/>
      <c r="M532" s="483"/>
      <c r="N532" s="483"/>
      <c r="O532" s="483"/>
      <c r="P532" s="674">
        <f t="shared" si="329"/>
        <v>600</v>
      </c>
    </row>
    <row r="533" spans="1:16" hidden="1" outlineLevel="1">
      <c r="A533" s="670" t="s">
        <v>3237</v>
      </c>
      <c r="B533" s="336" t="s">
        <v>243</v>
      </c>
      <c r="C533" s="657" t="s">
        <v>3235</v>
      </c>
      <c r="D533" s="702">
        <v>150</v>
      </c>
      <c r="E533" s="702">
        <v>150</v>
      </c>
      <c r="F533" s="702">
        <v>150</v>
      </c>
      <c r="G533" s="702">
        <v>150</v>
      </c>
      <c r="H533" s="483">
        <v>150</v>
      </c>
      <c r="I533" s="483">
        <v>150</v>
      </c>
      <c r="J533" s="483">
        <v>150</v>
      </c>
      <c r="K533" s="483">
        <v>150</v>
      </c>
      <c r="L533" s="483"/>
      <c r="M533" s="483"/>
      <c r="N533" s="483"/>
      <c r="O533" s="483"/>
      <c r="P533" s="674">
        <f t="shared" si="329"/>
        <v>1200</v>
      </c>
    </row>
    <row r="534" spans="1:16" hidden="1" outlineLevel="1">
      <c r="A534" s="682" t="s">
        <v>3238</v>
      </c>
      <c r="B534" s="336" t="s">
        <v>3227</v>
      </c>
      <c r="C534" s="657" t="s">
        <v>3235</v>
      </c>
      <c r="D534" s="702">
        <v>150</v>
      </c>
      <c r="E534" s="702">
        <v>150</v>
      </c>
      <c r="F534" s="702">
        <v>150</v>
      </c>
      <c r="G534" s="702">
        <v>150</v>
      </c>
      <c r="H534" s="702">
        <v>150</v>
      </c>
      <c r="I534" s="702">
        <v>150</v>
      </c>
      <c r="J534" s="702">
        <v>150</v>
      </c>
      <c r="K534" s="702">
        <v>150</v>
      </c>
      <c r="L534" s="702"/>
      <c r="M534" s="702"/>
      <c r="N534" s="702"/>
      <c r="O534" s="702"/>
      <c r="P534" s="674">
        <f t="shared" si="329"/>
        <v>1200</v>
      </c>
    </row>
    <row r="535" spans="1:16" hidden="1" outlineLevel="1">
      <c r="A535" s="670" t="s">
        <v>3239</v>
      </c>
      <c r="B535" s="336" t="s">
        <v>243</v>
      </c>
      <c r="C535" s="657" t="s">
        <v>3235</v>
      </c>
      <c r="D535" s="702">
        <v>150</v>
      </c>
      <c r="E535" s="702">
        <v>150</v>
      </c>
      <c r="F535" s="702">
        <v>150</v>
      </c>
      <c r="G535" s="702">
        <v>150</v>
      </c>
      <c r="H535" s="702">
        <v>150</v>
      </c>
      <c r="I535" s="702">
        <v>150</v>
      </c>
      <c r="J535" s="702">
        <v>150</v>
      </c>
      <c r="K535" s="702">
        <v>150</v>
      </c>
      <c r="L535" s="702"/>
      <c r="M535" s="702"/>
      <c r="N535" s="702"/>
      <c r="O535" s="702"/>
      <c r="P535" s="674">
        <f t="shared" si="329"/>
        <v>1200</v>
      </c>
    </row>
    <row r="536" spans="1:16" hidden="1" outlineLevel="1">
      <c r="A536" s="682" t="s">
        <v>3240</v>
      </c>
      <c r="B536" s="336" t="s">
        <v>3227</v>
      </c>
      <c r="C536" s="657" t="s">
        <v>3235</v>
      </c>
      <c r="D536" s="702">
        <v>150</v>
      </c>
      <c r="E536" s="702">
        <v>150</v>
      </c>
      <c r="F536" s="702">
        <v>150</v>
      </c>
      <c r="G536" s="702">
        <v>150</v>
      </c>
      <c r="H536" s="702">
        <v>150</v>
      </c>
      <c r="I536" s="702">
        <v>150</v>
      </c>
      <c r="J536" s="702">
        <v>150</v>
      </c>
      <c r="K536" s="702">
        <v>150</v>
      </c>
      <c r="L536" s="702"/>
      <c r="M536" s="702"/>
      <c r="N536" s="702"/>
      <c r="O536" s="702"/>
      <c r="P536" s="674">
        <f t="shared" si="329"/>
        <v>1200</v>
      </c>
    </row>
    <row r="537" spans="1:16" hidden="1" outlineLevel="1">
      <c r="A537" s="682" t="s">
        <v>3241</v>
      </c>
      <c r="B537" s="336" t="s">
        <v>3227</v>
      </c>
      <c r="C537" s="657" t="s">
        <v>3235</v>
      </c>
      <c r="D537" s="702">
        <v>150</v>
      </c>
      <c r="E537" s="702">
        <v>150</v>
      </c>
      <c r="F537" s="702">
        <v>150</v>
      </c>
      <c r="G537" s="702">
        <v>150</v>
      </c>
      <c r="H537" s="702">
        <v>150</v>
      </c>
      <c r="I537" s="702">
        <v>150</v>
      </c>
      <c r="J537" s="702">
        <v>150</v>
      </c>
      <c r="K537" s="702">
        <v>150</v>
      </c>
      <c r="L537" s="702"/>
      <c r="M537" s="702"/>
      <c r="N537" s="702"/>
      <c r="O537" s="702"/>
      <c r="P537" s="674">
        <f t="shared" si="329"/>
        <v>1200</v>
      </c>
    </row>
    <row r="538" spans="1:16" hidden="1" outlineLevel="1">
      <c r="A538" s="682" t="s">
        <v>3242</v>
      </c>
      <c r="B538" s="336" t="s">
        <v>3227</v>
      </c>
      <c r="C538" s="657" t="s">
        <v>3235</v>
      </c>
      <c r="D538" s="702">
        <v>150</v>
      </c>
      <c r="E538" s="702">
        <v>150</v>
      </c>
      <c r="F538" s="702">
        <v>150</v>
      </c>
      <c r="G538" s="702">
        <v>150</v>
      </c>
      <c r="H538" s="702">
        <v>150</v>
      </c>
      <c r="I538" s="702">
        <v>150</v>
      </c>
      <c r="J538" s="702">
        <v>150</v>
      </c>
      <c r="K538" s="702">
        <v>150</v>
      </c>
      <c r="L538" s="702"/>
      <c r="M538" s="702"/>
      <c r="N538" s="702"/>
      <c r="O538" s="702"/>
      <c r="P538" s="674">
        <f t="shared" si="329"/>
        <v>1200</v>
      </c>
    </row>
    <row r="539" spans="1:16" hidden="1" outlineLevel="1">
      <c r="A539" s="683" t="s">
        <v>3243</v>
      </c>
      <c r="B539" s="336" t="s">
        <v>243</v>
      </c>
      <c r="C539" s="657" t="s">
        <v>3235</v>
      </c>
      <c r="D539" s="702">
        <v>0</v>
      </c>
      <c r="E539" s="702">
        <v>0</v>
      </c>
      <c r="F539" s="702">
        <v>0</v>
      </c>
      <c r="G539" s="702">
        <v>0</v>
      </c>
      <c r="H539" s="702">
        <v>0</v>
      </c>
      <c r="I539" s="702">
        <v>0</v>
      </c>
      <c r="J539" s="702">
        <v>0</v>
      </c>
      <c r="K539" s="702">
        <v>0</v>
      </c>
      <c r="L539" s="702"/>
      <c r="M539" s="702"/>
      <c r="N539" s="702"/>
      <c r="O539" s="702"/>
      <c r="P539" s="674">
        <f t="shared" si="329"/>
        <v>0</v>
      </c>
    </row>
    <row r="540" spans="1:16" hidden="1" outlineLevel="1">
      <c r="A540" s="670" t="s">
        <v>3244</v>
      </c>
      <c r="B540" s="336" t="s">
        <v>3227</v>
      </c>
      <c r="C540" s="657" t="s">
        <v>476</v>
      </c>
      <c r="D540" s="702">
        <v>0</v>
      </c>
      <c r="E540" s="702">
        <v>0</v>
      </c>
      <c r="F540" s="702">
        <v>0</v>
      </c>
      <c r="G540" s="702">
        <v>0</v>
      </c>
      <c r="H540" s="702">
        <v>0</v>
      </c>
      <c r="I540" s="702">
        <v>0</v>
      </c>
      <c r="J540" s="702">
        <v>0</v>
      </c>
      <c r="K540" s="702">
        <v>0</v>
      </c>
      <c r="L540" s="702"/>
      <c r="M540" s="702"/>
      <c r="N540" s="702"/>
      <c r="O540" s="702"/>
      <c r="P540" s="674">
        <f t="shared" si="329"/>
        <v>0</v>
      </c>
    </row>
    <row r="541" spans="1:16" hidden="1" outlineLevel="1">
      <c r="A541" s="670" t="s">
        <v>3245</v>
      </c>
      <c r="B541" s="336" t="s">
        <v>3227</v>
      </c>
      <c r="C541" s="657" t="s">
        <v>476</v>
      </c>
      <c r="D541" s="702">
        <v>0</v>
      </c>
      <c r="E541" s="702">
        <v>0</v>
      </c>
      <c r="F541" s="702">
        <v>0</v>
      </c>
      <c r="G541" s="702">
        <v>0</v>
      </c>
      <c r="H541" s="702">
        <v>0</v>
      </c>
      <c r="I541" s="702">
        <v>0</v>
      </c>
      <c r="J541" s="702">
        <v>0</v>
      </c>
      <c r="K541" s="702">
        <v>0</v>
      </c>
      <c r="L541" s="702"/>
      <c r="M541" s="702"/>
      <c r="N541" s="702"/>
      <c r="O541" s="702"/>
      <c r="P541" s="674">
        <f t="shared" si="329"/>
        <v>0</v>
      </c>
    </row>
    <row r="542" spans="1:16" hidden="1" outlineLevel="1">
      <c r="A542" s="670" t="s">
        <v>3246</v>
      </c>
      <c r="B542" s="336" t="s">
        <v>3227</v>
      </c>
      <c r="C542" s="657" t="s">
        <v>476</v>
      </c>
      <c r="D542" s="702">
        <v>0</v>
      </c>
      <c r="E542" s="702">
        <v>0</v>
      </c>
      <c r="F542" s="702">
        <v>0</v>
      </c>
      <c r="G542" s="702">
        <v>0</v>
      </c>
      <c r="H542" s="702">
        <v>0</v>
      </c>
      <c r="I542" s="702">
        <v>0</v>
      </c>
      <c r="J542" s="702">
        <v>0</v>
      </c>
      <c r="K542" s="702">
        <v>0</v>
      </c>
      <c r="L542" s="702"/>
      <c r="M542" s="702"/>
      <c r="N542" s="702"/>
      <c r="O542" s="702"/>
      <c r="P542" s="674">
        <f t="shared" si="329"/>
        <v>0</v>
      </c>
    </row>
    <row r="543" spans="1:16" hidden="1" outlineLevel="1">
      <c r="A543" s="670" t="s">
        <v>3247</v>
      </c>
      <c r="B543" s="336" t="s">
        <v>3227</v>
      </c>
      <c r="C543" s="657" t="s">
        <v>476</v>
      </c>
      <c r="D543" s="702">
        <v>0</v>
      </c>
      <c r="E543" s="702">
        <v>0</v>
      </c>
      <c r="F543" s="702">
        <v>0</v>
      </c>
      <c r="G543" s="702">
        <v>0</v>
      </c>
      <c r="H543" s="702">
        <v>0</v>
      </c>
      <c r="I543" s="702">
        <v>0</v>
      </c>
      <c r="J543" s="702">
        <v>0</v>
      </c>
      <c r="K543" s="702">
        <v>0</v>
      </c>
      <c r="L543" s="702"/>
      <c r="M543" s="702"/>
      <c r="N543" s="702"/>
      <c r="O543" s="702"/>
      <c r="P543" s="674">
        <f t="shared" si="329"/>
        <v>0</v>
      </c>
    </row>
    <row r="544" spans="1:16" hidden="1" outlineLevel="1">
      <c r="A544" s="679" t="s">
        <v>3248</v>
      </c>
      <c r="B544" s="336" t="s">
        <v>3227</v>
      </c>
      <c r="C544" s="657" t="s">
        <v>476</v>
      </c>
      <c r="D544" s="702">
        <v>0</v>
      </c>
      <c r="E544" s="702">
        <v>0</v>
      </c>
      <c r="F544" s="702">
        <v>0</v>
      </c>
      <c r="G544" s="702">
        <v>0</v>
      </c>
      <c r="H544" s="702">
        <v>0</v>
      </c>
      <c r="I544" s="702">
        <v>0</v>
      </c>
      <c r="J544" s="702">
        <v>0</v>
      </c>
      <c r="K544" s="702">
        <v>0</v>
      </c>
      <c r="L544" s="702"/>
      <c r="M544" s="702"/>
      <c r="N544" s="702"/>
      <c r="O544" s="702"/>
      <c r="P544" s="674">
        <f t="shared" si="329"/>
        <v>0</v>
      </c>
    </row>
    <row r="545" spans="1:16" hidden="1" outlineLevel="1">
      <c r="A545" s="679" t="s">
        <v>3249</v>
      </c>
      <c r="B545" s="336" t="s">
        <v>3227</v>
      </c>
      <c r="C545" s="657" t="s">
        <v>476</v>
      </c>
      <c r="D545" s="702">
        <v>0</v>
      </c>
      <c r="E545" s="702">
        <v>0</v>
      </c>
      <c r="F545" s="702">
        <v>0</v>
      </c>
      <c r="G545" s="702">
        <v>0</v>
      </c>
      <c r="H545" s="702">
        <v>0</v>
      </c>
      <c r="I545" s="702">
        <v>0</v>
      </c>
      <c r="J545" s="702">
        <v>0</v>
      </c>
      <c r="K545" s="702">
        <v>0</v>
      </c>
      <c r="L545" s="702"/>
      <c r="M545" s="702"/>
      <c r="N545" s="702"/>
      <c r="O545" s="702"/>
      <c r="P545" s="674">
        <f t="shared" si="329"/>
        <v>0</v>
      </c>
    </row>
    <row r="546" spans="1:16" hidden="1" outlineLevel="1">
      <c r="A546" s="686" t="s">
        <v>3250</v>
      </c>
      <c r="B546" s="336" t="s">
        <v>3227</v>
      </c>
      <c r="C546" s="657" t="s">
        <v>476</v>
      </c>
      <c r="D546" s="702">
        <v>0</v>
      </c>
      <c r="E546" s="702">
        <v>0</v>
      </c>
      <c r="F546" s="702">
        <v>0</v>
      </c>
      <c r="G546" s="702">
        <v>0</v>
      </c>
      <c r="H546" s="702">
        <v>0</v>
      </c>
      <c r="I546" s="702">
        <v>0</v>
      </c>
      <c r="J546" s="702">
        <v>0</v>
      </c>
      <c r="K546" s="702">
        <v>0</v>
      </c>
      <c r="L546" s="702"/>
      <c r="M546" s="702"/>
      <c r="N546" s="702"/>
      <c r="O546" s="702"/>
      <c r="P546" s="674"/>
    </row>
    <row r="547" spans="1:16" hidden="1" outlineLevel="1">
      <c r="A547" s="686" t="s">
        <v>3251</v>
      </c>
      <c r="B547" s="336" t="s">
        <v>243</v>
      </c>
      <c r="C547" s="657" t="s">
        <v>476</v>
      </c>
      <c r="D547" s="702"/>
      <c r="E547" s="702"/>
      <c r="F547" s="702"/>
      <c r="G547" s="702"/>
      <c r="H547" s="702"/>
      <c r="I547" s="702"/>
      <c r="J547" s="702">
        <v>0</v>
      </c>
      <c r="K547" s="702">
        <v>0</v>
      </c>
      <c r="L547" s="702"/>
      <c r="M547" s="702"/>
      <c r="N547" s="702"/>
      <c r="O547" s="702"/>
      <c r="P547" s="674"/>
    </row>
    <row r="548" spans="1:16" hidden="1" outlineLevel="1">
      <c r="A548" s="670" t="s">
        <v>3252</v>
      </c>
      <c r="B548" s="336" t="s">
        <v>3227</v>
      </c>
      <c r="C548" s="657" t="s">
        <v>422</v>
      </c>
      <c r="D548" s="702">
        <v>0</v>
      </c>
      <c r="E548" s="702">
        <v>0</v>
      </c>
      <c r="F548" s="702">
        <v>0</v>
      </c>
      <c r="G548" s="702">
        <v>0</v>
      </c>
      <c r="H548" s="702">
        <v>0</v>
      </c>
      <c r="I548" s="702">
        <v>0</v>
      </c>
      <c r="J548" s="702">
        <v>0</v>
      </c>
      <c r="K548" s="702">
        <v>0</v>
      </c>
      <c r="L548" s="702"/>
      <c r="M548" s="702"/>
      <c r="N548" s="702"/>
      <c r="O548" s="702"/>
      <c r="P548" s="674">
        <f t="shared" ref="P548:P572" si="330">SUM(D548:O548)</f>
        <v>0</v>
      </c>
    </row>
    <row r="549" spans="1:16" hidden="1" outlineLevel="1">
      <c r="A549" s="670" t="s">
        <v>3253</v>
      </c>
      <c r="B549" s="336" t="s">
        <v>3227</v>
      </c>
      <c r="C549" s="657" t="s">
        <v>422</v>
      </c>
      <c r="D549" s="702">
        <v>0</v>
      </c>
      <c r="E549" s="702">
        <v>0</v>
      </c>
      <c r="F549" s="702">
        <v>0</v>
      </c>
      <c r="G549" s="702">
        <v>0</v>
      </c>
      <c r="H549" s="702">
        <v>0</v>
      </c>
      <c r="I549" s="702">
        <v>0</v>
      </c>
      <c r="J549" s="702">
        <v>0</v>
      </c>
      <c r="K549" s="702">
        <v>0</v>
      </c>
      <c r="L549" s="702"/>
      <c r="M549" s="702"/>
      <c r="N549" s="702"/>
      <c r="O549" s="702"/>
      <c r="P549" s="674">
        <f t="shared" si="330"/>
        <v>0</v>
      </c>
    </row>
    <row r="550" spans="1:16" hidden="1" outlineLevel="1">
      <c r="A550" s="679" t="s">
        <v>3254</v>
      </c>
      <c r="B550" s="336" t="s">
        <v>3227</v>
      </c>
      <c r="C550" s="657" t="s">
        <v>422</v>
      </c>
      <c r="D550" s="702">
        <v>0</v>
      </c>
      <c r="E550" s="702">
        <v>0</v>
      </c>
      <c r="F550" s="702">
        <v>0</v>
      </c>
      <c r="G550" s="702">
        <v>0</v>
      </c>
      <c r="H550" s="702">
        <v>0</v>
      </c>
      <c r="I550" s="702">
        <v>0</v>
      </c>
      <c r="J550" s="702">
        <v>0</v>
      </c>
      <c r="K550" s="702">
        <v>0</v>
      </c>
      <c r="L550" s="702"/>
      <c r="M550" s="702"/>
      <c r="N550" s="702"/>
      <c r="O550" s="702"/>
      <c r="P550" s="674">
        <f t="shared" si="330"/>
        <v>0</v>
      </c>
    </row>
    <row r="551" spans="1:16" hidden="1" outlineLevel="1">
      <c r="A551" s="686" t="s">
        <v>3255</v>
      </c>
      <c r="B551" s="336" t="s">
        <v>3227</v>
      </c>
      <c r="C551" s="657" t="s">
        <v>422</v>
      </c>
      <c r="D551" s="702">
        <v>0</v>
      </c>
      <c r="E551" s="702">
        <v>0</v>
      </c>
      <c r="F551" s="702">
        <v>0</v>
      </c>
      <c r="G551" s="702">
        <v>0</v>
      </c>
      <c r="H551" s="702">
        <v>0</v>
      </c>
      <c r="I551" s="702">
        <v>0</v>
      </c>
      <c r="J551" s="702">
        <v>0</v>
      </c>
      <c r="K551" s="702">
        <v>0</v>
      </c>
      <c r="L551" s="702"/>
      <c r="M551" s="702"/>
      <c r="N551" s="702"/>
      <c r="O551" s="702"/>
      <c r="P551" s="674">
        <f t="shared" si="330"/>
        <v>0</v>
      </c>
    </row>
    <row r="552" spans="1:16" hidden="1" outlineLevel="1">
      <c r="A552" s="683" t="s">
        <v>2809</v>
      </c>
      <c r="B552" s="336" t="s">
        <v>3227</v>
      </c>
      <c r="C552" s="657" t="s">
        <v>422</v>
      </c>
      <c r="D552" s="702">
        <v>0</v>
      </c>
      <c r="E552" s="702">
        <v>0</v>
      </c>
      <c r="F552" s="702">
        <v>0</v>
      </c>
      <c r="G552" s="702">
        <v>0</v>
      </c>
      <c r="H552" s="483">
        <v>0</v>
      </c>
      <c r="I552" s="483">
        <v>0</v>
      </c>
      <c r="J552" s="483">
        <v>0</v>
      </c>
      <c r="K552" s="483">
        <v>0</v>
      </c>
      <c r="L552" s="483"/>
      <c r="M552" s="483"/>
      <c r="N552" s="483"/>
      <c r="O552" s="483"/>
      <c r="P552" s="674">
        <f t="shared" si="330"/>
        <v>0</v>
      </c>
    </row>
    <row r="553" spans="1:16" hidden="1" outlineLevel="1">
      <c r="A553" s="670" t="s">
        <v>3256</v>
      </c>
      <c r="B553" s="336" t="s">
        <v>243</v>
      </c>
      <c r="C553" s="657" t="s">
        <v>164</v>
      </c>
      <c r="D553" s="702">
        <v>0</v>
      </c>
      <c r="E553" s="702">
        <v>0</v>
      </c>
      <c r="F553" s="702">
        <v>0</v>
      </c>
      <c r="G553" s="702">
        <v>0</v>
      </c>
      <c r="H553" s="702">
        <v>0</v>
      </c>
      <c r="I553" s="702">
        <v>0</v>
      </c>
      <c r="J553" s="702">
        <v>0</v>
      </c>
      <c r="K553" s="702">
        <v>0</v>
      </c>
      <c r="L553" s="702"/>
      <c r="M553" s="702"/>
      <c r="N553" s="702"/>
      <c r="O553" s="702"/>
      <c r="P553" s="674">
        <f t="shared" si="330"/>
        <v>0</v>
      </c>
    </row>
    <row r="554" spans="1:16" hidden="1" outlineLevel="1">
      <c r="A554" s="670" t="s">
        <v>3257</v>
      </c>
      <c r="B554" s="336" t="s">
        <v>243</v>
      </c>
      <c r="C554" s="657" t="s">
        <v>164</v>
      </c>
      <c r="D554" s="702">
        <v>150</v>
      </c>
      <c r="E554" s="702">
        <v>150</v>
      </c>
      <c r="F554" s="702">
        <v>150</v>
      </c>
      <c r="G554" s="702">
        <v>150</v>
      </c>
      <c r="H554" s="702">
        <v>150</v>
      </c>
      <c r="I554" s="702">
        <v>150</v>
      </c>
      <c r="J554" s="702">
        <v>150</v>
      </c>
      <c r="K554" s="702">
        <v>150</v>
      </c>
      <c r="L554" s="702"/>
      <c r="M554" s="702"/>
      <c r="N554" s="702"/>
      <c r="O554" s="702"/>
      <c r="P554" s="674">
        <f t="shared" si="330"/>
        <v>1200</v>
      </c>
    </row>
    <row r="555" spans="1:16" hidden="1" outlineLevel="1">
      <c r="A555" s="670" t="s">
        <v>669</v>
      </c>
      <c r="B555" s="336" t="s">
        <v>243</v>
      </c>
      <c r="C555" s="657" t="s">
        <v>164</v>
      </c>
      <c r="D555" s="702">
        <v>0</v>
      </c>
      <c r="E555" s="702">
        <v>0</v>
      </c>
      <c r="F555" s="702">
        <v>0</v>
      </c>
      <c r="G555" s="702">
        <v>0</v>
      </c>
      <c r="H555" s="702">
        <v>0</v>
      </c>
      <c r="I555" s="702">
        <v>0</v>
      </c>
      <c r="J555" s="702">
        <v>0</v>
      </c>
      <c r="K555" s="702">
        <v>0</v>
      </c>
      <c r="L555" s="702"/>
      <c r="M555" s="702"/>
      <c r="N555" s="702"/>
      <c r="O555" s="702"/>
      <c r="P555" s="674">
        <f t="shared" si="330"/>
        <v>0</v>
      </c>
    </row>
    <row r="556" spans="1:16" hidden="1" outlineLevel="1">
      <c r="A556" s="670" t="s">
        <v>176</v>
      </c>
      <c r="B556" s="336" t="s">
        <v>243</v>
      </c>
      <c r="C556" s="657" t="s">
        <v>164</v>
      </c>
      <c r="D556" s="702">
        <v>0</v>
      </c>
      <c r="E556" s="702">
        <v>0</v>
      </c>
      <c r="F556" s="702">
        <v>0</v>
      </c>
      <c r="G556" s="702">
        <v>0</v>
      </c>
      <c r="H556" s="702">
        <v>0</v>
      </c>
      <c r="I556" s="702">
        <v>0</v>
      </c>
      <c r="J556" s="702">
        <v>0</v>
      </c>
      <c r="K556" s="702">
        <v>0</v>
      </c>
      <c r="L556" s="702"/>
      <c r="M556" s="702"/>
      <c r="N556" s="702"/>
      <c r="O556" s="702"/>
      <c r="P556" s="674">
        <f t="shared" si="330"/>
        <v>0</v>
      </c>
    </row>
    <row r="557" spans="1:16" hidden="1" outlineLevel="1">
      <c r="A557" s="670" t="s">
        <v>178</v>
      </c>
      <c r="B557" s="336" t="s">
        <v>243</v>
      </c>
      <c r="C557" s="657" t="s">
        <v>164</v>
      </c>
      <c r="D557" s="702">
        <v>0</v>
      </c>
      <c r="E557" s="702">
        <v>0</v>
      </c>
      <c r="F557" s="702">
        <v>0</v>
      </c>
      <c r="G557" s="702">
        <v>0</v>
      </c>
      <c r="H557" s="702">
        <v>0</v>
      </c>
      <c r="I557" s="702">
        <v>0</v>
      </c>
      <c r="J557" s="702">
        <v>0</v>
      </c>
      <c r="K557" s="702">
        <v>0</v>
      </c>
      <c r="L557" s="702"/>
      <c r="M557" s="702"/>
      <c r="N557" s="702"/>
      <c r="O557" s="702"/>
      <c r="P557" s="674">
        <f t="shared" si="330"/>
        <v>0</v>
      </c>
    </row>
    <row r="558" spans="1:16" hidden="1" outlineLevel="1">
      <c r="A558" s="670" t="s">
        <v>3258</v>
      </c>
      <c r="B558" s="336" t="s">
        <v>243</v>
      </c>
      <c r="C558" s="657" t="s">
        <v>164</v>
      </c>
      <c r="D558" s="702">
        <v>0</v>
      </c>
      <c r="E558" s="702">
        <v>0</v>
      </c>
      <c r="F558" s="702">
        <v>0</v>
      </c>
      <c r="G558" s="702">
        <v>0</v>
      </c>
      <c r="H558" s="702">
        <v>0</v>
      </c>
      <c r="I558" s="702">
        <v>0</v>
      </c>
      <c r="J558" s="702">
        <v>0</v>
      </c>
      <c r="K558" s="702">
        <v>0</v>
      </c>
      <c r="L558" s="702"/>
      <c r="M558" s="702"/>
      <c r="N558" s="702"/>
      <c r="O558" s="702"/>
      <c r="P558" s="674">
        <f t="shared" si="330"/>
        <v>0</v>
      </c>
    </row>
    <row r="559" spans="1:16" hidden="1" outlineLevel="1">
      <c r="A559" s="670" t="s">
        <v>3259</v>
      </c>
      <c r="B559" s="336" t="s">
        <v>243</v>
      </c>
      <c r="C559" s="657" t="s">
        <v>164</v>
      </c>
      <c r="D559" s="702">
        <v>0</v>
      </c>
      <c r="E559" s="702">
        <v>0</v>
      </c>
      <c r="F559" s="702">
        <v>0</v>
      </c>
      <c r="G559" s="702">
        <v>0</v>
      </c>
      <c r="H559" s="702">
        <v>0</v>
      </c>
      <c r="I559" s="702">
        <v>0</v>
      </c>
      <c r="J559" s="702">
        <v>0</v>
      </c>
      <c r="K559" s="702">
        <v>0</v>
      </c>
      <c r="L559" s="702"/>
      <c r="M559" s="702"/>
      <c r="N559" s="702"/>
      <c r="O559" s="702"/>
      <c r="P559" s="674">
        <f t="shared" si="330"/>
        <v>0</v>
      </c>
    </row>
    <row r="560" spans="1:16" hidden="1" outlineLevel="1">
      <c r="A560" s="670" t="s">
        <v>3260</v>
      </c>
      <c r="B560" s="336" t="s">
        <v>243</v>
      </c>
      <c r="C560" s="657" t="s">
        <v>164</v>
      </c>
      <c r="D560" s="702">
        <v>0</v>
      </c>
      <c r="E560" s="702">
        <v>0</v>
      </c>
      <c r="F560" s="702">
        <v>0</v>
      </c>
      <c r="G560" s="702">
        <v>0</v>
      </c>
      <c r="H560" s="702">
        <v>0</v>
      </c>
      <c r="I560" s="702">
        <v>0</v>
      </c>
      <c r="J560" s="702">
        <v>0</v>
      </c>
      <c r="K560" s="702">
        <v>0</v>
      </c>
      <c r="L560" s="702"/>
      <c r="M560" s="702"/>
      <c r="N560" s="702"/>
      <c r="O560" s="702"/>
      <c r="P560" s="674">
        <f t="shared" si="330"/>
        <v>0</v>
      </c>
    </row>
    <row r="561" spans="1:16" hidden="1" outlineLevel="1">
      <c r="A561" s="670" t="s">
        <v>3261</v>
      </c>
      <c r="B561" s="336" t="s">
        <v>243</v>
      </c>
      <c r="C561" s="657" t="s">
        <v>169</v>
      </c>
      <c r="D561" s="702">
        <v>0</v>
      </c>
      <c r="E561" s="702">
        <v>0</v>
      </c>
      <c r="F561" s="702">
        <v>0</v>
      </c>
      <c r="G561" s="702">
        <v>0</v>
      </c>
      <c r="H561" s="702">
        <v>0</v>
      </c>
      <c r="I561" s="702">
        <v>0</v>
      </c>
      <c r="J561" s="702">
        <v>0</v>
      </c>
      <c r="K561" s="702">
        <v>0</v>
      </c>
      <c r="L561" s="702"/>
      <c r="M561" s="702"/>
      <c r="N561" s="702"/>
      <c r="O561" s="702"/>
      <c r="P561" s="674">
        <f t="shared" si="330"/>
        <v>0</v>
      </c>
    </row>
    <row r="562" spans="1:16" hidden="1" outlineLevel="1">
      <c r="A562" s="679" t="s">
        <v>3262</v>
      </c>
      <c r="B562" s="336" t="s">
        <v>3154</v>
      </c>
      <c r="C562" s="657" t="s">
        <v>169</v>
      </c>
      <c r="D562" s="702">
        <v>0</v>
      </c>
      <c r="E562" s="702">
        <v>0</v>
      </c>
      <c r="F562" s="702">
        <v>0</v>
      </c>
      <c r="G562" s="702">
        <v>0</v>
      </c>
      <c r="H562" s="702">
        <v>0</v>
      </c>
      <c r="I562" s="702">
        <v>0</v>
      </c>
      <c r="J562" s="702">
        <v>0</v>
      </c>
      <c r="K562" s="702">
        <v>0</v>
      </c>
      <c r="L562" s="702"/>
      <c r="M562" s="702"/>
      <c r="N562" s="702"/>
      <c r="O562" s="702"/>
      <c r="P562" s="674">
        <f t="shared" si="330"/>
        <v>0</v>
      </c>
    </row>
    <row r="563" spans="1:16" hidden="1" outlineLevel="1">
      <c r="A563" s="687" t="s">
        <v>3263</v>
      </c>
      <c r="B563" s="336" t="s">
        <v>243</v>
      </c>
      <c r="C563" s="657" t="s">
        <v>169</v>
      </c>
      <c r="D563" s="702">
        <v>150</v>
      </c>
      <c r="E563" s="702">
        <v>0</v>
      </c>
      <c r="F563" s="702">
        <v>0</v>
      </c>
      <c r="G563" s="702">
        <v>0</v>
      </c>
      <c r="H563" s="702">
        <v>0</v>
      </c>
      <c r="I563" s="702">
        <v>150</v>
      </c>
      <c r="J563" s="702">
        <v>150</v>
      </c>
      <c r="K563" s="702">
        <v>150</v>
      </c>
      <c r="L563" s="702"/>
      <c r="M563" s="702"/>
      <c r="N563" s="702"/>
      <c r="O563" s="702"/>
      <c r="P563" s="674">
        <f t="shared" si="330"/>
        <v>600</v>
      </c>
    </row>
    <row r="564" spans="1:16" hidden="1" outlineLevel="1">
      <c r="A564" s="670" t="s">
        <v>3264</v>
      </c>
      <c r="B564" s="336" t="s">
        <v>243</v>
      </c>
      <c r="C564" s="657" t="s">
        <v>169</v>
      </c>
      <c r="D564" s="702">
        <v>0</v>
      </c>
      <c r="E564" s="702">
        <v>0</v>
      </c>
      <c r="F564" s="702">
        <v>0</v>
      </c>
      <c r="G564" s="702">
        <v>0</v>
      </c>
      <c r="H564" s="702">
        <v>0</v>
      </c>
      <c r="I564" s="702">
        <v>0</v>
      </c>
      <c r="J564" s="702">
        <v>0</v>
      </c>
      <c r="K564" s="702">
        <v>0</v>
      </c>
      <c r="L564" s="702"/>
      <c r="M564" s="702"/>
      <c r="N564" s="702"/>
      <c r="O564" s="702"/>
      <c r="P564" s="674">
        <f t="shared" si="330"/>
        <v>0</v>
      </c>
    </row>
    <row r="565" spans="1:16" hidden="1" outlineLevel="1">
      <c r="A565" s="670" t="s">
        <v>1860</v>
      </c>
      <c r="B565" s="336" t="s">
        <v>243</v>
      </c>
      <c r="C565" s="657" t="s">
        <v>169</v>
      </c>
      <c r="D565" s="702">
        <v>0</v>
      </c>
      <c r="E565" s="702">
        <v>0</v>
      </c>
      <c r="F565" s="702">
        <v>0</v>
      </c>
      <c r="G565" s="702">
        <v>0</v>
      </c>
      <c r="H565" s="702">
        <v>0</v>
      </c>
      <c r="I565" s="702">
        <v>0</v>
      </c>
      <c r="J565" s="702">
        <v>0</v>
      </c>
      <c r="K565" s="702">
        <v>0</v>
      </c>
      <c r="L565" s="702"/>
      <c r="M565" s="702"/>
      <c r="N565" s="702"/>
      <c r="O565" s="702"/>
      <c r="P565" s="674">
        <f t="shared" si="330"/>
        <v>0</v>
      </c>
    </row>
    <row r="566" spans="1:16" hidden="1" outlineLevel="1">
      <c r="A566" s="670" t="s">
        <v>186</v>
      </c>
      <c r="B566" s="336" t="s">
        <v>243</v>
      </c>
      <c r="C566" s="657" t="s">
        <v>169</v>
      </c>
      <c r="D566" s="702">
        <v>0</v>
      </c>
      <c r="E566" s="702">
        <v>0</v>
      </c>
      <c r="F566" s="702">
        <v>0</v>
      </c>
      <c r="G566" s="702">
        <v>0</v>
      </c>
      <c r="H566" s="702">
        <v>0</v>
      </c>
      <c r="I566" s="702">
        <v>0</v>
      </c>
      <c r="J566" s="702">
        <v>0</v>
      </c>
      <c r="K566" s="702">
        <v>0</v>
      </c>
      <c r="L566" s="702"/>
      <c r="M566" s="702"/>
      <c r="N566" s="702"/>
      <c r="O566" s="702"/>
      <c r="P566" s="674">
        <f t="shared" si="330"/>
        <v>0</v>
      </c>
    </row>
    <row r="567" spans="1:16" hidden="1" outlineLevel="1">
      <c r="A567" s="683" t="s">
        <v>3265</v>
      </c>
      <c r="B567" s="336" t="s">
        <v>243</v>
      </c>
      <c r="C567" s="657" t="s">
        <v>169</v>
      </c>
      <c r="D567" s="702">
        <v>0</v>
      </c>
      <c r="E567" s="702">
        <v>0</v>
      </c>
      <c r="F567" s="702">
        <v>0</v>
      </c>
      <c r="G567" s="702">
        <v>0</v>
      </c>
      <c r="H567" s="702">
        <v>0</v>
      </c>
      <c r="I567" s="702">
        <v>0</v>
      </c>
      <c r="J567" s="702">
        <v>0</v>
      </c>
      <c r="K567" s="702">
        <v>0</v>
      </c>
      <c r="L567" s="702"/>
      <c r="M567" s="702"/>
      <c r="N567" s="702"/>
      <c r="O567" s="702"/>
      <c r="P567" s="674">
        <f t="shared" si="330"/>
        <v>0</v>
      </c>
    </row>
    <row r="568" spans="1:16" hidden="1" outlineLevel="1">
      <c r="A568" s="670" t="s">
        <v>3266</v>
      </c>
      <c r="B568" s="336" t="s">
        <v>3227</v>
      </c>
      <c r="C568" s="657" t="s">
        <v>162</v>
      </c>
      <c r="D568" s="702">
        <v>0</v>
      </c>
      <c r="E568" s="702">
        <v>0</v>
      </c>
      <c r="F568" s="702">
        <v>0</v>
      </c>
      <c r="G568" s="702">
        <v>0</v>
      </c>
      <c r="H568" s="702">
        <v>0</v>
      </c>
      <c r="I568" s="702">
        <v>0</v>
      </c>
      <c r="J568" s="702">
        <v>0</v>
      </c>
      <c r="K568" s="702">
        <v>0</v>
      </c>
      <c r="L568" s="702"/>
      <c r="M568" s="702"/>
      <c r="N568" s="702"/>
      <c r="O568" s="702"/>
      <c r="P568" s="674">
        <f t="shared" si="330"/>
        <v>0</v>
      </c>
    </row>
    <row r="569" spans="1:16" hidden="1" outlineLevel="1">
      <c r="A569" s="679" t="s">
        <v>3267</v>
      </c>
      <c r="B569" s="336" t="s">
        <v>3227</v>
      </c>
      <c r="C569" s="657" t="s">
        <v>162</v>
      </c>
      <c r="D569" s="702">
        <v>0</v>
      </c>
      <c r="E569" s="702">
        <v>0</v>
      </c>
      <c r="F569" s="702">
        <v>0</v>
      </c>
      <c r="G569" s="702">
        <v>0</v>
      </c>
      <c r="H569" s="702">
        <v>0</v>
      </c>
      <c r="I569" s="702">
        <v>0</v>
      </c>
      <c r="J569" s="702">
        <v>0</v>
      </c>
      <c r="K569" s="702">
        <v>0</v>
      </c>
      <c r="L569" s="702"/>
      <c r="M569" s="702"/>
      <c r="N569" s="702"/>
      <c r="O569" s="702"/>
      <c r="P569" s="674">
        <f t="shared" si="330"/>
        <v>0</v>
      </c>
    </row>
    <row r="570" spans="1:16" hidden="1" outlineLevel="1">
      <c r="A570" s="670" t="s">
        <v>523</v>
      </c>
      <c r="B570" s="336" t="s">
        <v>3227</v>
      </c>
      <c r="C570" s="657" t="s">
        <v>162</v>
      </c>
      <c r="D570" s="702">
        <v>0</v>
      </c>
      <c r="E570" s="702">
        <v>0</v>
      </c>
      <c r="F570" s="702">
        <v>0</v>
      </c>
      <c r="G570" s="702">
        <v>0</v>
      </c>
      <c r="H570" s="702">
        <v>0</v>
      </c>
      <c r="I570" s="702">
        <v>0</v>
      </c>
      <c r="J570" s="702">
        <v>0</v>
      </c>
      <c r="K570" s="702">
        <v>0</v>
      </c>
      <c r="L570" s="702"/>
      <c r="M570" s="702"/>
      <c r="N570" s="702"/>
      <c r="O570" s="702"/>
      <c r="P570" s="674">
        <f t="shared" si="330"/>
        <v>0</v>
      </c>
    </row>
    <row r="571" spans="1:16" hidden="1" outlineLevel="1">
      <c r="A571" s="670" t="s">
        <v>2791</v>
      </c>
      <c r="B571" s="336" t="s">
        <v>243</v>
      </c>
      <c r="C571" s="336" t="s">
        <v>162</v>
      </c>
      <c r="D571" s="702">
        <v>0</v>
      </c>
      <c r="E571" s="702">
        <v>0</v>
      </c>
      <c r="F571" s="702">
        <v>0</v>
      </c>
      <c r="G571" s="702">
        <v>0</v>
      </c>
      <c r="H571" s="702">
        <v>0</v>
      </c>
      <c r="I571" s="702">
        <v>0</v>
      </c>
      <c r="J571" s="702">
        <v>0</v>
      </c>
      <c r="K571" s="702">
        <v>0</v>
      </c>
      <c r="L571" s="702"/>
      <c r="M571" s="702"/>
      <c r="N571" s="702"/>
      <c r="O571" s="702"/>
      <c r="P571" s="674">
        <f t="shared" si="330"/>
        <v>0</v>
      </c>
    </row>
    <row r="572" spans="1:16" hidden="1" outlineLevel="1">
      <c r="A572" s="689" t="s">
        <v>3268</v>
      </c>
      <c r="B572" s="336" t="s">
        <v>3227</v>
      </c>
      <c r="C572" s="657" t="s">
        <v>162</v>
      </c>
      <c r="D572" s="702">
        <v>0</v>
      </c>
      <c r="E572" s="702">
        <v>0</v>
      </c>
      <c r="F572" s="702">
        <v>0</v>
      </c>
      <c r="G572" s="702">
        <v>0</v>
      </c>
      <c r="H572" s="702">
        <v>0</v>
      </c>
      <c r="I572" s="702">
        <v>0</v>
      </c>
      <c r="J572" s="702">
        <v>0</v>
      </c>
      <c r="K572" s="702">
        <v>0</v>
      </c>
      <c r="L572" s="702"/>
      <c r="M572" s="702"/>
      <c r="N572" s="702"/>
      <c r="O572" s="702"/>
      <c r="P572" s="674">
        <f t="shared" si="330"/>
        <v>0</v>
      </c>
    </row>
    <row r="573" spans="1:16" hidden="1" outlineLevel="1">
      <c r="A573" s="683" t="s">
        <v>3269</v>
      </c>
      <c r="B573" s="336" t="s">
        <v>3227</v>
      </c>
      <c r="C573" s="657" t="s">
        <v>162</v>
      </c>
      <c r="D573" s="702"/>
      <c r="E573" s="702"/>
      <c r="F573" s="702"/>
      <c r="G573" s="702"/>
      <c r="H573" s="702"/>
      <c r="I573" s="702"/>
      <c r="J573" s="702">
        <v>0</v>
      </c>
      <c r="K573" s="702">
        <v>0</v>
      </c>
      <c r="L573" s="702"/>
      <c r="M573" s="702"/>
      <c r="N573" s="702"/>
      <c r="O573" s="702"/>
      <c r="P573" s="674"/>
    </row>
    <row r="574" spans="1:16" hidden="1" outlineLevel="1">
      <c r="A574" s="690" t="s">
        <v>3270</v>
      </c>
      <c r="B574" s="336" t="s">
        <v>3227</v>
      </c>
      <c r="C574" s="657" t="s">
        <v>143</v>
      </c>
      <c r="D574" s="702">
        <v>0</v>
      </c>
      <c r="E574" s="702">
        <v>0</v>
      </c>
      <c r="F574" s="702">
        <v>0</v>
      </c>
      <c r="G574" s="702">
        <v>0</v>
      </c>
      <c r="H574" s="702">
        <v>0</v>
      </c>
      <c r="I574" s="702">
        <v>0</v>
      </c>
      <c r="J574" s="702">
        <v>0</v>
      </c>
      <c r="K574" s="702">
        <v>0</v>
      </c>
      <c r="L574" s="702"/>
      <c r="M574" s="702"/>
      <c r="N574" s="702"/>
      <c r="O574" s="702"/>
      <c r="P574" s="674">
        <f t="shared" ref="P574:P583" si="331">SUM(D574:O574)</f>
        <v>0</v>
      </c>
    </row>
    <row r="575" spans="1:16" hidden="1" outlineLevel="1">
      <c r="A575" s="690" t="s">
        <v>3271</v>
      </c>
      <c r="B575" s="336" t="s">
        <v>3227</v>
      </c>
      <c r="C575" s="657" t="s">
        <v>143</v>
      </c>
      <c r="D575" s="702">
        <v>0</v>
      </c>
      <c r="E575" s="702">
        <v>0</v>
      </c>
      <c r="F575" s="702">
        <v>0</v>
      </c>
      <c r="G575" s="702">
        <v>0</v>
      </c>
      <c r="H575" s="702">
        <v>0</v>
      </c>
      <c r="I575" s="702">
        <v>0</v>
      </c>
      <c r="J575" s="702">
        <v>0</v>
      </c>
      <c r="K575" s="702">
        <v>0</v>
      </c>
      <c r="L575" s="702"/>
      <c r="M575" s="702"/>
      <c r="N575" s="702"/>
      <c r="O575" s="702"/>
      <c r="P575" s="674">
        <f t="shared" si="331"/>
        <v>0</v>
      </c>
    </row>
    <row r="576" spans="1:16" hidden="1" outlineLevel="1">
      <c r="A576" s="690" t="s">
        <v>3272</v>
      </c>
      <c r="B576" s="336" t="s">
        <v>3227</v>
      </c>
      <c r="C576" s="657" t="s">
        <v>143</v>
      </c>
      <c r="D576" s="702">
        <v>0</v>
      </c>
      <c r="E576" s="702">
        <v>0</v>
      </c>
      <c r="F576" s="702">
        <v>0</v>
      </c>
      <c r="G576" s="702">
        <v>0</v>
      </c>
      <c r="H576" s="702">
        <v>0</v>
      </c>
      <c r="I576" s="702">
        <v>0</v>
      </c>
      <c r="J576" s="702">
        <v>0</v>
      </c>
      <c r="K576" s="702">
        <v>0</v>
      </c>
      <c r="L576" s="702"/>
      <c r="M576" s="702"/>
      <c r="N576" s="702"/>
      <c r="O576" s="702"/>
      <c r="P576" s="674">
        <f t="shared" si="331"/>
        <v>0</v>
      </c>
    </row>
    <row r="577" spans="1:16" hidden="1" outlineLevel="1">
      <c r="A577" s="691" t="s">
        <v>3273</v>
      </c>
      <c r="B577" s="336" t="s">
        <v>3227</v>
      </c>
      <c r="C577" s="657" t="s">
        <v>143</v>
      </c>
      <c r="D577" s="702">
        <v>0</v>
      </c>
      <c r="E577" s="702">
        <v>0</v>
      </c>
      <c r="F577" s="702">
        <v>0</v>
      </c>
      <c r="G577" s="702">
        <v>0</v>
      </c>
      <c r="H577" s="702">
        <v>0</v>
      </c>
      <c r="I577" s="702">
        <v>0</v>
      </c>
      <c r="J577" s="702">
        <v>0</v>
      </c>
      <c r="K577" s="702">
        <v>0</v>
      </c>
      <c r="L577" s="702"/>
      <c r="M577" s="702"/>
      <c r="N577" s="702"/>
      <c r="O577" s="702"/>
      <c r="P577" s="674">
        <f t="shared" si="331"/>
        <v>0</v>
      </c>
    </row>
    <row r="578" spans="1:16" hidden="1" outlineLevel="1">
      <c r="A578" s="690" t="s">
        <v>1643</v>
      </c>
      <c r="B578" s="336" t="s">
        <v>3227</v>
      </c>
      <c r="C578" s="657" t="s">
        <v>143</v>
      </c>
      <c r="D578" s="702">
        <v>0</v>
      </c>
      <c r="E578" s="702">
        <v>0</v>
      </c>
      <c r="F578" s="702">
        <v>0</v>
      </c>
      <c r="G578" s="702">
        <v>0</v>
      </c>
      <c r="H578" s="702">
        <v>0</v>
      </c>
      <c r="I578" s="702">
        <v>0</v>
      </c>
      <c r="J578" s="702">
        <v>0</v>
      </c>
      <c r="K578" s="702">
        <v>0</v>
      </c>
      <c r="L578" s="702"/>
      <c r="M578" s="702"/>
      <c r="N578" s="702"/>
      <c r="O578" s="702"/>
      <c r="P578" s="674">
        <f t="shared" si="331"/>
        <v>0</v>
      </c>
    </row>
    <row r="579" spans="1:16" hidden="1" outlineLevel="1">
      <c r="A579" s="690" t="s">
        <v>3274</v>
      </c>
      <c r="B579" s="336" t="s">
        <v>3227</v>
      </c>
      <c r="C579" s="657" t="s">
        <v>143</v>
      </c>
      <c r="D579" s="702">
        <v>0</v>
      </c>
      <c r="E579" s="702">
        <v>0</v>
      </c>
      <c r="F579" s="702">
        <v>0</v>
      </c>
      <c r="G579" s="702">
        <v>0</v>
      </c>
      <c r="H579" s="702">
        <v>0</v>
      </c>
      <c r="I579" s="702">
        <v>0</v>
      </c>
      <c r="J579" s="702">
        <v>0</v>
      </c>
      <c r="K579" s="702">
        <v>0</v>
      </c>
      <c r="L579" s="702"/>
      <c r="M579" s="702"/>
      <c r="N579" s="702"/>
      <c r="O579" s="702"/>
      <c r="P579" s="674">
        <f t="shared" si="331"/>
        <v>0</v>
      </c>
    </row>
    <row r="580" spans="1:16" hidden="1" outlineLevel="1">
      <c r="A580" s="692" t="s">
        <v>3275</v>
      </c>
      <c r="B580" s="336" t="s">
        <v>3227</v>
      </c>
      <c r="C580" s="657" t="s">
        <v>143</v>
      </c>
      <c r="D580" s="702">
        <v>0</v>
      </c>
      <c r="E580" s="702">
        <v>0</v>
      </c>
      <c r="F580" s="702">
        <v>0</v>
      </c>
      <c r="G580" s="702">
        <v>0</v>
      </c>
      <c r="H580" s="702">
        <v>0</v>
      </c>
      <c r="I580" s="702">
        <v>0</v>
      </c>
      <c r="J580" s="702">
        <v>0</v>
      </c>
      <c r="K580" s="702">
        <v>0</v>
      </c>
      <c r="L580" s="702"/>
      <c r="M580" s="702"/>
      <c r="N580" s="702"/>
      <c r="O580" s="702"/>
      <c r="P580" s="674">
        <f t="shared" si="331"/>
        <v>0</v>
      </c>
    </row>
    <row r="581" spans="1:16" hidden="1" outlineLevel="1">
      <c r="A581" s="690" t="s">
        <v>3276</v>
      </c>
      <c r="B581" s="336" t="s">
        <v>243</v>
      </c>
      <c r="C581" s="657" t="s">
        <v>143</v>
      </c>
      <c r="D581" s="702">
        <v>0</v>
      </c>
      <c r="E581" s="702">
        <v>0</v>
      </c>
      <c r="F581" s="702">
        <v>0</v>
      </c>
      <c r="G581" s="702">
        <v>0</v>
      </c>
      <c r="H581" s="702">
        <v>0</v>
      </c>
      <c r="I581" s="702">
        <v>0</v>
      </c>
      <c r="J581" s="702">
        <v>0</v>
      </c>
      <c r="K581" s="702">
        <v>0</v>
      </c>
      <c r="L581" s="702"/>
      <c r="M581" s="702"/>
      <c r="N581" s="702"/>
      <c r="O581" s="702"/>
      <c r="P581" s="674">
        <f t="shared" si="331"/>
        <v>0</v>
      </c>
    </row>
    <row r="582" spans="1:16" hidden="1" outlineLevel="1">
      <c r="A582" s="690" t="s">
        <v>3277</v>
      </c>
      <c r="B582" s="336" t="s">
        <v>3227</v>
      </c>
      <c r="C582" s="657" t="s">
        <v>143</v>
      </c>
      <c r="D582" s="702">
        <v>0</v>
      </c>
      <c r="E582" s="702">
        <v>0</v>
      </c>
      <c r="F582" s="702">
        <v>0</v>
      </c>
      <c r="G582" s="702">
        <v>0</v>
      </c>
      <c r="H582" s="702">
        <v>0</v>
      </c>
      <c r="I582" s="702">
        <v>0</v>
      </c>
      <c r="J582" s="702">
        <v>0</v>
      </c>
      <c r="K582" s="702">
        <v>0</v>
      </c>
      <c r="L582" s="702"/>
      <c r="M582" s="702"/>
      <c r="N582" s="702"/>
      <c r="O582" s="702"/>
      <c r="P582" s="674">
        <f t="shared" si="331"/>
        <v>0</v>
      </c>
    </row>
    <row r="583" spans="1:16" hidden="1" outlineLevel="1">
      <c r="A583" s="683" t="s">
        <v>3278</v>
      </c>
      <c r="B583" s="336" t="s">
        <v>3227</v>
      </c>
      <c r="C583" s="657" t="s">
        <v>143</v>
      </c>
      <c r="D583" s="702">
        <v>0</v>
      </c>
      <c r="E583" s="702">
        <v>0</v>
      </c>
      <c r="F583" s="702">
        <v>0</v>
      </c>
      <c r="G583" s="702">
        <v>0</v>
      </c>
      <c r="H583" s="702">
        <v>0</v>
      </c>
      <c r="I583" s="702">
        <v>0</v>
      </c>
      <c r="J583" s="702">
        <v>0</v>
      </c>
      <c r="K583" s="702">
        <v>0</v>
      </c>
      <c r="L583" s="702"/>
      <c r="M583" s="702"/>
      <c r="N583" s="702"/>
      <c r="O583" s="702"/>
      <c r="P583" s="674">
        <f t="shared" si="331"/>
        <v>0</v>
      </c>
    </row>
    <row r="584" spans="1:16" hidden="1" outlineLevel="1">
      <c r="A584" s="683" t="s">
        <v>3279</v>
      </c>
      <c r="B584" s="336" t="s">
        <v>3227</v>
      </c>
      <c r="C584" s="657" t="s">
        <v>143</v>
      </c>
      <c r="D584" s="702">
        <v>0</v>
      </c>
      <c r="E584" s="702">
        <v>0</v>
      </c>
      <c r="F584" s="702">
        <v>0</v>
      </c>
      <c r="G584" s="702">
        <v>0</v>
      </c>
      <c r="H584" s="702">
        <v>0</v>
      </c>
      <c r="I584" s="702">
        <v>0</v>
      </c>
      <c r="J584" s="702">
        <v>0</v>
      </c>
      <c r="K584" s="702">
        <v>0</v>
      </c>
      <c r="L584" s="702"/>
      <c r="M584" s="702"/>
      <c r="N584" s="702"/>
      <c r="O584" s="702"/>
      <c r="P584" s="674"/>
    </row>
    <row r="585" spans="1:16" hidden="1" outlineLevel="1">
      <c r="A585" s="679" t="s">
        <v>3280</v>
      </c>
      <c r="B585" s="336" t="s">
        <v>3227</v>
      </c>
      <c r="C585" s="657" t="s">
        <v>159</v>
      </c>
      <c r="D585" s="702">
        <v>0</v>
      </c>
      <c r="E585" s="702">
        <v>0</v>
      </c>
      <c r="F585" s="702">
        <v>0</v>
      </c>
      <c r="G585" s="702">
        <v>0</v>
      </c>
      <c r="H585" s="702">
        <v>0</v>
      </c>
      <c r="I585" s="702">
        <v>0</v>
      </c>
      <c r="J585" s="702">
        <v>0</v>
      </c>
      <c r="K585" s="702">
        <v>0</v>
      </c>
      <c r="L585" s="702"/>
      <c r="M585" s="702"/>
      <c r="N585" s="702"/>
      <c r="O585" s="702"/>
      <c r="P585" s="674">
        <f t="shared" ref="P585:P600" si="332">SUM(D585:O585)</f>
        <v>0</v>
      </c>
    </row>
    <row r="586" spans="1:16" hidden="1" outlineLevel="1">
      <c r="A586" s="670" t="s">
        <v>3281</v>
      </c>
      <c r="B586" s="336" t="s">
        <v>3227</v>
      </c>
      <c r="C586" s="657" t="s">
        <v>159</v>
      </c>
      <c r="D586" s="702">
        <v>0</v>
      </c>
      <c r="E586" s="702">
        <v>0</v>
      </c>
      <c r="F586" s="702">
        <v>0</v>
      </c>
      <c r="G586" s="702">
        <v>0</v>
      </c>
      <c r="H586" s="702">
        <v>0</v>
      </c>
      <c r="I586" s="702">
        <v>0</v>
      </c>
      <c r="J586" s="702">
        <v>0</v>
      </c>
      <c r="K586" s="702">
        <v>0</v>
      </c>
      <c r="L586" s="702"/>
      <c r="M586" s="702"/>
      <c r="N586" s="702"/>
      <c r="O586" s="702"/>
      <c r="P586" s="674">
        <f t="shared" si="332"/>
        <v>0</v>
      </c>
    </row>
    <row r="587" spans="1:16" hidden="1" outlineLevel="1">
      <c r="A587" s="670" t="s">
        <v>3282</v>
      </c>
      <c r="B587" s="336" t="s">
        <v>3227</v>
      </c>
      <c r="C587" s="657" t="s">
        <v>159</v>
      </c>
      <c r="D587" s="702">
        <v>150</v>
      </c>
      <c r="E587" s="702">
        <v>150</v>
      </c>
      <c r="F587" s="702">
        <v>150</v>
      </c>
      <c r="G587" s="702">
        <v>150</v>
      </c>
      <c r="H587" s="702">
        <v>150</v>
      </c>
      <c r="I587" s="702">
        <v>150</v>
      </c>
      <c r="J587" s="702">
        <v>150</v>
      </c>
      <c r="K587" s="702">
        <v>150</v>
      </c>
      <c r="L587" s="702"/>
      <c r="M587" s="702"/>
      <c r="N587" s="702"/>
      <c r="O587" s="702"/>
      <c r="P587" s="674">
        <f t="shared" si="332"/>
        <v>1200</v>
      </c>
    </row>
    <row r="588" spans="1:16" hidden="1" outlineLevel="1">
      <c r="A588" s="670" t="s">
        <v>3283</v>
      </c>
      <c r="B588" s="336" t="s">
        <v>3227</v>
      </c>
      <c r="C588" s="657" t="s">
        <v>159</v>
      </c>
      <c r="D588" s="702">
        <v>150</v>
      </c>
      <c r="E588" s="702">
        <v>150</v>
      </c>
      <c r="F588" s="702">
        <v>150</v>
      </c>
      <c r="G588" s="702">
        <v>150</v>
      </c>
      <c r="H588" s="702">
        <v>150</v>
      </c>
      <c r="I588" s="702">
        <v>150</v>
      </c>
      <c r="J588" s="702">
        <v>150</v>
      </c>
      <c r="K588" s="702">
        <v>150</v>
      </c>
      <c r="L588" s="702"/>
      <c r="M588" s="702"/>
      <c r="N588" s="702"/>
      <c r="O588" s="702"/>
      <c r="P588" s="674">
        <f t="shared" si="332"/>
        <v>1200</v>
      </c>
    </row>
    <row r="589" spans="1:16" hidden="1" outlineLevel="1">
      <c r="A589" s="679" t="s">
        <v>3284</v>
      </c>
      <c r="B589" s="336" t="s">
        <v>3227</v>
      </c>
      <c r="C589" s="657" t="s">
        <v>159</v>
      </c>
      <c r="D589" s="702">
        <v>0</v>
      </c>
      <c r="E589" s="702">
        <v>0</v>
      </c>
      <c r="F589" s="702">
        <v>0</v>
      </c>
      <c r="G589" s="702">
        <v>0</v>
      </c>
      <c r="H589" s="483">
        <v>0</v>
      </c>
      <c r="I589" s="483">
        <v>0</v>
      </c>
      <c r="J589" s="483">
        <v>0</v>
      </c>
      <c r="K589" s="483">
        <v>0</v>
      </c>
      <c r="L589" s="483"/>
      <c r="M589" s="483"/>
      <c r="N589" s="483"/>
      <c r="O589" s="483"/>
      <c r="P589" s="674">
        <f t="shared" si="332"/>
        <v>0</v>
      </c>
    </row>
    <row r="590" spans="1:16" hidden="1" outlineLevel="1">
      <c r="A590" s="670" t="s">
        <v>3285</v>
      </c>
      <c r="B590" s="336" t="s">
        <v>3227</v>
      </c>
      <c r="C590" s="657" t="s">
        <v>159</v>
      </c>
      <c r="D590" s="702">
        <v>0</v>
      </c>
      <c r="E590" s="702">
        <v>0</v>
      </c>
      <c r="F590" s="702">
        <v>0</v>
      </c>
      <c r="G590" s="702">
        <v>0</v>
      </c>
      <c r="H590" s="483">
        <v>0</v>
      </c>
      <c r="I590" s="483">
        <v>0</v>
      </c>
      <c r="J590" s="483">
        <v>0</v>
      </c>
      <c r="K590" s="483">
        <v>0</v>
      </c>
      <c r="L590" s="483"/>
      <c r="M590" s="483"/>
      <c r="N590" s="483"/>
      <c r="O590" s="483"/>
      <c r="P590" s="674">
        <f t="shared" si="332"/>
        <v>0</v>
      </c>
    </row>
    <row r="591" spans="1:16" hidden="1" outlineLevel="1">
      <c r="A591" s="686" t="s">
        <v>3286</v>
      </c>
      <c r="B591" s="336" t="s">
        <v>3227</v>
      </c>
      <c r="C591" s="657" t="s">
        <v>159</v>
      </c>
      <c r="D591" s="702">
        <v>150</v>
      </c>
      <c r="E591" s="702">
        <v>150</v>
      </c>
      <c r="F591" s="702">
        <v>150</v>
      </c>
      <c r="G591" s="702">
        <v>150</v>
      </c>
      <c r="H591" s="702">
        <v>150</v>
      </c>
      <c r="I591" s="702">
        <v>150</v>
      </c>
      <c r="J591" s="702">
        <v>150</v>
      </c>
      <c r="K591" s="702">
        <v>150</v>
      </c>
      <c r="L591" s="702"/>
      <c r="M591" s="702"/>
      <c r="N591" s="702"/>
      <c r="O591" s="702"/>
      <c r="P591" s="674">
        <f t="shared" si="332"/>
        <v>1200</v>
      </c>
    </row>
    <row r="592" spans="1:16" hidden="1" outlineLevel="1">
      <c r="A592" s="679" t="s">
        <v>3287</v>
      </c>
      <c r="B592" s="336" t="s">
        <v>243</v>
      </c>
      <c r="C592" s="657" t="s">
        <v>159</v>
      </c>
      <c r="D592" s="702">
        <v>0</v>
      </c>
      <c r="E592" s="702">
        <v>0</v>
      </c>
      <c r="F592" s="702">
        <v>0</v>
      </c>
      <c r="G592" s="702">
        <v>0</v>
      </c>
      <c r="H592" s="702">
        <v>0</v>
      </c>
      <c r="I592" s="702">
        <v>0</v>
      </c>
      <c r="J592" s="702">
        <v>0</v>
      </c>
      <c r="K592" s="702">
        <v>0</v>
      </c>
      <c r="L592" s="702"/>
      <c r="M592" s="702"/>
      <c r="N592" s="702"/>
      <c r="O592" s="702"/>
      <c r="P592" s="674">
        <f t="shared" si="332"/>
        <v>0</v>
      </c>
    </row>
    <row r="593" spans="1:16" hidden="1" outlineLevel="1">
      <c r="A593" s="670" t="s">
        <v>3288</v>
      </c>
      <c r="B593" s="336" t="s">
        <v>3227</v>
      </c>
      <c r="C593" s="657" t="s">
        <v>2109</v>
      </c>
      <c r="D593" s="702">
        <v>0</v>
      </c>
      <c r="E593" s="702">
        <v>0</v>
      </c>
      <c r="F593" s="702">
        <v>0</v>
      </c>
      <c r="G593" s="702">
        <v>0</v>
      </c>
      <c r="H593" s="702">
        <v>0</v>
      </c>
      <c r="I593" s="702">
        <v>0</v>
      </c>
      <c r="J593" s="702">
        <v>0</v>
      </c>
      <c r="K593" s="702">
        <v>0</v>
      </c>
      <c r="L593" s="702"/>
      <c r="M593" s="702"/>
      <c r="N593" s="702"/>
      <c r="O593" s="702"/>
      <c r="P593" s="674">
        <f t="shared" si="332"/>
        <v>0</v>
      </c>
    </row>
    <row r="594" spans="1:16" hidden="1" outlineLevel="1">
      <c r="A594" s="670" t="s">
        <v>3289</v>
      </c>
      <c r="B594" s="336" t="s">
        <v>3227</v>
      </c>
      <c r="C594" s="657" t="s">
        <v>2109</v>
      </c>
      <c r="D594" s="702">
        <v>0</v>
      </c>
      <c r="E594" s="702">
        <v>0</v>
      </c>
      <c r="F594" s="702">
        <v>0</v>
      </c>
      <c r="G594" s="702">
        <v>0</v>
      </c>
      <c r="H594" s="702">
        <v>0</v>
      </c>
      <c r="I594" s="702">
        <v>0</v>
      </c>
      <c r="J594" s="702">
        <v>0</v>
      </c>
      <c r="K594" s="702">
        <v>0</v>
      </c>
      <c r="L594" s="702"/>
      <c r="M594" s="702"/>
      <c r="N594" s="702"/>
      <c r="O594" s="702"/>
      <c r="P594" s="674">
        <f t="shared" si="332"/>
        <v>0</v>
      </c>
    </row>
    <row r="595" spans="1:16" hidden="1" outlineLevel="1">
      <c r="A595" s="690" t="s">
        <v>1682</v>
      </c>
      <c r="B595" s="336" t="s">
        <v>3227</v>
      </c>
      <c r="C595" s="657" t="s">
        <v>2109</v>
      </c>
      <c r="D595" s="702">
        <v>0</v>
      </c>
      <c r="E595" s="702">
        <v>0</v>
      </c>
      <c r="F595" s="702">
        <v>0</v>
      </c>
      <c r="G595" s="702">
        <v>0</v>
      </c>
      <c r="H595" s="702">
        <v>0</v>
      </c>
      <c r="I595" s="702">
        <v>0</v>
      </c>
      <c r="J595" s="702">
        <v>0</v>
      </c>
      <c r="K595" s="702">
        <v>0</v>
      </c>
      <c r="L595" s="702"/>
      <c r="M595" s="702"/>
      <c r="N595" s="702"/>
      <c r="O595" s="702"/>
      <c r="P595" s="674">
        <f t="shared" si="332"/>
        <v>0</v>
      </c>
    </row>
    <row r="596" spans="1:16" hidden="1" outlineLevel="1">
      <c r="A596" s="690" t="s">
        <v>3290</v>
      </c>
      <c r="B596" s="336" t="s">
        <v>3227</v>
      </c>
      <c r="C596" s="657" t="s">
        <v>964</v>
      </c>
      <c r="D596" s="702">
        <v>150</v>
      </c>
      <c r="E596" s="702">
        <v>150</v>
      </c>
      <c r="F596" s="702">
        <v>150</v>
      </c>
      <c r="G596" s="702">
        <v>150</v>
      </c>
      <c r="H596" s="702">
        <v>150</v>
      </c>
      <c r="I596" s="702">
        <v>150</v>
      </c>
      <c r="J596" s="702">
        <v>150</v>
      </c>
      <c r="K596" s="702">
        <v>150</v>
      </c>
      <c r="L596" s="702"/>
      <c r="M596" s="702"/>
      <c r="N596" s="702"/>
      <c r="O596" s="702"/>
      <c r="P596" s="674">
        <f t="shared" si="332"/>
        <v>1200</v>
      </c>
    </row>
    <row r="597" spans="1:16" hidden="1" outlineLevel="1">
      <c r="A597" s="690" t="s">
        <v>3291</v>
      </c>
      <c r="B597" s="336" t="s">
        <v>3227</v>
      </c>
      <c r="C597" s="657" t="s">
        <v>964</v>
      </c>
      <c r="D597" s="702">
        <v>150</v>
      </c>
      <c r="E597" s="702">
        <v>150</v>
      </c>
      <c r="F597" s="702">
        <v>150</v>
      </c>
      <c r="G597" s="702">
        <v>150</v>
      </c>
      <c r="H597" s="702">
        <v>150</v>
      </c>
      <c r="I597" s="702">
        <v>150</v>
      </c>
      <c r="J597" s="702">
        <v>150</v>
      </c>
      <c r="K597" s="702">
        <v>150</v>
      </c>
      <c r="L597" s="702"/>
      <c r="M597" s="702"/>
      <c r="N597" s="702"/>
      <c r="O597" s="702"/>
      <c r="P597" s="674">
        <f t="shared" si="332"/>
        <v>1200</v>
      </c>
    </row>
    <row r="598" spans="1:16" hidden="1" outlineLevel="1">
      <c r="A598" s="690" t="s">
        <v>3292</v>
      </c>
      <c r="B598" s="336" t="s">
        <v>3227</v>
      </c>
      <c r="C598" s="657" t="s">
        <v>964</v>
      </c>
      <c r="D598" s="702">
        <v>90</v>
      </c>
      <c r="E598" s="702">
        <v>90</v>
      </c>
      <c r="F598" s="702">
        <v>90</v>
      </c>
      <c r="G598" s="483">
        <v>90</v>
      </c>
      <c r="H598" s="483">
        <v>90</v>
      </c>
      <c r="I598" s="483">
        <v>90</v>
      </c>
      <c r="J598" s="483">
        <v>90</v>
      </c>
      <c r="K598" s="483">
        <v>90</v>
      </c>
      <c r="L598" s="483"/>
      <c r="M598" s="483"/>
      <c r="N598" s="483"/>
      <c r="O598" s="483"/>
      <c r="P598" s="674">
        <f t="shared" si="332"/>
        <v>720</v>
      </c>
    </row>
    <row r="599" spans="1:16" hidden="1" outlineLevel="1">
      <c r="A599" s="690" t="s">
        <v>3293</v>
      </c>
      <c r="B599" s="336" t="s">
        <v>3227</v>
      </c>
      <c r="C599" s="657" t="s">
        <v>964</v>
      </c>
      <c r="D599" s="702">
        <v>150</v>
      </c>
      <c r="E599" s="702">
        <v>150</v>
      </c>
      <c r="F599" s="702">
        <v>150</v>
      </c>
      <c r="G599" s="483">
        <v>150</v>
      </c>
      <c r="H599" s="483">
        <v>150</v>
      </c>
      <c r="I599" s="483">
        <v>150</v>
      </c>
      <c r="J599" s="483">
        <v>150</v>
      </c>
      <c r="K599" s="483">
        <v>150</v>
      </c>
      <c r="L599" s="483"/>
      <c r="M599" s="483"/>
      <c r="N599" s="483"/>
      <c r="O599" s="483"/>
      <c r="P599" s="674">
        <f t="shared" si="332"/>
        <v>1200</v>
      </c>
    </row>
    <row r="600" spans="1:16" hidden="1" outlineLevel="1">
      <c r="A600" s="690" t="s">
        <v>3294</v>
      </c>
      <c r="B600" s="336" t="s">
        <v>3227</v>
      </c>
      <c r="C600" s="657" t="s">
        <v>964</v>
      </c>
      <c r="D600" s="702">
        <v>150</v>
      </c>
      <c r="E600" s="702">
        <v>150</v>
      </c>
      <c r="F600" s="702">
        <v>150</v>
      </c>
      <c r="G600" s="483">
        <v>150</v>
      </c>
      <c r="H600" s="483">
        <v>150</v>
      </c>
      <c r="I600" s="483">
        <v>150</v>
      </c>
      <c r="J600" s="483">
        <v>150</v>
      </c>
      <c r="K600" s="483">
        <v>150</v>
      </c>
      <c r="L600" s="483"/>
      <c r="M600" s="483"/>
      <c r="N600" s="483"/>
      <c r="O600" s="483"/>
      <c r="P600" s="674">
        <f t="shared" si="332"/>
        <v>1200</v>
      </c>
    </row>
    <row r="601" spans="1:16">
      <c r="A601" s="706"/>
      <c r="B601" s="707"/>
      <c r="C601" s="707"/>
      <c r="D601" s="707"/>
      <c r="E601" s="707"/>
      <c r="F601" s="707"/>
      <c r="G601" s="707"/>
      <c r="H601" s="707"/>
      <c r="I601" s="707"/>
      <c r="J601" s="707"/>
      <c r="K601" s="707"/>
      <c r="L601" s="707"/>
      <c r="M601" s="708"/>
      <c r="P601" s="685"/>
    </row>
    <row r="602" spans="1:16">
      <c r="A602" s="706"/>
      <c r="B602" s="707"/>
      <c r="C602" s="707"/>
      <c r="D602" s="707"/>
      <c r="E602" s="707"/>
      <c r="F602" s="707"/>
      <c r="G602" s="707"/>
      <c r="H602" s="707"/>
      <c r="I602" s="707"/>
      <c r="J602" s="707"/>
      <c r="K602" s="707"/>
      <c r="L602" s="707"/>
      <c r="M602" s="708"/>
      <c r="P602" s="685"/>
    </row>
    <row r="603" spans="1:16" ht="19.5">
      <c r="A603" s="659" t="s">
        <v>3296</v>
      </c>
      <c r="B603" s="704"/>
      <c r="C603" s="660" t="str">
        <f>$C$1</f>
        <v>TI</v>
      </c>
      <c r="D603" s="661">
        <f t="shared" ref="D603:P603" si="333">SUMIF($C606:$C610,$C603,D606:D610)</f>
        <v>0</v>
      </c>
      <c r="E603" s="661">
        <f t="shared" si="333"/>
        <v>0</v>
      </c>
      <c r="F603" s="661">
        <f t="shared" si="333"/>
        <v>0</v>
      </c>
      <c r="G603" s="661">
        <f t="shared" si="333"/>
        <v>0</v>
      </c>
      <c r="H603" s="661">
        <f t="shared" si="333"/>
        <v>0</v>
      </c>
      <c r="I603" s="661">
        <f t="shared" si="333"/>
        <v>0</v>
      </c>
      <c r="J603" s="661">
        <f t="shared" si="333"/>
        <v>0</v>
      </c>
      <c r="K603" s="661">
        <f t="shared" si="333"/>
        <v>0</v>
      </c>
      <c r="L603" s="661">
        <f t="shared" si="333"/>
        <v>0</v>
      </c>
      <c r="M603" s="661">
        <f t="shared" si="333"/>
        <v>0</v>
      </c>
      <c r="N603" s="661">
        <f t="shared" si="333"/>
        <v>0</v>
      </c>
      <c r="O603" s="661">
        <f t="shared" si="333"/>
        <v>0</v>
      </c>
      <c r="P603" s="661">
        <f t="shared" si="333"/>
        <v>0</v>
      </c>
    </row>
    <row r="604" spans="1:16" ht="30">
      <c r="A604" s="662" t="s">
        <v>3222</v>
      </c>
      <c r="B604" s="663" t="s">
        <v>3223</v>
      </c>
      <c r="C604" s="664" t="s">
        <v>135</v>
      </c>
      <c r="D604" s="705" t="s">
        <v>0</v>
      </c>
      <c r="E604" s="705" t="s">
        <v>1</v>
      </c>
      <c r="F604" s="662" t="s">
        <v>2</v>
      </c>
      <c r="G604" s="662" t="s">
        <v>3</v>
      </c>
      <c r="H604" s="662" t="s">
        <v>4</v>
      </c>
      <c r="I604" s="662" t="s">
        <v>5</v>
      </c>
      <c r="J604" s="662" t="s">
        <v>6</v>
      </c>
      <c r="K604" s="662" t="s">
        <v>7</v>
      </c>
      <c r="L604" s="662" t="s">
        <v>8</v>
      </c>
      <c r="M604" s="662" t="s">
        <v>9</v>
      </c>
      <c r="N604" s="662" t="s">
        <v>10</v>
      </c>
      <c r="O604" s="662" t="s">
        <v>11</v>
      </c>
      <c r="P604" s="666" t="s">
        <v>3199</v>
      </c>
    </row>
    <row r="605" spans="1:16" collapsed="1">
      <c r="A605" s="667" t="s">
        <v>3199</v>
      </c>
      <c r="B605" s="667"/>
      <c r="C605" s="668"/>
      <c r="D605" s="701">
        <f t="shared" ref="D605:P605" si="334">SUM(D606:D609)</f>
        <v>464.81</v>
      </c>
      <c r="E605" s="701">
        <f t="shared" si="334"/>
        <v>404.1</v>
      </c>
      <c r="F605" s="701">
        <f t="shared" si="334"/>
        <v>506.76</v>
      </c>
      <c r="G605" s="701">
        <f t="shared" si="334"/>
        <v>227.53</v>
      </c>
      <c r="H605" s="701">
        <f t="shared" si="334"/>
        <v>150</v>
      </c>
      <c r="I605" s="701">
        <f t="shared" si="334"/>
        <v>157.5</v>
      </c>
      <c r="J605" s="701">
        <f t="shared" si="334"/>
        <v>90</v>
      </c>
      <c r="K605" s="701">
        <f t="shared" si="334"/>
        <v>157.5</v>
      </c>
      <c r="L605" s="701">
        <f t="shared" si="334"/>
        <v>0</v>
      </c>
      <c r="M605" s="701">
        <f t="shared" si="334"/>
        <v>0</v>
      </c>
      <c r="N605" s="701">
        <f t="shared" si="334"/>
        <v>0</v>
      </c>
      <c r="O605" s="701">
        <f t="shared" si="334"/>
        <v>0</v>
      </c>
      <c r="P605" s="701">
        <f t="shared" si="334"/>
        <v>2158.1999999999998</v>
      </c>
    </row>
    <row r="606" spans="1:16" hidden="1" outlineLevel="1">
      <c r="A606" s="709" t="s">
        <v>3265</v>
      </c>
      <c r="B606" s="336" t="s">
        <v>243</v>
      </c>
      <c r="C606" s="657" t="s">
        <v>169</v>
      </c>
      <c r="D606" s="702"/>
      <c r="E606" s="702"/>
      <c r="F606" s="702">
        <f>22.5-9.83</f>
        <v>12.67</v>
      </c>
      <c r="G606" s="702">
        <f>225-147.47</f>
        <v>77.53</v>
      </c>
      <c r="H606" s="702">
        <v>0</v>
      </c>
      <c r="I606" s="483"/>
      <c r="J606" s="483"/>
      <c r="K606" s="334"/>
      <c r="L606" s="334"/>
      <c r="M606" s="483"/>
      <c r="N606" s="483"/>
      <c r="O606" s="334"/>
      <c r="P606" s="674">
        <f t="shared" ref="P606:P609" si="335">SUM(D606:O606)</f>
        <v>90.2</v>
      </c>
    </row>
    <row r="607" spans="1:16" hidden="1" outlineLevel="1">
      <c r="A607" s="690" t="s">
        <v>3275</v>
      </c>
      <c r="B607" s="336" t="s">
        <v>3227</v>
      </c>
      <c r="C607" s="657" t="s">
        <v>143</v>
      </c>
      <c r="D607" s="702">
        <f>236.25- 165.19</f>
        <v>71.06</v>
      </c>
      <c r="E607" s="702">
        <f>213.75-165.9</f>
        <v>47.849999999999994</v>
      </c>
      <c r="F607" s="702">
        <f>247.5-165.91</f>
        <v>81.59</v>
      </c>
      <c r="G607" s="702"/>
      <c r="H607" s="702"/>
      <c r="I607" s="483"/>
      <c r="J607" s="483"/>
      <c r="K607" s="334"/>
      <c r="L607" s="334"/>
      <c r="M607" s="483"/>
      <c r="N607" s="483"/>
      <c r="O607" s="334"/>
      <c r="P607" s="674">
        <f t="shared" si="335"/>
        <v>200.5</v>
      </c>
    </row>
    <row r="608" spans="1:16" hidden="1" outlineLevel="1">
      <c r="A608" s="690" t="s">
        <v>3268</v>
      </c>
      <c r="B608" s="336" t="s">
        <v>243</v>
      </c>
      <c r="C608" s="657" t="s">
        <v>162</v>
      </c>
      <c r="D608" s="702">
        <v>157.5</v>
      </c>
      <c r="E608" s="702">
        <v>142.5</v>
      </c>
      <c r="F608" s="702">
        <v>165</v>
      </c>
      <c r="G608" s="702">
        <v>150</v>
      </c>
      <c r="H608" s="702">
        <v>150</v>
      </c>
      <c r="I608" s="483">
        <v>157.5</v>
      </c>
      <c r="J608" s="483">
        <v>90</v>
      </c>
      <c r="K608" s="483">
        <v>157.5</v>
      </c>
      <c r="L608" s="334"/>
      <c r="M608" s="483"/>
      <c r="N608" s="483"/>
      <c r="O608" s="334"/>
      <c r="P608" s="674">
        <f t="shared" si="335"/>
        <v>1170</v>
      </c>
    </row>
    <row r="609" spans="1:16" hidden="1" outlineLevel="1">
      <c r="A609" s="670" t="s">
        <v>3254</v>
      </c>
      <c r="B609" s="336" t="s">
        <v>3227</v>
      </c>
      <c r="C609" s="657" t="s">
        <v>422</v>
      </c>
      <c r="D609" s="702">
        <v>236.25</v>
      </c>
      <c r="E609" s="702">
        <v>213.75</v>
      </c>
      <c r="F609" s="702">
        <v>247.5</v>
      </c>
      <c r="G609" s="702"/>
      <c r="H609" s="702"/>
      <c r="I609" s="483"/>
      <c r="J609" s="483"/>
      <c r="K609" s="334"/>
      <c r="L609" s="334"/>
      <c r="M609" s="483"/>
      <c r="N609" s="483"/>
      <c r="O609" s="334"/>
      <c r="P609" s="674">
        <f t="shared" si="335"/>
        <v>697.5</v>
      </c>
    </row>
    <row r="610" spans="1:16">
      <c r="A610" s="706"/>
      <c r="B610" s="707"/>
      <c r="C610" s="707"/>
      <c r="D610" s="707"/>
      <c r="E610" s="707"/>
      <c r="F610" s="707"/>
      <c r="G610" s="707"/>
      <c r="H610" s="707"/>
      <c r="I610" s="707"/>
      <c r="J610" s="707"/>
      <c r="K610" s="707"/>
      <c r="L610" s="707"/>
      <c r="M610" s="708"/>
      <c r="P610" s="685"/>
    </row>
    <row r="611" spans="1:16">
      <c r="A611" s="706"/>
      <c r="B611" s="707"/>
      <c r="C611" s="707"/>
      <c r="D611" s="707"/>
      <c r="E611" s="707"/>
      <c r="F611" s="707"/>
      <c r="G611" s="707"/>
      <c r="H611" s="707"/>
      <c r="I611" s="707"/>
      <c r="J611" s="707"/>
      <c r="K611" s="707"/>
      <c r="L611" s="707"/>
      <c r="M611" s="708"/>
      <c r="P611" s="685"/>
    </row>
    <row r="612" spans="1:16" ht="19.5">
      <c r="A612" s="659" t="s">
        <v>65</v>
      </c>
      <c r="B612" s="704"/>
      <c r="C612" s="660" t="str">
        <f>$C$1</f>
        <v>TI</v>
      </c>
      <c r="D612" s="661">
        <f t="shared" ref="D612:P612" si="336">SUMIF($C615:$C691,$C612,D615:D691)</f>
        <v>0</v>
      </c>
      <c r="E612" s="661">
        <f t="shared" si="336"/>
        <v>0</v>
      </c>
      <c r="F612" s="661">
        <f t="shared" si="336"/>
        <v>0</v>
      </c>
      <c r="G612" s="661">
        <f t="shared" si="336"/>
        <v>0</v>
      </c>
      <c r="H612" s="661">
        <f t="shared" si="336"/>
        <v>0</v>
      </c>
      <c r="I612" s="661">
        <f t="shared" si="336"/>
        <v>0</v>
      </c>
      <c r="J612" s="661">
        <f t="shared" si="336"/>
        <v>0</v>
      </c>
      <c r="K612" s="661">
        <f t="shared" si="336"/>
        <v>0</v>
      </c>
      <c r="L612" s="661">
        <f t="shared" si="336"/>
        <v>0</v>
      </c>
      <c r="M612" s="661">
        <f t="shared" si="336"/>
        <v>0</v>
      </c>
      <c r="N612" s="661">
        <f t="shared" si="336"/>
        <v>0</v>
      </c>
      <c r="O612" s="661">
        <f t="shared" si="336"/>
        <v>0</v>
      </c>
      <c r="P612" s="661">
        <f t="shared" si="336"/>
        <v>0</v>
      </c>
    </row>
    <row r="613" spans="1:16" ht="30">
      <c r="A613" s="662" t="s">
        <v>3222</v>
      </c>
      <c r="B613" s="663" t="s">
        <v>3223</v>
      </c>
      <c r="C613" s="664" t="s">
        <v>135</v>
      </c>
      <c r="D613" s="705" t="s">
        <v>0</v>
      </c>
      <c r="E613" s="705" t="s">
        <v>1</v>
      </c>
      <c r="F613" s="662" t="s">
        <v>2</v>
      </c>
      <c r="G613" s="662" t="s">
        <v>3</v>
      </c>
      <c r="H613" s="662" t="s">
        <v>4</v>
      </c>
      <c r="I613" s="662" t="s">
        <v>5</v>
      </c>
      <c r="J613" s="662" t="s">
        <v>6</v>
      </c>
      <c r="K613" s="662" t="s">
        <v>7</v>
      </c>
      <c r="L613" s="662" t="s">
        <v>8</v>
      </c>
      <c r="M613" s="662" t="s">
        <v>9</v>
      </c>
      <c r="N613" s="662" t="s">
        <v>10</v>
      </c>
      <c r="O613" s="662" t="s">
        <v>11</v>
      </c>
      <c r="P613" s="666" t="s">
        <v>3199</v>
      </c>
    </row>
    <row r="614" spans="1:16" collapsed="1">
      <c r="A614" s="667" t="s">
        <v>3199</v>
      </c>
      <c r="B614" s="667"/>
      <c r="C614" s="668"/>
      <c r="D614" s="701">
        <f t="shared" ref="D614:O614" si="337">SUM(D615:D630)</f>
        <v>1800.23</v>
      </c>
      <c r="E614" s="701">
        <f t="shared" si="337"/>
        <v>0</v>
      </c>
      <c r="F614" s="701">
        <f t="shared" si="337"/>
        <v>25560.770000000004</v>
      </c>
      <c r="G614" s="701">
        <f t="shared" si="337"/>
        <v>11451.61</v>
      </c>
      <c r="H614" s="701">
        <f t="shared" si="337"/>
        <v>4477.71</v>
      </c>
      <c r="I614" s="701">
        <f t="shared" si="337"/>
        <v>3847.35</v>
      </c>
      <c r="J614" s="701">
        <f t="shared" si="337"/>
        <v>14621.74</v>
      </c>
      <c r="K614" s="701">
        <f t="shared" si="337"/>
        <v>0</v>
      </c>
      <c r="L614" s="701">
        <f t="shared" si="337"/>
        <v>0</v>
      </c>
      <c r="M614" s="701">
        <f t="shared" si="337"/>
        <v>0</v>
      </c>
      <c r="N614" s="701">
        <f t="shared" si="337"/>
        <v>0</v>
      </c>
      <c r="O614" s="701">
        <f t="shared" si="337"/>
        <v>0</v>
      </c>
      <c r="P614" s="701">
        <f>SUM(P615:P623)</f>
        <v>43290.320000000007</v>
      </c>
    </row>
    <row r="615" spans="1:16" hidden="1" outlineLevel="1">
      <c r="A615" s="690" t="s">
        <v>3297</v>
      </c>
      <c r="B615" s="336"/>
      <c r="C615" s="657" t="s">
        <v>169</v>
      </c>
      <c r="D615" s="702">
        <f>1253.5+546.73</f>
        <v>1800.23</v>
      </c>
      <c r="E615" s="702"/>
      <c r="F615" s="702"/>
      <c r="G615" s="702"/>
      <c r="H615" s="702"/>
      <c r="I615" s="702"/>
      <c r="J615" s="702"/>
      <c r="K615" s="702"/>
      <c r="L615" s="702"/>
      <c r="M615" s="483"/>
      <c r="N615" s="483"/>
      <c r="O615" s="334"/>
      <c r="P615" s="674">
        <f t="shared" ref="P615:P622" si="338">SUM(D615:O615)</f>
        <v>1800.23</v>
      </c>
    </row>
    <row r="616" spans="1:16" hidden="1" outlineLevel="1">
      <c r="A616" s="710" t="s">
        <v>3254</v>
      </c>
      <c r="C616" s="657" t="s">
        <v>422</v>
      </c>
      <c r="D616" s="702"/>
      <c r="E616" s="702"/>
      <c r="F616" s="702">
        <v>298.33</v>
      </c>
      <c r="G616" s="702"/>
      <c r="H616" s="702"/>
      <c r="I616" s="483"/>
      <c r="J616" s="483"/>
      <c r="K616" s="334"/>
      <c r="L616" s="334"/>
      <c r="M616" s="483"/>
      <c r="N616" s="483"/>
      <c r="O616" s="334"/>
      <c r="P616" s="674">
        <f t="shared" si="338"/>
        <v>298.33</v>
      </c>
    </row>
    <row r="617" spans="1:16" hidden="1" outlineLevel="1">
      <c r="A617" s="710" t="s">
        <v>3280</v>
      </c>
      <c r="C617" s="657" t="s">
        <v>159</v>
      </c>
      <c r="D617" s="702"/>
      <c r="E617" s="702"/>
      <c r="F617" s="702">
        <f>15174.68+10087.76</f>
        <v>25262.440000000002</v>
      </c>
      <c r="G617" s="702"/>
      <c r="H617" s="702"/>
      <c r="I617" s="483"/>
      <c r="J617" s="483"/>
      <c r="K617" s="334"/>
      <c r="L617" s="334"/>
      <c r="M617" s="483"/>
      <c r="N617" s="483"/>
      <c r="O617" s="334"/>
      <c r="P617" s="674">
        <f t="shared" si="338"/>
        <v>25262.440000000002</v>
      </c>
    </row>
    <row r="618" spans="1:16" hidden="1" outlineLevel="1">
      <c r="A618" s="336" t="s">
        <v>3249</v>
      </c>
      <c r="C618" s="657" t="s">
        <v>476</v>
      </c>
      <c r="D618" s="696"/>
      <c r="G618" s="336">
        <v>0</v>
      </c>
      <c r="P618" s="674">
        <f t="shared" si="338"/>
        <v>0</v>
      </c>
    </row>
    <row r="619" spans="1:16" hidden="1" outlineLevel="1">
      <c r="A619" s="336" t="s">
        <v>3248</v>
      </c>
      <c r="C619" s="657" t="s">
        <v>476</v>
      </c>
      <c r="D619" s="696"/>
      <c r="G619" s="483">
        <v>9331.1</v>
      </c>
      <c r="P619" s="674">
        <f t="shared" si="338"/>
        <v>9331.1</v>
      </c>
    </row>
    <row r="620" spans="1:16" hidden="1" outlineLevel="1">
      <c r="A620" s="336" t="s">
        <v>3298</v>
      </c>
      <c r="C620" s="657" t="s">
        <v>159</v>
      </c>
      <c r="D620" s="696"/>
      <c r="G620" s="483">
        <v>2120.5100000000002</v>
      </c>
      <c r="P620" s="674">
        <f t="shared" si="338"/>
        <v>2120.5100000000002</v>
      </c>
    </row>
    <row r="621" spans="1:16" hidden="1" outlineLevel="1">
      <c r="A621" s="336" t="s">
        <v>3229</v>
      </c>
      <c r="C621" s="695" t="s">
        <v>192</v>
      </c>
      <c r="D621" s="696"/>
      <c r="H621" s="483">
        <v>3327.71</v>
      </c>
      <c r="P621" s="674">
        <f t="shared" si="338"/>
        <v>3327.71</v>
      </c>
    </row>
    <row r="622" spans="1:16" hidden="1" outlineLevel="1">
      <c r="A622" s="336" t="s">
        <v>3236</v>
      </c>
      <c r="C622" s="695" t="s">
        <v>3235</v>
      </c>
      <c r="D622" s="696"/>
      <c r="H622" s="483">
        <v>1150</v>
      </c>
      <c r="P622" s="674">
        <f t="shared" si="338"/>
        <v>1150</v>
      </c>
    </row>
    <row r="623" spans="1:16" hidden="1" outlineLevel="1">
      <c r="A623" s="336" t="s">
        <v>3299</v>
      </c>
      <c r="C623" s="657" t="s">
        <v>162</v>
      </c>
      <c r="D623" s="696"/>
      <c r="I623" s="483">
        <v>3847.35</v>
      </c>
      <c r="P623" s="674"/>
    </row>
    <row r="624" spans="1:16" hidden="1" outlineLevel="1">
      <c r="A624" s="336" t="s">
        <v>3273</v>
      </c>
      <c r="C624" s="657" t="s">
        <v>143</v>
      </c>
      <c r="D624" s="696"/>
      <c r="P624" s="674"/>
    </row>
    <row r="625" spans="1:16" hidden="1" outlineLevel="1">
      <c r="A625" s="336" t="s">
        <v>3287</v>
      </c>
      <c r="C625" s="695"/>
      <c r="D625" s="696"/>
      <c r="J625" s="334">
        <v>9076.06</v>
      </c>
      <c r="P625" s="685"/>
    </row>
    <row r="626" spans="1:16" hidden="1" outlineLevel="1">
      <c r="A626" s="336" t="s">
        <v>3262</v>
      </c>
      <c r="C626" s="695"/>
      <c r="D626" s="696"/>
      <c r="J626" s="483">
        <v>5545.68</v>
      </c>
      <c r="P626" s="685"/>
    </row>
    <row r="627" spans="1:16">
      <c r="C627" s="695"/>
      <c r="D627" s="696"/>
      <c r="I627" s="483"/>
      <c r="P627" s="685"/>
    </row>
    <row r="628" spans="1:16">
      <c r="C628" s="695"/>
      <c r="D628" s="696"/>
      <c r="I628" s="483"/>
      <c r="P628" s="685"/>
    </row>
    <row r="629" spans="1:16">
      <c r="C629" s="695"/>
      <c r="D629" s="696"/>
      <c r="P629" s="685"/>
    </row>
    <row r="630" spans="1:16">
      <c r="C630" s="695"/>
      <c r="D630" s="696"/>
      <c r="P630" s="685"/>
    </row>
    <row r="631" spans="1:16">
      <c r="C631" s="695"/>
      <c r="D631" s="696"/>
      <c r="P631" s="685"/>
    </row>
    <row r="632" spans="1:16">
      <c r="C632" s="695"/>
      <c r="D632" s="696"/>
      <c r="P632" s="685"/>
    </row>
    <row r="633" spans="1:16">
      <c r="C633" s="695"/>
      <c r="D633" s="696"/>
      <c r="P633" s="685"/>
    </row>
    <row r="634" spans="1:16">
      <c r="C634" s="695"/>
      <c r="D634" s="696"/>
      <c r="P634" s="685"/>
    </row>
    <row r="635" spans="1:16">
      <c r="C635" s="695"/>
      <c r="D635" s="696"/>
      <c r="P635" s="685"/>
    </row>
    <row r="636" spans="1:16">
      <c r="C636" s="695"/>
      <c r="D636" s="696"/>
      <c r="P636" s="685"/>
    </row>
    <row r="637" spans="1:16">
      <c r="C637" s="695"/>
      <c r="D637" s="696"/>
      <c r="P637" s="685"/>
    </row>
    <row r="638" spans="1:16">
      <c r="C638" s="695"/>
      <c r="D638" s="696"/>
      <c r="P638" s="685"/>
    </row>
    <row r="639" spans="1:16">
      <c r="C639" s="695"/>
      <c r="D639" s="696"/>
      <c r="P639" s="685"/>
    </row>
  </sheetData>
  <dataValidations count="1">
    <dataValidation type="list" allowBlank="1" showErrorMessage="1" sqref="C1" xr:uid="{00000000-0002-0000-0800-000000000000}">
      <formula1>"Atendimento,Atendimento CSC,Consultoria e Performance,Expansão,Financeiro Cash Out,Financeiro CSC,Gestão,Gestão de Pessoas,Marketing e Growth,Pós-Vendas,TI"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041"/>
  <sheetViews>
    <sheetView workbookViewId="0"/>
  </sheetViews>
  <sheetFormatPr defaultColWidth="14.42578125" defaultRowHeight="15" customHeight="1"/>
  <cols>
    <col min="1" max="1" width="43.42578125" customWidth="1"/>
    <col min="2" max="2" width="35.7109375" customWidth="1"/>
    <col min="3" max="3" width="15.7109375" customWidth="1"/>
    <col min="4" max="4" width="12.42578125" customWidth="1"/>
    <col min="5" max="5" width="43.42578125" customWidth="1"/>
    <col min="10" max="10" width="23.85546875" customWidth="1"/>
    <col min="11" max="11" width="12.28515625" customWidth="1"/>
    <col min="12" max="12" width="8.140625" customWidth="1"/>
  </cols>
  <sheetData>
    <row r="1" spans="1:15">
      <c r="A1" s="503" t="s">
        <v>3300</v>
      </c>
      <c r="B1" s="503" t="s">
        <v>3301</v>
      </c>
      <c r="C1" s="503" t="s">
        <v>3302</v>
      </c>
      <c r="D1" s="503"/>
      <c r="E1" s="503" t="s">
        <v>3303</v>
      </c>
      <c r="F1" s="503" t="s">
        <v>3304</v>
      </c>
      <c r="J1" s="711" t="s">
        <v>3305</v>
      </c>
      <c r="K1" s="712"/>
      <c r="L1" s="713"/>
      <c r="M1" s="713"/>
      <c r="N1" s="712"/>
      <c r="O1" s="714" t="s">
        <v>3306</v>
      </c>
    </row>
    <row r="2" spans="1:15">
      <c r="A2" s="670" t="s">
        <v>3224</v>
      </c>
      <c r="B2" s="715" t="s">
        <v>3224</v>
      </c>
      <c r="C2" s="673">
        <f t="shared" ref="C2:C5" si="0">VLOOKUP(B2,E:F,2,0)</f>
        <v>0</v>
      </c>
      <c r="E2" s="336" t="s">
        <v>3288</v>
      </c>
      <c r="F2" s="673">
        <v>0</v>
      </c>
      <c r="J2" s="716" t="s">
        <v>66</v>
      </c>
      <c r="K2" s="717">
        <f>SUM(K3:K11)</f>
        <v>306263.09014893748</v>
      </c>
      <c r="L2" s="718"/>
      <c r="M2" s="716" t="s">
        <v>71</v>
      </c>
      <c r="N2" s="717">
        <f>SUM(N3:N11)</f>
        <v>171738.23480000001</v>
      </c>
      <c r="O2" s="718"/>
    </row>
    <row r="3" spans="1:15">
      <c r="A3" s="670" t="s">
        <v>3225</v>
      </c>
      <c r="B3" s="715" t="s">
        <v>3225</v>
      </c>
      <c r="C3" s="673">
        <f t="shared" si="0"/>
        <v>150</v>
      </c>
      <c r="E3" s="336" t="s">
        <v>3307</v>
      </c>
      <c r="F3" s="673">
        <v>0</v>
      </c>
      <c r="J3" s="719" t="s">
        <v>192</v>
      </c>
      <c r="K3" s="720">
        <f>SUMIF(Pessoal!$C$201:$C$292,J3,Pessoal!$P$201:$P$292)</f>
        <v>8125.2334799999999</v>
      </c>
      <c r="L3" s="718"/>
      <c r="M3" s="719" t="s">
        <v>192</v>
      </c>
      <c r="N3" s="720">
        <f>SUMIF(Pessoal!$C$398:$C$489,M3,Pessoal!$P$398:$P$489)</f>
        <v>43271.740000000005</v>
      </c>
      <c r="O3" s="718"/>
    </row>
    <row r="4" spans="1:15">
      <c r="A4" s="670" t="s">
        <v>3226</v>
      </c>
      <c r="B4" s="715" t="s">
        <v>3226</v>
      </c>
      <c r="C4" s="673">
        <f t="shared" si="0"/>
        <v>150</v>
      </c>
      <c r="E4" s="336" t="s">
        <v>144</v>
      </c>
      <c r="F4" s="673">
        <v>0</v>
      </c>
      <c r="J4" s="719" t="s">
        <v>476</v>
      </c>
      <c r="K4" s="720">
        <f>SUMIF(Pessoal!$C$201:$C$292,J4,Pessoal!$P$201:$P$292)</f>
        <v>86314.760624999995</v>
      </c>
      <c r="L4" s="718"/>
      <c r="M4" s="719" t="s">
        <v>476</v>
      </c>
      <c r="N4" s="720">
        <f>SUMIF(Pessoal!$C$398:$C$489,M4,Pessoal!$P$398:$P$489)</f>
        <v>24652.14</v>
      </c>
      <c r="O4" s="718"/>
    </row>
    <row r="5" spans="1:15">
      <c r="A5" s="670" t="s">
        <v>3228</v>
      </c>
      <c r="B5" s="715" t="s">
        <v>3228</v>
      </c>
      <c r="C5" s="673">
        <f t="shared" si="0"/>
        <v>150</v>
      </c>
      <c r="E5" s="336" t="s">
        <v>2809</v>
      </c>
      <c r="F5" s="673">
        <v>0</v>
      </c>
      <c r="J5" s="719" t="s">
        <v>422</v>
      </c>
      <c r="K5" s="720">
        <f>SUMIF(Pessoal!$C$201:$C$292,J5,Pessoal!$P$201:$P$292)</f>
        <v>40090.855675892861</v>
      </c>
      <c r="L5" s="718"/>
      <c r="M5" s="719" t="s">
        <v>422</v>
      </c>
      <c r="N5" s="720">
        <f>SUMIF(Pessoal!$C$398:$C$489,M5,Pessoal!$P$398:$P$489)</f>
        <v>14720.11</v>
      </c>
      <c r="O5" s="718"/>
    </row>
    <row r="6" spans="1:15">
      <c r="A6" s="679" t="s">
        <v>3229</v>
      </c>
      <c r="B6" s="715" t="s">
        <v>3229</v>
      </c>
      <c r="C6" s="680">
        <v>0</v>
      </c>
      <c r="E6" s="336" t="s">
        <v>3244</v>
      </c>
      <c r="F6" s="673">
        <v>0</v>
      </c>
      <c r="J6" s="719" t="s">
        <v>3308</v>
      </c>
      <c r="K6" s="720">
        <f>SUMIF(Pessoal!$C$201:$C$292,J6,Pessoal!$P$201:$P$292)+SUMIF(Pessoal!$C$201:$C$292,"FINANCEIRO C",Pessoal!$P$201:$P$292)</f>
        <v>0</v>
      </c>
      <c r="L6" s="718"/>
      <c r="M6" s="719" t="s">
        <v>3308</v>
      </c>
      <c r="N6" s="720">
        <f>SUMIF(Pessoal!$C$398:$C$489,M6,Pessoal!$P$398:$P$489)+SUMIF(Pessoal!$C$398:$C$489,"FINANCEIRO C",Pessoal!$P$398:$P$489)</f>
        <v>0</v>
      </c>
      <c r="O6" s="718"/>
    </row>
    <row r="7" spans="1:15">
      <c r="A7" s="670" t="s">
        <v>3230</v>
      </c>
      <c r="B7" s="681" t="s">
        <v>3309</v>
      </c>
      <c r="C7" s="673">
        <f t="shared" ref="C7:C13" si="1">VLOOKUP(B7,E:F,2,0)</f>
        <v>0</v>
      </c>
      <c r="E7" s="336" t="s">
        <v>3224</v>
      </c>
      <c r="F7" s="673">
        <v>0</v>
      </c>
      <c r="J7" s="719" t="s">
        <v>162</v>
      </c>
      <c r="K7" s="720">
        <f>SUMIF(Pessoal!$C$201:$C$292,J7,Pessoal!$P$201:$P$292)</f>
        <v>19280.515139065476</v>
      </c>
      <c r="L7" s="718"/>
      <c r="M7" s="719" t="s">
        <v>162</v>
      </c>
      <c r="N7" s="720">
        <f>SUMIF(Pessoal!$C$398:$C$489,M7,Pessoal!$P$398:$P$489)</f>
        <v>29978.410800000001</v>
      </c>
      <c r="O7" s="718"/>
    </row>
    <row r="8" spans="1:15">
      <c r="A8" s="670" t="s">
        <v>3231</v>
      </c>
      <c r="B8" s="715" t="s">
        <v>3231</v>
      </c>
      <c r="C8" s="673">
        <f t="shared" si="1"/>
        <v>0</v>
      </c>
      <c r="E8" s="336" t="s">
        <v>3277</v>
      </c>
      <c r="F8" s="673">
        <v>0</v>
      </c>
      <c r="J8" s="719" t="s">
        <v>143</v>
      </c>
      <c r="K8" s="720">
        <f>SUMIF(Pessoal!$C$201:$C$292,J8,Pessoal!$P$201:$P$292)</f>
        <v>40566.927069282741</v>
      </c>
      <c r="L8" s="718"/>
      <c r="M8" s="719" t="s">
        <v>143</v>
      </c>
      <c r="N8" s="720">
        <f>SUMIF(Pessoal!$C$398:$C$489,M8,Pessoal!$P$398:$P$489)</f>
        <v>23919.779600000002</v>
      </c>
      <c r="O8" s="718"/>
    </row>
    <row r="9" spans="1:15">
      <c r="A9" s="670" t="s">
        <v>3232</v>
      </c>
      <c r="B9" s="715" t="s">
        <v>3232</v>
      </c>
      <c r="C9" s="673">
        <f t="shared" si="1"/>
        <v>150</v>
      </c>
      <c r="E9" s="336" t="s">
        <v>3250</v>
      </c>
      <c r="F9" s="673">
        <v>0</v>
      </c>
      <c r="J9" s="719" t="s">
        <v>61</v>
      </c>
      <c r="K9" s="720">
        <f>SUMIF(Pessoal!$C$201:$C$292,J9,Pessoal!$P$201:$P$292)</f>
        <v>0</v>
      </c>
      <c r="L9" s="718"/>
      <c r="M9" s="719" t="s">
        <v>61</v>
      </c>
      <c r="N9" s="720">
        <f>SUMIF(Pessoal!$C$398:$C$489,M9,Pessoal!$P$398:$P$489)</f>
        <v>0</v>
      </c>
      <c r="O9" s="718"/>
    </row>
    <row r="10" spans="1:15">
      <c r="A10" s="670" t="s">
        <v>190</v>
      </c>
      <c r="B10" s="715" t="s">
        <v>190</v>
      </c>
      <c r="C10" s="673">
        <f t="shared" si="1"/>
        <v>0</v>
      </c>
      <c r="E10" s="336" t="s">
        <v>3225</v>
      </c>
      <c r="F10" s="673">
        <v>150</v>
      </c>
      <c r="J10" s="719" t="s">
        <v>198</v>
      </c>
      <c r="K10" s="720">
        <f>SUMIF(Pessoal!$C$201:$C$292,J10,Pessoal!$P$201:$P$292)</f>
        <v>0</v>
      </c>
      <c r="L10" s="718"/>
      <c r="M10" s="719" t="s">
        <v>198</v>
      </c>
      <c r="N10" s="720">
        <f>SUMIF(Pessoal!$C$398:$C$489,M10,Pessoal!$P$398:$P$489)</f>
        <v>0</v>
      </c>
      <c r="O10" s="718"/>
    </row>
    <row r="11" spans="1:15">
      <c r="A11" s="670" t="s">
        <v>3233</v>
      </c>
      <c r="B11" s="715" t="s">
        <v>3233</v>
      </c>
      <c r="C11" s="673">
        <f t="shared" si="1"/>
        <v>150</v>
      </c>
      <c r="E11" s="336" t="s">
        <v>3289</v>
      </c>
      <c r="F11" s="673">
        <v>0</v>
      </c>
      <c r="J11" s="719" t="s">
        <v>964</v>
      </c>
      <c r="K11" s="720">
        <f>SUMIF(Pessoal!$C$201:$C$292,J11,Pessoal!$P$201:$P$292)</f>
        <v>111884.79815969644</v>
      </c>
      <c r="L11" s="718"/>
      <c r="M11" s="719" t="s">
        <v>964</v>
      </c>
      <c r="N11" s="720">
        <f>SUMIF(Pessoal!$C$398:$C$489,M11,Pessoal!$P$398:$P$489)</f>
        <v>35196.054400000001</v>
      </c>
      <c r="O11" s="718"/>
    </row>
    <row r="12" spans="1:15">
      <c r="A12" s="670" t="s">
        <v>224</v>
      </c>
      <c r="B12" s="715" t="s">
        <v>224</v>
      </c>
      <c r="C12" s="673">
        <f t="shared" si="1"/>
        <v>150</v>
      </c>
      <c r="E12" s="336" t="s">
        <v>3271</v>
      </c>
      <c r="F12" s="673">
        <v>0</v>
      </c>
      <c r="J12" s="718"/>
      <c r="K12" s="699"/>
      <c r="L12" s="718"/>
      <c r="M12" s="718"/>
      <c r="N12" s="699"/>
      <c r="O12" s="718"/>
    </row>
    <row r="13" spans="1:15">
      <c r="A13" s="670" t="s">
        <v>3234</v>
      </c>
      <c r="B13" s="715" t="s">
        <v>3234</v>
      </c>
      <c r="C13" s="673">
        <f t="shared" si="1"/>
        <v>150</v>
      </c>
      <c r="E13" s="336" t="s">
        <v>3256</v>
      </c>
      <c r="F13" s="673">
        <v>0</v>
      </c>
      <c r="J13" s="716" t="s">
        <v>79</v>
      </c>
      <c r="K13" s="717">
        <f ca="1">SUM(K14:K17)</f>
        <v>8847.7099999999991</v>
      </c>
      <c r="L13" s="718"/>
      <c r="M13" s="716" t="s">
        <v>67</v>
      </c>
      <c r="N13" s="717">
        <f>SUM(N14:N22)</f>
        <v>233151.14489125001</v>
      </c>
      <c r="O13" s="718"/>
    </row>
    <row r="14" spans="1:15">
      <c r="A14" s="679" t="s">
        <v>3236</v>
      </c>
      <c r="B14" s="715" t="s">
        <v>3236</v>
      </c>
      <c r="C14" s="680">
        <v>0</v>
      </c>
      <c r="E14" s="336" t="s">
        <v>3242</v>
      </c>
      <c r="F14" s="673">
        <v>150</v>
      </c>
      <c r="J14" s="719" t="s">
        <v>192</v>
      </c>
      <c r="K14" s="720">
        <f>SUMIF(Pessoal!$C$595:$C$682,J14,Pessoal!$P$595:$P$682)</f>
        <v>3327.71</v>
      </c>
      <c r="L14" s="718"/>
      <c r="M14" s="719" t="s">
        <v>192</v>
      </c>
      <c r="N14" s="720">
        <f>SUMIF(Pessoal!$C$300:$C$394,M14,Pessoal!$P$300:$P$394)+SUMIF(Pessoal!$C$787:$C$872,M14,Pessoal!$P$787:$P$872)</f>
        <v>19266.928</v>
      </c>
      <c r="O14" s="718"/>
    </row>
    <row r="15" spans="1:15">
      <c r="A15" s="670" t="s">
        <v>3237</v>
      </c>
      <c r="B15" s="715" t="s">
        <v>3237</v>
      </c>
      <c r="C15" s="673">
        <f t="shared" ref="C15:C20" si="2">VLOOKUP(B15,E:F,2,0)</f>
        <v>150</v>
      </c>
      <c r="E15" s="336" t="s">
        <v>3281</v>
      </c>
      <c r="F15" s="673">
        <v>0</v>
      </c>
      <c r="J15" s="719" t="s">
        <v>3308</v>
      </c>
      <c r="K15" s="720">
        <f ca="1">SUMIF(Pessoal!$C$595:$C$688,J15,Pessoal!$P$595:$P$682)</f>
        <v>0</v>
      </c>
      <c r="L15" s="718"/>
      <c r="M15" s="719" t="s">
        <v>476</v>
      </c>
      <c r="N15" s="720">
        <f>SUMIF(Pessoal!$C$300:$C$394,M15,Pessoal!$P$300:$P$394)+SUMIF(Pessoal!$C$787:$C$872,M15,Pessoal!$P$787:$P$872)</f>
        <v>15050.993600000002</v>
      </c>
      <c r="O15" s="718"/>
    </row>
    <row r="16" spans="1:15">
      <c r="A16" s="682" t="s">
        <v>3238</v>
      </c>
      <c r="B16" s="715" t="s">
        <v>3238</v>
      </c>
      <c r="C16" s="673">
        <f t="shared" si="2"/>
        <v>150</v>
      </c>
      <c r="E16" s="336" t="s">
        <v>3241</v>
      </c>
      <c r="F16" s="673">
        <v>150</v>
      </c>
      <c r="J16" s="719" t="s">
        <v>61</v>
      </c>
      <c r="K16" s="720">
        <f>SUMIF(Pessoal!$C$595:$C$682,J16,Pessoal!$P$595:$P$682)</f>
        <v>0</v>
      </c>
      <c r="L16" s="718"/>
      <c r="M16" s="719" t="s">
        <v>422</v>
      </c>
      <c r="N16" s="720">
        <f>SUMIF(Pessoal!$C$300:$C$394,M16,Pessoal!$P$300:$P$394)+SUMIF(Pessoal!$C$787:$C$872,M16,Pessoal!$P$787:$P$872)</f>
        <v>7215.9744000000001</v>
      </c>
      <c r="O16" s="718"/>
    </row>
    <row r="17" spans="1:15">
      <c r="A17" s="670" t="s">
        <v>3239</v>
      </c>
      <c r="B17" s="715" t="s">
        <v>3239</v>
      </c>
      <c r="C17" s="673">
        <f t="shared" si="2"/>
        <v>150</v>
      </c>
      <c r="E17" s="336" t="s">
        <v>1682</v>
      </c>
      <c r="F17" s="673">
        <v>0</v>
      </c>
      <c r="J17" s="719" t="s">
        <v>964</v>
      </c>
      <c r="K17" s="720">
        <f>SUMIF(Pessoal!$C$595:$C$682,J17,Pessoal!$P$595:$P$682)</f>
        <v>5520</v>
      </c>
      <c r="L17" s="718"/>
      <c r="M17" s="719" t="s">
        <v>3308</v>
      </c>
      <c r="N17" s="721">
        <f>SUMIF(Pessoal!$C$300:$C$394,M17,Pessoal!$P$300:$P$394)+SUMIF(Pessoal!$C$787:$C$872,M17,Pessoal!$P$787:$P$872)+SUMIF(Pessoal!$C$300:$C$394,"FINANCEIRO C",Pessoal!$P$300:$P$394)+SUMIF(Pessoal!$C$787:$C$872,"FINANCEIRO C",Pessoal!$P$787:$P$872)</f>
        <v>0</v>
      </c>
      <c r="O17" s="718"/>
    </row>
    <row r="18" spans="1:15">
      <c r="A18" s="682" t="s">
        <v>3240</v>
      </c>
      <c r="B18" s="715" t="s">
        <v>3240</v>
      </c>
      <c r="C18" s="673">
        <f t="shared" si="2"/>
        <v>150</v>
      </c>
      <c r="E18" s="336" t="s">
        <v>3286</v>
      </c>
      <c r="F18" s="673">
        <v>150</v>
      </c>
      <c r="J18" s="718"/>
      <c r="K18" s="699"/>
      <c r="L18" s="718"/>
      <c r="M18" s="719" t="s">
        <v>162</v>
      </c>
      <c r="N18" s="720">
        <f>SUMIF(Pessoal!$C$300:$C$394,M18,Pessoal!$P$300:$P$394)+SUMIF(Pessoal!$C$787:$C$872,M18,Pessoal!$P$787:$P$872)</f>
        <v>38629.317466999993</v>
      </c>
      <c r="O18" s="718"/>
    </row>
    <row r="19" spans="1:15">
      <c r="A19" s="682" t="s">
        <v>3241</v>
      </c>
      <c r="B19" s="715" t="s">
        <v>3241</v>
      </c>
      <c r="C19" s="673">
        <f t="shared" si="2"/>
        <v>150</v>
      </c>
      <c r="E19" s="336" t="s">
        <v>3226</v>
      </c>
      <c r="F19" s="673">
        <v>150</v>
      </c>
      <c r="J19" s="716" t="s">
        <v>75</v>
      </c>
      <c r="K19" s="717">
        <f>SUM(K20:K28)</f>
        <v>40924.639999999999</v>
      </c>
      <c r="L19" s="718"/>
      <c r="M19" s="719" t="s">
        <v>143</v>
      </c>
      <c r="N19" s="720">
        <f>SUMIF(Pessoal!$C$301:$C$394,M19,Pessoal!$P$300:$P$394)+SUMIF(Pessoal!$C$787:$C$872,M19,Pessoal!$P$787:$P$872)</f>
        <v>79946.409754249995</v>
      </c>
      <c r="O19" s="718"/>
    </row>
    <row r="20" spans="1:15">
      <c r="A20" s="682" t="s">
        <v>3242</v>
      </c>
      <c r="B20" s="715" t="s">
        <v>3242</v>
      </c>
      <c r="C20" s="673">
        <f t="shared" si="2"/>
        <v>150</v>
      </c>
      <c r="E20" s="336" t="s">
        <v>3261</v>
      </c>
      <c r="F20" s="673">
        <v>0</v>
      </c>
      <c r="J20" s="719" t="s">
        <v>192</v>
      </c>
      <c r="K20" s="720">
        <f>SUMIF(Pessoal!$C$497:$C$588,J20,Pessoal!$P$497:$P$588)</f>
        <v>7800</v>
      </c>
      <c r="L20" s="718"/>
      <c r="M20" s="719" t="s">
        <v>61</v>
      </c>
      <c r="N20" s="720">
        <f>SUMIF(Pessoal!$C$301:$C$394,M20,Pessoal!$P$300:$P$394)+SUMIF(Pessoal!$C$787:$C$872,M20,Pessoal!$P$787:$P$872)</f>
        <v>0</v>
      </c>
      <c r="O20" s="718"/>
    </row>
    <row r="21" spans="1:15">
      <c r="A21" s="683" t="s">
        <v>3243</v>
      </c>
      <c r="B21" s="722" t="e">
        <v>#N/A</v>
      </c>
      <c r="C21" s="680">
        <v>0</v>
      </c>
      <c r="E21" s="336" t="s">
        <v>3257</v>
      </c>
      <c r="F21" s="673">
        <v>150</v>
      </c>
      <c r="J21" s="719" t="s">
        <v>476</v>
      </c>
      <c r="K21" s="720">
        <f>SUMIF(Pessoal!$C$497:$C$588,J21,Pessoal!$P$497:$P$588)</f>
        <v>0</v>
      </c>
      <c r="L21" s="718"/>
      <c r="M21" s="719" t="s">
        <v>198</v>
      </c>
      <c r="N21" s="720">
        <f>SUMIF(Pessoal!$C$301:$C$394,M21,Pessoal!$P$300:$P$394)+SUMIF(Pessoal!$C$787:$C$872,M21,Pessoal!$P$787:$P$872)</f>
        <v>0</v>
      </c>
      <c r="O21" s="718"/>
    </row>
    <row r="22" spans="1:15">
      <c r="A22" s="670" t="s">
        <v>3244</v>
      </c>
      <c r="B22" s="715" t="s">
        <v>3244</v>
      </c>
      <c r="C22" s="673">
        <f t="shared" ref="C22:C25" si="3">VLOOKUP(B22,E:F,2,0)</f>
        <v>0</v>
      </c>
      <c r="E22" s="336" t="s">
        <v>3265</v>
      </c>
      <c r="F22" s="673">
        <v>0</v>
      </c>
      <c r="J22" s="719" t="s">
        <v>422</v>
      </c>
      <c r="K22" s="720">
        <f>SUMIF(Pessoal!$C$497:$C$588,J22,Pessoal!$P$497:$P$588)</f>
        <v>0</v>
      </c>
      <c r="L22" s="718"/>
      <c r="M22" s="719" t="s">
        <v>964</v>
      </c>
      <c r="N22" s="720">
        <f>SUMIF(Pessoal!$C$301:$C$394,M22,Pessoal!$P$300:$P$394)+SUMIF(Pessoal!$C$787:$C$872,M22,Pessoal!$P$787:$P$872)</f>
        <v>73041.521670000002</v>
      </c>
      <c r="O22" s="718"/>
    </row>
    <row r="23" spans="1:15">
      <c r="A23" s="670" t="s">
        <v>3245</v>
      </c>
      <c r="B23" s="715" t="s">
        <v>3245</v>
      </c>
      <c r="C23" s="673">
        <f t="shared" si="3"/>
        <v>0</v>
      </c>
      <c r="E23" s="336" t="s">
        <v>3279</v>
      </c>
      <c r="F23" s="673">
        <v>0</v>
      </c>
      <c r="J23" s="719" t="s">
        <v>3308</v>
      </c>
      <c r="K23" s="720">
        <f>SUMIF(Pessoal!$C$497:$C$588,J23,Pessoal!$P$497:$P$588)+SUMIF(Pessoal!$C$497:$C$588,"FINANCEIRO C",Pessoal!$P$497:$P$588)</f>
        <v>0</v>
      </c>
      <c r="L23" s="718"/>
      <c r="M23" s="718"/>
      <c r="N23" s="699"/>
      <c r="O23" s="718"/>
    </row>
    <row r="24" spans="1:15">
      <c r="A24" s="670" t="s">
        <v>3246</v>
      </c>
      <c r="B24" s="715" t="s">
        <v>3246</v>
      </c>
      <c r="C24" s="673">
        <f t="shared" si="3"/>
        <v>0</v>
      </c>
      <c r="E24" s="336" t="s">
        <v>3266</v>
      </c>
      <c r="F24" s="673">
        <v>0</v>
      </c>
      <c r="J24" s="719" t="s">
        <v>162</v>
      </c>
      <c r="K24" s="720">
        <f>SUMIF(Pessoal!$C$497:$C$588,J24,Pessoal!$P$497:$P$588)</f>
        <v>0</v>
      </c>
      <c r="L24" s="718"/>
      <c r="M24" s="716" t="s">
        <v>63</v>
      </c>
      <c r="N24" s="717">
        <f>SUM(N25:N33)</f>
        <v>1064498.6277433988</v>
      </c>
      <c r="O24" s="718"/>
    </row>
    <row r="25" spans="1:15">
      <c r="A25" s="670" t="s">
        <v>3247</v>
      </c>
      <c r="B25" s="715" t="s">
        <v>3247</v>
      </c>
      <c r="C25" s="673">
        <f t="shared" si="3"/>
        <v>0</v>
      </c>
      <c r="E25" s="336" t="s">
        <v>3263</v>
      </c>
      <c r="F25" s="673">
        <v>150</v>
      </c>
      <c r="J25" s="719" t="s">
        <v>143</v>
      </c>
      <c r="K25" s="720">
        <f>SUMIF(Pessoal!$C$497:$C$588,J25,Pessoal!$P$497:$P$588)</f>
        <v>7921.64</v>
      </c>
      <c r="L25" s="718"/>
      <c r="M25" s="719" t="s">
        <v>192</v>
      </c>
      <c r="N25" s="720">
        <f>SUMIF(Pessoal!$C$5:$C$94,M25,Pessoal!$P$5:$P$94)</f>
        <v>244659.93572999997</v>
      </c>
      <c r="O25" s="718"/>
    </row>
    <row r="26" spans="1:15">
      <c r="A26" s="679" t="s">
        <v>3248</v>
      </c>
      <c r="B26" s="715" t="s">
        <v>3248</v>
      </c>
      <c r="C26" s="680">
        <v>0</v>
      </c>
      <c r="E26" s="336" t="s">
        <v>3278</v>
      </c>
      <c r="F26" s="673">
        <v>0</v>
      </c>
      <c r="J26" s="719" t="s">
        <v>61</v>
      </c>
      <c r="K26" s="720">
        <f>SUMIF(Pessoal!$C$497:$C$588,J26,Pessoal!$P$497:$P$588)</f>
        <v>0</v>
      </c>
      <c r="L26" s="718"/>
      <c r="M26" s="719" t="s">
        <v>476</v>
      </c>
      <c r="N26" s="720">
        <f>SUMIF(Pessoal!$C$5:$C$94,M26,Pessoal!$P$5:$P$94)</f>
        <v>172759.65999999997</v>
      </c>
      <c r="O26" s="718"/>
    </row>
    <row r="27" spans="1:15">
      <c r="A27" s="679" t="s">
        <v>3249</v>
      </c>
      <c r="B27" s="715" t="s">
        <v>3249</v>
      </c>
      <c r="C27" s="680">
        <v>0</v>
      </c>
      <c r="E27" s="336" t="s">
        <v>3272</v>
      </c>
      <c r="F27" s="673">
        <v>0</v>
      </c>
      <c r="J27" s="719" t="s">
        <v>198</v>
      </c>
      <c r="K27" s="720">
        <f>SUMIF(Pessoal!$C$497:$C$588,J27,Pessoal!$P$497:$P$588)</f>
        <v>0</v>
      </c>
      <c r="L27" s="718"/>
      <c r="M27" s="719" t="s">
        <v>422</v>
      </c>
      <c r="N27" s="720">
        <f>SUMIF(Pessoal!$C$5:$C$94,M27,Pessoal!$P$5:$P$94)</f>
        <v>92199.679999999993</v>
      </c>
      <c r="O27" s="718"/>
    </row>
    <row r="28" spans="1:15">
      <c r="A28" s="686" t="s">
        <v>3250</v>
      </c>
      <c r="B28" s="681" t="s">
        <v>3250</v>
      </c>
      <c r="C28" s="673">
        <f t="shared" ref="C28:C31" si="4">VLOOKUP(B28,E:F,2,0)</f>
        <v>0</v>
      </c>
      <c r="E28" s="336" t="s">
        <v>3285</v>
      </c>
      <c r="F28" s="673">
        <v>0</v>
      </c>
      <c r="J28" s="719" t="s">
        <v>964</v>
      </c>
      <c r="K28" s="720">
        <f>SUMIF(Pessoal!$C$497:$C$588,J28,Pessoal!$P$497:$P$588)</f>
        <v>25203</v>
      </c>
      <c r="L28" s="718"/>
      <c r="M28" s="719" t="s">
        <v>3308</v>
      </c>
      <c r="N28" s="720">
        <f>SUMIF(Pessoal!$C$5:$C$94,M28,Pessoal!$P$5:$P$94)+SUMIF(Pessoal!$C$5:$C$94,"FINANCEIRO C",Pessoal!$P$5:$P$94)</f>
        <v>0</v>
      </c>
      <c r="O28" s="718"/>
    </row>
    <row r="29" spans="1:15">
      <c r="A29" s="686" t="s">
        <v>3251</v>
      </c>
      <c r="B29" s="336" t="s">
        <v>3251</v>
      </c>
      <c r="C29" s="673">
        <f t="shared" si="4"/>
        <v>0</v>
      </c>
      <c r="E29" s="336" t="s">
        <v>3282</v>
      </c>
      <c r="F29" s="673">
        <v>150</v>
      </c>
      <c r="J29" s="718"/>
      <c r="K29" s="699"/>
      <c r="L29" s="718"/>
      <c r="M29" s="719" t="s">
        <v>162</v>
      </c>
      <c r="N29" s="720">
        <f>SUMIF(Pessoal!$C$5:$C$94,M29,Pessoal!$P$5:$P$94)</f>
        <v>122691.38</v>
      </c>
      <c r="O29" s="718"/>
    </row>
    <row r="30" spans="1:15">
      <c r="A30" s="670" t="s">
        <v>3252</v>
      </c>
      <c r="B30" s="681" t="s">
        <v>3307</v>
      </c>
      <c r="C30" s="673">
        <f t="shared" si="4"/>
        <v>0</v>
      </c>
      <c r="E30" s="336" t="s">
        <v>669</v>
      </c>
      <c r="F30" s="673">
        <v>0</v>
      </c>
      <c r="J30" s="716" t="s">
        <v>64</v>
      </c>
      <c r="K30" s="717">
        <f>SUM(K31:K39)</f>
        <v>112255.67218876885</v>
      </c>
      <c r="L30" s="718"/>
      <c r="M30" s="719" t="s">
        <v>143</v>
      </c>
      <c r="N30" s="720">
        <f>SUMIF(Pessoal!$C$5:$C$94,M30,Pessoal!$P$5:$P$94)</f>
        <v>227373.94000000003</v>
      </c>
      <c r="O30" s="718"/>
    </row>
    <row r="31" spans="1:15">
      <c r="A31" s="670" t="s">
        <v>3253</v>
      </c>
      <c r="B31" s="715" t="s">
        <v>3253</v>
      </c>
      <c r="C31" s="673">
        <f t="shared" si="4"/>
        <v>0</v>
      </c>
      <c r="E31" s="336" t="s">
        <v>176</v>
      </c>
      <c r="F31" s="673">
        <v>0</v>
      </c>
      <c r="J31" s="719" t="s">
        <v>192</v>
      </c>
      <c r="K31" s="720">
        <f>SUMIF(Pessoal!$C$102:$C$192,J31,Pessoal!$P$102:$P$192)</f>
        <v>32651.509915714283</v>
      </c>
      <c r="L31" s="718"/>
      <c r="M31" s="719" t="s">
        <v>61</v>
      </c>
      <c r="N31" s="720">
        <f>SUMIF(Pessoal!$C$5:$C$94,M31,Pessoal!$P$5:$P$94)</f>
        <v>0</v>
      </c>
      <c r="O31" s="718"/>
    </row>
    <row r="32" spans="1:15">
      <c r="A32" s="679" t="s">
        <v>3254</v>
      </c>
      <c r="B32" s="715" t="s">
        <v>3254</v>
      </c>
      <c r="C32" s="680">
        <v>0</v>
      </c>
      <c r="E32" s="336" t="s">
        <v>178</v>
      </c>
      <c r="F32" s="673">
        <v>0</v>
      </c>
      <c r="J32" s="719" t="s">
        <v>476</v>
      </c>
      <c r="K32" s="720">
        <f>SUMIF(Pessoal!$C$102:$C$192,J32,Pessoal!$P$102:$P$192)</f>
        <v>11386.026765000001</v>
      </c>
      <c r="L32" s="718"/>
      <c r="M32" s="719" t="s">
        <v>198</v>
      </c>
      <c r="N32" s="720">
        <f>SUMIF(Pessoal!$C$5:$C$94,M32,Pessoal!$P$5:$P$94)</f>
        <v>0</v>
      </c>
      <c r="O32" s="718"/>
    </row>
    <row r="33" spans="1:15">
      <c r="A33" s="686" t="s">
        <v>3255</v>
      </c>
      <c r="B33" s="722" t="e">
        <v>#N/A</v>
      </c>
      <c r="C33" s="680">
        <v>0</v>
      </c>
      <c r="E33" s="336" t="s">
        <v>3290</v>
      </c>
      <c r="F33" s="673">
        <v>150</v>
      </c>
      <c r="J33" s="719" t="s">
        <v>422</v>
      </c>
      <c r="K33" s="720">
        <f>SUMIF(Pessoal!$C$102:$C$192,J33,Pessoal!$P$102:$P$192)</f>
        <v>5128.8076236309507</v>
      </c>
      <c r="L33" s="718"/>
      <c r="M33" s="719" t="s">
        <v>964</v>
      </c>
      <c r="N33" s="720">
        <f>SUMIF(Pessoal!$C$5:$C$94,M33,Pessoal!$P$5:$P$94)</f>
        <v>204814.03201339883</v>
      </c>
      <c r="O33" s="718"/>
    </row>
    <row r="34" spans="1:15">
      <c r="A34" s="683" t="s">
        <v>2809</v>
      </c>
      <c r="B34" s="681" t="s">
        <v>2809</v>
      </c>
      <c r="C34" s="673">
        <f t="shared" ref="C34:C43" si="5">VLOOKUP(B34,E:F,2,0)</f>
        <v>0</v>
      </c>
      <c r="E34" s="336" t="s">
        <v>3264</v>
      </c>
      <c r="F34" s="673">
        <v>0</v>
      </c>
      <c r="J34" s="719" t="s">
        <v>3308</v>
      </c>
      <c r="K34" s="720">
        <f>SUMIF(Pessoal!$C$102:$C$192,J34,Pessoal!$P$102:$P$192)+SUMIF(Pessoal!$C$102:$C$192,"FINANCEIRO C",Pessoal!$P$102:$P$192)</f>
        <v>0</v>
      </c>
      <c r="L34" s="718"/>
      <c r="M34" s="718"/>
      <c r="N34" s="699"/>
      <c r="O34" s="718"/>
    </row>
    <row r="35" spans="1:15">
      <c r="A35" s="670" t="s">
        <v>3256</v>
      </c>
      <c r="B35" s="715" t="s">
        <v>3256</v>
      </c>
      <c r="C35" s="673">
        <f t="shared" si="5"/>
        <v>0</v>
      </c>
      <c r="E35" s="336" t="s">
        <v>3240</v>
      </c>
      <c r="F35" s="673">
        <v>150</v>
      </c>
      <c r="J35" s="719" t="s">
        <v>162</v>
      </c>
      <c r="K35" s="720">
        <f>SUMIF(Pessoal!$C$102:$C$192,J35,Pessoal!$P$102:$P$192)</f>
        <v>5963.6108077341278</v>
      </c>
      <c r="L35" s="718"/>
      <c r="M35" s="718"/>
      <c r="N35" s="699"/>
      <c r="O35" s="718"/>
    </row>
    <row r="36" spans="1:15">
      <c r="A36" s="670" t="s">
        <v>3257</v>
      </c>
      <c r="B36" s="715" t="s">
        <v>3257</v>
      </c>
      <c r="C36" s="673">
        <f t="shared" si="5"/>
        <v>150</v>
      </c>
      <c r="E36" s="336" t="s">
        <v>3234</v>
      </c>
      <c r="F36" s="673">
        <v>150</v>
      </c>
      <c r="J36" s="719" t="s">
        <v>143</v>
      </c>
      <c r="K36" s="720">
        <f>SUMIF(Pessoal!$C$102:$C$192,J36,Pessoal!$P$102:$P$192)</f>
        <v>13522.309023094247</v>
      </c>
      <c r="L36" s="718"/>
      <c r="M36" s="718"/>
      <c r="N36" s="699"/>
      <c r="O36" s="718"/>
    </row>
    <row r="37" spans="1:15">
      <c r="A37" s="670" t="s">
        <v>669</v>
      </c>
      <c r="B37" s="715" t="s">
        <v>669</v>
      </c>
      <c r="C37" s="673">
        <f t="shared" si="5"/>
        <v>0</v>
      </c>
      <c r="E37" s="336" t="s">
        <v>1860</v>
      </c>
      <c r="F37" s="673">
        <v>0</v>
      </c>
      <c r="J37" s="719" t="s">
        <v>61</v>
      </c>
      <c r="K37" s="720">
        <f>SUMIF(Pessoal!$C$102:$C$192,J37,Pessoal!$P$102:$P$192)</f>
        <v>0</v>
      </c>
      <c r="L37" s="718"/>
      <c r="M37" s="718"/>
      <c r="N37" s="699"/>
      <c r="O37" s="718"/>
    </row>
    <row r="38" spans="1:15">
      <c r="A38" s="670" t="s">
        <v>176</v>
      </c>
      <c r="B38" s="715" t="s">
        <v>176</v>
      </c>
      <c r="C38" s="673">
        <f t="shared" si="5"/>
        <v>0</v>
      </c>
      <c r="E38" s="336" t="s">
        <v>3228</v>
      </c>
      <c r="F38" s="673">
        <v>150</v>
      </c>
      <c r="J38" s="719" t="s">
        <v>198</v>
      </c>
      <c r="K38" s="720">
        <f>SUMIF(Pessoal!$C$102:$C$192,J38,Pessoal!$P$102:$P$192)</f>
        <v>0</v>
      </c>
      <c r="L38" s="718"/>
      <c r="M38" s="718"/>
      <c r="N38" s="699"/>
      <c r="O38" s="718"/>
    </row>
    <row r="39" spans="1:15">
      <c r="A39" s="670" t="s">
        <v>178</v>
      </c>
      <c r="B39" s="715" t="s">
        <v>178</v>
      </c>
      <c r="C39" s="673">
        <f t="shared" si="5"/>
        <v>0</v>
      </c>
      <c r="E39" s="336" t="s">
        <v>1643</v>
      </c>
      <c r="F39" s="673">
        <v>0</v>
      </c>
      <c r="J39" s="719" t="s">
        <v>964</v>
      </c>
      <c r="K39" s="720">
        <f>SUMIF(Pessoal!$C$102:$C$192,J39,Pessoal!$P$102:$P$192)</f>
        <v>43603.408053595238</v>
      </c>
      <c r="L39" s="718"/>
      <c r="M39" s="718"/>
      <c r="N39" s="699"/>
      <c r="O39" s="718"/>
    </row>
    <row r="40" spans="1:15">
      <c r="A40" s="670" t="s">
        <v>3258</v>
      </c>
      <c r="B40" s="715" t="s">
        <v>3258</v>
      </c>
      <c r="C40" s="673">
        <f t="shared" si="5"/>
        <v>0</v>
      </c>
      <c r="E40" s="336" t="s">
        <v>3258</v>
      </c>
      <c r="F40" s="673">
        <v>0</v>
      </c>
      <c r="J40" s="718"/>
      <c r="K40" s="699"/>
      <c r="L40" s="718"/>
      <c r="M40" s="718"/>
      <c r="N40" s="699"/>
      <c r="O40" s="718"/>
    </row>
    <row r="41" spans="1:15">
      <c r="A41" s="670" t="s">
        <v>3259</v>
      </c>
      <c r="B41" s="715" t="s">
        <v>3259</v>
      </c>
      <c r="C41" s="673">
        <f t="shared" si="5"/>
        <v>0</v>
      </c>
      <c r="E41" s="336" t="s">
        <v>3274</v>
      </c>
      <c r="F41" s="673">
        <v>0</v>
      </c>
      <c r="J41" s="718"/>
      <c r="K41" s="699"/>
      <c r="L41" s="718"/>
      <c r="M41" s="718"/>
      <c r="N41" s="699"/>
      <c r="O41" s="718"/>
    </row>
    <row r="42" spans="1:15">
      <c r="A42" s="670" t="s">
        <v>3260</v>
      </c>
      <c r="B42" s="715" t="s">
        <v>3260</v>
      </c>
      <c r="C42" s="673">
        <f t="shared" si="5"/>
        <v>0</v>
      </c>
      <c r="E42" s="336" t="s">
        <v>523</v>
      </c>
      <c r="F42" s="673">
        <v>0</v>
      </c>
      <c r="J42" s="718"/>
      <c r="K42" s="699"/>
      <c r="L42" s="718"/>
      <c r="M42" s="718"/>
      <c r="N42" s="699"/>
      <c r="O42" s="718"/>
    </row>
    <row r="43" spans="1:15">
      <c r="A43" s="670" t="s">
        <v>3261</v>
      </c>
      <c r="B43" s="715" t="s">
        <v>3261</v>
      </c>
      <c r="C43" s="673">
        <f t="shared" si="5"/>
        <v>0</v>
      </c>
      <c r="E43" s="336" t="s">
        <v>3310</v>
      </c>
      <c r="F43" s="673">
        <v>0</v>
      </c>
      <c r="J43" s="718"/>
      <c r="K43" s="699"/>
      <c r="L43" s="718"/>
      <c r="M43" s="718"/>
      <c r="N43" s="699"/>
      <c r="O43" s="718"/>
    </row>
    <row r="44" spans="1:15">
      <c r="A44" s="679" t="s">
        <v>3262</v>
      </c>
      <c r="B44" s="715" t="s">
        <v>3262</v>
      </c>
      <c r="C44" s="680">
        <v>0</v>
      </c>
      <c r="E44" s="336" t="s">
        <v>186</v>
      </c>
      <c r="F44" s="673">
        <v>0</v>
      </c>
      <c r="J44" s="718"/>
      <c r="K44" s="699"/>
      <c r="L44" s="718"/>
      <c r="M44" s="718"/>
      <c r="N44" s="699"/>
      <c r="O44" s="718"/>
    </row>
    <row r="45" spans="1:15">
      <c r="A45" s="687" t="s">
        <v>3263</v>
      </c>
      <c r="B45" s="715" t="s">
        <v>3263</v>
      </c>
      <c r="C45" s="673">
        <f t="shared" ref="C45:C50" si="6">VLOOKUP(B45,E:F,2,0)</f>
        <v>150</v>
      </c>
      <c r="E45" s="336" t="s">
        <v>3309</v>
      </c>
      <c r="F45" s="673">
        <v>0</v>
      </c>
      <c r="J45" s="718"/>
      <c r="K45" s="699"/>
      <c r="L45" s="718"/>
      <c r="M45" s="718"/>
      <c r="N45" s="699"/>
      <c r="O45" s="718"/>
    </row>
    <row r="46" spans="1:15">
      <c r="A46" s="670" t="s">
        <v>3264</v>
      </c>
      <c r="B46" s="715" t="s">
        <v>3264</v>
      </c>
      <c r="C46" s="673">
        <f t="shared" si="6"/>
        <v>0</v>
      </c>
      <c r="E46" s="336" t="s">
        <v>3245</v>
      </c>
      <c r="F46" s="673">
        <v>0</v>
      </c>
      <c r="J46" s="718"/>
      <c r="K46" s="718"/>
      <c r="L46" s="718"/>
      <c r="M46" s="718"/>
      <c r="N46" s="699"/>
      <c r="O46" s="718"/>
    </row>
    <row r="47" spans="1:15">
      <c r="A47" s="670" t="s">
        <v>1860</v>
      </c>
      <c r="B47" s="715" t="s">
        <v>1860</v>
      </c>
      <c r="C47" s="673">
        <f t="shared" si="6"/>
        <v>0</v>
      </c>
      <c r="E47" s="336" t="s">
        <v>2791</v>
      </c>
      <c r="F47" s="673">
        <v>0</v>
      </c>
      <c r="J47" s="718"/>
      <c r="K47" s="718"/>
      <c r="L47" s="718"/>
      <c r="M47" s="718"/>
      <c r="N47" s="699"/>
      <c r="O47" s="718"/>
    </row>
    <row r="48" spans="1:15">
      <c r="A48" s="670" t="s">
        <v>186</v>
      </c>
      <c r="B48" s="715" t="s">
        <v>186</v>
      </c>
      <c r="C48" s="673">
        <f t="shared" si="6"/>
        <v>0</v>
      </c>
      <c r="E48" s="336" t="s">
        <v>3231</v>
      </c>
      <c r="F48" s="673">
        <v>0</v>
      </c>
      <c r="J48" s="718"/>
      <c r="K48" s="699"/>
      <c r="L48" s="718"/>
      <c r="M48" s="718"/>
      <c r="N48" s="699"/>
      <c r="O48" s="718"/>
    </row>
    <row r="49" spans="1:15">
      <c r="A49" s="683" t="s">
        <v>3265</v>
      </c>
      <c r="B49" s="715" t="s">
        <v>3265</v>
      </c>
      <c r="C49" s="673">
        <f t="shared" si="6"/>
        <v>0</v>
      </c>
      <c r="E49" s="336" t="s">
        <v>3259</v>
      </c>
      <c r="F49" s="673">
        <v>0</v>
      </c>
      <c r="J49" s="718"/>
      <c r="K49" s="699"/>
      <c r="L49" s="718"/>
      <c r="M49" s="718"/>
      <c r="N49" s="699"/>
      <c r="O49" s="718"/>
    </row>
    <row r="50" spans="1:15">
      <c r="A50" s="670" t="s">
        <v>3266</v>
      </c>
      <c r="B50" s="715" t="s">
        <v>3266</v>
      </c>
      <c r="C50" s="673">
        <f t="shared" si="6"/>
        <v>0</v>
      </c>
      <c r="E50" s="336" t="s">
        <v>3246</v>
      </c>
      <c r="F50" s="673">
        <v>0</v>
      </c>
      <c r="J50" s="718"/>
      <c r="K50" s="699"/>
      <c r="L50" s="718"/>
      <c r="M50" s="718"/>
      <c r="N50" s="699"/>
      <c r="O50" s="718"/>
    </row>
    <row r="51" spans="1:15">
      <c r="A51" s="679" t="s">
        <v>3267</v>
      </c>
      <c r="B51" s="681" t="s">
        <v>3299</v>
      </c>
      <c r="C51" s="680">
        <v>0</v>
      </c>
      <c r="E51" s="336" t="s">
        <v>3251</v>
      </c>
      <c r="F51" s="673">
        <v>0</v>
      </c>
      <c r="J51" s="718"/>
      <c r="K51" s="699"/>
      <c r="L51" s="718"/>
      <c r="M51" s="718"/>
      <c r="N51" s="699"/>
      <c r="O51" s="718"/>
    </row>
    <row r="52" spans="1:15">
      <c r="A52" s="670" t="s">
        <v>523</v>
      </c>
      <c r="B52" s="715" t="s">
        <v>523</v>
      </c>
      <c r="C52" s="673">
        <f t="shared" ref="C52:C58" si="7">VLOOKUP(B52,E:F,2,0)</f>
        <v>0</v>
      </c>
      <c r="E52" s="336" t="s">
        <v>3247</v>
      </c>
      <c r="F52" s="673">
        <v>0</v>
      </c>
      <c r="J52" s="718"/>
      <c r="K52" s="699"/>
      <c r="L52" s="718"/>
      <c r="M52" s="718"/>
      <c r="N52" s="699"/>
      <c r="O52" s="718"/>
    </row>
    <row r="53" spans="1:15">
      <c r="A53" s="670" t="s">
        <v>2791</v>
      </c>
      <c r="B53" s="715" t="s">
        <v>2791</v>
      </c>
      <c r="C53" s="673">
        <f t="shared" si="7"/>
        <v>0</v>
      </c>
      <c r="E53" s="723" t="s">
        <v>3232</v>
      </c>
      <c r="F53" s="673">
        <v>150</v>
      </c>
      <c r="J53" s="718"/>
      <c r="K53" s="699"/>
      <c r="L53" s="718"/>
      <c r="M53" s="718"/>
      <c r="N53" s="699"/>
      <c r="O53" s="718"/>
    </row>
    <row r="54" spans="1:15">
      <c r="A54" s="689" t="s">
        <v>3268</v>
      </c>
      <c r="B54" s="715" t="s">
        <v>3268</v>
      </c>
      <c r="C54" s="673">
        <f t="shared" si="7"/>
        <v>0</v>
      </c>
      <c r="E54" s="336" t="s">
        <v>3237</v>
      </c>
      <c r="F54" s="673">
        <v>150</v>
      </c>
      <c r="J54" s="718"/>
      <c r="K54" s="699"/>
      <c r="L54" s="718"/>
      <c r="M54" s="718"/>
      <c r="N54" s="699"/>
      <c r="O54" s="718"/>
    </row>
    <row r="55" spans="1:15">
      <c r="A55" s="683" t="s">
        <v>3269</v>
      </c>
      <c r="B55" s="336" t="s">
        <v>3269</v>
      </c>
      <c r="C55" s="673">
        <f t="shared" si="7"/>
        <v>0</v>
      </c>
      <c r="E55" s="336" t="s">
        <v>3291</v>
      </c>
      <c r="F55" s="673">
        <v>150</v>
      </c>
      <c r="J55" s="718"/>
      <c r="K55" s="699"/>
      <c r="L55" s="718"/>
      <c r="M55" s="718"/>
      <c r="N55" s="699"/>
      <c r="O55" s="718"/>
    </row>
    <row r="56" spans="1:15">
      <c r="A56" s="690" t="s">
        <v>3270</v>
      </c>
      <c r="B56" s="681" t="s">
        <v>144</v>
      </c>
      <c r="C56" s="673">
        <f t="shared" si="7"/>
        <v>0</v>
      </c>
      <c r="E56" s="336" t="s">
        <v>3311</v>
      </c>
      <c r="F56" s="673">
        <v>90</v>
      </c>
      <c r="J56" s="718"/>
      <c r="K56" s="699"/>
      <c r="L56" s="718"/>
      <c r="M56" s="718"/>
      <c r="N56" s="699"/>
      <c r="O56" s="718"/>
    </row>
    <row r="57" spans="1:15">
      <c r="A57" s="690" t="s">
        <v>3271</v>
      </c>
      <c r="B57" s="715" t="s">
        <v>3271</v>
      </c>
      <c r="C57" s="673">
        <f t="shared" si="7"/>
        <v>0</v>
      </c>
      <c r="E57" s="336" t="s">
        <v>3238</v>
      </c>
      <c r="F57" s="673">
        <v>150</v>
      </c>
      <c r="J57" s="718"/>
      <c r="K57" s="699"/>
      <c r="L57" s="718"/>
      <c r="M57" s="718"/>
      <c r="N57" s="699"/>
      <c r="O57" s="718"/>
    </row>
    <row r="58" spans="1:15">
      <c r="A58" s="690" t="s">
        <v>3272</v>
      </c>
      <c r="B58" s="715" t="s">
        <v>3272</v>
      </c>
      <c r="C58" s="673">
        <f t="shared" si="7"/>
        <v>0</v>
      </c>
      <c r="E58" s="336" t="s">
        <v>3269</v>
      </c>
      <c r="F58" s="673">
        <v>0</v>
      </c>
      <c r="J58" s="718"/>
      <c r="K58" s="699"/>
      <c r="L58" s="718"/>
      <c r="M58" s="718"/>
      <c r="N58" s="699"/>
      <c r="O58" s="718"/>
    </row>
    <row r="59" spans="1:15">
      <c r="A59" s="691" t="s">
        <v>3273</v>
      </c>
      <c r="B59" s="715" t="s">
        <v>3273</v>
      </c>
      <c r="C59" s="680">
        <v>0</v>
      </c>
      <c r="E59" s="336" t="s">
        <v>3276</v>
      </c>
      <c r="F59" s="673">
        <v>0</v>
      </c>
      <c r="J59" s="718"/>
      <c r="K59" s="699"/>
      <c r="L59" s="718"/>
      <c r="M59" s="718"/>
      <c r="N59" s="699"/>
      <c r="O59" s="718"/>
    </row>
    <row r="60" spans="1:15">
      <c r="A60" s="690" t="s">
        <v>1643</v>
      </c>
      <c r="B60" s="715" t="s">
        <v>1643</v>
      </c>
      <c r="C60" s="673">
        <f t="shared" ref="C60:C66" si="8">VLOOKUP(B60,E:F,2,0)</f>
        <v>0</v>
      </c>
      <c r="E60" s="723" t="s">
        <v>224</v>
      </c>
      <c r="F60" s="673">
        <v>150</v>
      </c>
      <c r="J60" s="718"/>
      <c r="K60" s="699"/>
      <c r="L60" s="718"/>
      <c r="M60" s="718"/>
      <c r="N60" s="699"/>
      <c r="O60" s="718"/>
    </row>
    <row r="61" spans="1:15">
      <c r="A61" s="690" t="s">
        <v>3274</v>
      </c>
      <c r="B61" s="715" t="s">
        <v>3274</v>
      </c>
      <c r="C61" s="673">
        <f t="shared" si="8"/>
        <v>0</v>
      </c>
      <c r="E61" s="336" t="s">
        <v>190</v>
      </c>
      <c r="F61" s="673">
        <v>0</v>
      </c>
      <c r="J61" s="718"/>
      <c r="K61" s="699"/>
      <c r="L61" s="718"/>
      <c r="M61" s="718"/>
      <c r="N61" s="699"/>
      <c r="O61" s="718"/>
    </row>
    <row r="62" spans="1:15">
      <c r="A62" s="692" t="s">
        <v>3275</v>
      </c>
      <c r="B62" s="681" t="s">
        <v>3310</v>
      </c>
      <c r="C62" s="673">
        <f t="shared" si="8"/>
        <v>0</v>
      </c>
      <c r="E62" s="336" t="s">
        <v>3253</v>
      </c>
      <c r="F62" s="673">
        <v>0</v>
      </c>
      <c r="J62" s="718"/>
      <c r="K62" s="699"/>
      <c r="L62" s="718"/>
      <c r="M62" s="718"/>
      <c r="N62" s="699"/>
      <c r="O62" s="718"/>
    </row>
    <row r="63" spans="1:15">
      <c r="A63" s="690" t="s">
        <v>3276</v>
      </c>
      <c r="B63" s="715" t="s">
        <v>3276</v>
      </c>
      <c r="C63" s="673">
        <f t="shared" si="8"/>
        <v>0</v>
      </c>
      <c r="E63" s="336" t="s">
        <v>3239</v>
      </c>
      <c r="F63" s="673">
        <v>150</v>
      </c>
      <c r="J63" s="718"/>
      <c r="K63" s="699"/>
      <c r="L63" s="718"/>
      <c r="M63" s="718"/>
      <c r="N63" s="699"/>
      <c r="O63" s="718"/>
    </row>
    <row r="64" spans="1:15">
      <c r="A64" s="690" t="s">
        <v>3277</v>
      </c>
      <c r="B64" s="715" t="s">
        <v>3277</v>
      </c>
      <c r="C64" s="673">
        <f t="shared" si="8"/>
        <v>0</v>
      </c>
      <c r="E64" s="336" t="s">
        <v>3293</v>
      </c>
      <c r="F64" s="673">
        <v>150</v>
      </c>
      <c r="J64" s="718"/>
      <c r="K64" s="699"/>
      <c r="L64" s="718"/>
      <c r="M64" s="718"/>
      <c r="N64" s="699"/>
      <c r="O64" s="718"/>
    </row>
    <row r="65" spans="1:15">
      <c r="A65" s="683" t="s">
        <v>3278</v>
      </c>
      <c r="B65" s="681" t="s">
        <v>3278</v>
      </c>
      <c r="C65" s="673">
        <f t="shared" si="8"/>
        <v>0</v>
      </c>
      <c r="E65" s="336" t="s">
        <v>3260</v>
      </c>
      <c r="F65" s="673">
        <v>0</v>
      </c>
      <c r="J65" s="718"/>
      <c r="K65" s="699"/>
      <c r="L65" s="718"/>
      <c r="M65" s="718"/>
      <c r="N65" s="699"/>
      <c r="O65" s="718"/>
    </row>
    <row r="66" spans="1:15">
      <c r="A66" s="683" t="s">
        <v>3279</v>
      </c>
      <c r="B66" s="681" t="s">
        <v>3279</v>
      </c>
      <c r="C66" s="673">
        <f t="shared" si="8"/>
        <v>0</v>
      </c>
      <c r="E66" s="336" t="s">
        <v>3268</v>
      </c>
      <c r="F66" s="673">
        <v>0</v>
      </c>
      <c r="J66" s="718"/>
      <c r="K66" s="699"/>
      <c r="L66" s="718"/>
      <c r="M66" s="718"/>
      <c r="N66" s="699"/>
      <c r="O66" s="718"/>
    </row>
    <row r="67" spans="1:15">
      <c r="A67" s="679" t="s">
        <v>3280</v>
      </c>
      <c r="B67" s="715" t="s">
        <v>3280</v>
      </c>
      <c r="C67" s="680">
        <v>0</v>
      </c>
      <c r="E67" s="336" t="s">
        <v>3283</v>
      </c>
      <c r="F67" s="673">
        <v>150</v>
      </c>
      <c r="J67" s="718"/>
      <c r="K67" s="699"/>
      <c r="L67" s="718"/>
      <c r="M67" s="718"/>
      <c r="N67" s="699"/>
      <c r="O67" s="718"/>
    </row>
    <row r="68" spans="1:15">
      <c r="A68" s="670" t="s">
        <v>3281</v>
      </c>
      <c r="B68" s="715" t="s">
        <v>3281</v>
      </c>
      <c r="C68" s="673">
        <f t="shared" ref="C68:C70" si="9">VLOOKUP(B68,E:F,2,0)</f>
        <v>0</v>
      </c>
      <c r="E68" s="336" t="s">
        <v>3233</v>
      </c>
      <c r="F68" s="673">
        <v>150</v>
      </c>
      <c r="J68" s="718"/>
      <c r="K68" s="699"/>
      <c r="L68" s="718"/>
      <c r="M68" s="718"/>
      <c r="N68" s="699"/>
      <c r="O68" s="718"/>
    </row>
    <row r="69" spans="1:15">
      <c r="A69" s="670" t="s">
        <v>3282</v>
      </c>
      <c r="B69" s="715" t="s">
        <v>3282</v>
      </c>
      <c r="C69" s="673">
        <f t="shared" si="9"/>
        <v>150</v>
      </c>
      <c r="E69" s="336" t="s">
        <v>3312</v>
      </c>
      <c r="F69" s="673">
        <v>150</v>
      </c>
      <c r="J69" s="718"/>
      <c r="K69" s="699"/>
      <c r="L69" s="718"/>
      <c r="M69" s="718"/>
      <c r="N69" s="699"/>
      <c r="O69" s="718"/>
    </row>
    <row r="70" spans="1:15">
      <c r="A70" s="670" t="s">
        <v>3283</v>
      </c>
      <c r="B70" s="715" t="s">
        <v>3283</v>
      </c>
      <c r="C70" s="673">
        <f t="shared" si="9"/>
        <v>150</v>
      </c>
      <c r="F70" s="673"/>
      <c r="J70" s="718"/>
      <c r="K70" s="699"/>
      <c r="L70" s="718"/>
      <c r="M70" s="718"/>
      <c r="N70" s="699"/>
      <c r="O70" s="718"/>
    </row>
    <row r="71" spans="1:15">
      <c r="A71" s="679" t="s">
        <v>3284</v>
      </c>
      <c r="B71" s="681" t="s">
        <v>3298</v>
      </c>
      <c r="C71" s="680">
        <v>0</v>
      </c>
      <c r="F71" s="673"/>
      <c r="J71" s="718"/>
      <c r="K71" s="699"/>
      <c r="L71" s="718"/>
      <c r="M71" s="718"/>
      <c r="N71" s="699"/>
      <c r="O71" s="718"/>
    </row>
    <row r="72" spans="1:15">
      <c r="A72" s="670" t="s">
        <v>3285</v>
      </c>
      <c r="B72" s="715" t="s">
        <v>3285</v>
      </c>
      <c r="C72" s="673">
        <f t="shared" ref="C72:C73" si="10">VLOOKUP(B72,E:F,2,0)</f>
        <v>0</v>
      </c>
      <c r="F72" s="673"/>
      <c r="J72" s="718"/>
      <c r="K72" s="699"/>
      <c r="L72" s="718"/>
      <c r="M72" s="718"/>
      <c r="N72" s="699"/>
      <c r="O72" s="718"/>
    </row>
    <row r="73" spans="1:15">
      <c r="A73" s="686" t="s">
        <v>3286</v>
      </c>
      <c r="B73" s="715" t="s">
        <v>3286</v>
      </c>
      <c r="C73" s="673">
        <f t="shared" si="10"/>
        <v>150</v>
      </c>
      <c r="F73" s="673"/>
      <c r="J73" s="718"/>
      <c r="K73" s="699"/>
      <c r="L73" s="718"/>
      <c r="M73" s="718"/>
      <c r="N73" s="699"/>
      <c r="O73" s="718"/>
    </row>
    <row r="74" spans="1:15">
      <c r="A74" s="679" t="s">
        <v>3287</v>
      </c>
      <c r="B74" s="715" t="s">
        <v>3287</v>
      </c>
      <c r="C74" s="680">
        <v>0</v>
      </c>
      <c r="F74" s="673"/>
      <c r="J74" s="718"/>
      <c r="K74" s="699"/>
      <c r="L74" s="718"/>
      <c r="M74" s="718"/>
      <c r="N74" s="699"/>
      <c r="O74" s="718"/>
    </row>
    <row r="75" spans="1:15">
      <c r="A75" s="670" t="s">
        <v>3288</v>
      </c>
      <c r="B75" s="715" t="s">
        <v>3288</v>
      </c>
      <c r="C75" s="673">
        <f t="shared" ref="C75:C82" si="11">VLOOKUP(B75,E:F,2,0)</f>
        <v>0</v>
      </c>
      <c r="F75" s="673"/>
      <c r="J75" s="718"/>
      <c r="K75" s="699"/>
      <c r="L75" s="718"/>
      <c r="M75" s="718"/>
      <c r="N75" s="699"/>
      <c r="O75" s="718"/>
    </row>
    <row r="76" spans="1:15">
      <c r="A76" s="670" t="s">
        <v>3289</v>
      </c>
      <c r="B76" s="715" t="s">
        <v>3289</v>
      </c>
      <c r="C76" s="673">
        <f t="shared" si="11"/>
        <v>0</v>
      </c>
      <c r="F76" s="673"/>
      <c r="J76" s="718"/>
      <c r="K76" s="699"/>
      <c r="L76" s="718"/>
      <c r="M76" s="718"/>
      <c r="N76" s="699"/>
      <c r="O76" s="718"/>
    </row>
    <row r="77" spans="1:15">
      <c r="A77" s="690" t="s">
        <v>1682</v>
      </c>
      <c r="B77" s="715" t="s">
        <v>1682</v>
      </c>
      <c r="C77" s="673">
        <f t="shared" si="11"/>
        <v>0</v>
      </c>
      <c r="F77" s="715"/>
      <c r="J77" s="718"/>
      <c r="K77" s="699"/>
      <c r="L77" s="718"/>
      <c r="M77" s="718"/>
      <c r="N77" s="699"/>
      <c r="O77" s="718"/>
    </row>
    <row r="78" spans="1:15">
      <c r="A78" s="690" t="s">
        <v>3290</v>
      </c>
      <c r="B78" s="715" t="s">
        <v>3290</v>
      </c>
      <c r="C78" s="673">
        <f t="shared" si="11"/>
        <v>150</v>
      </c>
      <c r="F78" s="715"/>
      <c r="J78" s="718"/>
      <c r="K78" s="699"/>
      <c r="L78" s="718"/>
      <c r="M78" s="718"/>
      <c r="N78" s="699"/>
      <c r="O78" s="718"/>
    </row>
    <row r="79" spans="1:15">
      <c r="A79" s="690" t="s">
        <v>3291</v>
      </c>
      <c r="B79" s="715" t="s">
        <v>3291</v>
      </c>
      <c r="C79" s="673">
        <f t="shared" si="11"/>
        <v>150</v>
      </c>
      <c r="F79" s="715"/>
      <c r="J79" s="718"/>
      <c r="K79" s="699"/>
      <c r="L79" s="718"/>
      <c r="M79" s="718"/>
      <c r="N79" s="699"/>
      <c r="O79" s="718"/>
    </row>
    <row r="80" spans="1:15">
      <c r="A80" s="690" t="s">
        <v>3292</v>
      </c>
      <c r="B80" s="681" t="s">
        <v>3311</v>
      </c>
      <c r="C80" s="673">
        <f t="shared" si="11"/>
        <v>90</v>
      </c>
      <c r="F80" s="715"/>
      <c r="J80" s="718"/>
      <c r="K80" s="699"/>
      <c r="L80" s="718"/>
      <c r="M80" s="718"/>
      <c r="N80" s="699"/>
      <c r="O80" s="718"/>
    </row>
    <row r="81" spans="1:15">
      <c r="A81" s="690" t="s">
        <v>3293</v>
      </c>
      <c r="B81" s="715" t="s">
        <v>3293</v>
      </c>
      <c r="C81" s="673">
        <f t="shared" si="11"/>
        <v>150</v>
      </c>
      <c r="F81" s="715"/>
      <c r="J81" s="718"/>
      <c r="K81" s="699"/>
      <c r="L81" s="718"/>
      <c r="M81" s="718"/>
      <c r="N81" s="699"/>
      <c r="O81" s="718"/>
    </row>
    <row r="82" spans="1:15">
      <c r="A82" s="690" t="s">
        <v>3294</v>
      </c>
      <c r="B82" s="681" t="s">
        <v>3312</v>
      </c>
      <c r="C82" s="673">
        <f t="shared" si="11"/>
        <v>150</v>
      </c>
      <c r="F82" s="715"/>
      <c r="J82" s="718"/>
      <c r="K82" s="699"/>
      <c r="L82" s="718"/>
      <c r="M82" s="718"/>
      <c r="N82" s="699"/>
      <c r="O82" s="718"/>
    </row>
    <row r="83" spans="1:15">
      <c r="B83" s="715"/>
      <c r="F83" s="715"/>
      <c r="J83" s="718"/>
      <c r="K83" s="699"/>
      <c r="L83" s="718"/>
      <c r="M83" s="718"/>
      <c r="N83" s="699"/>
      <c r="O83" s="718"/>
    </row>
    <row r="84" spans="1:15">
      <c r="B84" s="715"/>
      <c r="F84" s="715"/>
      <c r="J84" s="718"/>
      <c r="K84" s="699"/>
      <c r="L84" s="718"/>
      <c r="M84" s="718"/>
      <c r="N84" s="699"/>
      <c r="O84" s="718"/>
    </row>
    <row r="85" spans="1:15">
      <c r="B85" s="715"/>
      <c r="F85" s="715"/>
      <c r="J85" s="718"/>
      <c r="K85" s="699"/>
      <c r="L85" s="718"/>
      <c r="M85" s="718"/>
      <c r="N85" s="699"/>
      <c r="O85" s="718"/>
    </row>
    <row r="86" spans="1:15">
      <c r="B86" s="715"/>
      <c r="F86" s="715"/>
      <c r="J86" s="718"/>
      <c r="K86" s="699"/>
      <c r="L86" s="718"/>
      <c r="M86" s="718"/>
      <c r="N86" s="699"/>
      <c r="O86" s="718"/>
    </row>
    <row r="87" spans="1:15">
      <c r="B87" s="715"/>
      <c r="F87" s="715"/>
      <c r="J87" s="718"/>
      <c r="K87" s="699"/>
      <c r="L87" s="718"/>
      <c r="M87" s="718"/>
      <c r="N87" s="699"/>
      <c r="O87" s="718"/>
    </row>
    <row r="88" spans="1:15">
      <c r="B88" s="715"/>
      <c r="F88" s="715"/>
      <c r="J88" s="718"/>
      <c r="K88" s="699"/>
      <c r="L88" s="718"/>
      <c r="M88" s="718"/>
      <c r="N88" s="699"/>
      <c r="O88" s="718"/>
    </row>
    <row r="89" spans="1:15">
      <c r="B89" s="715"/>
      <c r="F89" s="715"/>
      <c r="J89" s="718"/>
      <c r="K89" s="699"/>
      <c r="L89" s="718"/>
      <c r="M89" s="718"/>
      <c r="N89" s="699"/>
      <c r="O89" s="718"/>
    </row>
    <row r="90" spans="1:15">
      <c r="B90" s="715"/>
      <c r="F90" s="715"/>
      <c r="J90" s="718"/>
      <c r="K90" s="699"/>
      <c r="L90" s="718"/>
      <c r="M90" s="718"/>
      <c r="N90" s="699"/>
      <c r="O90" s="718"/>
    </row>
    <row r="91" spans="1:15">
      <c r="B91" s="715"/>
      <c r="F91" s="715"/>
      <c r="J91" s="718"/>
      <c r="K91" s="699"/>
      <c r="L91" s="718"/>
      <c r="M91" s="718"/>
      <c r="N91" s="699"/>
      <c r="O91" s="718"/>
    </row>
    <row r="92" spans="1:15">
      <c r="B92" s="715"/>
      <c r="F92" s="715"/>
      <c r="J92" s="718"/>
      <c r="K92" s="699"/>
      <c r="L92" s="718"/>
      <c r="M92" s="718"/>
      <c r="N92" s="699"/>
      <c r="O92" s="718"/>
    </row>
    <row r="93" spans="1:15">
      <c r="B93" s="715"/>
      <c r="F93" s="715"/>
      <c r="J93" s="718"/>
      <c r="K93" s="699"/>
      <c r="L93" s="718"/>
      <c r="M93" s="718"/>
      <c r="N93" s="699"/>
      <c r="O93" s="718"/>
    </row>
    <row r="94" spans="1:15">
      <c r="B94" s="715"/>
      <c r="F94" s="715"/>
      <c r="J94" s="718"/>
      <c r="K94" s="699"/>
      <c r="L94" s="718"/>
      <c r="M94" s="718"/>
      <c r="N94" s="699"/>
      <c r="O94" s="718"/>
    </row>
    <row r="95" spans="1:15">
      <c r="B95" s="715"/>
      <c r="F95" s="715"/>
      <c r="J95" s="718"/>
      <c r="K95" s="699"/>
      <c r="L95" s="718"/>
      <c r="M95" s="718"/>
      <c r="N95" s="699"/>
      <c r="O95" s="718"/>
    </row>
    <row r="96" spans="1:15">
      <c r="B96" s="715"/>
      <c r="F96" s="715"/>
      <c r="J96" s="718"/>
      <c r="K96" s="699"/>
      <c r="L96" s="718"/>
      <c r="M96" s="718"/>
      <c r="N96" s="699"/>
      <c r="O96" s="718"/>
    </row>
    <row r="97" spans="2:15">
      <c r="B97" s="715"/>
      <c r="F97" s="715"/>
      <c r="J97" s="718"/>
      <c r="K97" s="699"/>
      <c r="L97" s="718"/>
      <c r="M97" s="718"/>
      <c r="N97" s="699"/>
      <c r="O97" s="718"/>
    </row>
    <row r="98" spans="2:15">
      <c r="B98" s="715"/>
      <c r="F98" s="715"/>
      <c r="J98" s="718"/>
      <c r="K98" s="699"/>
      <c r="L98" s="718"/>
      <c r="M98" s="718"/>
      <c r="N98" s="699"/>
      <c r="O98" s="718"/>
    </row>
    <row r="99" spans="2:15">
      <c r="B99" s="715"/>
      <c r="F99" s="715"/>
      <c r="J99" s="718"/>
      <c r="K99" s="699"/>
      <c r="L99" s="718"/>
      <c r="M99" s="718"/>
      <c r="N99" s="699"/>
      <c r="O99" s="718"/>
    </row>
    <row r="100" spans="2:15">
      <c r="B100" s="715"/>
      <c r="F100" s="715"/>
      <c r="J100" s="718"/>
      <c r="K100" s="699"/>
      <c r="L100" s="718"/>
      <c r="M100" s="718"/>
      <c r="N100" s="699"/>
      <c r="O100" s="718"/>
    </row>
    <row r="101" spans="2:15">
      <c r="B101" s="715"/>
      <c r="F101" s="715"/>
      <c r="J101" s="718"/>
      <c r="K101" s="699"/>
      <c r="L101" s="718"/>
      <c r="M101" s="718"/>
      <c r="N101" s="699"/>
      <c r="O101" s="718"/>
    </row>
    <row r="102" spans="2:15">
      <c r="B102" s="715"/>
      <c r="F102" s="715"/>
      <c r="J102" s="718"/>
      <c r="K102" s="699"/>
      <c r="L102" s="718"/>
      <c r="M102" s="718"/>
      <c r="N102" s="699"/>
      <c r="O102" s="718"/>
    </row>
    <row r="103" spans="2:15">
      <c r="B103" s="715"/>
      <c r="F103" s="715"/>
      <c r="J103" s="718"/>
      <c r="K103" s="699"/>
      <c r="L103" s="718"/>
      <c r="M103" s="718"/>
      <c r="N103" s="699"/>
      <c r="O103" s="718"/>
    </row>
    <row r="104" spans="2:15">
      <c r="B104" s="715"/>
      <c r="F104" s="715"/>
      <c r="J104" s="718"/>
      <c r="K104" s="699"/>
      <c r="L104" s="718"/>
      <c r="M104" s="718"/>
      <c r="N104" s="699"/>
      <c r="O104" s="718"/>
    </row>
    <row r="105" spans="2:15">
      <c r="B105" s="715"/>
      <c r="F105" s="715"/>
      <c r="J105" s="718"/>
      <c r="K105" s="699"/>
      <c r="L105" s="718"/>
      <c r="M105" s="718"/>
      <c r="N105" s="699"/>
      <c r="O105" s="718"/>
    </row>
    <row r="106" spans="2:15">
      <c r="B106" s="715"/>
      <c r="F106" s="715"/>
      <c r="J106" s="718"/>
      <c r="K106" s="699"/>
      <c r="L106" s="718"/>
      <c r="M106" s="718"/>
      <c r="N106" s="699"/>
      <c r="O106" s="718"/>
    </row>
    <row r="107" spans="2:15">
      <c r="B107" s="715"/>
      <c r="F107" s="715"/>
      <c r="J107" s="718"/>
      <c r="K107" s="699"/>
      <c r="L107" s="718"/>
      <c r="M107" s="718"/>
      <c r="N107" s="699"/>
      <c r="O107" s="718"/>
    </row>
    <row r="108" spans="2:15">
      <c r="B108" s="715"/>
      <c r="F108" s="715"/>
      <c r="J108" s="718"/>
      <c r="K108" s="699"/>
      <c r="L108" s="718"/>
      <c r="M108" s="718"/>
      <c r="N108" s="699"/>
      <c r="O108" s="718"/>
    </row>
    <row r="109" spans="2:15">
      <c r="B109" s="715"/>
      <c r="F109" s="715"/>
      <c r="J109" s="718"/>
      <c r="K109" s="699"/>
      <c r="L109" s="718"/>
      <c r="M109" s="718"/>
      <c r="N109" s="699"/>
      <c r="O109" s="718"/>
    </row>
    <row r="110" spans="2:15">
      <c r="B110" s="715"/>
      <c r="F110" s="715"/>
      <c r="J110" s="718"/>
      <c r="K110" s="699"/>
      <c r="L110" s="718"/>
      <c r="M110" s="718"/>
      <c r="N110" s="699"/>
      <c r="O110" s="718"/>
    </row>
    <row r="111" spans="2:15">
      <c r="B111" s="715"/>
      <c r="F111" s="715"/>
      <c r="J111" s="718"/>
      <c r="K111" s="699"/>
      <c r="L111" s="718"/>
      <c r="M111" s="718"/>
      <c r="N111" s="699"/>
      <c r="O111" s="718"/>
    </row>
    <row r="112" spans="2:15">
      <c r="B112" s="715"/>
      <c r="F112" s="715"/>
      <c r="J112" s="718"/>
      <c r="K112" s="699"/>
      <c r="L112" s="718"/>
      <c r="M112" s="718"/>
      <c r="N112" s="699"/>
      <c r="O112" s="718"/>
    </row>
    <row r="113" spans="2:15">
      <c r="B113" s="715"/>
      <c r="F113" s="715"/>
      <c r="J113" s="718"/>
      <c r="K113" s="699"/>
      <c r="L113" s="718"/>
      <c r="M113" s="718"/>
      <c r="N113" s="699"/>
      <c r="O113" s="718"/>
    </row>
    <row r="114" spans="2:15">
      <c r="B114" s="715"/>
      <c r="F114" s="715"/>
      <c r="J114" s="718"/>
      <c r="K114" s="699"/>
      <c r="L114" s="718"/>
      <c r="M114" s="718"/>
      <c r="N114" s="699"/>
      <c r="O114" s="718"/>
    </row>
    <row r="115" spans="2:15">
      <c r="B115" s="715"/>
      <c r="F115" s="715"/>
      <c r="J115" s="718"/>
      <c r="K115" s="699"/>
      <c r="L115" s="718"/>
      <c r="M115" s="718"/>
      <c r="N115" s="699"/>
      <c r="O115" s="718"/>
    </row>
    <row r="116" spans="2:15">
      <c r="B116" s="715"/>
      <c r="F116" s="715"/>
      <c r="J116" s="718"/>
      <c r="K116" s="699"/>
      <c r="L116" s="718"/>
      <c r="M116" s="718"/>
      <c r="N116" s="699"/>
      <c r="O116" s="718"/>
    </row>
    <row r="117" spans="2:15">
      <c r="B117" s="715"/>
      <c r="F117" s="715"/>
      <c r="J117" s="718"/>
      <c r="K117" s="699"/>
      <c r="L117" s="718"/>
      <c r="M117" s="718"/>
      <c r="N117" s="699"/>
      <c r="O117" s="718"/>
    </row>
    <row r="118" spans="2:15">
      <c r="B118" s="715"/>
      <c r="F118" s="715"/>
      <c r="J118" s="718"/>
      <c r="K118" s="699"/>
      <c r="L118" s="718"/>
      <c r="M118" s="718"/>
      <c r="N118" s="699"/>
      <c r="O118" s="718"/>
    </row>
    <row r="119" spans="2:15">
      <c r="B119" s="715"/>
      <c r="F119" s="715"/>
      <c r="J119" s="718"/>
      <c r="K119" s="699"/>
      <c r="L119" s="718"/>
      <c r="M119" s="718"/>
      <c r="N119" s="699"/>
      <c r="O119" s="718"/>
    </row>
    <row r="120" spans="2:15">
      <c r="B120" s="715"/>
      <c r="F120" s="715"/>
      <c r="J120" s="718"/>
      <c r="K120" s="699"/>
      <c r="L120" s="718"/>
      <c r="M120" s="718"/>
      <c r="N120" s="699"/>
      <c r="O120" s="718"/>
    </row>
    <row r="121" spans="2:15">
      <c r="B121" s="715"/>
      <c r="F121" s="715"/>
      <c r="J121" s="718"/>
      <c r="K121" s="699"/>
      <c r="L121" s="718"/>
      <c r="M121" s="718"/>
      <c r="N121" s="699"/>
      <c r="O121" s="718"/>
    </row>
    <row r="122" spans="2:15">
      <c r="B122" s="715"/>
      <c r="F122" s="715"/>
      <c r="J122" s="718"/>
      <c r="K122" s="699"/>
      <c r="L122" s="718"/>
      <c r="M122" s="718"/>
      <c r="N122" s="699"/>
      <c r="O122" s="718"/>
    </row>
    <row r="123" spans="2:15">
      <c r="B123" s="715"/>
      <c r="F123" s="715"/>
      <c r="J123" s="718"/>
      <c r="K123" s="699"/>
      <c r="L123" s="718"/>
      <c r="M123" s="718"/>
      <c r="N123" s="699"/>
      <c r="O123" s="718"/>
    </row>
    <row r="124" spans="2:15">
      <c r="B124" s="715"/>
      <c r="F124" s="715"/>
      <c r="J124" s="718"/>
      <c r="K124" s="699"/>
      <c r="L124" s="718"/>
      <c r="M124" s="718"/>
      <c r="N124" s="699"/>
      <c r="O124" s="718"/>
    </row>
    <row r="125" spans="2:15">
      <c r="B125" s="715"/>
      <c r="F125" s="715"/>
      <c r="J125" s="718"/>
      <c r="K125" s="699"/>
      <c r="L125" s="718"/>
      <c r="M125" s="718"/>
      <c r="N125" s="699"/>
      <c r="O125" s="718"/>
    </row>
    <row r="126" spans="2:15">
      <c r="B126" s="715"/>
      <c r="F126" s="715"/>
      <c r="J126" s="718"/>
      <c r="K126" s="699"/>
      <c r="L126" s="718"/>
      <c r="M126" s="718"/>
      <c r="N126" s="699"/>
      <c r="O126" s="718"/>
    </row>
    <row r="127" spans="2:15">
      <c r="B127" s="715"/>
      <c r="F127" s="715"/>
      <c r="J127" s="718"/>
      <c r="K127" s="699"/>
      <c r="L127" s="718"/>
      <c r="M127" s="718"/>
      <c r="N127" s="699"/>
      <c r="O127" s="718"/>
    </row>
    <row r="128" spans="2:15">
      <c r="B128" s="715"/>
      <c r="F128" s="715"/>
      <c r="J128" s="718"/>
      <c r="K128" s="699"/>
      <c r="L128" s="718"/>
      <c r="M128" s="718"/>
      <c r="N128" s="699"/>
      <c r="O128" s="718"/>
    </row>
    <row r="129" spans="2:15">
      <c r="B129" s="715"/>
      <c r="F129" s="715"/>
      <c r="J129" s="718"/>
      <c r="K129" s="699"/>
      <c r="L129" s="718"/>
      <c r="M129" s="718"/>
      <c r="N129" s="699"/>
      <c r="O129" s="718"/>
    </row>
    <row r="130" spans="2:15">
      <c r="B130" s="715"/>
      <c r="F130" s="715"/>
      <c r="J130" s="718"/>
      <c r="K130" s="699"/>
      <c r="L130" s="718"/>
      <c r="M130" s="718"/>
      <c r="N130" s="699"/>
      <c r="O130" s="718"/>
    </row>
    <row r="131" spans="2:15">
      <c r="B131" s="715"/>
      <c r="F131" s="715"/>
      <c r="J131" s="718"/>
      <c r="K131" s="699"/>
      <c r="L131" s="718"/>
      <c r="M131" s="718"/>
      <c r="N131" s="699"/>
      <c r="O131" s="718"/>
    </row>
    <row r="132" spans="2:15">
      <c r="B132" s="715"/>
      <c r="F132" s="715"/>
      <c r="J132" s="718"/>
      <c r="K132" s="699"/>
      <c r="L132" s="718"/>
      <c r="M132" s="718"/>
      <c r="N132" s="699"/>
      <c r="O132" s="718"/>
    </row>
    <row r="133" spans="2:15">
      <c r="B133" s="715"/>
      <c r="F133" s="715"/>
      <c r="J133" s="718"/>
      <c r="K133" s="699"/>
      <c r="L133" s="718"/>
      <c r="M133" s="718"/>
      <c r="N133" s="699"/>
      <c r="O133" s="718"/>
    </row>
    <row r="134" spans="2:15">
      <c r="B134" s="715"/>
      <c r="F134" s="715"/>
      <c r="J134" s="718"/>
      <c r="K134" s="699"/>
      <c r="L134" s="718"/>
      <c r="M134" s="718"/>
      <c r="N134" s="699"/>
      <c r="O134" s="718"/>
    </row>
    <row r="135" spans="2:15">
      <c r="B135" s="715"/>
      <c r="F135" s="715"/>
      <c r="J135" s="718"/>
      <c r="K135" s="699"/>
      <c r="L135" s="718"/>
      <c r="M135" s="718"/>
      <c r="N135" s="699"/>
      <c r="O135" s="718"/>
    </row>
    <row r="136" spans="2:15">
      <c r="B136" s="715"/>
      <c r="F136" s="715"/>
      <c r="J136" s="718"/>
      <c r="K136" s="699"/>
      <c r="L136" s="718"/>
      <c r="M136" s="718"/>
      <c r="N136" s="699"/>
      <c r="O136" s="718"/>
    </row>
    <row r="137" spans="2:15">
      <c r="B137" s="715"/>
      <c r="F137" s="715"/>
      <c r="J137" s="718"/>
      <c r="K137" s="699"/>
      <c r="L137" s="718"/>
      <c r="M137" s="718"/>
      <c r="N137" s="699"/>
      <c r="O137" s="718"/>
    </row>
    <row r="138" spans="2:15">
      <c r="B138" s="715"/>
      <c r="F138" s="715"/>
      <c r="J138" s="718"/>
      <c r="K138" s="699"/>
      <c r="L138" s="718"/>
      <c r="M138" s="718"/>
      <c r="N138" s="699"/>
      <c r="O138" s="718"/>
    </row>
    <row r="139" spans="2:15">
      <c r="B139" s="715"/>
      <c r="F139" s="715"/>
      <c r="J139" s="718"/>
      <c r="K139" s="699"/>
      <c r="L139" s="718"/>
      <c r="M139" s="718"/>
      <c r="N139" s="699"/>
      <c r="O139" s="718"/>
    </row>
    <row r="140" spans="2:15">
      <c r="B140" s="715"/>
      <c r="F140" s="715"/>
      <c r="J140" s="718"/>
      <c r="K140" s="699"/>
      <c r="L140" s="718"/>
      <c r="M140" s="718"/>
      <c r="N140" s="699"/>
      <c r="O140" s="718"/>
    </row>
    <row r="141" spans="2:15">
      <c r="B141" s="715"/>
      <c r="F141" s="715"/>
      <c r="J141" s="718"/>
      <c r="K141" s="699"/>
      <c r="L141" s="718"/>
      <c r="M141" s="718"/>
      <c r="N141" s="699"/>
      <c r="O141" s="718"/>
    </row>
    <row r="142" spans="2:15">
      <c r="B142" s="715"/>
      <c r="F142" s="715"/>
      <c r="J142" s="718"/>
      <c r="K142" s="699"/>
      <c r="L142" s="718"/>
      <c r="M142" s="718"/>
      <c r="N142" s="699"/>
      <c r="O142" s="718"/>
    </row>
    <row r="143" spans="2:15">
      <c r="B143" s="715"/>
      <c r="F143" s="715"/>
      <c r="J143" s="718"/>
      <c r="K143" s="699"/>
      <c r="L143" s="718"/>
      <c r="M143" s="718"/>
      <c r="N143" s="699"/>
      <c r="O143" s="718"/>
    </row>
    <row r="144" spans="2:15">
      <c r="B144" s="715"/>
      <c r="F144" s="715"/>
      <c r="J144" s="718"/>
      <c r="K144" s="699"/>
      <c r="L144" s="718"/>
      <c r="M144" s="718"/>
      <c r="N144" s="699"/>
      <c r="O144" s="718"/>
    </row>
    <row r="145" spans="2:15">
      <c r="B145" s="715"/>
      <c r="F145" s="715"/>
      <c r="J145" s="718"/>
      <c r="K145" s="699"/>
      <c r="L145" s="718"/>
      <c r="M145" s="718"/>
      <c r="N145" s="699"/>
      <c r="O145" s="718"/>
    </row>
    <row r="146" spans="2:15">
      <c r="B146" s="715"/>
      <c r="F146" s="715"/>
      <c r="J146" s="718"/>
      <c r="K146" s="699"/>
      <c r="L146" s="718"/>
      <c r="M146" s="718"/>
      <c r="N146" s="699"/>
      <c r="O146" s="718"/>
    </row>
    <row r="147" spans="2:15">
      <c r="B147" s="715"/>
      <c r="F147" s="715"/>
      <c r="J147" s="718"/>
      <c r="K147" s="699"/>
      <c r="L147" s="718"/>
      <c r="M147" s="718"/>
      <c r="N147" s="699"/>
      <c r="O147" s="718"/>
    </row>
    <row r="148" spans="2:15">
      <c r="B148" s="715"/>
      <c r="F148" s="715"/>
      <c r="J148" s="718"/>
      <c r="K148" s="699"/>
      <c r="L148" s="718"/>
      <c r="M148" s="718"/>
      <c r="N148" s="699"/>
      <c r="O148" s="718"/>
    </row>
    <row r="149" spans="2:15">
      <c r="B149" s="715"/>
      <c r="F149" s="715"/>
      <c r="J149" s="718"/>
      <c r="K149" s="699"/>
      <c r="L149" s="718"/>
      <c r="M149" s="718"/>
      <c r="N149" s="699"/>
      <c r="O149" s="718"/>
    </row>
    <row r="150" spans="2:15">
      <c r="B150" s="715"/>
      <c r="F150" s="715"/>
      <c r="J150" s="718"/>
      <c r="K150" s="699"/>
      <c r="L150" s="718"/>
      <c r="M150" s="718"/>
      <c r="N150" s="699"/>
      <c r="O150" s="718"/>
    </row>
    <row r="151" spans="2:15">
      <c r="B151" s="715"/>
      <c r="F151" s="715"/>
      <c r="J151" s="718"/>
      <c r="K151" s="699"/>
      <c r="L151" s="718"/>
      <c r="M151" s="718"/>
      <c r="N151" s="699"/>
      <c r="O151" s="718"/>
    </row>
    <row r="152" spans="2:15">
      <c r="B152" s="715"/>
      <c r="F152" s="715"/>
      <c r="J152" s="718"/>
      <c r="K152" s="699"/>
      <c r="L152" s="718"/>
      <c r="M152" s="718"/>
      <c r="N152" s="699"/>
      <c r="O152" s="718"/>
    </row>
    <row r="153" spans="2:15">
      <c r="B153" s="715"/>
      <c r="F153" s="715"/>
      <c r="J153" s="718"/>
      <c r="K153" s="699"/>
      <c r="L153" s="718"/>
      <c r="M153" s="718"/>
      <c r="N153" s="699"/>
      <c r="O153" s="718"/>
    </row>
    <row r="154" spans="2:15">
      <c r="B154" s="715"/>
      <c r="F154" s="715"/>
      <c r="J154" s="718"/>
      <c r="K154" s="699"/>
      <c r="L154" s="718"/>
      <c r="M154" s="718"/>
      <c r="N154" s="699"/>
      <c r="O154" s="718"/>
    </row>
    <row r="155" spans="2:15">
      <c r="B155" s="715"/>
      <c r="F155" s="715"/>
      <c r="J155" s="718"/>
      <c r="K155" s="699"/>
      <c r="L155" s="718"/>
      <c r="M155" s="718"/>
      <c r="N155" s="699"/>
      <c r="O155" s="718"/>
    </row>
    <row r="156" spans="2:15">
      <c r="B156" s="715"/>
      <c r="F156" s="715"/>
      <c r="J156" s="718"/>
      <c r="K156" s="699"/>
      <c r="L156" s="718"/>
      <c r="M156" s="718"/>
      <c r="N156" s="699"/>
      <c r="O156" s="718"/>
    </row>
    <row r="157" spans="2:15">
      <c r="B157" s="715"/>
      <c r="F157" s="715"/>
      <c r="J157" s="718"/>
      <c r="K157" s="699"/>
      <c r="L157" s="718"/>
      <c r="M157" s="718"/>
      <c r="N157" s="699"/>
      <c r="O157" s="718"/>
    </row>
    <row r="158" spans="2:15">
      <c r="B158" s="715"/>
      <c r="F158" s="715"/>
      <c r="J158" s="718"/>
      <c r="K158" s="699"/>
      <c r="L158" s="718"/>
      <c r="M158" s="718"/>
      <c r="N158" s="699"/>
      <c r="O158" s="718"/>
    </row>
    <row r="159" spans="2:15">
      <c r="B159" s="715"/>
      <c r="F159" s="715"/>
      <c r="J159" s="718"/>
      <c r="K159" s="699"/>
      <c r="L159" s="718"/>
      <c r="M159" s="718"/>
      <c r="N159" s="699"/>
      <c r="O159" s="718"/>
    </row>
    <row r="160" spans="2:15">
      <c r="B160" s="715"/>
      <c r="F160" s="715"/>
      <c r="J160" s="718"/>
      <c r="K160" s="699"/>
      <c r="L160" s="718"/>
      <c r="M160" s="718"/>
      <c r="N160" s="699"/>
      <c r="O160" s="718"/>
    </row>
    <row r="161" spans="2:15">
      <c r="B161" s="715"/>
      <c r="F161" s="715"/>
      <c r="J161" s="718"/>
      <c r="K161" s="699"/>
      <c r="L161" s="718"/>
      <c r="M161" s="718"/>
      <c r="N161" s="699"/>
      <c r="O161" s="718"/>
    </row>
    <row r="162" spans="2:15">
      <c r="B162" s="715"/>
      <c r="F162" s="715"/>
      <c r="J162" s="718"/>
      <c r="K162" s="699"/>
      <c r="L162" s="718"/>
      <c r="M162" s="718"/>
      <c r="N162" s="699"/>
      <c r="O162" s="718"/>
    </row>
    <row r="163" spans="2:15">
      <c r="B163" s="715"/>
      <c r="F163" s="715"/>
      <c r="J163" s="718"/>
      <c r="K163" s="699"/>
      <c r="L163" s="718"/>
      <c r="M163" s="718"/>
      <c r="N163" s="699"/>
      <c r="O163" s="718"/>
    </row>
    <row r="164" spans="2:15">
      <c r="B164" s="715"/>
      <c r="F164" s="715"/>
      <c r="J164" s="718"/>
      <c r="K164" s="699"/>
      <c r="L164" s="718"/>
      <c r="M164" s="718"/>
      <c r="N164" s="699"/>
      <c r="O164" s="718"/>
    </row>
    <row r="165" spans="2:15">
      <c r="B165" s="715"/>
      <c r="F165" s="715"/>
      <c r="J165" s="718"/>
      <c r="K165" s="699"/>
      <c r="L165" s="718"/>
      <c r="M165" s="718"/>
      <c r="N165" s="699"/>
      <c r="O165" s="718"/>
    </row>
    <row r="166" spans="2:15">
      <c r="B166" s="715"/>
      <c r="F166" s="715"/>
      <c r="J166" s="718"/>
      <c r="K166" s="699"/>
      <c r="L166" s="718"/>
      <c r="M166" s="718"/>
      <c r="N166" s="699"/>
      <c r="O166" s="718"/>
    </row>
    <row r="167" spans="2:15">
      <c r="B167" s="715"/>
      <c r="F167" s="715"/>
      <c r="J167" s="718"/>
      <c r="K167" s="699"/>
      <c r="L167" s="718"/>
      <c r="M167" s="718"/>
      <c r="N167" s="699"/>
      <c r="O167" s="718"/>
    </row>
    <row r="168" spans="2:15">
      <c r="B168" s="715"/>
      <c r="F168" s="715"/>
      <c r="J168" s="718"/>
      <c r="K168" s="699"/>
      <c r="L168" s="718"/>
      <c r="M168" s="718"/>
      <c r="N168" s="699"/>
      <c r="O168" s="718"/>
    </row>
    <row r="169" spans="2:15">
      <c r="B169" s="715"/>
      <c r="F169" s="715"/>
      <c r="J169" s="718"/>
      <c r="K169" s="699"/>
      <c r="L169" s="718"/>
      <c r="M169" s="718"/>
      <c r="N169" s="699"/>
      <c r="O169" s="718"/>
    </row>
    <row r="170" spans="2:15">
      <c r="B170" s="715"/>
      <c r="F170" s="715"/>
      <c r="J170" s="718"/>
      <c r="K170" s="699"/>
      <c r="L170" s="718"/>
      <c r="M170" s="718"/>
      <c r="N170" s="699"/>
      <c r="O170" s="718"/>
    </row>
    <row r="171" spans="2:15">
      <c r="B171" s="715"/>
      <c r="F171" s="715"/>
      <c r="J171" s="718"/>
      <c r="K171" s="699"/>
      <c r="L171" s="718"/>
      <c r="M171" s="718"/>
      <c r="N171" s="699"/>
      <c r="O171" s="718"/>
    </row>
    <row r="172" spans="2:15">
      <c r="B172" s="715"/>
      <c r="F172" s="715"/>
      <c r="J172" s="718"/>
      <c r="K172" s="699"/>
      <c r="L172" s="718"/>
      <c r="M172" s="718"/>
      <c r="N172" s="699"/>
      <c r="O172" s="718"/>
    </row>
    <row r="173" spans="2:15">
      <c r="B173" s="715"/>
      <c r="F173" s="715"/>
      <c r="J173" s="718"/>
      <c r="K173" s="699"/>
      <c r="L173" s="718"/>
      <c r="M173" s="718"/>
      <c r="N173" s="699"/>
      <c r="O173" s="718"/>
    </row>
    <row r="174" spans="2:15">
      <c r="B174" s="715"/>
      <c r="F174" s="715"/>
      <c r="J174" s="718"/>
      <c r="K174" s="699"/>
      <c r="L174" s="718"/>
      <c r="M174" s="718"/>
      <c r="N174" s="699"/>
      <c r="O174" s="718"/>
    </row>
    <row r="175" spans="2:15">
      <c r="B175" s="715"/>
      <c r="F175" s="715"/>
      <c r="J175" s="718"/>
      <c r="K175" s="699"/>
      <c r="L175" s="718"/>
      <c r="M175" s="718"/>
      <c r="N175" s="699"/>
      <c r="O175" s="718"/>
    </row>
    <row r="176" spans="2:15">
      <c r="B176" s="715"/>
      <c r="F176" s="715"/>
      <c r="J176" s="718"/>
      <c r="K176" s="699"/>
      <c r="L176" s="718"/>
      <c r="M176" s="718"/>
      <c r="N176" s="699"/>
      <c r="O176" s="718"/>
    </row>
    <row r="177" spans="2:15">
      <c r="B177" s="715"/>
      <c r="F177" s="715"/>
      <c r="J177" s="718"/>
      <c r="K177" s="699"/>
      <c r="L177" s="718"/>
      <c r="M177" s="718"/>
      <c r="N177" s="699"/>
      <c r="O177" s="718"/>
    </row>
    <row r="178" spans="2:15">
      <c r="B178" s="715"/>
      <c r="F178" s="715"/>
      <c r="J178" s="718"/>
      <c r="K178" s="699"/>
      <c r="L178" s="718"/>
      <c r="M178" s="718"/>
      <c r="N178" s="699"/>
      <c r="O178" s="718"/>
    </row>
    <row r="179" spans="2:15">
      <c r="B179" s="715"/>
      <c r="F179" s="715"/>
      <c r="J179" s="718"/>
      <c r="K179" s="699"/>
      <c r="L179" s="718"/>
      <c r="M179" s="718"/>
      <c r="N179" s="699"/>
      <c r="O179" s="718"/>
    </row>
    <row r="180" spans="2:15">
      <c r="B180" s="715"/>
      <c r="F180" s="715"/>
      <c r="J180" s="718"/>
      <c r="K180" s="699"/>
      <c r="L180" s="718"/>
      <c r="M180" s="718"/>
      <c r="N180" s="699"/>
      <c r="O180" s="718"/>
    </row>
    <row r="181" spans="2:15">
      <c r="B181" s="715"/>
      <c r="F181" s="715"/>
      <c r="J181" s="718"/>
      <c r="K181" s="699"/>
      <c r="L181" s="718"/>
      <c r="M181" s="718"/>
      <c r="N181" s="699"/>
      <c r="O181" s="718"/>
    </row>
    <row r="182" spans="2:15">
      <c r="B182" s="715"/>
      <c r="F182" s="715"/>
      <c r="J182" s="718"/>
      <c r="K182" s="699"/>
      <c r="L182" s="718"/>
      <c r="M182" s="718"/>
      <c r="N182" s="699"/>
      <c r="O182" s="718"/>
    </row>
    <row r="183" spans="2:15">
      <c r="B183" s="715"/>
      <c r="F183" s="715"/>
      <c r="J183" s="718"/>
      <c r="K183" s="699"/>
      <c r="L183" s="718"/>
      <c r="M183" s="718"/>
      <c r="N183" s="699"/>
      <c r="O183" s="718"/>
    </row>
    <row r="184" spans="2:15">
      <c r="B184" s="715"/>
      <c r="F184" s="715"/>
      <c r="J184" s="718"/>
      <c r="K184" s="699"/>
      <c r="L184" s="718"/>
      <c r="M184" s="718"/>
      <c r="N184" s="699"/>
      <c r="O184" s="718"/>
    </row>
    <row r="185" spans="2:15">
      <c r="B185" s="715"/>
      <c r="F185" s="715"/>
      <c r="J185" s="718"/>
      <c r="K185" s="699"/>
      <c r="L185" s="718"/>
      <c r="M185" s="718"/>
      <c r="N185" s="699"/>
      <c r="O185" s="718"/>
    </row>
    <row r="186" spans="2:15">
      <c r="B186" s="715"/>
      <c r="F186" s="715"/>
      <c r="J186" s="718"/>
      <c r="K186" s="699"/>
      <c r="L186" s="718"/>
      <c r="M186" s="718"/>
      <c r="N186" s="699"/>
      <c r="O186" s="718"/>
    </row>
    <row r="187" spans="2:15">
      <c r="B187" s="715"/>
      <c r="F187" s="715"/>
      <c r="J187" s="718"/>
      <c r="K187" s="699"/>
      <c r="L187" s="718"/>
      <c r="M187" s="718"/>
      <c r="N187" s="699"/>
      <c r="O187" s="718"/>
    </row>
    <row r="188" spans="2:15">
      <c r="B188" s="715"/>
      <c r="F188" s="715"/>
      <c r="J188" s="718"/>
      <c r="K188" s="699"/>
      <c r="L188" s="718"/>
      <c r="M188" s="718"/>
      <c r="N188" s="699"/>
      <c r="O188" s="718"/>
    </row>
    <row r="189" spans="2:15">
      <c r="B189" s="715"/>
      <c r="F189" s="715"/>
      <c r="J189" s="718"/>
      <c r="K189" s="699"/>
      <c r="L189" s="718"/>
      <c r="M189" s="718"/>
      <c r="N189" s="699"/>
      <c r="O189" s="718"/>
    </row>
    <row r="190" spans="2:15">
      <c r="B190" s="715"/>
      <c r="F190" s="715"/>
      <c r="J190" s="718"/>
      <c r="K190" s="699"/>
      <c r="L190" s="718"/>
      <c r="M190" s="718"/>
      <c r="N190" s="699"/>
      <c r="O190" s="718"/>
    </row>
    <row r="191" spans="2:15">
      <c r="B191" s="715"/>
      <c r="F191" s="715"/>
      <c r="J191" s="718"/>
      <c r="K191" s="699"/>
      <c r="L191" s="718"/>
      <c r="M191" s="718"/>
      <c r="N191" s="699"/>
      <c r="O191" s="718"/>
    </row>
    <row r="192" spans="2:15">
      <c r="B192" s="715"/>
      <c r="F192" s="715"/>
      <c r="J192" s="718"/>
      <c r="K192" s="699"/>
      <c r="L192" s="718"/>
      <c r="M192" s="718"/>
      <c r="N192" s="699"/>
      <c r="O192" s="718"/>
    </row>
    <row r="193" spans="2:15">
      <c r="B193" s="715"/>
      <c r="F193" s="715"/>
      <c r="J193" s="718"/>
      <c r="K193" s="699"/>
      <c r="L193" s="718"/>
      <c r="M193" s="718"/>
      <c r="N193" s="699"/>
      <c r="O193" s="718"/>
    </row>
    <row r="194" spans="2:15">
      <c r="B194" s="715"/>
      <c r="F194" s="715"/>
      <c r="J194" s="718"/>
      <c r="K194" s="699"/>
      <c r="L194" s="718"/>
      <c r="M194" s="718"/>
      <c r="N194" s="699"/>
      <c r="O194" s="718"/>
    </row>
    <row r="195" spans="2:15">
      <c r="B195" s="715"/>
      <c r="F195" s="715"/>
      <c r="J195" s="718"/>
      <c r="K195" s="699"/>
      <c r="L195" s="718"/>
      <c r="M195" s="718"/>
      <c r="N195" s="699"/>
      <c r="O195" s="718"/>
    </row>
    <row r="196" spans="2:15">
      <c r="B196" s="715"/>
      <c r="F196" s="715"/>
      <c r="J196" s="718"/>
      <c r="K196" s="699"/>
      <c r="L196" s="718"/>
      <c r="M196" s="718"/>
      <c r="N196" s="699"/>
      <c r="O196" s="718"/>
    </row>
    <row r="197" spans="2:15">
      <c r="B197" s="715"/>
      <c r="F197" s="715"/>
      <c r="J197" s="718"/>
      <c r="K197" s="699"/>
      <c r="L197" s="718"/>
      <c r="M197" s="718"/>
      <c r="N197" s="699"/>
      <c r="O197" s="718"/>
    </row>
    <row r="198" spans="2:15">
      <c r="B198" s="715"/>
      <c r="F198" s="715"/>
      <c r="J198" s="718"/>
      <c r="K198" s="699"/>
      <c r="L198" s="718"/>
      <c r="M198" s="718"/>
      <c r="N198" s="699"/>
      <c r="O198" s="718"/>
    </row>
    <row r="199" spans="2:15">
      <c r="B199" s="715"/>
      <c r="F199" s="715"/>
      <c r="J199" s="718"/>
      <c r="K199" s="699"/>
      <c r="L199" s="718"/>
      <c r="M199" s="718"/>
      <c r="N199" s="699"/>
      <c r="O199" s="718"/>
    </row>
    <row r="200" spans="2:15">
      <c r="B200" s="715"/>
      <c r="F200" s="715"/>
      <c r="J200" s="718"/>
      <c r="K200" s="699"/>
      <c r="L200" s="718"/>
      <c r="M200" s="718"/>
      <c r="N200" s="699"/>
      <c r="O200" s="718"/>
    </row>
    <row r="201" spans="2:15">
      <c r="B201" s="715"/>
      <c r="F201" s="715"/>
      <c r="J201" s="718"/>
      <c r="K201" s="699"/>
      <c r="L201" s="718"/>
      <c r="M201" s="718"/>
      <c r="N201" s="699"/>
      <c r="O201" s="718"/>
    </row>
    <row r="202" spans="2:15">
      <c r="B202" s="715"/>
      <c r="F202" s="715"/>
      <c r="J202" s="718"/>
      <c r="K202" s="699"/>
      <c r="L202" s="718"/>
      <c r="M202" s="718"/>
      <c r="N202" s="699"/>
      <c r="O202" s="718"/>
    </row>
    <row r="203" spans="2:15">
      <c r="B203" s="715"/>
      <c r="F203" s="715"/>
      <c r="J203" s="718"/>
      <c r="K203" s="699"/>
      <c r="L203" s="718"/>
      <c r="M203" s="718"/>
      <c r="N203" s="699"/>
      <c r="O203" s="718"/>
    </row>
    <row r="204" spans="2:15">
      <c r="B204" s="715"/>
      <c r="F204" s="715"/>
      <c r="J204" s="718"/>
      <c r="K204" s="699"/>
      <c r="L204" s="718"/>
      <c r="M204" s="718"/>
      <c r="N204" s="699"/>
      <c r="O204" s="718"/>
    </row>
    <row r="205" spans="2:15">
      <c r="B205" s="715"/>
      <c r="F205" s="715"/>
      <c r="J205" s="718"/>
      <c r="K205" s="699"/>
      <c r="L205" s="718"/>
      <c r="M205" s="718"/>
      <c r="N205" s="699"/>
      <c r="O205" s="718"/>
    </row>
    <row r="206" spans="2:15">
      <c r="B206" s="715"/>
      <c r="F206" s="715"/>
      <c r="J206" s="718"/>
      <c r="K206" s="699"/>
      <c r="L206" s="718"/>
      <c r="M206" s="718"/>
      <c r="N206" s="699"/>
      <c r="O206" s="718"/>
    </row>
    <row r="207" spans="2:15">
      <c r="B207" s="715"/>
      <c r="F207" s="715"/>
      <c r="J207" s="718"/>
      <c r="K207" s="699"/>
      <c r="L207" s="718"/>
      <c r="M207" s="718"/>
      <c r="N207" s="699"/>
      <c r="O207" s="718"/>
    </row>
    <row r="208" spans="2:15">
      <c r="B208" s="715"/>
      <c r="F208" s="715"/>
      <c r="J208" s="718"/>
      <c r="K208" s="699"/>
      <c r="L208" s="718"/>
      <c r="M208" s="718"/>
      <c r="N208" s="699"/>
      <c r="O208" s="718"/>
    </row>
    <row r="209" spans="2:15">
      <c r="B209" s="715"/>
      <c r="F209" s="715"/>
      <c r="J209" s="718"/>
      <c r="K209" s="699"/>
      <c r="L209" s="718"/>
      <c r="M209" s="718"/>
      <c r="N209" s="699"/>
      <c r="O209" s="718"/>
    </row>
    <row r="210" spans="2:15">
      <c r="B210" s="715"/>
      <c r="F210" s="715"/>
      <c r="J210" s="718"/>
      <c r="K210" s="699"/>
      <c r="L210" s="718"/>
      <c r="M210" s="718"/>
      <c r="N210" s="699"/>
      <c r="O210" s="718"/>
    </row>
    <row r="211" spans="2:15">
      <c r="B211" s="715"/>
      <c r="F211" s="715"/>
      <c r="J211" s="718"/>
      <c r="K211" s="699"/>
      <c r="L211" s="718"/>
      <c r="M211" s="718"/>
      <c r="N211" s="699"/>
      <c r="O211" s="718"/>
    </row>
    <row r="212" spans="2:15">
      <c r="B212" s="715"/>
      <c r="F212" s="715"/>
      <c r="J212" s="718"/>
      <c r="K212" s="699"/>
      <c r="L212" s="718"/>
      <c r="M212" s="718"/>
      <c r="N212" s="699"/>
      <c r="O212" s="718"/>
    </row>
    <row r="213" spans="2:15">
      <c r="B213" s="715"/>
      <c r="F213" s="715"/>
      <c r="J213" s="718"/>
      <c r="K213" s="699"/>
      <c r="L213" s="718"/>
      <c r="M213" s="718"/>
      <c r="N213" s="699"/>
      <c r="O213" s="718"/>
    </row>
    <row r="214" spans="2:15">
      <c r="B214" s="715"/>
      <c r="F214" s="715"/>
      <c r="J214" s="718"/>
      <c r="K214" s="699"/>
      <c r="L214" s="718"/>
      <c r="M214" s="718"/>
      <c r="N214" s="699"/>
      <c r="O214" s="718"/>
    </row>
    <row r="215" spans="2:15">
      <c r="B215" s="715"/>
      <c r="F215" s="715"/>
      <c r="J215" s="718"/>
      <c r="K215" s="699"/>
      <c r="L215" s="718"/>
      <c r="M215" s="718"/>
      <c r="N215" s="699"/>
      <c r="O215" s="718"/>
    </row>
    <row r="216" spans="2:15">
      <c r="B216" s="715"/>
      <c r="F216" s="715"/>
      <c r="J216" s="718"/>
      <c r="K216" s="699"/>
      <c r="L216" s="718"/>
      <c r="M216" s="718"/>
      <c r="N216" s="699"/>
      <c r="O216" s="718"/>
    </row>
    <row r="217" spans="2:15">
      <c r="B217" s="715"/>
      <c r="F217" s="715"/>
      <c r="J217" s="718"/>
      <c r="K217" s="699"/>
      <c r="L217" s="718"/>
      <c r="M217" s="718"/>
      <c r="N217" s="699"/>
      <c r="O217" s="718"/>
    </row>
    <row r="218" spans="2:15">
      <c r="B218" s="715"/>
      <c r="F218" s="715"/>
      <c r="J218" s="718"/>
      <c r="K218" s="699"/>
      <c r="L218" s="718"/>
      <c r="M218" s="718"/>
      <c r="N218" s="699"/>
      <c r="O218" s="718"/>
    </row>
    <row r="219" spans="2:15">
      <c r="B219" s="715"/>
      <c r="F219" s="715"/>
      <c r="J219" s="718"/>
      <c r="K219" s="699"/>
      <c r="L219" s="718"/>
      <c r="M219" s="718"/>
      <c r="N219" s="699"/>
      <c r="O219" s="718"/>
    </row>
    <row r="220" spans="2:15">
      <c r="B220" s="715"/>
      <c r="F220" s="715"/>
      <c r="J220" s="718"/>
      <c r="K220" s="699"/>
      <c r="L220" s="718"/>
      <c r="M220" s="718"/>
      <c r="N220" s="699"/>
      <c r="O220" s="718"/>
    </row>
    <row r="221" spans="2:15">
      <c r="B221" s="715"/>
      <c r="F221" s="715"/>
      <c r="J221" s="718"/>
      <c r="K221" s="699"/>
      <c r="L221" s="718"/>
      <c r="M221" s="718"/>
      <c r="N221" s="699"/>
      <c r="O221" s="718"/>
    </row>
    <row r="222" spans="2:15">
      <c r="B222" s="715"/>
      <c r="F222" s="715"/>
      <c r="J222" s="718"/>
      <c r="K222" s="699"/>
      <c r="L222" s="718"/>
      <c r="M222" s="718"/>
      <c r="N222" s="699"/>
      <c r="O222" s="718"/>
    </row>
    <row r="223" spans="2:15">
      <c r="B223" s="715"/>
      <c r="F223" s="715"/>
      <c r="J223" s="718"/>
      <c r="K223" s="699"/>
      <c r="L223" s="718"/>
      <c r="M223" s="718"/>
      <c r="N223" s="699"/>
      <c r="O223" s="718"/>
    </row>
    <row r="224" spans="2:15">
      <c r="B224" s="715"/>
      <c r="F224" s="715"/>
      <c r="J224" s="718"/>
      <c r="K224" s="699"/>
      <c r="L224" s="718"/>
      <c r="M224" s="718"/>
      <c r="N224" s="699"/>
      <c r="O224" s="718"/>
    </row>
    <row r="225" spans="2:15">
      <c r="B225" s="715"/>
      <c r="F225" s="715"/>
      <c r="J225" s="718"/>
      <c r="K225" s="699"/>
      <c r="L225" s="718"/>
      <c r="M225" s="718"/>
      <c r="N225" s="699"/>
      <c r="O225" s="718"/>
    </row>
    <row r="226" spans="2:15">
      <c r="B226" s="715"/>
      <c r="F226" s="715"/>
      <c r="J226" s="718"/>
      <c r="K226" s="699"/>
      <c r="L226" s="718"/>
      <c r="M226" s="718"/>
      <c r="N226" s="699"/>
      <c r="O226" s="718"/>
    </row>
    <row r="227" spans="2:15">
      <c r="B227" s="715"/>
      <c r="F227" s="715"/>
      <c r="J227" s="718"/>
      <c r="K227" s="699"/>
      <c r="L227" s="718"/>
      <c r="M227" s="718"/>
      <c r="N227" s="699"/>
      <c r="O227" s="718"/>
    </row>
    <row r="228" spans="2:15">
      <c r="B228" s="715"/>
      <c r="F228" s="715"/>
      <c r="J228" s="718"/>
      <c r="K228" s="699"/>
      <c r="L228" s="718"/>
      <c r="M228" s="718"/>
      <c r="N228" s="699"/>
      <c r="O228" s="718"/>
    </row>
    <row r="229" spans="2:15">
      <c r="B229" s="715"/>
      <c r="F229" s="715"/>
      <c r="J229" s="718"/>
      <c r="K229" s="699"/>
      <c r="L229" s="718"/>
      <c r="M229" s="718"/>
      <c r="N229" s="699"/>
      <c r="O229" s="718"/>
    </row>
    <row r="230" spans="2:15">
      <c r="B230" s="715"/>
      <c r="F230" s="715"/>
      <c r="J230" s="718"/>
      <c r="K230" s="699"/>
      <c r="L230" s="718"/>
      <c r="M230" s="718"/>
      <c r="N230" s="699"/>
      <c r="O230" s="718"/>
    </row>
    <row r="231" spans="2:15">
      <c r="B231" s="715"/>
      <c r="F231" s="715"/>
      <c r="J231" s="718"/>
      <c r="K231" s="699"/>
      <c r="L231" s="718"/>
      <c r="M231" s="718"/>
      <c r="N231" s="699"/>
      <c r="O231" s="718"/>
    </row>
    <row r="232" spans="2:15">
      <c r="B232" s="715"/>
      <c r="F232" s="715"/>
      <c r="J232" s="718"/>
      <c r="K232" s="699"/>
      <c r="L232" s="718"/>
      <c r="M232" s="718"/>
      <c r="N232" s="699"/>
      <c r="O232" s="718"/>
    </row>
    <row r="233" spans="2:15">
      <c r="B233" s="715"/>
      <c r="F233" s="715"/>
      <c r="J233" s="718"/>
      <c r="K233" s="699"/>
      <c r="L233" s="718"/>
      <c r="M233" s="718"/>
      <c r="N233" s="699"/>
      <c r="O233" s="718"/>
    </row>
    <row r="234" spans="2:15">
      <c r="B234" s="715"/>
      <c r="F234" s="715"/>
      <c r="J234" s="718"/>
      <c r="K234" s="699"/>
      <c r="L234" s="718"/>
      <c r="M234" s="718"/>
      <c r="N234" s="699"/>
      <c r="O234" s="718"/>
    </row>
    <row r="235" spans="2:15">
      <c r="B235" s="715"/>
      <c r="F235" s="715"/>
      <c r="J235" s="718"/>
      <c r="K235" s="699"/>
      <c r="L235" s="718"/>
      <c r="M235" s="718"/>
      <c r="N235" s="699"/>
      <c r="O235" s="718"/>
    </row>
    <row r="236" spans="2:15">
      <c r="B236" s="715"/>
      <c r="F236" s="715"/>
      <c r="J236" s="718"/>
      <c r="K236" s="699"/>
      <c r="L236" s="718"/>
      <c r="M236" s="718"/>
      <c r="N236" s="699"/>
      <c r="O236" s="718"/>
    </row>
    <row r="237" spans="2:15">
      <c r="B237" s="715"/>
      <c r="F237" s="715"/>
      <c r="J237" s="718"/>
      <c r="K237" s="699"/>
      <c r="L237" s="718"/>
      <c r="M237" s="718"/>
      <c r="N237" s="699"/>
      <c r="O237" s="718"/>
    </row>
    <row r="238" spans="2:15">
      <c r="B238" s="715"/>
      <c r="F238" s="715"/>
      <c r="J238" s="718"/>
      <c r="K238" s="699"/>
      <c r="L238" s="718"/>
      <c r="M238" s="718"/>
      <c r="N238" s="699"/>
      <c r="O238" s="718"/>
    </row>
    <row r="239" spans="2:15">
      <c r="B239" s="715"/>
      <c r="F239" s="715"/>
      <c r="J239" s="718"/>
      <c r="K239" s="699"/>
      <c r="L239" s="718"/>
      <c r="M239" s="718"/>
      <c r="N239" s="699"/>
      <c r="O239" s="718"/>
    </row>
    <row r="240" spans="2:15">
      <c r="B240" s="715"/>
      <c r="F240" s="715"/>
      <c r="J240" s="718"/>
      <c r="K240" s="699"/>
      <c r="L240" s="718"/>
      <c r="M240" s="718"/>
      <c r="N240" s="699"/>
      <c r="O240" s="718"/>
    </row>
    <row r="241" spans="2:15">
      <c r="B241" s="715"/>
      <c r="F241" s="715"/>
      <c r="J241" s="718"/>
      <c r="K241" s="699"/>
      <c r="L241" s="718"/>
      <c r="M241" s="718"/>
      <c r="N241" s="699"/>
      <c r="O241" s="718"/>
    </row>
    <row r="242" spans="2:15">
      <c r="B242" s="715"/>
      <c r="F242" s="715"/>
      <c r="J242" s="718"/>
      <c r="K242" s="699"/>
      <c r="L242" s="718"/>
      <c r="M242" s="718"/>
      <c r="N242" s="699"/>
      <c r="O242" s="718"/>
    </row>
    <row r="243" spans="2:15">
      <c r="B243" s="715"/>
      <c r="F243" s="715"/>
      <c r="J243" s="718"/>
      <c r="K243" s="699"/>
      <c r="L243" s="718"/>
      <c r="M243" s="718"/>
      <c r="N243" s="699"/>
      <c r="O243" s="718"/>
    </row>
    <row r="244" spans="2:15">
      <c r="B244" s="715"/>
      <c r="F244" s="715"/>
      <c r="J244" s="718"/>
      <c r="K244" s="699"/>
      <c r="L244" s="718"/>
      <c r="M244" s="718"/>
      <c r="N244" s="699"/>
      <c r="O244" s="718"/>
    </row>
    <row r="245" spans="2:15">
      <c r="B245" s="715"/>
      <c r="F245" s="715"/>
      <c r="J245" s="718"/>
      <c r="K245" s="699"/>
      <c r="L245" s="718"/>
      <c r="M245" s="718"/>
      <c r="N245" s="699"/>
      <c r="O245" s="718"/>
    </row>
    <row r="246" spans="2:15">
      <c r="B246" s="715"/>
      <c r="F246" s="715"/>
      <c r="J246" s="718"/>
      <c r="K246" s="699"/>
      <c r="L246" s="718"/>
      <c r="M246" s="718"/>
      <c r="N246" s="699"/>
      <c r="O246" s="718"/>
    </row>
    <row r="247" spans="2:15">
      <c r="B247" s="715"/>
      <c r="F247" s="715"/>
      <c r="J247" s="718"/>
      <c r="K247" s="699"/>
      <c r="L247" s="718"/>
      <c r="M247" s="718"/>
      <c r="N247" s="699"/>
      <c r="O247" s="718"/>
    </row>
    <row r="248" spans="2:15">
      <c r="B248" s="715"/>
      <c r="F248" s="715"/>
      <c r="J248" s="718"/>
      <c r="K248" s="699"/>
      <c r="L248" s="718"/>
      <c r="M248" s="718"/>
      <c r="N248" s="699"/>
      <c r="O248" s="718"/>
    </row>
    <row r="249" spans="2:15">
      <c r="B249" s="715"/>
      <c r="F249" s="715"/>
      <c r="J249" s="718"/>
      <c r="K249" s="699"/>
      <c r="L249" s="718"/>
      <c r="M249" s="718"/>
      <c r="N249" s="699"/>
      <c r="O249" s="718"/>
    </row>
    <row r="250" spans="2:15">
      <c r="B250" s="715"/>
      <c r="F250" s="715"/>
      <c r="J250" s="718"/>
      <c r="K250" s="699"/>
      <c r="L250" s="718"/>
      <c r="M250" s="718"/>
      <c r="N250" s="699"/>
      <c r="O250" s="718"/>
    </row>
    <row r="251" spans="2:15">
      <c r="B251" s="715"/>
      <c r="F251" s="715"/>
      <c r="J251" s="718"/>
      <c r="K251" s="699"/>
      <c r="L251" s="718"/>
      <c r="M251" s="718"/>
      <c r="N251" s="699"/>
      <c r="O251" s="718"/>
    </row>
    <row r="252" spans="2:15">
      <c r="B252" s="715"/>
      <c r="F252" s="715"/>
      <c r="J252" s="718"/>
      <c r="K252" s="699"/>
      <c r="L252" s="718"/>
      <c r="M252" s="718"/>
      <c r="N252" s="699"/>
      <c r="O252" s="718"/>
    </row>
    <row r="253" spans="2:15">
      <c r="B253" s="715"/>
      <c r="F253" s="715"/>
      <c r="J253" s="718"/>
      <c r="K253" s="699"/>
      <c r="L253" s="718"/>
      <c r="M253" s="718"/>
      <c r="N253" s="699"/>
      <c r="O253" s="718"/>
    </row>
    <row r="254" spans="2:15">
      <c r="B254" s="715"/>
      <c r="F254" s="715"/>
      <c r="J254" s="718"/>
      <c r="K254" s="699"/>
      <c r="L254" s="718"/>
      <c r="M254" s="718"/>
      <c r="N254" s="699"/>
      <c r="O254" s="718"/>
    </row>
    <row r="255" spans="2:15">
      <c r="B255" s="715"/>
      <c r="F255" s="715"/>
      <c r="J255" s="718"/>
      <c r="K255" s="699"/>
      <c r="L255" s="718"/>
      <c r="M255" s="718"/>
      <c r="N255" s="699"/>
      <c r="O255" s="718"/>
    </row>
    <row r="256" spans="2:15">
      <c r="B256" s="715"/>
      <c r="F256" s="715"/>
      <c r="J256" s="718"/>
      <c r="K256" s="699"/>
      <c r="L256" s="718"/>
      <c r="M256" s="718"/>
      <c r="N256" s="699"/>
      <c r="O256" s="718"/>
    </row>
    <row r="257" spans="2:15">
      <c r="B257" s="715"/>
      <c r="F257" s="715"/>
      <c r="J257" s="718"/>
      <c r="K257" s="699"/>
      <c r="L257" s="718"/>
      <c r="M257" s="718"/>
      <c r="N257" s="699"/>
      <c r="O257" s="718"/>
    </row>
    <row r="258" spans="2:15">
      <c r="B258" s="715"/>
      <c r="F258" s="715"/>
      <c r="J258" s="718"/>
      <c r="K258" s="699"/>
      <c r="L258" s="718"/>
      <c r="M258" s="718"/>
      <c r="N258" s="699"/>
      <c r="O258" s="718"/>
    </row>
    <row r="259" spans="2:15">
      <c r="B259" s="715"/>
      <c r="F259" s="715"/>
      <c r="J259" s="718"/>
      <c r="K259" s="699"/>
      <c r="L259" s="718"/>
      <c r="M259" s="718"/>
      <c r="N259" s="699"/>
      <c r="O259" s="718"/>
    </row>
    <row r="260" spans="2:15">
      <c r="B260" s="715"/>
      <c r="F260" s="715"/>
      <c r="J260" s="718"/>
      <c r="K260" s="699"/>
      <c r="L260" s="718"/>
      <c r="M260" s="718"/>
      <c r="N260" s="699"/>
      <c r="O260" s="718"/>
    </row>
    <row r="261" spans="2:15">
      <c r="B261" s="715"/>
      <c r="F261" s="715"/>
      <c r="J261" s="718"/>
      <c r="K261" s="699"/>
      <c r="L261" s="718"/>
      <c r="M261" s="718"/>
      <c r="N261" s="699"/>
      <c r="O261" s="718"/>
    </row>
    <row r="262" spans="2:15">
      <c r="B262" s="715"/>
      <c r="F262" s="715"/>
      <c r="J262" s="718"/>
      <c r="K262" s="699"/>
      <c r="L262" s="718"/>
      <c r="M262" s="718"/>
      <c r="N262" s="699"/>
      <c r="O262" s="718"/>
    </row>
    <row r="263" spans="2:15">
      <c r="B263" s="715"/>
      <c r="F263" s="715"/>
      <c r="J263" s="718"/>
      <c r="K263" s="699"/>
      <c r="L263" s="718"/>
      <c r="M263" s="718"/>
      <c r="N263" s="699"/>
      <c r="O263" s="718"/>
    </row>
    <row r="264" spans="2:15">
      <c r="B264" s="715"/>
      <c r="F264" s="715"/>
      <c r="J264" s="718"/>
      <c r="K264" s="699"/>
      <c r="L264" s="718"/>
      <c r="M264" s="718"/>
      <c r="N264" s="699"/>
      <c r="O264" s="718"/>
    </row>
    <row r="265" spans="2:15">
      <c r="B265" s="715"/>
      <c r="F265" s="715"/>
      <c r="J265" s="718"/>
      <c r="K265" s="699"/>
      <c r="L265" s="718"/>
      <c r="M265" s="718"/>
      <c r="N265" s="699"/>
      <c r="O265" s="718"/>
    </row>
    <row r="266" spans="2:15">
      <c r="B266" s="715"/>
      <c r="F266" s="715"/>
      <c r="J266" s="718"/>
      <c r="K266" s="699"/>
      <c r="L266" s="718"/>
      <c r="M266" s="718"/>
      <c r="N266" s="699"/>
      <c r="O266" s="718"/>
    </row>
    <row r="267" spans="2:15">
      <c r="B267" s="715"/>
      <c r="F267" s="715"/>
      <c r="J267" s="718"/>
      <c r="K267" s="699"/>
      <c r="L267" s="718"/>
      <c r="M267" s="718"/>
      <c r="N267" s="699"/>
      <c r="O267" s="718"/>
    </row>
    <row r="268" spans="2:15">
      <c r="B268" s="715"/>
      <c r="F268" s="715"/>
      <c r="J268" s="718"/>
      <c r="K268" s="699"/>
      <c r="L268" s="718"/>
      <c r="M268" s="718"/>
      <c r="N268" s="699"/>
      <c r="O268" s="718"/>
    </row>
    <row r="269" spans="2:15">
      <c r="B269" s="715"/>
      <c r="F269" s="715"/>
      <c r="J269" s="718"/>
      <c r="K269" s="699"/>
      <c r="L269" s="718"/>
      <c r="M269" s="718"/>
      <c r="N269" s="699"/>
      <c r="O269" s="718"/>
    </row>
    <row r="270" spans="2:15">
      <c r="B270" s="715"/>
      <c r="F270" s="715"/>
      <c r="J270" s="718"/>
      <c r="K270" s="699"/>
      <c r="L270" s="718"/>
      <c r="M270" s="718"/>
      <c r="N270" s="699"/>
      <c r="O270" s="718"/>
    </row>
    <row r="271" spans="2:15">
      <c r="B271" s="715"/>
      <c r="F271" s="715"/>
      <c r="J271" s="718"/>
      <c r="K271" s="699"/>
      <c r="L271" s="718"/>
      <c r="M271" s="718"/>
      <c r="N271" s="699"/>
      <c r="O271" s="718"/>
    </row>
    <row r="272" spans="2:15">
      <c r="B272" s="715"/>
      <c r="F272" s="715"/>
      <c r="J272" s="718"/>
      <c r="K272" s="699"/>
      <c r="L272" s="718"/>
      <c r="M272" s="718"/>
      <c r="N272" s="699"/>
      <c r="O272" s="718"/>
    </row>
    <row r="273" spans="2:15">
      <c r="B273" s="715"/>
      <c r="F273" s="715"/>
      <c r="J273" s="718"/>
      <c r="K273" s="699"/>
      <c r="L273" s="718"/>
      <c r="M273" s="718"/>
      <c r="N273" s="699"/>
      <c r="O273" s="718"/>
    </row>
    <row r="274" spans="2:15">
      <c r="B274" s="715"/>
      <c r="F274" s="715"/>
      <c r="J274" s="718"/>
      <c r="K274" s="699"/>
      <c r="L274" s="718"/>
      <c r="M274" s="718"/>
      <c r="N274" s="699"/>
      <c r="O274" s="718"/>
    </row>
    <row r="275" spans="2:15">
      <c r="B275" s="715"/>
      <c r="F275" s="715"/>
      <c r="J275" s="718"/>
      <c r="K275" s="699"/>
      <c r="L275" s="718"/>
      <c r="M275" s="718"/>
      <c r="N275" s="699"/>
      <c r="O275" s="718"/>
    </row>
    <row r="276" spans="2:15">
      <c r="B276" s="715"/>
      <c r="F276" s="715"/>
      <c r="J276" s="718"/>
      <c r="K276" s="699"/>
      <c r="L276" s="718"/>
      <c r="M276" s="718"/>
      <c r="N276" s="699"/>
      <c r="O276" s="718"/>
    </row>
    <row r="277" spans="2:15">
      <c r="B277" s="715"/>
      <c r="F277" s="715"/>
      <c r="J277" s="718"/>
      <c r="K277" s="699"/>
      <c r="L277" s="718"/>
      <c r="M277" s="718"/>
      <c r="N277" s="699"/>
      <c r="O277" s="718"/>
    </row>
    <row r="278" spans="2:15">
      <c r="B278" s="715"/>
      <c r="F278" s="715"/>
      <c r="J278" s="718"/>
      <c r="K278" s="699"/>
      <c r="L278" s="718"/>
      <c r="M278" s="718"/>
      <c r="N278" s="699"/>
      <c r="O278" s="718"/>
    </row>
    <row r="279" spans="2:15">
      <c r="B279" s="715"/>
      <c r="F279" s="715"/>
      <c r="J279" s="718"/>
      <c r="K279" s="699"/>
      <c r="L279" s="718"/>
      <c r="M279" s="718"/>
      <c r="N279" s="699"/>
      <c r="O279" s="718"/>
    </row>
    <row r="280" spans="2:15">
      <c r="B280" s="715"/>
      <c r="F280" s="715"/>
      <c r="J280" s="718"/>
      <c r="K280" s="699"/>
      <c r="L280" s="718"/>
      <c r="M280" s="718"/>
      <c r="N280" s="699"/>
      <c r="O280" s="718"/>
    </row>
    <row r="281" spans="2:15">
      <c r="B281" s="715"/>
      <c r="F281" s="715"/>
      <c r="J281" s="718"/>
      <c r="K281" s="699"/>
      <c r="L281" s="718"/>
      <c r="M281" s="718"/>
      <c r="N281" s="699"/>
      <c r="O281" s="718"/>
    </row>
    <row r="282" spans="2:15">
      <c r="B282" s="715"/>
      <c r="F282" s="715"/>
      <c r="J282" s="718"/>
      <c r="K282" s="699"/>
      <c r="L282" s="718"/>
      <c r="M282" s="718"/>
      <c r="N282" s="699"/>
      <c r="O282" s="718"/>
    </row>
    <row r="283" spans="2:15">
      <c r="B283" s="715"/>
      <c r="F283" s="715"/>
      <c r="J283" s="718"/>
      <c r="K283" s="699"/>
      <c r="L283" s="718"/>
      <c r="M283" s="718"/>
      <c r="N283" s="699"/>
      <c r="O283" s="718"/>
    </row>
    <row r="284" spans="2:15">
      <c r="B284" s="715"/>
      <c r="F284" s="715"/>
      <c r="J284" s="718"/>
      <c r="K284" s="699"/>
      <c r="L284" s="718"/>
      <c r="M284" s="718"/>
      <c r="N284" s="699"/>
      <c r="O284" s="718"/>
    </row>
    <row r="285" spans="2:15">
      <c r="B285" s="715"/>
      <c r="F285" s="715"/>
      <c r="J285" s="718"/>
      <c r="K285" s="699"/>
      <c r="L285" s="718"/>
      <c r="M285" s="718"/>
      <c r="N285" s="699"/>
      <c r="O285" s="718"/>
    </row>
    <row r="286" spans="2:15">
      <c r="B286" s="715"/>
      <c r="F286" s="715"/>
      <c r="J286" s="718"/>
      <c r="K286" s="699"/>
      <c r="L286" s="718"/>
      <c r="M286" s="718"/>
      <c r="N286" s="699"/>
      <c r="O286" s="718"/>
    </row>
    <row r="287" spans="2:15">
      <c r="B287" s="715"/>
      <c r="F287" s="715"/>
      <c r="J287" s="718"/>
      <c r="K287" s="699"/>
      <c r="L287" s="718"/>
      <c r="M287" s="718"/>
      <c r="N287" s="699"/>
      <c r="O287" s="718"/>
    </row>
    <row r="288" spans="2:15">
      <c r="B288" s="715"/>
      <c r="F288" s="715"/>
      <c r="J288" s="718"/>
      <c r="K288" s="699"/>
      <c r="L288" s="718"/>
      <c r="M288" s="718"/>
      <c r="N288" s="699"/>
      <c r="O288" s="718"/>
    </row>
    <row r="289" spans="2:15">
      <c r="B289" s="715"/>
      <c r="F289" s="715"/>
      <c r="J289" s="718"/>
      <c r="K289" s="699"/>
      <c r="L289" s="718"/>
      <c r="M289" s="718"/>
      <c r="N289" s="699"/>
      <c r="O289" s="718"/>
    </row>
    <row r="290" spans="2:15">
      <c r="B290" s="715"/>
      <c r="F290" s="715"/>
      <c r="J290" s="718"/>
      <c r="K290" s="699"/>
      <c r="L290" s="718"/>
      <c r="M290" s="718"/>
      <c r="N290" s="699"/>
      <c r="O290" s="718"/>
    </row>
    <row r="291" spans="2:15">
      <c r="B291" s="715"/>
      <c r="F291" s="715"/>
      <c r="J291" s="718"/>
      <c r="K291" s="699"/>
      <c r="L291" s="718"/>
      <c r="M291" s="718"/>
      <c r="N291" s="699"/>
      <c r="O291" s="718"/>
    </row>
    <row r="292" spans="2:15">
      <c r="B292" s="715"/>
      <c r="F292" s="715"/>
      <c r="J292" s="718"/>
      <c r="K292" s="699"/>
      <c r="L292" s="718"/>
      <c r="M292" s="718"/>
      <c r="N292" s="699"/>
      <c r="O292" s="718"/>
    </row>
    <row r="293" spans="2:15">
      <c r="B293" s="715"/>
      <c r="F293" s="715"/>
      <c r="J293" s="718"/>
      <c r="K293" s="699"/>
      <c r="L293" s="718"/>
      <c r="M293" s="718"/>
      <c r="N293" s="699"/>
      <c r="O293" s="718"/>
    </row>
    <row r="294" spans="2:15">
      <c r="B294" s="715"/>
      <c r="F294" s="715"/>
      <c r="J294" s="718"/>
      <c r="K294" s="699"/>
      <c r="L294" s="718"/>
      <c r="M294" s="718"/>
      <c r="N294" s="699"/>
      <c r="O294" s="718"/>
    </row>
    <row r="295" spans="2:15">
      <c r="B295" s="715"/>
      <c r="F295" s="715"/>
      <c r="J295" s="718"/>
      <c r="K295" s="699"/>
      <c r="L295" s="718"/>
      <c r="M295" s="718"/>
      <c r="N295" s="699"/>
      <c r="O295" s="718"/>
    </row>
    <row r="296" spans="2:15">
      <c r="B296" s="715"/>
      <c r="F296" s="715"/>
      <c r="J296" s="718"/>
      <c r="K296" s="699"/>
      <c r="L296" s="718"/>
      <c r="M296" s="718"/>
      <c r="N296" s="699"/>
      <c r="O296" s="718"/>
    </row>
    <row r="297" spans="2:15">
      <c r="B297" s="715"/>
      <c r="F297" s="715"/>
      <c r="J297" s="718"/>
      <c r="K297" s="699"/>
      <c r="L297" s="718"/>
      <c r="M297" s="718"/>
      <c r="N297" s="699"/>
      <c r="O297" s="718"/>
    </row>
    <row r="298" spans="2:15">
      <c r="B298" s="715"/>
      <c r="F298" s="715"/>
      <c r="J298" s="718"/>
      <c r="K298" s="699"/>
      <c r="L298" s="718"/>
      <c r="M298" s="718"/>
      <c r="N298" s="699"/>
      <c r="O298" s="718"/>
    </row>
    <row r="299" spans="2:15">
      <c r="B299" s="715"/>
      <c r="F299" s="715"/>
      <c r="J299" s="718"/>
      <c r="K299" s="699"/>
      <c r="L299" s="718"/>
      <c r="M299" s="718"/>
      <c r="N299" s="699"/>
      <c r="O299" s="718"/>
    </row>
    <row r="300" spans="2:15">
      <c r="B300" s="715"/>
      <c r="F300" s="715"/>
      <c r="J300" s="718"/>
      <c r="K300" s="699"/>
      <c r="L300" s="718"/>
      <c r="M300" s="718"/>
      <c r="N300" s="699"/>
      <c r="O300" s="718"/>
    </row>
    <row r="301" spans="2:15">
      <c r="B301" s="715"/>
      <c r="F301" s="715"/>
      <c r="J301" s="718"/>
      <c r="K301" s="699"/>
      <c r="L301" s="718"/>
      <c r="M301" s="718"/>
      <c r="N301" s="699"/>
      <c r="O301" s="718"/>
    </row>
    <row r="302" spans="2:15">
      <c r="B302" s="715"/>
      <c r="F302" s="715"/>
      <c r="J302" s="718"/>
      <c r="K302" s="699"/>
      <c r="L302" s="718"/>
      <c r="M302" s="718"/>
      <c r="N302" s="699"/>
      <c r="O302" s="718"/>
    </row>
    <row r="303" spans="2:15">
      <c r="B303" s="715"/>
      <c r="F303" s="715"/>
      <c r="J303" s="718"/>
      <c r="K303" s="699"/>
      <c r="L303" s="718"/>
      <c r="M303" s="718"/>
      <c r="N303" s="699"/>
      <c r="O303" s="718"/>
    </row>
    <row r="304" spans="2:15">
      <c r="B304" s="715"/>
      <c r="F304" s="715"/>
      <c r="J304" s="718"/>
      <c r="K304" s="699"/>
      <c r="L304" s="718"/>
      <c r="M304" s="718"/>
      <c r="N304" s="699"/>
      <c r="O304" s="718"/>
    </row>
    <row r="305" spans="2:15">
      <c r="B305" s="715"/>
      <c r="F305" s="715"/>
      <c r="J305" s="718"/>
      <c r="K305" s="699"/>
      <c r="L305" s="718"/>
      <c r="M305" s="718"/>
      <c r="N305" s="699"/>
      <c r="O305" s="718"/>
    </row>
    <row r="306" spans="2:15">
      <c r="B306" s="715"/>
      <c r="F306" s="715"/>
      <c r="J306" s="718"/>
      <c r="K306" s="699"/>
      <c r="L306" s="718"/>
      <c r="M306" s="718"/>
      <c r="N306" s="699"/>
      <c r="O306" s="718"/>
    </row>
    <row r="307" spans="2:15">
      <c r="B307" s="715"/>
      <c r="F307" s="715"/>
      <c r="J307" s="718"/>
      <c r="K307" s="699"/>
      <c r="L307" s="718"/>
      <c r="M307" s="718"/>
      <c r="N307" s="699"/>
      <c r="O307" s="718"/>
    </row>
    <row r="308" spans="2:15">
      <c r="B308" s="715"/>
      <c r="F308" s="715"/>
      <c r="J308" s="718"/>
      <c r="K308" s="699"/>
      <c r="L308" s="718"/>
      <c r="M308" s="718"/>
      <c r="N308" s="699"/>
      <c r="O308" s="718"/>
    </row>
    <row r="309" spans="2:15">
      <c r="B309" s="715"/>
      <c r="F309" s="715"/>
      <c r="J309" s="718"/>
      <c r="K309" s="699"/>
      <c r="L309" s="718"/>
      <c r="M309" s="718"/>
      <c r="N309" s="699"/>
      <c r="O309" s="718"/>
    </row>
    <row r="310" spans="2:15">
      <c r="B310" s="715"/>
      <c r="F310" s="715"/>
      <c r="J310" s="718"/>
      <c r="K310" s="699"/>
      <c r="L310" s="718"/>
      <c r="M310" s="718"/>
      <c r="N310" s="699"/>
      <c r="O310" s="718"/>
    </row>
    <row r="311" spans="2:15">
      <c r="B311" s="715"/>
      <c r="F311" s="715"/>
      <c r="J311" s="718"/>
      <c r="K311" s="699"/>
      <c r="L311" s="718"/>
      <c r="M311" s="718"/>
      <c r="N311" s="699"/>
      <c r="O311" s="718"/>
    </row>
    <row r="312" spans="2:15">
      <c r="B312" s="715"/>
      <c r="F312" s="715"/>
      <c r="J312" s="718"/>
      <c r="K312" s="699"/>
      <c r="L312" s="718"/>
      <c r="M312" s="718"/>
      <c r="N312" s="699"/>
      <c r="O312" s="718"/>
    </row>
    <row r="313" spans="2:15">
      <c r="B313" s="715"/>
      <c r="F313" s="715"/>
      <c r="J313" s="718"/>
      <c r="K313" s="699"/>
      <c r="L313" s="718"/>
      <c r="M313" s="718"/>
      <c r="N313" s="699"/>
      <c r="O313" s="718"/>
    </row>
    <row r="314" spans="2:15">
      <c r="B314" s="715"/>
      <c r="F314" s="715"/>
      <c r="J314" s="718"/>
      <c r="K314" s="699"/>
      <c r="L314" s="718"/>
      <c r="M314" s="718"/>
      <c r="N314" s="699"/>
      <c r="O314" s="718"/>
    </row>
    <row r="315" spans="2:15">
      <c r="B315" s="715"/>
      <c r="F315" s="715"/>
      <c r="J315" s="718"/>
      <c r="K315" s="699"/>
      <c r="L315" s="718"/>
      <c r="M315" s="718"/>
      <c r="N315" s="699"/>
      <c r="O315" s="718"/>
    </row>
    <row r="316" spans="2:15">
      <c r="B316" s="715"/>
      <c r="F316" s="715"/>
      <c r="J316" s="718"/>
      <c r="K316" s="699"/>
      <c r="L316" s="718"/>
      <c r="M316" s="718"/>
      <c r="N316" s="699"/>
      <c r="O316" s="718"/>
    </row>
    <row r="317" spans="2:15">
      <c r="B317" s="715"/>
      <c r="F317" s="715"/>
      <c r="J317" s="718"/>
      <c r="K317" s="699"/>
      <c r="L317" s="718"/>
      <c r="M317" s="718"/>
      <c r="N317" s="699"/>
      <c r="O317" s="718"/>
    </row>
    <row r="318" spans="2:15">
      <c r="B318" s="715"/>
      <c r="F318" s="715"/>
      <c r="J318" s="718"/>
      <c r="K318" s="699"/>
      <c r="L318" s="718"/>
      <c r="M318" s="718"/>
      <c r="N318" s="699"/>
      <c r="O318" s="718"/>
    </row>
    <row r="319" spans="2:15">
      <c r="B319" s="715"/>
      <c r="F319" s="715"/>
      <c r="J319" s="718"/>
      <c r="K319" s="699"/>
      <c r="L319" s="718"/>
      <c r="M319" s="718"/>
      <c r="N319" s="699"/>
      <c r="O319" s="718"/>
    </row>
    <row r="320" spans="2:15">
      <c r="B320" s="715"/>
      <c r="F320" s="715"/>
      <c r="J320" s="718"/>
      <c r="K320" s="699"/>
      <c r="L320" s="718"/>
      <c r="M320" s="718"/>
      <c r="N320" s="699"/>
      <c r="O320" s="718"/>
    </row>
    <row r="321" spans="2:15">
      <c r="B321" s="715"/>
      <c r="F321" s="715"/>
      <c r="J321" s="718"/>
      <c r="K321" s="699"/>
      <c r="L321" s="718"/>
      <c r="M321" s="718"/>
      <c r="N321" s="699"/>
      <c r="O321" s="718"/>
    </row>
    <row r="322" spans="2:15">
      <c r="B322" s="715"/>
      <c r="F322" s="715"/>
      <c r="J322" s="718"/>
      <c r="K322" s="699"/>
      <c r="L322" s="718"/>
      <c r="M322" s="718"/>
      <c r="N322" s="699"/>
      <c r="O322" s="718"/>
    </row>
    <row r="323" spans="2:15">
      <c r="B323" s="715"/>
      <c r="F323" s="715"/>
      <c r="J323" s="718"/>
      <c r="K323" s="699"/>
      <c r="L323" s="718"/>
      <c r="M323" s="718"/>
      <c r="N323" s="699"/>
      <c r="O323" s="718"/>
    </row>
    <row r="324" spans="2:15">
      <c r="B324" s="715"/>
      <c r="F324" s="715"/>
      <c r="J324" s="718"/>
      <c r="K324" s="699"/>
      <c r="L324" s="718"/>
      <c r="M324" s="718"/>
      <c r="N324" s="699"/>
      <c r="O324" s="718"/>
    </row>
    <row r="325" spans="2:15">
      <c r="B325" s="715"/>
      <c r="F325" s="715"/>
      <c r="J325" s="718"/>
      <c r="K325" s="699"/>
      <c r="L325" s="718"/>
      <c r="M325" s="718"/>
      <c r="N325" s="699"/>
      <c r="O325" s="718"/>
    </row>
    <row r="326" spans="2:15">
      <c r="B326" s="715"/>
      <c r="F326" s="715"/>
      <c r="J326" s="718"/>
      <c r="K326" s="699"/>
      <c r="L326" s="718"/>
      <c r="M326" s="718"/>
      <c r="N326" s="699"/>
      <c r="O326" s="718"/>
    </row>
    <row r="327" spans="2:15">
      <c r="B327" s="715"/>
      <c r="F327" s="715"/>
      <c r="J327" s="718"/>
      <c r="K327" s="699"/>
      <c r="L327" s="718"/>
      <c r="M327" s="718"/>
      <c r="N327" s="699"/>
      <c r="O327" s="718"/>
    </row>
    <row r="328" spans="2:15">
      <c r="B328" s="715"/>
      <c r="F328" s="715"/>
      <c r="J328" s="718"/>
      <c r="K328" s="699"/>
      <c r="L328" s="718"/>
      <c r="M328" s="718"/>
      <c r="N328" s="699"/>
      <c r="O328" s="718"/>
    </row>
    <row r="329" spans="2:15">
      <c r="B329" s="715"/>
      <c r="F329" s="715"/>
      <c r="J329" s="718"/>
      <c r="K329" s="699"/>
      <c r="L329" s="718"/>
      <c r="M329" s="718"/>
      <c r="N329" s="699"/>
      <c r="O329" s="718"/>
    </row>
    <row r="330" spans="2:15">
      <c r="B330" s="715"/>
      <c r="F330" s="715"/>
      <c r="J330" s="718"/>
      <c r="K330" s="699"/>
      <c r="L330" s="718"/>
      <c r="M330" s="718"/>
      <c r="N330" s="699"/>
      <c r="O330" s="718"/>
    </row>
    <row r="331" spans="2:15">
      <c r="B331" s="715"/>
      <c r="F331" s="715"/>
      <c r="J331" s="718"/>
      <c r="K331" s="699"/>
      <c r="L331" s="718"/>
      <c r="M331" s="718"/>
      <c r="N331" s="699"/>
      <c r="O331" s="718"/>
    </row>
    <row r="332" spans="2:15">
      <c r="B332" s="715"/>
      <c r="F332" s="715"/>
      <c r="J332" s="718"/>
      <c r="K332" s="699"/>
      <c r="L332" s="718"/>
      <c r="M332" s="718"/>
      <c r="N332" s="699"/>
      <c r="O332" s="718"/>
    </row>
    <row r="333" spans="2:15">
      <c r="B333" s="715"/>
      <c r="F333" s="715"/>
      <c r="J333" s="718"/>
      <c r="K333" s="699"/>
      <c r="L333" s="718"/>
      <c r="M333" s="718"/>
      <c r="N333" s="699"/>
      <c r="O333" s="718"/>
    </row>
    <row r="334" spans="2:15">
      <c r="B334" s="715"/>
      <c r="F334" s="715"/>
      <c r="J334" s="718"/>
      <c r="K334" s="699"/>
      <c r="L334" s="718"/>
      <c r="M334" s="718"/>
      <c r="N334" s="699"/>
      <c r="O334" s="718"/>
    </row>
    <row r="335" spans="2:15">
      <c r="B335" s="715"/>
      <c r="F335" s="715"/>
      <c r="J335" s="718"/>
      <c r="K335" s="699"/>
      <c r="L335" s="718"/>
      <c r="M335" s="718"/>
      <c r="N335" s="699"/>
      <c r="O335" s="718"/>
    </row>
    <row r="336" spans="2:15">
      <c r="B336" s="715"/>
      <c r="F336" s="715"/>
      <c r="J336" s="718"/>
      <c r="K336" s="699"/>
      <c r="L336" s="718"/>
      <c r="M336" s="718"/>
      <c r="N336" s="699"/>
      <c r="O336" s="718"/>
    </row>
    <row r="337" spans="2:15">
      <c r="B337" s="715"/>
      <c r="F337" s="715"/>
      <c r="J337" s="718"/>
      <c r="K337" s="699"/>
      <c r="L337" s="718"/>
      <c r="M337" s="718"/>
      <c r="N337" s="699"/>
      <c r="O337" s="718"/>
    </row>
    <row r="338" spans="2:15">
      <c r="B338" s="715"/>
      <c r="F338" s="715"/>
      <c r="J338" s="718"/>
      <c r="K338" s="699"/>
      <c r="L338" s="718"/>
      <c r="M338" s="718"/>
      <c r="N338" s="699"/>
      <c r="O338" s="718"/>
    </row>
    <row r="339" spans="2:15">
      <c r="B339" s="715"/>
      <c r="F339" s="715"/>
      <c r="J339" s="718"/>
      <c r="K339" s="699"/>
      <c r="L339" s="718"/>
      <c r="M339" s="718"/>
      <c r="N339" s="699"/>
      <c r="O339" s="718"/>
    </row>
    <row r="340" spans="2:15">
      <c r="B340" s="715"/>
      <c r="F340" s="715"/>
      <c r="J340" s="718"/>
      <c r="K340" s="699"/>
      <c r="L340" s="718"/>
      <c r="M340" s="718"/>
      <c r="N340" s="699"/>
      <c r="O340" s="718"/>
    </row>
    <row r="341" spans="2:15">
      <c r="B341" s="715"/>
      <c r="F341" s="715"/>
      <c r="J341" s="718"/>
      <c r="K341" s="699"/>
      <c r="L341" s="718"/>
      <c r="M341" s="718"/>
      <c r="N341" s="699"/>
      <c r="O341" s="718"/>
    </row>
    <row r="342" spans="2:15">
      <c r="B342" s="715"/>
      <c r="F342" s="715"/>
      <c r="J342" s="718"/>
      <c r="K342" s="699"/>
      <c r="L342" s="718"/>
      <c r="M342" s="718"/>
      <c r="N342" s="699"/>
      <c r="O342" s="718"/>
    </row>
    <row r="343" spans="2:15">
      <c r="B343" s="715"/>
      <c r="F343" s="715"/>
      <c r="J343" s="718"/>
      <c r="K343" s="699"/>
      <c r="L343" s="718"/>
      <c r="M343" s="718"/>
      <c r="N343" s="699"/>
      <c r="O343" s="718"/>
    </row>
    <row r="344" spans="2:15">
      <c r="B344" s="715"/>
      <c r="F344" s="715"/>
      <c r="J344" s="718"/>
      <c r="K344" s="699"/>
      <c r="L344" s="718"/>
      <c r="M344" s="718"/>
      <c r="N344" s="699"/>
      <c r="O344" s="718"/>
    </row>
    <row r="345" spans="2:15">
      <c r="B345" s="715"/>
      <c r="F345" s="715"/>
      <c r="J345" s="718"/>
      <c r="K345" s="699"/>
      <c r="L345" s="718"/>
      <c r="M345" s="718"/>
      <c r="N345" s="699"/>
      <c r="O345" s="718"/>
    </row>
    <row r="346" spans="2:15">
      <c r="B346" s="715"/>
      <c r="F346" s="715"/>
      <c r="J346" s="718"/>
      <c r="K346" s="699"/>
      <c r="L346" s="718"/>
      <c r="M346" s="718"/>
      <c r="N346" s="699"/>
      <c r="O346" s="718"/>
    </row>
    <row r="347" spans="2:15">
      <c r="B347" s="715"/>
      <c r="F347" s="715"/>
      <c r="J347" s="718"/>
      <c r="K347" s="699"/>
      <c r="L347" s="718"/>
      <c r="M347" s="718"/>
      <c r="N347" s="699"/>
      <c r="O347" s="718"/>
    </row>
    <row r="348" spans="2:15">
      <c r="B348" s="715"/>
      <c r="F348" s="715"/>
      <c r="J348" s="718"/>
      <c r="K348" s="699"/>
      <c r="L348" s="718"/>
      <c r="M348" s="718"/>
      <c r="N348" s="699"/>
      <c r="O348" s="718"/>
    </row>
    <row r="349" spans="2:15">
      <c r="B349" s="715"/>
      <c r="F349" s="715"/>
      <c r="J349" s="718"/>
      <c r="K349" s="699"/>
      <c r="L349" s="718"/>
      <c r="M349" s="718"/>
      <c r="N349" s="699"/>
      <c r="O349" s="718"/>
    </row>
    <row r="350" spans="2:15">
      <c r="B350" s="715"/>
      <c r="F350" s="715"/>
      <c r="J350" s="718"/>
      <c r="K350" s="699"/>
      <c r="L350" s="718"/>
      <c r="M350" s="718"/>
      <c r="N350" s="699"/>
      <c r="O350" s="718"/>
    </row>
    <row r="351" spans="2:15">
      <c r="B351" s="715"/>
      <c r="F351" s="715"/>
      <c r="J351" s="718"/>
      <c r="K351" s="699"/>
      <c r="L351" s="718"/>
      <c r="M351" s="718"/>
      <c r="N351" s="699"/>
      <c r="O351" s="718"/>
    </row>
    <row r="352" spans="2:15">
      <c r="B352" s="715"/>
      <c r="F352" s="715"/>
      <c r="J352" s="718"/>
      <c r="K352" s="699"/>
      <c r="L352" s="718"/>
      <c r="M352" s="718"/>
      <c r="N352" s="699"/>
      <c r="O352" s="718"/>
    </row>
    <row r="353" spans="2:15">
      <c r="B353" s="715"/>
      <c r="F353" s="715"/>
      <c r="J353" s="718"/>
      <c r="K353" s="699"/>
      <c r="L353" s="718"/>
      <c r="M353" s="718"/>
      <c r="N353" s="699"/>
      <c r="O353" s="718"/>
    </row>
    <row r="354" spans="2:15">
      <c r="B354" s="715"/>
      <c r="F354" s="715"/>
      <c r="J354" s="718"/>
      <c r="K354" s="699"/>
      <c r="L354" s="718"/>
      <c r="M354" s="718"/>
      <c r="N354" s="699"/>
      <c r="O354" s="718"/>
    </row>
    <row r="355" spans="2:15">
      <c r="B355" s="715"/>
      <c r="F355" s="715"/>
      <c r="J355" s="718"/>
      <c r="K355" s="699"/>
      <c r="L355" s="718"/>
      <c r="M355" s="718"/>
      <c r="N355" s="699"/>
      <c r="O355" s="718"/>
    </row>
    <row r="356" spans="2:15">
      <c r="B356" s="715"/>
      <c r="F356" s="715"/>
      <c r="J356" s="718"/>
      <c r="K356" s="699"/>
      <c r="L356" s="718"/>
      <c r="M356" s="718"/>
      <c r="N356" s="699"/>
      <c r="O356" s="718"/>
    </row>
    <row r="357" spans="2:15">
      <c r="B357" s="715"/>
      <c r="F357" s="715"/>
      <c r="J357" s="718"/>
      <c r="K357" s="699"/>
      <c r="L357" s="718"/>
      <c r="M357" s="718"/>
      <c r="N357" s="699"/>
      <c r="O357" s="718"/>
    </row>
    <row r="358" spans="2:15">
      <c r="B358" s="715"/>
      <c r="F358" s="715"/>
      <c r="J358" s="718"/>
      <c r="K358" s="699"/>
      <c r="L358" s="718"/>
      <c r="M358" s="718"/>
      <c r="N358" s="699"/>
      <c r="O358" s="718"/>
    </row>
    <row r="359" spans="2:15">
      <c r="B359" s="715"/>
      <c r="F359" s="715"/>
      <c r="J359" s="718"/>
      <c r="K359" s="699"/>
      <c r="L359" s="718"/>
      <c r="M359" s="718"/>
      <c r="N359" s="699"/>
      <c r="O359" s="718"/>
    </row>
    <row r="360" spans="2:15">
      <c r="B360" s="715"/>
      <c r="F360" s="715"/>
      <c r="J360" s="718"/>
      <c r="K360" s="699"/>
      <c r="L360" s="718"/>
      <c r="M360" s="718"/>
      <c r="N360" s="699"/>
      <c r="O360" s="718"/>
    </row>
    <row r="361" spans="2:15">
      <c r="B361" s="715"/>
      <c r="F361" s="715"/>
      <c r="J361" s="718"/>
      <c r="K361" s="699"/>
      <c r="L361" s="718"/>
      <c r="M361" s="718"/>
      <c r="N361" s="699"/>
      <c r="O361" s="718"/>
    </row>
    <row r="362" spans="2:15">
      <c r="B362" s="715"/>
      <c r="F362" s="715"/>
      <c r="J362" s="718"/>
      <c r="K362" s="699"/>
      <c r="L362" s="718"/>
      <c r="M362" s="718"/>
      <c r="N362" s="699"/>
      <c r="O362" s="718"/>
    </row>
    <row r="363" spans="2:15">
      <c r="B363" s="715"/>
      <c r="F363" s="715"/>
      <c r="J363" s="718"/>
      <c r="K363" s="699"/>
      <c r="L363" s="718"/>
      <c r="M363" s="718"/>
      <c r="N363" s="699"/>
      <c r="O363" s="718"/>
    </row>
    <row r="364" spans="2:15">
      <c r="B364" s="715"/>
      <c r="F364" s="715"/>
      <c r="J364" s="718"/>
      <c r="K364" s="699"/>
      <c r="L364" s="718"/>
      <c r="M364" s="718"/>
      <c r="N364" s="699"/>
      <c r="O364" s="718"/>
    </row>
    <row r="365" spans="2:15">
      <c r="B365" s="715"/>
      <c r="F365" s="715"/>
      <c r="J365" s="718"/>
      <c r="K365" s="699"/>
      <c r="L365" s="718"/>
      <c r="M365" s="718"/>
      <c r="N365" s="699"/>
      <c r="O365" s="718"/>
    </row>
    <row r="366" spans="2:15">
      <c r="B366" s="715"/>
      <c r="F366" s="715"/>
      <c r="J366" s="718"/>
      <c r="K366" s="699"/>
      <c r="L366" s="718"/>
      <c r="M366" s="718"/>
      <c r="N366" s="699"/>
      <c r="O366" s="718"/>
    </row>
    <row r="367" spans="2:15">
      <c r="B367" s="715"/>
      <c r="F367" s="715"/>
      <c r="J367" s="718"/>
      <c r="K367" s="699"/>
      <c r="L367" s="718"/>
      <c r="M367" s="718"/>
      <c r="N367" s="699"/>
      <c r="O367" s="718"/>
    </row>
    <row r="368" spans="2:15">
      <c r="B368" s="715"/>
      <c r="F368" s="715"/>
      <c r="J368" s="718"/>
      <c r="K368" s="699"/>
      <c r="L368" s="718"/>
      <c r="M368" s="718"/>
      <c r="N368" s="699"/>
      <c r="O368" s="718"/>
    </row>
    <row r="369" spans="2:15">
      <c r="B369" s="715"/>
      <c r="F369" s="715"/>
      <c r="J369" s="718"/>
      <c r="K369" s="699"/>
      <c r="L369" s="718"/>
      <c r="M369" s="718"/>
      <c r="N369" s="699"/>
      <c r="O369" s="718"/>
    </row>
    <row r="370" spans="2:15">
      <c r="B370" s="715"/>
      <c r="F370" s="715"/>
      <c r="J370" s="718"/>
      <c r="K370" s="699"/>
      <c r="L370" s="718"/>
      <c r="M370" s="718"/>
      <c r="N370" s="699"/>
      <c r="O370" s="718"/>
    </row>
    <row r="371" spans="2:15">
      <c r="B371" s="715"/>
      <c r="F371" s="715"/>
      <c r="J371" s="718"/>
      <c r="K371" s="699"/>
      <c r="L371" s="718"/>
      <c r="M371" s="718"/>
      <c r="N371" s="699"/>
      <c r="O371" s="718"/>
    </row>
    <row r="372" spans="2:15">
      <c r="B372" s="715"/>
      <c r="F372" s="715"/>
      <c r="J372" s="718"/>
      <c r="K372" s="699"/>
      <c r="L372" s="718"/>
      <c r="M372" s="718"/>
      <c r="N372" s="699"/>
      <c r="O372" s="718"/>
    </row>
    <row r="373" spans="2:15">
      <c r="B373" s="715"/>
      <c r="F373" s="715"/>
      <c r="J373" s="718"/>
      <c r="K373" s="699"/>
      <c r="L373" s="718"/>
      <c r="M373" s="718"/>
      <c r="N373" s="699"/>
      <c r="O373" s="718"/>
    </row>
    <row r="374" spans="2:15">
      <c r="B374" s="715"/>
      <c r="F374" s="715"/>
      <c r="J374" s="718"/>
      <c r="K374" s="699"/>
      <c r="L374" s="718"/>
      <c r="M374" s="718"/>
      <c r="N374" s="699"/>
      <c r="O374" s="718"/>
    </row>
    <row r="375" spans="2:15">
      <c r="B375" s="715"/>
      <c r="F375" s="715"/>
      <c r="J375" s="718"/>
      <c r="K375" s="699"/>
      <c r="L375" s="718"/>
      <c r="M375" s="718"/>
      <c r="N375" s="699"/>
      <c r="O375" s="718"/>
    </row>
    <row r="376" spans="2:15">
      <c r="B376" s="715"/>
      <c r="F376" s="715"/>
      <c r="J376" s="718"/>
      <c r="K376" s="699"/>
      <c r="L376" s="718"/>
      <c r="M376" s="718"/>
      <c r="N376" s="699"/>
      <c r="O376" s="718"/>
    </row>
    <row r="377" spans="2:15">
      <c r="B377" s="715"/>
      <c r="F377" s="715"/>
      <c r="J377" s="718"/>
      <c r="K377" s="699"/>
      <c r="L377" s="718"/>
      <c r="M377" s="718"/>
      <c r="N377" s="699"/>
      <c r="O377" s="718"/>
    </row>
    <row r="378" spans="2:15">
      <c r="B378" s="715"/>
      <c r="F378" s="715"/>
      <c r="J378" s="718"/>
      <c r="K378" s="699"/>
      <c r="L378" s="718"/>
      <c r="M378" s="718"/>
      <c r="N378" s="699"/>
      <c r="O378" s="718"/>
    </row>
    <row r="379" spans="2:15">
      <c r="B379" s="715"/>
      <c r="F379" s="715"/>
      <c r="J379" s="718"/>
      <c r="K379" s="699"/>
      <c r="L379" s="718"/>
      <c r="M379" s="718"/>
      <c r="N379" s="699"/>
      <c r="O379" s="718"/>
    </row>
    <row r="380" spans="2:15">
      <c r="B380" s="715"/>
      <c r="F380" s="715"/>
      <c r="J380" s="718"/>
      <c r="K380" s="699"/>
      <c r="L380" s="718"/>
      <c r="M380" s="718"/>
      <c r="N380" s="699"/>
      <c r="O380" s="718"/>
    </row>
    <row r="381" spans="2:15">
      <c r="B381" s="715"/>
      <c r="F381" s="715"/>
      <c r="J381" s="718"/>
      <c r="K381" s="699"/>
      <c r="L381" s="718"/>
      <c r="M381" s="718"/>
      <c r="N381" s="699"/>
      <c r="O381" s="718"/>
    </row>
    <row r="382" spans="2:15">
      <c r="B382" s="715"/>
      <c r="F382" s="715"/>
      <c r="J382" s="718"/>
      <c r="K382" s="699"/>
      <c r="L382" s="718"/>
      <c r="M382" s="718"/>
      <c r="N382" s="699"/>
      <c r="O382" s="718"/>
    </row>
    <row r="383" spans="2:15">
      <c r="B383" s="715"/>
      <c r="F383" s="715"/>
      <c r="J383" s="718"/>
      <c r="K383" s="699"/>
      <c r="L383" s="718"/>
      <c r="M383" s="718"/>
      <c r="N383" s="699"/>
      <c r="O383" s="718"/>
    </row>
    <row r="384" spans="2:15">
      <c r="B384" s="715"/>
      <c r="F384" s="715"/>
      <c r="J384" s="718"/>
      <c r="K384" s="699"/>
      <c r="L384" s="718"/>
      <c r="M384" s="718"/>
      <c r="N384" s="699"/>
      <c r="O384" s="718"/>
    </row>
    <row r="385" spans="2:15">
      <c r="B385" s="715"/>
      <c r="F385" s="715"/>
      <c r="J385" s="718"/>
      <c r="K385" s="699"/>
      <c r="L385" s="718"/>
      <c r="M385" s="718"/>
      <c r="N385" s="699"/>
      <c r="O385" s="718"/>
    </row>
    <row r="386" spans="2:15">
      <c r="B386" s="715"/>
      <c r="F386" s="715"/>
      <c r="J386" s="718"/>
      <c r="K386" s="699"/>
      <c r="L386" s="718"/>
      <c r="M386" s="718"/>
      <c r="N386" s="699"/>
      <c r="O386" s="718"/>
    </row>
    <row r="387" spans="2:15">
      <c r="B387" s="715"/>
      <c r="F387" s="715"/>
      <c r="J387" s="718"/>
      <c r="K387" s="699"/>
      <c r="L387" s="718"/>
      <c r="M387" s="718"/>
      <c r="N387" s="699"/>
      <c r="O387" s="718"/>
    </row>
    <row r="388" spans="2:15">
      <c r="B388" s="715"/>
      <c r="F388" s="715"/>
      <c r="J388" s="718"/>
      <c r="K388" s="699"/>
      <c r="L388" s="718"/>
      <c r="M388" s="718"/>
      <c r="N388" s="699"/>
      <c r="O388" s="718"/>
    </row>
    <row r="389" spans="2:15">
      <c r="B389" s="715"/>
      <c r="F389" s="715"/>
      <c r="J389" s="718"/>
      <c r="K389" s="699"/>
      <c r="L389" s="718"/>
      <c r="M389" s="718"/>
      <c r="N389" s="699"/>
      <c r="O389" s="718"/>
    </row>
    <row r="390" spans="2:15">
      <c r="B390" s="715"/>
      <c r="F390" s="715"/>
      <c r="J390" s="718"/>
      <c r="K390" s="699"/>
      <c r="L390" s="718"/>
      <c r="M390" s="718"/>
      <c r="N390" s="699"/>
      <c r="O390" s="718"/>
    </row>
    <row r="391" spans="2:15">
      <c r="B391" s="715"/>
      <c r="F391" s="715"/>
      <c r="J391" s="718"/>
      <c r="K391" s="699"/>
      <c r="L391" s="718"/>
      <c r="M391" s="718"/>
      <c r="N391" s="699"/>
      <c r="O391" s="718"/>
    </row>
    <row r="392" spans="2:15">
      <c r="B392" s="715"/>
      <c r="F392" s="715"/>
      <c r="J392" s="718"/>
      <c r="K392" s="699"/>
      <c r="L392" s="718"/>
      <c r="M392" s="718"/>
      <c r="N392" s="699"/>
      <c r="O392" s="718"/>
    </row>
    <row r="393" spans="2:15">
      <c r="B393" s="715"/>
      <c r="F393" s="715"/>
      <c r="J393" s="718"/>
      <c r="K393" s="699"/>
      <c r="L393" s="718"/>
      <c r="M393" s="718"/>
      <c r="N393" s="699"/>
      <c r="O393" s="718"/>
    </row>
    <row r="394" spans="2:15">
      <c r="B394" s="715"/>
      <c r="F394" s="715"/>
      <c r="J394" s="718"/>
      <c r="K394" s="699"/>
      <c r="L394" s="718"/>
      <c r="M394" s="718"/>
      <c r="N394" s="699"/>
      <c r="O394" s="718"/>
    </row>
    <row r="395" spans="2:15">
      <c r="B395" s="715"/>
      <c r="F395" s="715"/>
      <c r="J395" s="718"/>
      <c r="K395" s="699"/>
      <c r="L395" s="718"/>
      <c r="M395" s="718"/>
      <c r="N395" s="699"/>
      <c r="O395" s="718"/>
    </row>
    <row r="396" spans="2:15">
      <c r="B396" s="715"/>
      <c r="F396" s="715"/>
      <c r="J396" s="718"/>
      <c r="K396" s="699"/>
      <c r="L396" s="718"/>
      <c r="M396" s="718"/>
      <c r="N396" s="699"/>
      <c r="O396" s="718"/>
    </row>
    <row r="397" spans="2:15">
      <c r="B397" s="715"/>
      <c r="F397" s="715"/>
      <c r="J397" s="718"/>
      <c r="K397" s="699"/>
      <c r="L397" s="718"/>
      <c r="M397" s="718"/>
      <c r="N397" s="699"/>
      <c r="O397" s="718"/>
    </row>
    <row r="398" spans="2:15">
      <c r="B398" s="715"/>
      <c r="F398" s="715"/>
      <c r="J398" s="718"/>
      <c r="K398" s="699"/>
      <c r="L398" s="718"/>
      <c r="M398" s="718"/>
      <c r="N398" s="699"/>
      <c r="O398" s="718"/>
    </row>
    <row r="399" spans="2:15">
      <c r="B399" s="715"/>
      <c r="F399" s="715"/>
      <c r="J399" s="718"/>
      <c r="K399" s="699"/>
      <c r="L399" s="718"/>
      <c r="M399" s="718"/>
      <c r="N399" s="699"/>
      <c r="O399" s="718"/>
    </row>
    <row r="400" spans="2:15">
      <c r="B400" s="715"/>
      <c r="F400" s="715"/>
      <c r="J400" s="718"/>
      <c r="K400" s="699"/>
      <c r="L400" s="718"/>
      <c r="M400" s="718"/>
      <c r="N400" s="699"/>
      <c r="O400" s="718"/>
    </row>
    <row r="401" spans="2:15">
      <c r="B401" s="715"/>
      <c r="F401" s="715"/>
      <c r="J401" s="718"/>
      <c r="K401" s="699"/>
      <c r="L401" s="718"/>
      <c r="M401" s="718"/>
      <c r="N401" s="699"/>
      <c r="O401" s="718"/>
    </row>
    <row r="402" spans="2:15">
      <c r="B402" s="715"/>
      <c r="F402" s="715"/>
      <c r="J402" s="718"/>
      <c r="K402" s="699"/>
      <c r="L402" s="718"/>
      <c r="M402" s="718"/>
      <c r="N402" s="699"/>
      <c r="O402" s="718"/>
    </row>
    <row r="403" spans="2:15">
      <c r="B403" s="715"/>
      <c r="F403" s="715"/>
      <c r="J403" s="718"/>
      <c r="K403" s="699"/>
      <c r="L403" s="718"/>
      <c r="M403" s="718"/>
      <c r="N403" s="699"/>
      <c r="O403" s="718"/>
    </row>
    <row r="404" spans="2:15">
      <c r="B404" s="715"/>
      <c r="F404" s="715"/>
      <c r="J404" s="718"/>
      <c r="K404" s="699"/>
      <c r="L404" s="718"/>
      <c r="M404" s="718"/>
      <c r="N404" s="699"/>
      <c r="O404" s="718"/>
    </row>
    <row r="405" spans="2:15">
      <c r="B405" s="715"/>
      <c r="F405" s="715"/>
      <c r="J405" s="718"/>
      <c r="K405" s="699"/>
      <c r="L405" s="718"/>
      <c r="M405" s="718"/>
      <c r="N405" s="699"/>
      <c r="O405" s="718"/>
    </row>
    <row r="406" spans="2:15">
      <c r="B406" s="715"/>
      <c r="F406" s="715"/>
      <c r="J406" s="718"/>
      <c r="K406" s="699"/>
      <c r="L406" s="718"/>
      <c r="M406" s="718"/>
      <c r="N406" s="699"/>
      <c r="O406" s="718"/>
    </row>
    <row r="407" spans="2:15">
      <c r="B407" s="715"/>
      <c r="F407" s="715"/>
      <c r="J407" s="718"/>
      <c r="K407" s="699"/>
      <c r="L407" s="718"/>
      <c r="M407" s="718"/>
      <c r="N407" s="699"/>
      <c r="O407" s="718"/>
    </row>
    <row r="408" spans="2:15">
      <c r="B408" s="715"/>
      <c r="F408" s="715"/>
      <c r="J408" s="718"/>
      <c r="K408" s="699"/>
      <c r="L408" s="718"/>
      <c r="M408" s="718"/>
      <c r="N408" s="699"/>
      <c r="O408" s="718"/>
    </row>
    <row r="409" spans="2:15">
      <c r="B409" s="715"/>
      <c r="F409" s="715"/>
      <c r="J409" s="718"/>
      <c r="K409" s="699"/>
      <c r="L409" s="718"/>
      <c r="M409" s="718"/>
      <c r="N409" s="699"/>
      <c r="O409" s="718"/>
    </row>
    <row r="410" spans="2:15">
      <c r="B410" s="715"/>
      <c r="F410" s="715"/>
      <c r="J410" s="718"/>
      <c r="K410" s="699"/>
      <c r="L410" s="718"/>
      <c r="M410" s="718"/>
      <c r="N410" s="699"/>
      <c r="O410" s="718"/>
    </row>
    <row r="411" spans="2:15">
      <c r="B411" s="715"/>
      <c r="F411" s="715"/>
      <c r="J411" s="718"/>
      <c r="K411" s="699"/>
      <c r="L411" s="718"/>
      <c r="M411" s="718"/>
      <c r="N411" s="699"/>
      <c r="O411" s="718"/>
    </row>
    <row r="412" spans="2:15">
      <c r="B412" s="715"/>
      <c r="F412" s="715"/>
      <c r="J412" s="718"/>
      <c r="K412" s="699"/>
      <c r="L412" s="718"/>
      <c r="M412" s="718"/>
      <c r="N412" s="699"/>
      <c r="O412" s="718"/>
    </row>
    <row r="413" spans="2:15">
      <c r="B413" s="715"/>
      <c r="F413" s="715"/>
      <c r="J413" s="718"/>
      <c r="K413" s="699"/>
      <c r="L413" s="718"/>
      <c r="M413" s="718"/>
      <c r="N413" s="699"/>
      <c r="O413" s="718"/>
    </row>
    <row r="414" spans="2:15">
      <c r="B414" s="715"/>
      <c r="F414" s="715"/>
      <c r="J414" s="718"/>
      <c r="K414" s="699"/>
      <c r="L414" s="718"/>
      <c r="M414" s="718"/>
      <c r="N414" s="699"/>
      <c r="O414" s="718"/>
    </row>
    <row r="415" spans="2:15">
      <c r="B415" s="715"/>
      <c r="F415" s="715"/>
      <c r="J415" s="718"/>
      <c r="K415" s="699"/>
      <c r="L415" s="718"/>
      <c r="M415" s="718"/>
      <c r="N415" s="699"/>
      <c r="O415" s="718"/>
    </row>
    <row r="416" spans="2:15">
      <c r="B416" s="715"/>
      <c r="F416" s="715"/>
      <c r="J416" s="718"/>
      <c r="K416" s="699"/>
      <c r="L416" s="718"/>
      <c r="M416" s="718"/>
      <c r="N416" s="699"/>
      <c r="O416" s="718"/>
    </row>
    <row r="417" spans="2:15">
      <c r="B417" s="715"/>
      <c r="F417" s="715"/>
      <c r="J417" s="718"/>
      <c r="K417" s="699"/>
      <c r="L417" s="718"/>
      <c r="M417" s="718"/>
      <c r="N417" s="699"/>
      <c r="O417" s="718"/>
    </row>
    <row r="418" spans="2:15">
      <c r="B418" s="715"/>
      <c r="F418" s="715"/>
      <c r="J418" s="718"/>
      <c r="K418" s="699"/>
      <c r="L418" s="718"/>
      <c r="M418" s="718"/>
      <c r="N418" s="699"/>
      <c r="O418" s="718"/>
    </row>
    <row r="419" spans="2:15">
      <c r="B419" s="715"/>
      <c r="F419" s="715"/>
      <c r="J419" s="718"/>
      <c r="K419" s="699"/>
      <c r="L419" s="718"/>
      <c r="M419" s="718"/>
      <c r="N419" s="699"/>
      <c r="O419" s="718"/>
    </row>
    <row r="420" spans="2:15">
      <c r="B420" s="715"/>
      <c r="F420" s="715"/>
      <c r="J420" s="718"/>
      <c r="K420" s="699"/>
      <c r="L420" s="718"/>
      <c r="M420" s="718"/>
      <c r="N420" s="699"/>
      <c r="O420" s="718"/>
    </row>
    <row r="421" spans="2:15">
      <c r="B421" s="715"/>
      <c r="F421" s="715"/>
      <c r="J421" s="718"/>
      <c r="K421" s="699"/>
      <c r="L421" s="718"/>
      <c r="M421" s="718"/>
      <c r="N421" s="699"/>
      <c r="O421" s="718"/>
    </row>
    <row r="422" spans="2:15">
      <c r="B422" s="715"/>
      <c r="F422" s="715"/>
      <c r="J422" s="718"/>
      <c r="K422" s="699"/>
      <c r="L422" s="718"/>
      <c r="M422" s="718"/>
      <c r="N422" s="699"/>
      <c r="O422" s="718"/>
    </row>
    <row r="423" spans="2:15">
      <c r="B423" s="715"/>
      <c r="F423" s="715"/>
      <c r="J423" s="718"/>
      <c r="K423" s="699"/>
      <c r="L423" s="718"/>
      <c r="M423" s="718"/>
      <c r="N423" s="699"/>
      <c r="O423" s="718"/>
    </row>
    <row r="424" spans="2:15">
      <c r="B424" s="715"/>
      <c r="F424" s="715"/>
      <c r="J424" s="718"/>
      <c r="K424" s="699"/>
      <c r="L424" s="718"/>
      <c r="M424" s="718"/>
      <c r="N424" s="699"/>
      <c r="O424" s="718"/>
    </row>
    <row r="425" spans="2:15">
      <c r="B425" s="715"/>
      <c r="F425" s="715"/>
      <c r="J425" s="718"/>
      <c r="K425" s="699"/>
      <c r="L425" s="718"/>
      <c r="M425" s="718"/>
      <c r="N425" s="699"/>
      <c r="O425" s="718"/>
    </row>
    <row r="426" spans="2:15">
      <c r="B426" s="715"/>
      <c r="F426" s="715"/>
      <c r="J426" s="718"/>
      <c r="K426" s="699"/>
      <c r="L426" s="718"/>
      <c r="M426" s="718"/>
      <c r="N426" s="699"/>
      <c r="O426" s="718"/>
    </row>
    <row r="427" spans="2:15">
      <c r="B427" s="715"/>
      <c r="F427" s="715"/>
      <c r="J427" s="718"/>
      <c r="K427" s="699"/>
      <c r="L427" s="718"/>
      <c r="M427" s="718"/>
      <c r="N427" s="699"/>
      <c r="O427" s="718"/>
    </row>
    <row r="428" spans="2:15">
      <c r="B428" s="715"/>
      <c r="F428" s="715"/>
      <c r="J428" s="718"/>
      <c r="K428" s="699"/>
      <c r="L428" s="718"/>
      <c r="M428" s="718"/>
      <c r="N428" s="699"/>
      <c r="O428" s="718"/>
    </row>
    <row r="429" spans="2:15">
      <c r="B429" s="715"/>
      <c r="F429" s="715"/>
      <c r="J429" s="718"/>
      <c r="K429" s="699"/>
      <c r="L429" s="718"/>
      <c r="M429" s="718"/>
      <c r="N429" s="699"/>
      <c r="O429" s="718"/>
    </row>
    <row r="430" spans="2:15">
      <c r="B430" s="715"/>
      <c r="F430" s="715"/>
      <c r="J430" s="718"/>
      <c r="K430" s="699"/>
      <c r="L430" s="718"/>
      <c r="M430" s="718"/>
      <c r="N430" s="699"/>
      <c r="O430" s="718"/>
    </row>
    <row r="431" spans="2:15">
      <c r="B431" s="715"/>
      <c r="F431" s="715"/>
      <c r="J431" s="718"/>
      <c r="K431" s="699"/>
      <c r="L431" s="718"/>
      <c r="M431" s="718"/>
      <c r="N431" s="699"/>
      <c r="O431" s="718"/>
    </row>
    <row r="432" spans="2:15">
      <c r="B432" s="715"/>
      <c r="F432" s="715"/>
      <c r="J432" s="718"/>
      <c r="K432" s="699"/>
      <c r="L432" s="718"/>
      <c r="M432" s="718"/>
      <c r="N432" s="699"/>
      <c r="O432" s="718"/>
    </row>
    <row r="433" spans="2:15">
      <c r="B433" s="715"/>
      <c r="F433" s="715"/>
      <c r="J433" s="718"/>
      <c r="K433" s="699"/>
      <c r="L433" s="718"/>
      <c r="M433" s="718"/>
      <c r="N433" s="699"/>
      <c r="O433" s="718"/>
    </row>
    <row r="434" spans="2:15">
      <c r="B434" s="715"/>
      <c r="F434" s="715"/>
      <c r="J434" s="718"/>
      <c r="K434" s="699"/>
      <c r="L434" s="718"/>
      <c r="M434" s="718"/>
      <c r="N434" s="699"/>
      <c r="O434" s="718"/>
    </row>
    <row r="435" spans="2:15">
      <c r="B435" s="715"/>
      <c r="F435" s="715"/>
      <c r="J435" s="718"/>
      <c r="K435" s="699"/>
      <c r="L435" s="718"/>
      <c r="M435" s="718"/>
      <c r="N435" s="699"/>
      <c r="O435" s="718"/>
    </row>
    <row r="436" spans="2:15">
      <c r="B436" s="715"/>
      <c r="F436" s="715"/>
      <c r="J436" s="718"/>
      <c r="K436" s="699"/>
      <c r="L436" s="718"/>
      <c r="M436" s="718"/>
      <c r="N436" s="699"/>
      <c r="O436" s="718"/>
    </row>
    <row r="437" spans="2:15">
      <c r="B437" s="715"/>
      <c r="F437" s="715"/>
      <c r="J437" s="718"/>
      <c r="K437" s="699"/>
      <c r="L437" s="718"/>
      <c r="M437" s="718"/>
      <c r="N437" s="699"/>
      <c r="O437" s="718"/>
    </row>
    <row r="438" spans="2:15">
      <c r="B438" s="715"/>
      <c r="F438" s="715"/>
      <c r="J438" s="718"/>
      <c r="K438" s="699"/>
      <c r="L438" s="718"/>
      <c r="M438" s="718"/>
      <c r="N438" s="699"/>
      <c r="O438" s="718"/>
    </row>
    <row r="439" spans="2:15">
      <c r="B439" s="715"/>
      <c r="F439" s="715"/>
      <c r="J439" s="718"/>
      <c r="K439" s="699"/>
      <c r="L439" s="718"/>
      <c r="M439" s="718"/>
      <c r="N439" s="699"/>
      <c r="O439" s="718"/>
    </row>
    <row r="440" spans="2:15">
      <c r="B440" s="715"/>
      <c r="F440" s="715"/>
      <c r="J440" s="718"/>
      <c r="K440" s="699"/>
      <c r="L440" s="718"/>
      <c r="M440" s="718"/>
      <c r="N440" s="699"/>
      <c r="O440" s="718"/>
    </row>
    <row r="441" spans="2:15">
      <c r="B441" s="715"/>
      <c r="F441" s="715"/>
      <c r="J441" s="718"/>
      <c r="K441" s="699"/>
      <c r="L441" s="718"/>
      <c r="M441" s="718"/>
      <c r="N441" s="699"/>
      <c r="O441" s="718"/>
    </row>
    <row r="442" spans="2:15">
      <c r="B442" s="715"/>
      <c r="F442" s="715"/>
      <c r="J442" s="718"/>
      <c r="K442" s="699"/>
      <c r="L442" s="718"/>
      <c r="M442" s="718"/>
      <c r="N442" s="699"/>
      <c r="O442" s="718"/>
    </row>
    <row r="443" spans="2:15">
      <c r="B443" s="715"/>
      <c r="F443" s="715"/>
      <c r="J443" s="718"/>
      <c r="K443" s="699"/>
      <c r="L443" s="718"/>
      <c r="M443" s="718"/>
      <c r="N443" s="699"/>
      <c r="O443" s="718"/>
    </row>
    <row r="444" spans="2:15">
      <c r="B444" s="715"/>
      <c r="F444" s="715"/>
      <c r="J444" s="718"/>
      <c r="K444" s="699"/>
      <c r="L444" s="718"/>
      <c r="M444" s="718"/>
      <c r="N444" s="699"/>
      <c r="O444" s="718"/>
    </row>
    <row r="445" spans="2:15">
      <c r="B445" s="715"/>
      <c r="F445" s="715"/>
      <c r="J445" s="718"/>
      <c r="K445" s="699"/>
      <c r="L445" s="718"/>
      <c r="M445" s="718"/>
      <c r="N445" s="699"/>
      <c r="O445" s="718"/>
    </row>
    <row r="446" spans="2:15">
      <c r="B446" s="715"/>
      <c r="F446" s="715"/>
      <c r="J446" s="718"/>
      <c r="K446" s="699"/>
      <c r="L446" s="718"/>
      <c r="M446" s="718"/>
      <c r="N446" s="699"/>
      <c r="O446" s="718"/>
    </row>
    <row r="447" spans="2:15">
      <c r="B447" s="715"/>
      <c r="F447" s="715"/>
      <c r="J447" s="718"/>
      <c r="K447" s="699"/>
      <c r="L447" s="718"/>
      <c r="M447" s="718"/>
      <c r="N447" s="699"/>
      <c r="O447" s="718"/>
    </row>
    <row r="448" spans="2:15">
      <c r="B448" s="715"/>
      <c r="F448" s="715"/>
      <c r="J448" s="718"/>
      <c r="K448" s="699"/>
      <c r="L448" s="718"/>
      <c r="M448" s="718"/>
      <c r="N448" s="699"/>
      <c r="O448" s="718"/>
    </row>
    <row r="449" spans="2:15">
      <c r="B449" s="715"/>
      <c r="F449" s="715"/>
      <c r="J449" s="718"/>
      <c r="K449" s="699"/>
      <c r="L449" s="718"/>
      <c r="M449" s="718"/>
      <c r="N449" s="699"/>
      <c r="O449" s="718"/>
    </row>
    <row r="450" spans="2:15">
      <c r="B450" s="715"/>
      <c r="F450" s="715"/>
      <c r="J450" s="718"/>
      <c r="K450" s="699"/>
      <c r="L450" s="718"/>
      <c r="M450" s="718"/>
      <c r="N450" s="699"/>
      <c r="O450" s="718"/>
    </row>
    <row r="451" spans="2:15">
      <c r="B451" s="715"/>
      <c r="F451" s="715"/>
      <c r="J451" s="718"/>
      <c r="K451" s="699"/>
      <c r="L451" s="718"/>
      <c r="M451" s="718"/>
      <c r="N451" s="699"/>
      <c r="O451" s="718"/>
    </row>
    <row r="452" spans="2:15">
      <c r="B452" s="715"/>
      <c r="F452" s="715"/>
      <c r="J452" s="718"/>
      <c r="K452" s="699"/>
      <c r="L452" s="718"/>
      <c r="M452" s="718"/>
      <c r="N452" s="699"/>
      <c r="O452" s="718"/>
    </row>
    <row r="453" spans="2:15">
      <c r="B453" s="715"/>
      <c r="F453" s="715"/>
      <c r="J453" s="718"/>
      <c r="K453" s="699"/>
      <c r="L453" s="718"/>
      <c r="M453" s="718"/>
      <c r="N453" s="699"/>
      <c r="O453" s="718"/>
    </row>
    <row r="454" spans="2:15">
      <c r="B454" s="715"/>
      <c r="F454" s="715"/>
      <c r="J454" s="718"/>
      <c r="K454" s="699"/>
      <c r="L454" s="718"/>
      <c r="M454" s="718"/>
      <c r="N454" s="699"/>
      <c r="O454" s="718"/>
    </row>
    <row r="455" spans="2:15">
      <c r="B455" s="715"/>
      <c r="F455" s="715"/>
      <c r="J455" s="718"/>
      <c r="K455" s="699"/>
      <c r="L455" s="718"/>
      <c r="M455" s="718"/>
      <c r="N455" s="699"/>
      <c r="O455" s="718"/>
    </row>
    <row r="456" spans="2:15">
      <c r="B456" s="715"/>
      <c r="F456" s="715"/>
      <c r="J456" s="718"/>
      <c r="K456" s="699"/>
      <c r="L456" s="718"/>
      <c r="M456" s="718"/>
      <c r="N456" s="699"/>
      <c r="O456" s="718"/>
    </row>
    <row r="457" spans="2:15">
      <c r="B457" s="715"/>
      <c r="F457" s="715"/>
      <c r="J457" s="718"/>
      <c r="K457" s="699"/>
      <c r="L457" s="718"/>
      <c r="M457" s="718"/>
      <c r="N457" s="699"/>
      <c r="O457" s="718"/>
    </row>
    <row r="458" spans="2:15">
      <c r="B458" s="715"/>
      <c r="F458" s="715"/>
      <c r="J458" s="718"/>
      <c r="K458" s="699"/>
      <c r="L458" s="718"/>
      <c r="M458" s="718"/>
      <c r="N458" s="699"/>
      <c r="O458" s="718"/>
    </row>
    <row r="459" spans="2:15">
      <c r="B459" s="715"/>
      <c r="F459" s="715"/>
      <c r="J459" s="718"/>
      <c r="K459" s="699"/>
      <c r="L459" s="718"/>
      <c r="M459" s="718"/>
      <c r="N459" s="699"/>
      <c r="O459" s="718"/>
    </row>
    <row r="460" spans="2:15">
      <c r="B460" s="715"/>
      <c r="F460" s="715"/>
      <c r="J460" s="718"/>
      <c r="K460" s="699"/>
      <c r="L460" s="718"/>
      <c r="M460" s="718"/>
      <c r="N460" s="699"/>
      <c r="O460" s="718"/>
    </row>
    <row r="461" spans="2:15">
      <c r="B461" s="715"/>
      <c r="F461" s="715"/>
      <c r="J461" s="718"/>
      <c r="K461" s="699"/>
      <c r="L461" s="718"/>
      <c r="M461" s="718"/>
      <c r="N461" s="699"/>
      <c r="O461" s="718"/>
    </row>
    <row r="462" spans="2:15">
      <c r="B462" s="715"/>
      <c r="F462" s="715"/>
      <c r="J462" s="718"/>
      <c r="K462" s="699"/>
      <c r="L462" s="718"/>
      <c r="M462" s="718"/>
      <c r="N462" s="699"/>
      <c r="O462" s="718"/>
    </row>
    <row r="463" spans="2:15">
      <c r="B463" s="715"/>
      <c r="F463" s="715"/>
      <c r="J463" s="718"/>
      <c r="K463" s="699"/>
      <c r="L463" s="718"/>
      <c r="M463" s="718"/>
      <c r="N463" s="699"/>
      <c r="O463" s="718"/>
    </row>
    <row r="464" spans="2:15">
      <c r="B464" s="715"/>
      <c r="F464" s="715"/>
      <c r="J464" s="718"/>
      <c r="K464" s="699"/>
      <c r="L464" s="718"/>
      <c r="M464" s="718"/>
      <c r="N464" s="699"/>
      <c r="O464" s="718"/>
    </row>
    <row r="465" spans="2:15">
      <c r="B465" s="715"/>
      <c r="F465" s="715"/>
      <c r="J465" s="718"/>
      <c r="K465" s="699"/>
      <c r="L465" s="718"/>
      <c r="M465" s="718"/>
      <c r="N465" s="699"/>
      <c r="O465" s="718"/>
    </row>
    <row r="466" spans="2:15">
      <c r="B466" s="715"/>
      <c r="F466" s="715"/>
      <c r="J466" s="718"/>
      <c r="K466" s="699"/>
      <c r="L466" s="718"/>
      <c r="M466" s="718"/>
      <c r="N466" s="699"/>
      <c r="O466" s="718"/>
    </row>
    <row r="467" spans="2:15">
      <c r="B467" s="715"/>
      <c r="F467" s="715"/>
      <c r="J467" s="718"/>
      <c r="K467" s="699"/>
      <c r="L467" s="718"/>
      <c r="M467" s="718"/>
      <c r="N467" s="699"/>
      <c r="O467" s="718"/>
    </row>
    <row r="468" spans="2:15">
      <c r="B468" s="715"/>
      <c r="F468" s="715"/>
      <c r="J468" s="718"/>
      <c r="K468" s="699"/>
      <c r="L468" s="718"/>
      <c r="M468" s="718"/>
      <c r="N468" s="699"/>
      <c r="O468" s="718"/>
    </row>
    <row r="469" spans="2:15">
      <c r="B469" s="715"/>
      <c r="F469" s="715"/>
      <c r="J469" s="718"/>
      <c r="K469" s="699"/>
      <c r="L469" s="718"/>
      <c r="M469" s="718"/>
      <c r="N469" s="699"/>
      <c r="O469" s="718"/>
    </row>
    <row r="470" spans="2:15">
      <c r="B470" s="715"/>
      <c r="F470" s="715"/>
      <c r="J470" s="718"/>
      <c r="K470" s="699"/>
      <c r="L470" s="718"/>
      <c r="M470" s="718"/>
      <c r="N470" s="699"/>
      <c r="O470" s="718"/>
    </row>
    <row r="471" spans="2:15">
      <c r="B471" s="715"/>
      <c r="F471" s="715"/>
      <c r="J471" s="718"/>
      <c r="K471" s="699"/>
      <c r="L471" s="718"/>
      <c r="M471" s="718"/>
      <c r="N471" s="699"/>
      <c r="O471" s="718"/>
    </row>
    <row r="472" spans="2:15">
      <c r="B472" s="715"/>
      <c r="F472" s="715"/>
      <c r="J472" s="718"/>
      <c r="K472" s="699"/>
      <c r="L472" s="718"/>
      <c r="M472" s="718"/>
      <c r="N472" s="699"/>
      <c r="O472" s="718"/>
    </row>
    <row r="473" spans="2:15">
      <c r="B473" s="715"/>
      <c r="F473" s="715"/>
      <c r="J473" s="718"/>
      <c r="K473" s="699"/>
      <c r="L473" s="718"/>
      <c r="M473" s="718"/>
      <c r="N473" s="699"/>
      <c r="O473" s="718"/>
    </row>
    <row r="474" spans="2:15">
      <c r="B474" s="715"/>
      <c r="F474" s="715"/>
      <c r="J474" s="718"/>
      <c r="K474" s="699"/>
      <c r="L474" s="718"/>
      <c r="M474" s="718"/>
      <c r="N474" s="699"/>
      <c r="O474" s="718"/>
    </row>
    <row r="475" spans="2:15">
      <c r="B475" s="715"/>
      <c r="F475" s="715"/>
      <c r="J475" s="718"/>
      <c r="K475" s="699"/>
      <c r="L475" s="718"/>
      <c r="M475" s="718"/>
      <c r="N475" s="699"/>
      <c r="O475" s="718"/>
    </row>
    <row r="476" spans="2:15">
      <c r="B476" s="715"/>
      <c r="F476" s="715"/>
      <c r="J476" s="718"/>
      <c r="K476" s="699"/>
      <c r="L476" s="718"/>
      <c r="M476" s="718"/>
      <c r="N476" s="699"/>
      <c r="O476" s="718"/>
    </row>
    <row r="477" spans="2:15">
      <c r="B477" s="715"/>
      <c r="F477" s="715"/>
      <c r="J477" s="718"/>
      <c r="K477" s="699"/>
      <c r="L477" s="718"/>
      <c r="M477" s="718"/>
      <c r="N477" s="699"/>
      <c r="O477" s="718"/>
    </row>
    <row r="478" spans="2:15">
      <c r="B478" s="715"/>
      <c r="F478" s="715"/>
      <c r="J478" s="718"/>
      <c r="K478" s="699"/>
      <c r="L478" s="718"/>
      <c r="M478" s="718"/>
      <c r="N478" s="699"/>
      <c r="O478" s="718"/>
    </row>
    <row r="479" spans="2:15">
      <c r="B479" s="715"/>
      <c r="F479" s="715"/>
      <c r="J479" s="718"/>
      <c r="K479" s="699"/>
      <c r="L479" s="718"/>
      <c r="M479" s="718"/>
      <c r="N479" s="699"/>
      <c r="O479" s="718"/>
    </row>
    <row r="480" spans="2:15">
      <c r="B480" s="715"/>
      <c r="F480" s="715"/>
      <c r="J480" s="718"/>
      <c r="K480" s="699"/>
      <c r="L480" s="718"/>
      <c r="M480" s="718"/>
      <c r="N480" s="699"/>
      <c r="O480" s="718"/>
    </row>
    <row r="481" spans="2:15">
      <c r="B481" s="715"/>
      <c r="F481" s="715"/>
      <c r="J481" s="718"/>
      <c r="K481" s="699"/>
      <c r="L481" s="718"/>
      <c r="M481" s="718"/>
      <c r="N481" s="699"/>
      <c r="O481" s="718"/>
    </row>
    <row r="482" spans="2:15">
      <c r="B482" s="715"/>
      <c r="F482" s="715"/>
      <c r="J482" s="718"/>
      <c r="K482" s="699"/>
      <c r="L482" s="718"/>
      <c r="M482" s="718"/>
      <c r="N482" s="699"/>
      <c r="O482" s="718"/>
    </row>
    <row r="483" spans="2:15">
      <c r="B483" s="715"/>
      <c r="F483" s="715"/>
      <c r="J483" s="718"/>
      <c r="K483" s="699"/>
      <c r="L483" s="718"/>
      <c r="M483" s="718"/>
      <c r="N483" s="699"/>
      <c r="O483" s="718"/>
    </row>
    <row r="484" spans="2:15">
      <c r="B484" s="715"/>
      <c r="F484" s="715"/>
      <c r="J484" s="718"/>
      <c r="K484" s="699"/>
      <c r="L484" s="718"/>
      <c r="M484" s="718"/>
      <c r="N484" s="699"/>
      <c r="O484" s="718"/>
    </row>
    <row r="485" spans="2:15">
      <c r="B485" s="715"/>
      <c r="F485" s="715"/>
      <c r="J485" s="718"/>
      <c r="K485" s="699"/>
      <c r="L485" s="718"/>
      <c r="M485" s="718"/>
      <c r="N485" s="699"/>
      <c r="O485" s="718"/>
    </row>
    <row r="486" spans="2:15">
      <c r="B486" s="715"/>
      <c r="F486" s="715"/>
      <c r="J486" s="718"/>
      <c r="K486" s="699"/>
      <c r="L486" s="718"/>
      <c r="M486" s="718"/>
      <c r="N486" s="699"/>
      <c r="O486" s="718"/>
    </row>
    <row r="487" spans="2:15">
      <c r="B487" s="715"/>
      <c r="F487" s="715"/>
      <c r="J487" s="718"/>
      <c r="K487" s="699"/>
      <c r="L487" s="718"/>
      <c r="M487" s="718"/>
      <c r="N487" s="699"/>
      <c r="O487" s="718"/>
    </row>
    <row r="488" spans="2:15">
      <c r="B488" s="715"/>
      <c r="F488" s="715"/>
      <c r="J488" s="718"/>
      <c r="K488" s="699"/>
      <c r="L488" s="718"/>
      <c r="M488" s="718"/>
      <c r="N488" s="699"/>
      <c r="O488" s="718"/>
    </row>
    <row r="489" spans="2:15">
      <c r="B489" s="715"/>
      <c r="F489" s="715"/>
      <c r="J489" s="718"/>
      <c r="K489" s="699"/>
      <c r="L489" s="718"/>
      <c r="M489" s="718"/>
      <c r="N489" s="699"/>
      <c r="O489" s="718"/>
    </row>
    <row r="490" spans="2:15">
      <c r="B490" s="715"/>
      <c r="F490" s="715"/>
      <c r="J490" s="718"/>
      <c r="K490" s="699"/>
      <c r="L490" s="718"/>
      <c r="M490" s="718"/>
      <c r="N490" s="699"/>
      <c r="O490" s="718"/>
    </row>
    <row r="491" spans="2:15">
      <c r="B491" s="715"/>
      <c r="F491" s="715"/>
      <c r="J491" s="718"/>
      <c r="K491" s="699"/>
      <c r="L491" s="718"/>
      <c r="M491" s="718"/>
      <c r="N491" s="699"/>
      <c r="O491" s="718"/>
    </row>
    <row r="492" spans="2:15">
      <c r="B492" s="715"/>
      <c r="F492" s="715"/>
      <c r="J492" s="718"/>
      <c r="K492" s="699"/>
      <c r="L492" s="718"/>
      <c r="M492" s="718"/>
      <c r="N492" s="699"/>
      <c r="O492" s="718"/>
    </row>
    <row r="493" spans="2:15">
      <c r="B493" s="715"/>
      <c r="F493" s="715"/>
      <c r="J493" s="718"/>
      <c r="K493" s="699"/>
      <c r="L493" s="718"/>
      <c r="M493" s="718"/>
      <c r="N493" s="699"/>
      <c r="O493" s="718"/>
    </row>
    <row r="494" spans="2:15">
      <c r="B494" s="715"/>
      <c r="F494" s="715"/>
      <c r="J494" s="718"/>
      <c r="K494" s="699"/>
      <c r="L494" s="718"/>
      <c r="M494" s="718"/>
      <c r="N494" s="699"/>
      <c r="O494" s="718"/>
    </row>
    <row r="495" spans="2:15">
      <c r="B495" s="715"/>
      <c r="F495" s="715"/>
      <c r="J495" s="718"/>
      <c r="K495" s="699"/>
      <c r="L495" s="718"/>
      <c r="M495" s="718"/>
      <c r="N495" s="699"/>
      <c r="O495" s="718"/>
    </row>
    <row r="496" spans="2:15">
      <c r="B496" s="715"/>
      <c r="F496" s="715"/>
      <c r="J496" s="718"/>
      <c r="K496" s="699"/>
      <c r="L496" s="718"/>
      <c r="M496" s="718"/>
      <c r="N496" s="699"/>
      <c r="O496" s="718"/>
    </row>
    <row r="497" spans="2:15">
      <c r="B497" s="715"/>
      <c r="F497" s="715"/>
      <c r="J497" s="718"/>
      <c r="K497" s="699"/>
      <c r="L497" s="718"/>
      <c r="M497" s="718"/>
      <c r="N497" s="699"/>
      <c r="O497" s="718"/>
    </row>
    <row r="498" spans="2:15">
      <c r="B498" s="715"/>
      <c r="F498" s="715"/>
      <c r="J498" s="718"/>
      <c r="K498" s="699"/>
      <c r="L498" s="718"/>
      <c r="M498" s="718"/>
      <c r="N498" s="699"/>
      <c r="O498" s="718"/>
    </row>
    <row r="499" spans="2:15">
      <c r="B499" s="715"/>
      <c r="F499" s="715"/>
      <c r="J499" s="718"/>
      <c r="K499" s="699"/>
      <c r="L499" s="718"/>
      <c r="M499" s="718"/>
      <c r="N499" s="699"/>
      <c r="O499" s="718"/>
    </row>
    <row r="500" spans="2:15">
      <c r="B500" s="715"/>
      <c r="F500" s="715"/>
      <c r="J500" s="718"/>
      <c r="K500" s="699"/>
      <c r="L500" s="718"/>
      <c r="M500" s="718"/>
      <c r="N500" s="699"/>
      <c r="O500" s="718"/>
    </row>
    <row r="501" spans="2:15">
      <c r="B501" s="715"/>
      <c r="F501" s="715"/>
      <c r="J501" s="718"/>
      <c r="K501" s="699"/>
      <c r="L501" s="718"/>
      <c r="M501" s="718"/>
      <c r="N501" s="699"/>
      <c r="O501" s="718"/>
    </row>
    <row r="502" spans="2:15">
      <c r="B502" s="715"/>
      <c r="F502" s="715"/>
      <c r="J502" s="718"/>
      <c r="K502" s="699"/>
      <c r="L502" s="718"/>
      <c r="M502" s="718"/>
      <c r="N502" s="699"/>
      <c r="O502" s="718"/>
    </row>
    <row r="503" spans="2:15">
      <c r="B503" s="715"/>
      <c r="F503" s="715"/>
      <c r="J503" s="718"/>
      <c r="K503" s="699"/>
      <c r="L503" s="718"/>
      <c r="M503" s="718"/>
      <c r="N503" s="699"/>
      <c r="O503" s="718"/>
    </row>
    <row r="504" spans="2:15">
      <c r="B504" s="715"/>
      <c r="F504" s="715"/>
      <c r="J504" s="718"/>
      <c r="K504" s="699"/>
      <c r="L504" s="718"/>
      <c r="M504" s="718"/>
      <c r="N504" s="699"/>
      <c r="O504" s="718"/>
    </row>
    <row r="505" spans="2:15">
      <c r="B505" s="715"/>
      <c r="F505" s="715"/>
      <c r="J505" s="718"/>
      <c r="K505" s="699"/>
      <c r="L505" s="718"/>
      <c r="M505" s="718"/>
      <c r="N505" s="699"/>
      <c r="O505" s="718"/>
    </row>
    <row r="506" spans="2:15">
      <c r="B506" s="715"/>
      <c r="F506" s="715"/>
      <c r="J506" s="718"/>
      <c r="K506" s="699"/>
      <c r="L506" s="718"/>
      <c r="M506" s="718"/>
      <c r="N506" s="699"/>
      <c r="O506" s="718"/>
    </row>
    <row r="507" spans="2:15">
      <c r="B507" s="715"/>
      <c r="F507" s="715"/>
      <c r="J507" s="718"/>
      <c r="K507" s="699"/>
      <c r="L507" s="718"/>
      <c r="M507" s="718"/>
      <c r="N507" s="699"/>
      <c r="O507" s="718"/>
    </row>
    <row r="508" spans="2:15">
      <c r="B508" s="715"/>
      <c r="F508" s="715"/>
      <c r="J508" s="718"/>
      <c r="K508" s="699"/>
      <c r="L508" s="718"/>
      <c r="M508" s="718"/>
      <c r="N508" s="699"/>
      <c r="O508" s="718"/>
    </row>
    <row r="509" spans="2:15">
      <c r="B509" s="715"/>
      <c r="F509" s="715"/>
      <c r="J509" s="718"/>
      <c r="K509" s="699"/>
      <c r="L509" s="718"/>
      <c r="M509" s="718"/>
      <c r="N509" s="699"/>
      <c r="O509" s="718"/>
    </row>
    <row r="510" spans="2:15">
      <c r="B510" s="715"/>
      <c r="F510" s="715"/>
      <c r="J510" s="718"/>
      <c r="K510" s="699"/>
      <c r="L510" s="718"/>
      <c r="M510" s="718"/>
      <c r="N510" s="699"/>
      <c r="O510" s="718"/>
    </row>
    <row r="511" spans="2:15">
      <c r="B511" s="715"/>
      <c r="F511" s="715"/>
      <c r="J511" s="718"/>
      <c r="K511" s="699"/>
      <c r="L511" s="718"/>
      <c r="M511" s="718"/>
      <c r="N511" s="699"/>
      <c r="O511" s="718"/>
    </row>
    <row r="512" spans="2:15">
      <c r="B512" s="715"/>
      <c r="F512" s="715"/>
      <c r="J512" s="718"/>
      <c r="K512" s="699"/>
      <c r="L512" s="718"/>
      <c r="M512" s="718"/>
      <c r="N512" s="699"/>
      <c r="O512" s="718"/>
    </row>
    <row r="513" spans="2:15">
      <c r="B513" s="715"/>
      <c r="F513" s="715"/>
      <c r="J513" s="718"/>
      <c r="K513" s="699"/>
      <c r="L513" s="718"/>
      <c r="M513" s="718"/>
      <c r="N513" s="699"/>
      <c r="O513" s="718"/>
    </row>
    <row r="514" spans="2:15">
      <c r="B514" s="715"/>
      <c r="F514" s="715"/>
      <c r="J514" s="718"/>
      <c r="K514" s="699"/>
      <c r="L514" s="718"/>
      <c r="M514" s="718"/>
      <c r="N514" s="699"/>
      <c r="O514" s="718"/>
    </row>
    <row r="515" spans="2:15">
      <c r="B515" s="715"/>
      <c r="F515" s="715"/>
      <c r="J515" s="718"/>
      <c r="K515" s="699"/>
      <c r="L515" s="718"/>
      <c r="M515" s="718"/>
      <c r="N515" s="699"/>
      <c r="O515" s="718"/>
    </row>
    <row r="516" spans="2:15">
      <c r="B516" s="715"/>
      <c r="F516" s="715"/>
      <c r="J516" s="718"/>
      <c r="K516" s="699"/>
      <c r="L516" s="718"/>
      <c r="M516" s="718"/>
      <c r="N516" s="699"/>
      <c r="O516" s="718"/>
    </row>
    <row r="517" spans="2:15">
      <c r="B517" s="715"/>
      <c r="F517" s="715"/>
      <c r="J517" s="718"/>
      <c r="K517" s="699"/>
      <c r="L517" s="718"/>
      <c r="M517" s="718"/>
      <c r="N517" s="699"/>
      <c r="O517" s="718"/>
    </row>
    <row r="518" spans="2:15">
      <c r="B518" s="715"/>
      <c r="F518" s="715"/>
      <c r="J518" s="718"/>
      <c r="K518" s="699"/>
      <c r="L518" s="718"/>
      <c r="M518" s="718"/>
      <c r="N518" s="699"/>
      <c r="O518" s="718"/>
    </row>
    <row r="519" spans="2:15">
      <c r="B519" s="715"/>
      <c r="F519" s="715"/>
      <c r="J519" s="718"/>
      <c r="K519" s="699"/>
      <c r="L519" s="718"/>
      <c r="M519" s="718"/>
      <c r="N519" s="699"/>
      <c r="O519" s="718"/>
    </row>
    <row r="520" spans="2:15">
      <c r="B520" s="715"/>
      <c r="F520" s="715"/>
      <c r="J520" s="718"/>
      <c r="K520" s="699"/>
      <c r="L520" s="718"/>
      <c r="M520" s="718"/>
      <c r="N520" s="699"/>
      <c r="O520" s="718"/>
    </row>
    <row r="521" spans="2:15">
      <c r="B521" s="715"/>
      <c r="F521" s="715"/>
      <c r="J521" s="718"/>
      <c r="K521" s="699"/>
      <c r="L521" s="718"/>
      <c r="M521" s="718"/>
      <c r="N521" s="699"/>
      <c r="O521" s="718"/>
    </row>
    <row r="522" spans="2:15">
      <c r="B522" s="715"/>
      <c r="F522" s="715"/>
      <c r="J522" s="718"/>
      <c r="K522" s="699"/>
      <c r="L522" s="718"/>
      <c r="M522" s="718"/>
      <c r="N522" s="699"/>
      <c r="O522" s="718"/>
    </row>
    <row r="523" spans="2:15">
      <c r="B523" s="715"/>
      <c r="F523" s="715"/>
      <c r="J523" s="718"/>
      <c r="K523" s="699"/>
      <c r="L523" s="718"/>
      <c r="M523" s="718"/>
      <c r="N523" s="699"/>
      <c r="O523" s="718"/>
    </row>
    <row r="524" spans="2:15">
      <c r="B524" s="715"/>
      <c r="F524" s="715"/>
      <c r="J524" s="718"/>
      <c r="K524" s="699"/>
      <c r="L524" s="718"/>
      <c r="M524" s="718"/>
      <c r="N524" s="699"/>
      <c r="O524" s="718"/>
    </row>
    <row r="525" spans="2:15">
      <c r="B525" s="715"/>
      <c r="F525" s="715"/>
      <c r="J525" s="718"/>
      <c r="K525" s="699"/>
      <c r="L525" s="718"/>
      <c r="M525" s="718"/>
      <c r="N525" s="699"/>
      <c r="O525" s="718"/>
    </row>
    <row r="526" spans="2:15">
      <c r="B526" s="715"/>
      <c r="F526" s="715"/>
      <c r="J526" s="718"/>
      <c r="K526" s="699"/>
      <c r="L526" s="718"/>
      <c r="M526" s="718"/>
      <c r="N526" s="699"/>
      <c r="O526" s="718"/>
    </row>
    <row r="527" spans="2:15">
      <c r="B527" s="715"/>
      <c r="F527" s="715"/>
      <c r="J527" s="718"/>
      <c r="K527" s="699"/>
      <c r="L527" s="718"/>
      <c r="M527" s="718"/>
      <c r="N527" s="699"/>
      <c r="O527" s="718"/>
    </row>
    <row r="528" spans="2:15">
      <c r="B528" s="715"/>
      <c r="F528" s="715"/>
      <c r="J528" s="718"/>
      <c r="K528" s="699"/>
      <c r="L528" s="718"/>
      <c r="M528" s="718"/>
      <c r="N528" s="699"/>
      <c r="O528" s="718"/>
    </row>
    <row r="529" spans="2:15">
      <c r="B529" s="715"/>
      <c r="F529" s="715"/>
      <c r="J529" s="718"/>
      <c r="K529" s="699"/>
      <c r="L529" s="718"/>
      <c r="M529" s="718"/>
      <c r="N529" s="699"/>
      <c r="O529" s="718"/>
    </row>
    <row r="530" spans="2:15">
      <c r="B530" s="715"/>
      <c r="F530" s="715"/>
      <c r="J530" s="718"/>
      <c r="K530" s="699"/>
      <c r="L530" s="718"/>
      <c r="M530" s="718"/>
      <c r="N530" s="699"/>
      <c r="O530" s="718"/>
    </row>
    <row r="531" spans="2:15">
      <c r="B531" s="715"/>
      <c r="F531" s="715"/>
      <c r="J531" s="718"/>
      <c r="K531" s="699"/>
      <c r="L531" s="718"/>
      <c r="M531" s="718"/>
      <c r="N531" s="699"/>
      <c r="O531" s="718"/>
    </row>
    <row r="532" spans="2:15">
      <c r="B532" s="715"/>
      <c r="F532" s="715"/>
      <c r="J532" s="718"/>
      <c r="K532" s="699"/>
      <c r="L532" s="718"/>
      <c r="M532" s="718"/>
      <c r="N532" s="699"/>
      <c r="O532" s="718"/>
    </row>
    <row r="533" spans="2:15">
      <c r="B533" s="715"/>
      <c r="F533" s="715"/>
      <c r="J533" s="718"/>
      <c r="K533" s="699"/>
      <c r="L533" s="718"/>
      <c r="M533" s="718"/>
      <c r="N533" s="699"/>
      <c r="O533" s="718"/>
    </row>
    <row r="534" spans="2:15">
      <c r="B534" s="715"/>
      <c r="F534" s="715"/>
      <c r="J534" s="718"/>
      <c r="K534" s="699"/>
      <c r="L534" s="718"/>
      <c r="M534" s="718"/>
      <c r="N534" s="699"/>
      <c r="O534" s="718"/>
    </row>
    <row r="535" spans="2:15">
      <c r="B535" s="715"/>
      <c r="F535" s="715"/>
      <c r="J535" s="718"/>
      <c r="K535" s="699"/>
      <c r="L535" s="718"/>
      <c r="M535" s="718"/>
      <c r="N535" s="699"/>
      <c r="O535" s="718"/>
    </row>
    <row r="536" spans="2:15">
      <c r="B536" s="715"/>
      <c r="F536" s="715"/>
      <c r="J536" s="718"/>
      <c r="K536" s="699"/>
      <c r="L536" s="718"/>
      <c r="M536" s="718"/>
      <c r="N536" s="699"/>
      <c r="O536" s="718"/>
    </row>
    <row r="537" spans="2:15">
      <c r="B537" s="715"/>
      <c r="F537" s="715"/>
      <c r="J537" s="718"/>
      <c r="K537" s="699"/>
      <c r="L537" s="718"/>
      <c r="M537" s="718"/>
      <c r="N537" s="699"/>
      <c r="O537" s="718"/>
    </row>
    <row r="538" spans="2:15">
      <c r="B538" s="715"/>
      <c r="F538" s="715"/>
      <c r="J538" s="718"/>
      <c r="K538" s="699"/>
      <c r="L538" s="718"/>
      <c r="M538" s="718"/>
      <c r="N538" s="699"/>
      <c r="O538" s="718"/>
    </row>
    <row r="539" spans="2:15">
      <c r="B539" s="715"/>
      <c r="F539" s="715"/>
      <c r="J539" s="718"/>
      <c r="K539" s="699"/>
      <c r="L539" s="718"/>
      <c r="M539" s="718"/>
      <c r="N539" s="699"/>
      <c r="O539" s="718"/>
    </row>
    <row r="540" spans="2:15">
      <c r="B540" s="715"/>
      <c r="F540" s="715"/>
      <c r="J540" s="718"/>
      <c r="K540" s="699"/>
      <c r="L540" s="718"/>
      <c r="M540" s="718"/>
      <c r="N540" s="699"/>
      <c r="O540" s="718"/>
    </row>
    <row r="541" spans="2:15">
      <c r="B541" s="715"/>
      <c r="F541" s="715"/>
      <c r="J541" s="718"/>
      <c r="K541" s="699"/>
      <c r="L541" s="718"/>
      <c r="M541" s="718"/>
      <c r="N541" s="699"/>
      <c r="O541" s="718"/>
    </row>
    <row r="542" spans="2:15">
      <c r="B542" s="715"/>
      <c r="F542" s="715"/>
      <c r="J542" s="718"/>
      <c r="K542" s="699"/>
      <c r="L542" s="718"/>
      <c r="M542" s="718"/>
      <c r="N542" s="699"/>
      <c r="O542" s="718"/>
    </row>
    <row r="543" spans="2:15">
      <c r="B543" s="715"/>
      <c r="F543" s="715"/>
      <c r="J543" s="718"/>
      <c r="K543" s="699"/>
      <c r="L543" s="718"/>
      <c r="M543" s="718"/>
      <c r="N543" s="699"/>
      <c r="O543" s="718"/>
    </row>
    <row r="544" spans="2:15">
      <c r="B544" s="715"/>
      <c r="F544" s="715"/>
      <c r="J544" s="718"/>
      <c r="K544" s="699"/>
      <c r="L544" s="718"/>
      <c r="M544" s="718"/>
      <c r="N544" s="699"/>
      <c r="O544" s="718"/>
    </row>
    <row r="545" spans="2:15">
      <c r="B545" s="715"/>
      <c r="F545" s="715"/>
      <c r="J545" s="718"/>
      <c r="K545" s="699"/>
      <c r="L545" s="718"/>
      <c r="M545" s="718"/>
      <c r="N545" s="699"/>
      <c r="O545" s="718"/>
    </row>
    <row r="546" spans="2:15">
      <c r="B546" s="715"/>
      <c r="F546" s="715"/>
      <c r="J546" s="718"/>
      <c r="K546" s="699"/>
      <c r="L546" s="718"/>
      <c r="M546" s="718"/>
      <c r="N546" s="699"/>
      <c r="O546" s="718"/>
    </row>
    <row r="547" spans="2:15">
      <c r="B547" s="715"/>
      <c r="F547" s="715"/>
      <c r="J547" s="718"/>
      <c r="K547" s="699"/>
      <c r="L547" s="718"/>
      <c r="M547" s="718"/>
      <c r="N547" s="699"/>
      <c r="O547" s="718"/>
    </row>
    <row r="548" spans="2:15">
      <c r="B548" s="715"/>
      <c r="F548" s="715"/>
      <c r="J548" s="718"/>
      <c r="K548" s="699"/>
      <c r="L548" s="718"/>
      <c r="M548" s="718"/>
      <c r="N548" s="699"/>
      <c r="O548" s="718"/>
    </row>
    <row r="549" spans="2:15">
      <c r="B549" s="715"/>
      <c r="F549" s="715"/>
      <c r="J549" s="718"/>
      <c r="K549" s="699"/>
      <c r="L549" s="718"/>
      <c r="M549" s="718"/>
      <c r="N549" s="699"/>
      <c r="O549" s="718"/>
    </row>
    <row r="550" spans="2:15">
      <c r="B550" s="715"/>
      <c r="F550" s="715"/>
      <c r="J550" s="718"/>
      <c r="K550" s="699"/>
      <c r="L550" s="718"/>
      <c r="M550" s="718"/>
      <c r="N550" s="699"/>
      <c r="O550" s="718"/>
    </row>
    <row r="551" spans="2:15">
      <c r="B551" s="715"/>
      <c r="F551" s="715"/>
      <c r="J551" s="718"/>
      <c r="K551" s="699"/>
      <c r="L551" s="718"/>
      <c r="M551" s="718"/>
      <c r="N551" s="699"/>
      <c r="O551" s="718"/>
    </row>
    <row r="552" spans="2:15">
      <c r="B552" s="715"/>
      <c r="F552" s="715"/>
      <c r="J552" s="718"/>
      <c r="K552" s="699"/>
      <c r="L552" s="718"/>
      <c r="M552" s="718"/>
      <c r="N552" s="699"/>
      <c r="O552" s="718"/>
    </row>
    <row r="553" spans="2:15">
      <c r="B553" s="715"/>
      <c r="F553" s="715"/>
      <c r="J553" s="718"/>
      <c r="K553" s="699"/>
      <c r="L553" s="718"/>
      <c r="M553" s="718"/>
      <c r="N553" s="699"/>
      <c r="O553" s="718"/>
    </row>
    <row r="554" spans="2:15">
      <c r="B554" s="715"/>
      <c r="F554" s="715"/>
      <c r="J554" s="718"/>
      <c r="K554" s="699"/>
      <c r="L554" s="718"/>
      <c r="M554" s="718"/>
      <c r="N554" s="699"/>
      <c r="O554" s="718"/>
    </row>
    <row r="555" spans="2:15">
      <c r="B555" s="715"/>
      <c r="F555" s="715"/>
      <c r="J555" s="718"/>
      <c r="K555" s="699"/>
      <c r="L555" s="718"/>
      <c r="M555" s="718"/>
      <c r="N555" s="699"/>
      <c r="O555" s="718"/>
    </row>
    <row r="556" spans="2:15">
      <c r="B556" s="715"/>
      <c r="F556" s="715"/>
      <c r="J556" s="718"/>
      <c r="K556" s="699"/>
      <c r="L556" s="718"/>
      <c r="M556" s="718"/>
      <c r="N556" s="699"/>
      <c r="O556" s="718"/>
    </row>
    <row r="557" spans="2:15">
      <c r="B557" s="715"/>
      <c r="F557" s="715"/>
      <c r="J557" s="718"/>
      <c r="K557" s="699"/>
      <c r="L557" s="718"/>
      <c r="M557" s="718"/>
      <c r="N557" s="699"/>
      <c r="O557" s="718"/>
    </row>
    <row r="558" spans="2:15">
      <c r="B558" s="715"/>
      <c r="F558" s="715"/>
      <c r="J558" s="718"/>
      <c r="K558" s="699"/>
      <c r="L558" s="718"/>
      <c r="M558" s="718"/>
      <c r="N558" s="699"/>
      <c r="O558" s="718"/>
    </row>
    <row r="559" spans="2:15">
      <c r="B559" s="715"/>
      <c r="F559" s="715"/>
      <c r="J559" s="718"/>
      <c r="K559" s="699"/>
      <c r="L559" s="718"/>
      <c r="M559" s="718"/>
      <c r="N559" s="699"/>
      <c r="O559" s="718"/>
    </row>
    <row r="560" spans="2:15">
      <c r="B560" s="715"/>
      <c r="F560" s="715"/>
      <c r="J560" s="718"/>
      <c r="K560" s="699"/>
      <c r="L560" s="718"/>
      <c r="M560" s="718"/>
      <c r="N560" s="699"/>
      <c r="O560" s="718"/>
    </row>
    <row r="561" spans="2:15">
      <c r="B561" s="715"/>
      <c r="F561" s="715"/>
      <c r="J561" s="718"/>
      <c r="K561" s="699"/>
      <c r="L561" s="718"/>
      <c r="M561" s="718"/>
      <c r="N561" s="699"/>
      <c r="O561" s="718"/>
    </row>
    <row r="562" spans="2:15">
      <c r="B562" s="715"/>
      <c r="F562" s="715"/>
      <c r="J562" s="718"/>
      <c r="K562" s="699"/>
      <c r="L562" s="718"/>
      <c r="M562" s="718"/>
      <c r="N562" s="699"/>
      <c r="O562" s="718"/>
    </row>
    <row r="563" spans="2:15">
      <c r="B563" s="715"/>
      <c r="F563" s="715"/>
      <c r="J563" s="718"/>
      <c r="K563" s="699"/>
      <c r="L563" s="718"/>
      <c r="M563" s="718"/>
      <c r="N563" s="699"/>
      <c r="O563" s="718"/>
    </row>
    <row r="564" spans="2:15">
      <c r="B564" s="715"/>
      <c r="F564" s="715"/>
      <c r="J564" s="718"/>
      <c r="K564" s="699"/>
      <c r="L564" s="718"/>
      <c r="M564" s="718"/>
      <c r="N564" s="699"/>
      <c r="O564" s="718"/>
    </row>
    <row r="565" spans="2:15">
      <c r="B565" s="715"/>
      <c r="F565" s="715"/>
      <c r="J565" s="718"/>
      <c r="K565" s="699"/>
      <c r="L565" s="718"/>
      <c r="M565" s="718"/>
      <c r="N565" s="699"/>
      <c r="O565" s="718"/>
    </row>
    <row r="566" spans="2:15">
      <c r="B566" s="715"/>
      <c r="F566" s="715"/>
      <c r="J566" s="718"/>
      <c r="K566" s="699"/>
      <c r="L566" s="718"/>
      <c r="M566" s="718"/>
      <c r="N566" s="699"/>
      <c r="O566" s="718"/>
    </row>
    <row r="567" spans="2:15">
      <c r="B567" s="715"/>
      <c r="F567" s="715"/>
      <c r="J567" s="718"/>
      <c r="K567" s="699"/>
      <c r="L567" s="718"/>
      <c r="M567" s="718"/>
      <c r="N567" s="699"/>
      <c r="O567" s="718"/>
    </row>
    <row r="568" spans="2:15">
      <c r="B568" s="715"/>
      <c r="F568" s="715"/>
      <c r="J568" s="718"/>
      <c r="K568" s="699"/>
      <c r="L568" s="718"/>
      <c r="M568" s="718"/>
      <c r="N568" s="699"/>
      <c r="O568" s="718"/>
    </row>
    <row r="569" spans="2:15">
      <c r="B569" s="715"/>
      <c r="F569" s="715"/>
      <c r="J569" s="718"/>
      <c r="K569" s="699"/>
      <c r="L569" s="718"/>
      <c r="M569" s="718"/>
      <c r="N569" s="699"/>
      <c r="O569" s="718"/>
    </row>
    <row r="570" spans="2:15">
      <c r="B570" s="715"/>
      <c r="F570" s="715"/>
      <c r="J570" s="718"/>
      <c r="K570" s="699"/>
      <c r="L570" s="718"/>
      <c r="M570" s="718"/>
      <c r="N570" s="699"/>
      <c r="O570" s="718"/>
    </row>
    <row r="571" spans="2:15">
      <c r="B571" s="715"/>
      <c r="F571" s="715"/>
      <c r="J571" s="718"/>
      <c r="K571" s="699"/>
      <c r="L571" s="718"/>
      <c r="M571" s="718"/>
      <c r="N571" s="699"/>
      <c r="O571" s="718"/>
    </row>
    <row r="572" spans="2:15">
      <c r="B572" s="715"/>
      <c r="F572" s="715"/>
      <c r="J572" s="718"/>
      <c r="K572" s="699"/>
      <c r="L572" s="718"/>
      <c r="M572" s="718"/>
      <c r="N572" s="699"/>
      <c r="O572" s="718"/>
    </row>
    <row r="573" spans="2:15">
      <c r="B573" s="715"/>
      <c r="F573" s="715"/>
      <c r="J573" s="718"/>
      <c r="K573" s="699"/>
      <c r="L573" s="718"/>
      <c r="M573" s="718"/>
      <c r="N573" s="699"/>
      <c r="O573" s="718"/>
    </row>
    <row r="574" spans="2:15">
      <c r="B574" s="715"/>
      <c r="F574" s="715"/>
      <c r="J574" s="718"/>
      <c r="K574" s="699"/>
      <c r="L574" s="718"/>
      <c r="M574" s="718"/>
      <c r="N574" s="699"/>
      <c r="O574" s="718"/>
    </row>
    <row r="575" spans="2:15">
      <c r="B575" s="715"/>
      <c r="F575" s="715"/>
      <c r="J575" s="718"/>
      <c r="K575" s="699"/>
      <c r="L575" s="718"/>
      <c r="M575" s="718"/>
      <c r="N575" s="699"/>
      <c r="O575" s="718"/>
    </row>
    <row r="576" spans="2:15">
      <c r="B576" s="715"/>
      <c r="F576" s="715"/>
      <c r="J576" s="718"/>
      <c r="K576" s="699"/>
      <c r="L576" s="718"/>
      <c r="M576" s="718"/>
      <c r="N576" s="699"/>
      <c r="O576" s="718"/>
    </row>
    <row r="577" spans="2:15">
      <c r="B577" s="715"/>
      <c r="F577" s="715"/>
      <c r="J577" s="718"/>
      <c r="K577" s="699"/>
      <c r="L577" s="718"/>
      <c r="M577" s="718"/>
      <c r="N577" s="699"/>
      <c r="O577" s="718"/>
    </row>
    <row r="578" spans="2:15">
      <c r="B578" s="715"/>
      <c r="F578" s="715"/>
      <c r="J578" s="718"/>
      <c r="K578" s="699"/>
      <c r="L578" s="718"/>
      <c r="M578" s="718"/>
      <c r="N578" s="699"/>
      <c r="O578" s="718"/>
    </row>
    <row r="579" spans="2:15">
      <c r="B579" s="715"/>
      <c r="F579" s="715"/>
      <c r="J579" s="718"/>
      <c r="K579" s="699"/>
      <c r="L579" s="718"/>
      <c r="M579" s="718"/>
      <c r="N579" s="699"/>
      <c r="O579" s="718"/>
    </row>
    <row r="580" spans="2:15">
      <c r="B580" s="715"/>
      <c r="F580" s="715"/>
      <c r="J580" s="718"/>
      <c r="K580" s="699"/>
      <c r="L580" s="718"/>
      <c r="M580" s="718"/>
      <c r="N580" s="699"/>
      <c r="O580" s="718"/>
    </row>
    <row r="581" spans="2:15">
      <c r="B581" s="715"/>
      <c r="F581" s="715"/>
      <c r="J581" s="718"/>
      <c r="K581" s="699"/>
      <c r="L581" s="718"/>
      <c r="M581" s="718"/>
      <c r="N581" s="699"/>
      <c r="O581" s="718"/>
    </row>
    <row r="582" spans="2:15">
      <c r="B582" s="715"/>
      <c r="F582" s="715"/>
      <c r="J582" s="718"/>
      <c r="K582" s="699"/>
      <c r="L582" s="718"/>
      <c r="M582" s="718"/>
      <c r="N582" s="699"/>
      <c r="O582" s="718"/>
    </row>
    <row r="583" spans="2:15">
      <c r="B583" s="715"/>
      <c r="F583" s="715"/>
      <c r="J583" s="718"/>
      <c r="K583" s="699"/>
      <c r="L583" s="718"/>
      <c r="M583" s="718"/>
      <c r="N583" s="699"/>
      <c r="O583" s="718"/>
    </row>
    <row r="584" spans="2:15">
      <c r="B584" s="715"/>
      <c r="F584" s="715"/>
      <c r="J584" s="718"/>
      <c r="K584" s="699"/>
      <c r="L584" s="718"/>
      <c r="M584" s="718"/>
      <c r="N584" s="699"/>
      <c r="O584" s="718"/>
    </row>
    <row r="585" spans="2:15">
      <c r="B585" s="715"/>
      <c r="F585" s="715"/>
      <c r="J585" s="718"/>
      <c r="K585" s="699"/>
      <c r="L585" s="718"/>
      <c r="M585" s="718"/>
      <c r="N585" s="699"/>
      <c r="O585" s="718"/>
    </row>
    <row r="586" spans="2:15">
      <c r="B586" s="715"/>
      <c r="F586" s="715"/>
      <c r="J586" s="718"/>
      <c r="K586" s="699"/>
      <c r="L586" s="718"/>
      <c r="M586" s="718"/>
      <c r="N586" s="699"/>
      <c r="O586" s="718"/>
    </row>
    <row r="587" spans="2:15">
      <c r="B587" s="715"/>
      <c r="F587" s="715"/>
      <c r="J587" s="718"/>
      <c r="K587" s="699"/>
      <c r="L587" s="718"/>
      <c r="M587" s="718"/>
      <c r="N587" s="699"/>
      <c r="O587" s="718"/>
    </row>
    <row r="588" spans="2:15">
      <c r="B588" s="715"/>
      <c r="F588" s="715"/>
      <c r="J588" s="718"/>
      <c r="K588" s="699"/>
      <c r="L588" s="718"/>
      <c r="M588" s="718"/>
      <c r="N588" s="699"/>
      <c r="O588" s="718"/>
    </row>
    <row r="589" spans="2:15">
      <c r="B589" s="715"/>
      <c r="F589" s="715"/>
      <c r="J589" s="718"/>
      <c r="K589" s="699"/>
      <c r="L589" s="718"/>
      <c r="M589" s="718"/>
      <c r="N589" s="699"/>
      <c r="O589" s="718"/>
    </row>
    <row r="590" spans="2:15">
      <c r="B590" s="715"/>
      <c r="F590" s="715"/>
      <c r="J590" s="718"/>
      <c r="K590" s="699"/>
      <c r="L590" s="718"/>
      <c r="M590" s="718"/>
      <c r="N590" s="699"/>
      <c r="O590" s="718"/>
    </row>
    <row r="591" spans="2:15">
      <c r="B591" s="715"/>
      <c r="F591" s="715"/>
      <c r="J591" s="718"/>
      <c r="K591" s="699"/>
      <c r="L591" s="718"/>
      <c r="M591" s="718"/>
      <c r="N591" s="699"/>
      <c r="O591" s="718"/>
    </row>
    <row r="592" spans="2:15">
      <c r="B592" s="715"/>
      <c r="F592" s="715"/>
      <c r="J592" s="718"/>
      <c r="K592" s="699"/>
      <c r="L592" s="718"/>
      <c r="M592" s="718"/>
      <c r="N592" s="699"/>
      <c r="O592" s="718"/>
    </row>
    <row r="593" spans="2:15">
      <c r="B593" s="715"/>
      <c r="F593" s="715"/>
      <c r="J593" s="718"/>
      <c r="K593" s="699"/>
      <c r="L593" s="718"/>
      <c r="M593" s="718"/>
      <c r="N593" s="699"/>
      <c r="O593" s="718"/>
    </row>
    <row r="594" spans="2:15">
      <c r="B594" s="715"/>
      <c r="F594" s="715"/>
      <c r="J594" s="718"/>
      <c r="K594" s="699"/>
      <c r="L594" s="718"/>
      <c r="M594" s="718"/>
      <c r="N594" s="699"/>
      <c r="O594" s="718"/>
    </row>
    <row r="595" spans="2:15">
      <c r="B595" s="715"/>
      <c r="F595" s="715"/>
      <c r="J595" s="718"/>
      <c r="K595" s="699"/>
      <c r="L595" s="718"/>
      <c r="M595" s="718"/>
      <c r="N595" s="699"/>
      <c r="O595" s="718"/>
    </row>
    <row r="596" spans="2:15">
      <c r="B596" s="715"/>
      <c r="F596" s="715"/>
      <c r="J596" s="718"/>
      <c r="K596" s="699"/>
      <c r="L596" s="718"/>
      <c r="M596" s="718"/>
      <c r="N596" s="699"/>
      <c r="O596" s="718"/>
    </row>
    <row r="597" spans="2:15">
      <c r="B597" s="715"/>
      <c r="F597" s="715"/>
      <c r="J597" s="718"/>
      <c r="K597" s="699"/>
      <c r="L597" s="718"/>
      <c r="M597" s="718"/>
      <c r="N597" s="699"/>
      <c r="O597" s="718"/>
    </row>
    <row r="598" spans="2:15">
      <c r="B598" s="715"/>
      <c r="F598" s="715"/>
      <c r="J598" s="718"/>
      <c r="K598" s="699"/>
      <c r="L598" s="718"/>
      <c r="M598" s="718"/>
      <c r="N598" s="699"/>
      <c r="O598" s="718"/>
    </row>
    <row r="599" spans="2:15">
      <c r="B599" s="715"/>
      <c r="F599" s="715"/>
      <c r="J599" s="718"/>
      <c r="K599" s="699"/>
      <c r="L599" s="718"/>
      <c r="M599" s="718"/>
      <c r="N599" s="699"/>
      <c r="O599" s="718"/>
    </row>
    <row r="600" spans="2:15">
      <c r="B600" s="715"/>
      <c r="F600" s="715"/>
      <c r="J600" s="718"/>
      <c r="K600" s="699"/>
      <c r="L600" s="718"/>
      <c r="M600" s="718"/>
      <c r="N600" s="699"/>
      <c r="O600" s="718"/>
    </row>
    <row r="601" spans="2:15">
      <c r="B601" s="715"/>
      <c r="F601" s="715"/>
      <c r="J601" s="718"/>
      <c r="K601" s="699"/>
      <c r="L601" s="718"/>
      <c r="M601" s="718"/>
      <c r="N601" s="699"/>
      <c r="O601" s="718"/>
    </row>
    <row r="602" spans="2:15">
      <c r="B602" s="715"/>
      <c r="F602" s="715"/>
      <c r="J602" s="718"/>
      <c r="K602" s="699"/>
      <c r="L602" s="718"/>
      <c r="M602" s="718"/>
      <c r="N602" s="699"/>
      <c r="O602" s="718"/>
    </row>
    <row r="603" spans="2:15">
      <c r="B603" s="715"/>
      <c r="F603" s="715"/>
      <c r="J603" s="718"/>
      <c r="K603" s="699"/>
      <c r="L603" s="718"/>
      <c r="M603" s="718"/>
      <c r="N603" s="699"/>
      <c r="O603" s="718"/>
    </row>
    <row r="604" spans="2:15">
      <c r="B604" s="715"/>
      <c r="F604" s="715"/>
      <c r="J604" s="718"/>
      <c r="K604" s="699"/>
      <c r="L604" s="718"/>
      <c r="M604" s="718"/>
      <c r="N604" s="699"/>
      <c r="O604" s="718"/>
    </row>
    <row r="605" spans="2:15">
      <c r="B605" s="715"/>
      <c r="F605" s="715"/>
      <c r="J605" s="718"/>
      <c r="K605" s="699"/>
      <c r="L605" s="718"/>
      <c r="M605" s="718"/>
      <c r="N605" s="699"/>
      <c r="O605" s="718"/>
    </row>
    <row r="606" spans="2:15">
      <c r="B606" s="715"/>
      <c r="F606" s="715"/>
      <c r="J606" s="718"/>
      <c r="K606" s="699"/>
      <c r="L606" s="718"/>
      <c r="M606" s="718"/>
      <c r="N606" s="699"/>
      <c r="O606" s="718"/>
    </row>
    <row r="607" spans="2:15">
      <c r="B607" s="715"/>
      <c r="F607" s="715"/>
      <c r="J607" s="718"/>
      <c r="K607" s="699"/>
      <c r="L607" s="718"/>
      <c r="M607" s="718"/>
      <c r="N607" s="699"/>
      <c r="O607" s="718"/>
    </row>
    <row r="608" spans="2:15">
      <c r="B608" s="715"/>
      <c r="F608" s="715"/>
      <c r="J608" s="718"/>
      <c r="K608" s="699"/>
      <c r="L608" s="718"/>
      <c r="M608" s="718"/>
      <c r="N608" s="699"/>
      <c r="O608" s="718"/>
    </row>
    <row r="609" spans="2:15">
      <c r="B609" s="715"/>
      <c r="F609" s="715"/>
      <c r="J609" s="718"/>
      <c r="K609" s="699"/>
      <c r="L609" s="718"/>
      <c r="M609" s="718"/>
      <c r="N609" s="699"/>
      <c r="O609" s="718"/>
    </row>
    <row r="610" spans="2:15">
      <c r="B610" s="715"/>
      <c r="F610" s="715"/>
      <c r="J610" s="718"/>
      <c r="K610" s="699"/>
      <c r="L610" s="718"/>
      <c r="M610" s="718"/>
      <c r="N610" s="699"/>
      <c r="O610" s="718"/>
    </row>
    <row r="611" spans="2:15">
      <c r="B611" s="715"/>
      <c r="F611" s="715"/>
      <c r="J611" s="718"/>
      <c r="K611" s="699"/>
      <c r="L611" s="718"/>
      <c r="M611" s="718"/>
      <c r="N611" s="699"/>
      <c r="O611" s="718"/>
    </row>
    <row r="612" spans="2:15">
      <c r="B612" s="715"/>
      <c r="F612" s="715"/>
      <c r="J612" s="718"/>
      <c r="K612" s="699"/>
      <c r="L612" s="718"/>
      <c r="M612" s="718"/>
      <c r="N612" s="699"/>
      <c r="O612" s="718"/>
    </row>
    <row r="613" spans="2:15">
      <c r="B613" s="715"/>
      <c r="F613" s="715"/>
      <c r="J613" s="718"/>
      <c r="K613" s="699"/>
      <c r="L613" s="718"/>
      <c r="M613" s="718"/>
      <c r="N613" s="699"/>
      <c r="O613" s="718"/>
    </row>
    <row r="614" spans="2:15">
      <c r="B614" s="715"/>
      <c r="F614" s="715"/>
      <c r="J614" s="718"/>
      <c r="K614" s="699"/>
      <c r="L614" s="718"/>
      <c r="M614" s="718"/>
      <c r="N614" s="699"/>
      <c r="O614" s="718"/>
    </row>
    <row r="615" spans="2:15">
      <c r="B615" s="715"/>
      <c r="F615" s="715"/>
      <c r="J615" s="718"/>
      <c r="K615" s="699"/>
      <c r="L615" s="718"/>
      <c r="M615" s="718"/>
      <c r="N615" s="699"/>
      <c r="O615" s="718"/>
    </row>
    <row r="616" spans="2:15">
      <c r="B616" s="715"/>
      <c r="F616" s="715"/>
      <c r="J616" s="718"/>
      <c r="K616" s="699"/>
      <c r="L616" s="718"/>
      <c r="M616" s="718"/>
      <c r="N616" s="699"/>
      <c r="O616" s="718"/>
    </row>
    <row r="617" spans="2:15">
      <c r="B617" s="715"/>
      <c r="F617" s="715"/>
      <c r="J617" s="718"/>
      <c r="K617" s="699"/>
      <c r="L617" s="718"/>
      <c r="M617" s="718"/>
      <c r="N617" s="699"/>
      <c r="O617" s="718"/>
    </row>
    <row r="618" spans="2:15">
      <c r="B618" s="715"/>
      <c r="F618" s="715"/>
      <c r="J618" s="718"/>
      <c r="K618" s="699"/>
      <c r="L618" s="718"/>
      <c r="M618" s="718"/>
      <c r="N618" s="699"/>
      <c r="O618" s="718"/>
    </row>
    <row r="619" spans="2:15">
      <c r="B619" s="715"/>
      <c r="F619" s="715"/>
      <c r="J619" s="718"/>
      <c r="K619" s="699"/>
      <c r="L619" s="718"/>
      <c r="M619" s="718"/>
      <c r="N619" s="699"/>
      <c r="O619" s="718"/>
    </row>
    <row r="620" spans="2:15">
      <c r="B620" s="715"/>
      <c r="F620" s="715"/>
      <c r="J620" s="718"/>
      <c r="K620" s="699"/>
      <c r="L620" s="718"/>
      <c r="M620" s="718"/>
      <c r="N620" s="699"/>
      <c r="O620" s="718"/>
    </row>
    <row r="621" spans="2:15">
      <c r="B621" s="715"/>
      <c r="F621" s="715"/>
      <c r="J621" s="718"/>
      <c r="K621" s="699"/>
      <c r="L621" s="718"/>
      <c r="M621" s="718"/>
      <c r="N621" s="699"/>
      <c r="O621" s="718"/>
    </row>
    <row r="622" spans="2:15">
      <c r="B622" s="715"/>
      <c r="F622" s="715"/>
      <c r="J622" s="718"/>
      <c r="K622" s="699"/>
      <c r="L622" s="718"/>
      <c r="M622" s="718"/>
      <c r="N622" s="699"/>
      <c r="O622" s="718"/>
    </row>
    <row r="623" spans="2:15">
      <c r="B623" s="715"/>
      <c r="F623" s="715"/>
      <c r="J623" s="718"/>
      <c r="K623" s="699"/>
      <c r="L623" s="718"/>
      <c r="M623" s="718"/>
      <c r="N623" s="699"/>
      <c r="O623" s="718"/>
    </row>
    <row r="624" spans="2:15">
      <c r="B624" s="715"/>
      <c r="F624" s="715"/>
      <c r="J624" s="718"/>
      <c r="K624" s="699"/>
      <c r="L624" s="718"/>
      <c r="M624" s="718"/>
      <c r="N624" s="699"/>
      <c r="O624" s="718"/>
    </row>
    <row r="625" spans="2:15">
      <c r="B625" s="715"/>
      <c r="F625" s="715"/>
      <c r="J625" s="718"/>
      <c r="K625" s="699"/>
      <c r="L625" s="718"/>
      <c r="M625" s="718"/>
      <c r="N625" s="699"/>
      <c r="O625" s="718"/>
    </row>
    <row r="626" spans="2:15">
      <c r="B626" s="715"/>
      <c r="F626" s="715"/>
      <c r="J626" s="718"/>
      <c r="K626" s="699"/>
      <c r="L626" s="718"/>
      <c r="M626" s="718"/>
      <c r="N626" s="699"/>
      <c r="O626" s="718"/>
    </row>
    <row r="627" spans="2:15">
      <c r="B627" s="715"/>
      <c r="F627" s="715"/>
      <c r="J627" s="718"/>
      <c r="K627" s="699"/>
      <c r="L627" s="718"/>
      <c r="M627" s="718"/>
      <c r="N627" s="699"/>
      <c r="O627" s="718"/>
    </row>
    <row r="628" spans="2:15">
      <c r="B628" s="715"/>
      <c r="F628" s="715"/>
      <c r="J628" s="718"/>
      <c r="K628" s="699"/>
      <c r="L628" s="718"/>
      <c r="M628" s="718"/>
      <c r="N628" s="699"/>
      <c r="O628" s="718"/>
    </row>
    <row r="629" spans="2:15">
      <c r="B629" s="715"/>
      <c r="F629" s="715"/>
      <c r="J629" s="718"/>
      <c r="K629" s="699"/>
      <c r="L629" s="718"/>
      <c r="M629" s="718"/>
      <c r="N629" s="699"/>
      <c r="O629" s="718"/>
    </row>
    <row r="630" spans="2:15">
      <c r="B630" s="715"/>
      <c r="F630" s="715"/>
      <c r="J630" s="718"/>
      <c r="K630" s="699"/>
      <c r="L630" s="718"/>
      <c r="M630" s="718"/>
      <c r="N630" s="699"/>
      <c r="O630" s="718"/>
    </row>
    <row r="631" spans="2:15">
      <c r="B631" s="715"/>
      <c r="F631" s="715"/>
      <c r="J631" s="718"/>
      <c r="K631" s="699"/>
      <c r="L631" s="718"/>
      <c r="M631" s="718"/>
      <c r="N631" s="699"/>
      <c r="O631" s="718"/>
    </row>
    <row r="632" spans="2:15">
      <c r="B632" s="715"/>
      <c r="F632" s="715"/>
      <c r="J632" s="718"/>
      <c r="K632" s="699"/>
      <c r="L632" s="718"/>
      <c r="M632" s="718"/>
      <c r="N632" s="699"/>
      <c r="O632" s="718"/>
    </row>
    <row r="633" spans="2:15">
      <c r="B633" s="715"/>
      <c r="F633" s="715"/>
      <c r="J633" s="718"/>
      <c r="K633" s="699"/>
      <c r="L633" s="718"/>
      <c r="M633" s="718"/>
      <c r="N633" s="699"/>
      <c r="O633" s="718"/>
    </row>
    <row r="634" spans="2:15">
      <c r="B634" s="715"/>
      <c r="F634" s="715"/>
      <c r="J634" s="718"/>
      <c r="K634" s="699"/>
      <c r="L634" s="718"/>
      <c r="M634" s="718"/>
      <c r="N634" s="699"/>
      <c r="O634" s="718"/>
    </row>
    <row r="635" spans="2:15">
      <c r="B635" s="715"/>
      <c r="F635" s="715"/>
      <c r="J635" s="718"/>
      <c r="K635" s="699"/>
      <c r="L635" s="718"/>
      <c r="M635" s="718"/>
      <c r="N635" s="699"/>
      <c r="O635" s="718"/>
    </row>
    <row r="636" spans="2:15">
      <c r="B636" s="715"/>
      <c r="F636" s="715"/>
      <c r="J636" s="718"/>
      <c r="K636" s="699"/>
      <c r="L636" s="718"/>
      <c r="M636" s="718"/>
      <c r="N636" s="699"/>
      <c r="O636" s="718"/>
    </row>
    <row r="637" spans="2:15">
      <c r="B637" s="715"/>
      <c r="F637" s="715"/>
      <c r="J637" s="718"/>
      <c r="K637" s="699"/>
      <c r="L637" s="718"/>
      <c r="M637" s="718"/>
      <c r="N637" s="699"/>
      <c r="O637" s="718"/>
    </row>
    <row r="638" spans="2:15">
      <c r="B638" s="715"/>
      <c r="F638" s="715"/>
      <c r="J638" s="718"/>
      <c r="K638" s="699"/>
      <c r="L638" s="718"/>
      <c r="M638" s="718"/>
      <c r="N638" s="699"/>
      <c r="O638" s="718"/>
    </row>
    <row r="639" spans="2:15">
      <c r="B639" s="715"/>
      <c r="F639" s="715"/>
      <c r="J639" s="718"/>
      <c r="K639" s="699"/>
      <c r="L639" s="718"/>
      <c r="M639" s="718"/>
      <c r="N639" s="699"/>
      <c r="O639" s="718"/>
    </row>
    <row r="640" spans="2:15">
      <c r="B640" s="715"/>
      <c r="F640" s="715"/>
      <c r="J640" s="718"/>
      <c r="K640" s="699"/>
      <c r="L640" s="718"/>
      <c r="M640" s="718"/>
      <c r="N640" s="699"/>
      <c r="O640" s="718"/>
    </row>
    <row r="641" spans="2:15">
      <c r="B641" s="715"/>
      <c r="F641" s="715"/>
      <c r="J641" s="718"/>
      <c r="K641" s="699"/>
      <c r="L641" s="718"/>
      <c r="M641" s="718"/>
      <c r="N641" s="699"/>
      <c r="O641" s="718"/>
    </row>
    <row r="642" spans="2:15">
      <c r="B642" s="715"/>
      <c r="F642" s="715"/>
      <c r="J642" s="718"/>
      <c r="K642" s="699"/>
      <c r="L642" s="718"/>
      <c r="M642" s="718"/>
      <c r="N642" s="699"/>
      <c r="O642" s="718"/>
    </row>
    <row r="643" spans="2:15">
      <c r="B643" s="715"/>
      <c r="F643" s="715"/>
      <c r="J643" s="718"/>
      <c r="K643" s="699"/>
      <c r="L643" s="718"/>
      <c r="M643" s="718"/>
      <c r="N643" s="699"/>
      <c r="O643" s="718"/>
    </row>
    <row r="644" spans="2:15">
      <c r="B644" s="715"/>
      <c r="F644" s="715"/>
      <c r="J644" s="718"/>
      <c r="K644" s="699"/>
      <c r="L644" s="718"/>
      <c r="M644" s="718"/>
      <c r="N644" s="699"/>
      <c r="O644" s="718"/>
    </row>
    <row r="645" spans="2:15">
      <c r="B645" s="715"/>
      <c r="F645" s="715"/>
      <c r="J645" s="718"/>
      <c r="K645" s="699"/>
      <c r="L645" s="718"/>
      <c r="M645" s="718"/>
      <c r="N645" s="699"/>
      <c r="O645" s="718"/>
    </row>
    <row r="646" spans="2:15">
      <c r="B646" s="715"/>
      <c r="F646" s="715"/>
      <c r="J646" s="718"/>
      <c r="K646" s="699"/>
      <c r="L646" s="718"/>
      <c r="M646" s="718"/>
      <c r="N646" s="699"/>
      <c r="O646" s="718"/>
    </row>
    <row r="647" spans="2:15">
      <c r="B647" s="715"/>
      <c r="F647" s="715"/>
      <c r="J647" s="718"/>
      <c r="K647" s="699"/>
      <c r="L647" s="718"/>
      <c r="M647" s="718"/>
      <c r="N647" s="699"/>
      <c r="O647" s="718"/>
    </row>
    <row r="648" spans="2:15">
      <c r="B648" s="715"/>
      <c r="F648" s="715"/>
      <c r="J648" s="718"/>
      <c r="K648" s="699"/>
      <c r="L648" s="718"/>
      <c r="M648" s="718"/>
      <c r="N648" s="699"/>
      <c r="O648" s="718"/>
    </row>
    <row r="649" spans="2:15">
      <c r="B649" s="715"/>
      <c r="F649" s="715"/>
      <c r="J649" s="718"/>
      <c r="K649" s="699"/>
      <c r="L649" s="718"/>
      <c r="M649" s="718"/>
      <c r="N649" s="699"/>
      <c r="O649" s="718"/>
    </row>
    <row r="650" spans="2:15">
      <c r="B650" s="715"/>
      <c r="F650" s="715"/>
      <c r="J650" s="718"/>
      <c r="K650" s="699"/>
      <c r="L650" s="718"/>
      <c r="M650" s="718"/>
      <c r="N650" s="699"/>
      <c r="O650" s="718"/>
    </row>
    <row r="651" spans="2:15">
      <c r="B651" s="715"/>
      <c r="F651" s="715"/>
      <c r="J651" s="718"/>
      <c r="K651" s="699"/>
      <c r="L651" s="718"/>
      <c r="M651" s="718"/>
      <c r="N651" s="699"/>
      <c r="O651" s="718"/>
    </row>
    <row r="652" spans="2:15">
      <c r="B652" s="715"/>
      <c r="F652" s="715"/>
      <c r="J652" s="718"/>
      <c r="K652" s="699"/>
      <c r="L652" s="718"/>
      <c r="M652" s="718"/>
      <c r="N652" s="699"/>
      <c r="O652" s="718"/>
    </row>
    <row r="653" spans="2:15">
      <c r="B653" s="715"/>
      <c r="F653" s="715"/>
      <c r="J653" s="718"/>
      <c r="K653" s="699"/>
      <c r="L653" s="718"/>
      <c r="M653" s="718"/>
      <c r="N653" s="699"/>
      <c r="O653" s="718"/>
    </row>
    <row r="654" spans="2:15">
      <c r="B654" s="715"/>
      <c r="F654" s="715"/>
      <c r="J654" s="718"/>
      <c r="K654" s="699"/>
      <c r="L654" s="718"/>
      <c r="M654" s="718"/>
      <c r="N654" s="699"/>
      <c r="O654" s="718"/>
    </row>
    <row r="655" spans="2:15">
      <c r="B655" s="715"/>
      <c r="F655" s="715"/>
      <c r="J655" s="718"/>
      <c r="K655" s="699"/>
      <c r="L655" s="718"/>
      <c r="M655" s="718"/>
      <c r="N655" s="699"/>
      <c r="O655" s="718"/>
    </row>
    <row r="656" spans="2:15">
      <c r="B656" s="715"/>
      <c r="F656" s="715"/>
      <c r="J656" s="718"/>
      <c r="K656" s="699"/>
      <c r="L656" s="718"/>
      <c r="M656" s="718"/>
      <c r="N656" s="699"/>
      <c r="O656" s="718"/>
    </row>
    <row r="657" spans="2:15">
      <c r="B657" s="715"/>
      <c r="F657" s="715"/>
      <c r="J657" s="718"/>
      <c r="K657" s="699"/>
      <c r="L657" s="718"/>
      <c r="M657" s="718"/>
      <c r="N657" s="699"/>
      <c r="O657" s="718"/>
    </row>
    <row r="658" spans="2:15">
      <c r="B658" s="715"/>
      <c r="F658" s="715"/>
      <c r="J658" s="718"/>
      <c r="K658" s="699"/>
      <c r="L658" s="718"/>
      <c r="M658" s="718"/>
      <c r="N658" s="699"/>
      <c r="O658" s="718"/>
    </row>
    <row r="659" spans="2:15">
      <c r="B659" s="715"/>
      <c r="F659" s="715"/>
      <c r="J659" s="718"/>
      <c r="K659" s="699"/>
      <c r="L659" s="718"/>
      <c r="M659" s="718"/>
      <c r="N659" s="699"/>
      <c r="O659" s="718"/>
    </row>
    <row r="660" spans="2:15">
      <c r="B660" s="715"/>
      <c r="F660" s="715"/>
      <c r="J660" s="718"/>
      <c r="K660" s="699"/>
      <c r="L660" s="718"/>
      <c r="M660" s="718"/>
      <c r="N660" s="699"/>
      <c r="O660" s="718"/>
    </row>
    <row r="661" spans="2:15">
      <c r="B661" s="715"/>
      <c r="F661" s="715"/>
      <c r="J661" s="718"/>
      <c r="K661" s="699"/>
      <c r="L661" s="718"/>
      <c r="M661" s="718"/>
      <c r="N661" s="699"/>
      <c r="O661" s="718"/>
    </row>
    <row r="662" spans="2:15">
      <c r="B662" s="715"/>
      <c r="F662" s="715"/>
      <c r="J662" s="718"/>
      <c r="K662" s="699"/>
      <c r="L662" s="718"/>
      <c r="M662" s="718"/>
      <c r="N662" s="699"/>
      <c r="O662" s="718"/>
    </row>
    <row r="663" spans="2:15">
      <c r="B663" s="715"/>
      <c r="F663" s="715"/>
      <c r="J663" s="718"/>
      <c r="K663" s="699"/>
      <c r="L663" s="718"/>
      <c r="M663" s="718"/>
      <c r="N663" s="699"/>
      <c r="O663" s="718"/>
    </row>
    <row r="664" spans="2:15">
      <c r="B664" s="715"/>
      <c r="F664" s="715"/>
      <c r="J664" s="718"/>
      <c r="K664" s="699"/>
      <c r="L664" s="718"/>
      <c r="M664" s="718"/>
      <c r="N664" s="699"/>
      <c r="O664" s="718"/>
    </row>
    <row r="665" spans="2:15">
      <c r="B665" s="715"/>
      <c r="F665" s="715"/>
      <c r="J665" s="718"/>
      <c r="K665" s="699"/>
      <c r="L665" s="718"/>
      <c r="M665" s="718"/>
      <c r="N665" s="699"/>
      <c r="O665" s="718"/>
    </row>
    <row r="666" spans="2:15">
      <c r="B666" s="715"/>
      <c r="F666" s="715"/>
      <c r="J666" s="718"/>
      <c r="K666" s="699"/>
      <c r="L666" s="718"/>
      <c r="M666" s="718"/>
      <c r="N666" s="699"/>
      <c r="O666" s="718"/>
    </row>
    <row r="667" spans="2:15">
      <c r="B667" s="715"/>
      <c r="F667" s="715"/>
      <c r="J667" s="718"/>
      <c r="K667" s="699"/>
      <c r="L667" s="718"/>
      <c r="M667" s="718"/>
      <c r="N667" s="699"/>
      <c r="O667" s="718"/>
    </row>
    <row r="668" spans="2:15">
      <c r="B668" s="715"/>
      <c r="F668" s="715"/>
      <c r="J668" s="718"/>
      <c r="K668" s="699"/>
      <c r="L668" s="718"/>
      <c r="M668" s="718"/>
      <c r="N668" s="699"/>
      <c r="O668" s="718"/>
    </row>
    <row r="669" spans="2:15">
      <c r="B669" s="715"/>
      <c r="F669" s="715"/>
      <c r="J669" s="718"/>
      <c r="K669" s="699"/>
      <c r="L669" s="718"/>
      <c r="M669" s="718"/>
      <c r="N669" s="699"/>
      <c r="O669" s="718"/>
    </row>
    <row r="670" spans="2:15">
      <c r="B670" s="715"/>
      <c r="F670" s="715"/>
      <c r="J670" s="718"/>
      <c r="K670" s="699"/>
      <c r="L670" s="718"/>
      <c r="M670" s="718"/>
      <c r="N670" s="699"/>
      <c r="O670" s="718"/>
    </row>
    <row r="671" spans="2:15">
      <c r="B671" s="715"/>
      <c r="F671" s="715"/>
      <c r="J671" s="718"/>
      <c r="K671" s="699"/>
      <c r="L671" s="718"/>
      <c r="M671" s="718"/>
      <c r="N671" s="699"/>
      <c r="O671" s="718"/>
    </row>
    <row r="672" spans="2:15">
      <c r="B672" s="715"/>
      <c r="F672" s="715"/>
      <c r="J672" s="718"/>
      <c r="K672" s="699"/>
      <c r="L672" s="718"/>
      <c r="M672" s="718"/>
      <c r="N672" s="699"/>
      <c r="O672" s="718"/>
    </row>
    <row r="673" spans="2:15">
      <c r="B673" s="715"/>
      <c r="F673" s="715"/>
      <c r="J673" s="718"/>
      <c r="K673" s="699"/>
      <c r="L673" s="718"/>
      <c r="M673" s="718"/>
      <c r="N673" s="699"/>
      <c r="O673" s="718"/>
    </row>
    <row r="674" spans="2:15">
      <c r="B674" s="715"/>
      <c r="F674" s="715"/>
      <c r="J674" s="718"/>
      <c r="K674" s="699"/>
      <c r="L674" s="718"/>
      <c r="M674" s="718"/>
      <c r="N674" s="699"/>
      <c r="O674" s="718"/>
    </row>
    <row r="675" spans="2:15">
      <c r="B675" s="715"/>
      <c r="F675" s="715"/>
      <c r="J675" s="718"/>
      <c r="K675" s="699"/>
      <c r="L675" s="718"/>
      <c r="M675" s="718"/>
      <c r="N675" s="699"/>
      <c r="O675" s="718"/>
    </row>
    <row r="676" spans="2:15">
      <c r="B676" s="715"/>
      <c r="F676" s="715"/>
      <c r="J676" s="718"/>
      <c r="K676" s="699"/>
      <c r="L676" s="718"/>
      <c r="M676" s="718"/>
      <c r="N676" s="699"/>
      <c r="O676" s="718"/>
    </row>
    <row r="677" spans="2:15">
      <c r="B677" s="715"/>
      <c r="F677" s="715"/>
      <c r="J677" s="718"/>
      <c r="K677" s="699"/>
      <c r="L677" s="718"/>
      <c r="M677" s="718"/>
      <c r="N677" s="699"/>
      <c r="O677" s="718"/>
    </row>
    <row r="678" spans="2:15">
      <c r="B678" s="715"/>
      <c r="F678" s="715"/>
      <c r="J678" s="718"/>
      <c r="K678" s="699"/>
      <c r="L678" s="718"/>
      <c r="M678" s="718"/>
      <c r="N678" s="699"/>
      <c r="O678" s="718"/>
    </row>
    <row r="679" spans="2:15">
      <c r="B679" s="715"/>
      <c r="F679" s="715"/>
      <c r="J679" s="718"/>
      <c r="K679" s="699"/>
      <c r="L679" s="718"/>
      <c r="M679" s="718"/>
      <c r="N679" s="699"/>
      <c r="O679" s="718"/>
    </row>
    <row r="680" spans="2:15">
      <c r="B680" s="715"/>
      <c r="F680" s="715"/>
      <c r="J680" s="718"/>
      <c r="K680" s="699"/>
      <c r="L680" s="718"/>
      <c r="M680" s="718"/>
      <c r="N680" s="699"/>
      <c r="O680" s="718"/>
    </row>
    <row r="681" spans="2:15">
      <c r="B681" s="715"/>
      <c r="F681" s="715"/>
      <c r="J681" s="718"/>
      <c r="K681" s="699"/>
      <c r="L681" s="718"/>
      <c r="M681" s="718"/>
      <c r="N681" s="699"/>
      <c r="O681" s="718"/>
    </row>
    <row r="682" spans="2:15">
      <c r="B682" s="715"/>
      <c r="F682" s="715"/>
      <c r="J682" s="718"/>
      <c r="K682" s="699"/>
      <c r="L682" s="718"/>
      <c r="M682" s="718"/>
      <c r="N682" s="699"/>
      <c r="O682" s="718"/>
    </row>
    <row r="683" spans="2:15">
      <c r="B683" s="715"/>
      <c r="F683" s="715"/>
      <c r="J683" s="718"/>
      <c r="K683" s="699"/>
      <c r="L683" s="718"/>
      <c r="M683" s="718"/>
      <c r="N683" s="699"/>
      <c r="O683" s="718"/>
    </row>
    <row r="684" spans="2:15">
      <c r="B684" s="715"/>
      <c r="F684" s="715"/>
      <c r="J684" s="718"/>
      <c r="K684" s="699"/>
      <c r="L684" s="718"/>
      <c r="M684" s="718"/>
      <c r="N684" s="699"/>
      <c r="O684" s="718"/>
    </row>
    <row r="685" spans="2:15">
      <c r="B685" s="715"/>
      <c r="F685" s="715"/>
      <c r="J685" s="718"/>
      <c r="K685" s="699"/>
      <c r="L685" s="718"/>
      <c r="M685" s="718"/>
      <c r="N685" s="699"/>
      <c r="O685" s="718"/>
    </row>
    <row r="686" spans="2:15">
      <c r="B686" s="715"/>
      <c r="F686" s="715"/>
      <c r="J686" s="718"/>
      <c r="K686" s="699"/>
      <c r="L686" s="718"/>
      <c r="M686" s="718"/>
      <c r="N686" s="699"/>
      <c r="O686" s="718"/>
    </row>
    <row r="687" spans="2:15">
      <c r="B687" s="715"/>
      <c r="F687" s="715"/>
      <c r="J687" s="718"/>
      <c r="K687" s="699"/>
      <c r="L687" s="718"/>
      <c r="M687" s="718"/>
      <c r="N687" s="699"/>
      <c r="O687" s="718"/>
    </row>
    <row r="688" spans="2:15">
      <c r="B688" s="715"/>
      <c r="F688" s="715"/>
      <c r="J688" s="718"/>
      <c r="K688" s="699"/>
      <c r="L688" s="718"/>
      <c r="M688" s="718"/>
      <c r="N688" s="699"/>
      <c r="O688" s="718"/>
    </row>
    <row r="689" spans="2:15">
      <c r="B689" s="715"/>
      <c r="F689" s="715"/>
      <c r="J689" s="718"/>
      <c r="K689" s="699"/>
      <c r="L689" s="718"/>
      <c r="M689" s="718"/>
      <c r="N689" s="699"/>
      <c r="O689" s="718"/>
    </row>
    <row r="690" spans="2:15">
      <c r="B690" s="715"/>
      <c r="F690" s="715"/>
      <c r="J690" s="718"/>
      <c r="K690" s="699"/>
      <c r="L690" s="718"/>
      <c r="M690" s="718"/>
      <c r="N690" s="699"/>
      <c r="O690" s="718"/>
    </row>
    <row r="691" spans="2:15">
      <c r="B691" s="715"/>
      <c r="F691" s="715"/>
      <c r="J691" s="718"/>
      <c r="K691" s="699"/>
      <c r="L691" s="718"/>
      <c r="M691" s="718"/>
      <c r="N691" s="699"/>
      <c r="O691" s="718"/>
    </row>
    <row r="692" spans="2:15">
      <c r="B692" s="715"/>
      <c r="F692" s="715"/>
      <c r="J692" s="718"/>
      <c r="K692" s="699"/>
      <c r="L692" s="718"/>
      <c r="M692" s="718"/>
      <c r="N692" s="699"/>
      <c r="O692" s="718"/>
    </row>
    <row r="693" spans="2:15">
      <c r="B693" s="715"/>
      <c r="F693" s="715"/>
      <c r="J693" s="718"/>
      <c r="K693" s="699"/>
      <c r="L693" s="718"/>
      <c r="M693" s="718"/>
      <c r="N693" s="699"/>
      <c r="O693" s="718"/>
    </row>
    <row r="694" spans="2:15">
      <c r="B694" s="715"/>
      <c r="F694" s="715"/>
      <c r="J694" s="718"/>
      <c r="K694" s="699"/>
      <c r="L694" s="718"/>
      <c r="M694" s="718"/>
      <c r="N694" s="699"/>
      <c r="O694" s="718"/>
    </row>
    <row r="695" spans="2:15">
      <c r="B695" s="715"/>
      <c r="F695" s="715"/>
      <c r="J695" s="718"/>
      <c r="K695" s="699"/>
      <c r="L695" s="718"/>
      <c r="M695" s="718"/>
      <c r="N695" s="699"/>
      <c r="O695" s="718"/>
    </row>
    <row r="696" spans="2:15">
      <c r="B696" s="715"/>
      <c r="F696" s="715"/>
      <c r="J696" s="718"/>
      <c r="K696" s="699"/>
      <c r="L696" s="718"/>
      <c r="M696" s="718"/>
      <c r="N696" s="699"/>
      <c r="O696" s="718"/>
    </row>
    <row r="697" spans="2:15">
      <c r="B697" s="715"/>
      <c r="F697" s="715"/>
      <c r="J697" s="718"/>
      <c r="K697" s="699"/>
      <c r="L697" s="718"/>
      <c r="M697" s="718"/>
      <c r="N697" s="699"/>
      <c r="O697" s="718"/>
    </row>
    <row r="698" spans="2:15">
      <c r="B698" s="715"/>
      <c r="F698" s="715"/>
      <c r="J698" s="718"/>
      <c r="K698" s="699"/>
      <c r="L698" s="718"/>
      <c r="M698" s="718"/>
      <c r="N698" s="699"/>
      <c r="O698" s="718"/>
    </row>
    <row r="699" spans="2:15">
      <c r="B699" s="715"/>
      <c r="F699" s="715"/>
      <c r="J699" s="718"/>
      <c r="K699" s="699"/>
      <c r="L699" s="718"/>
      <c r="M699" s="718"/>
      <c r="N699" s="699"/>
      <c r="O699" s="718"/>
    </row>
    <row r="700" spans="2:15">
      <c r="B700" s="715"/>
      <c r="F700" s="715"/>
      <c r="J700" s="718"/>
      <c r="K700" s="699"/>
      <c r="L700" s="718"/>
      <c r="M700" s="718"/>
      <c r="N700" s="699"/>
      <c r="O700" s="718"/>
    </row>
    <row r="701" spans="2:15">
      <c r="B701" s="715"/>
      <c r="F701" s="715"/>
      <c r="J701" s="718"/>
      <c r="K701" s="699"/>
      <c r="L701" s="718"/>
      <c r="M701" s="718"/>
      <c r="N701" s="699"/>
      <c r="O701" s="718"/>
    </row>
    <row r="702" spans="2:15">
      <c r="B702" s="715"/>
      <c r="F702" s="715"/>
      <c r="J702" s="718"/>
      <c r="K702" s="699"/>
      <c r="L702" s="718"/>
      <c r="M702" s="718"/>
      <c r="N702" s="699"/>
      <c r="O702" s="718"/>
    </row>
    <row r="703" spans="2:15">
      <c r="B703" s="715"/>
      <c r="F703" s="715"/>
      <c r="J703" s="718"/>
      <c r="K703" s="699"/>
      <c r="L703" s="718"/>
      <c r="M703" s="718"/>
      <c r="N703" s="699"/>
      <c r="O703" s="718"/>
    </row>
    <row r="704" spans="2:15">
      <c r="B704" s="715"/>
      <c r="F704" s="715"/>
      <c r="J704" s="718"/>
      <c r="K704" s="699"/>
      <c r="L704" s="718"/>
      <c r="M704" s="718"/>
      <c r="N704" s="699"/>
      <c r="O704" s="718"/>
    </row>
    <row r="705" spans="2:15">
      <c r="B705" s="715"/>
      <c r="F705" s="715"/>
      <c r="J705" s="718"/>
      <c r="K705" s="699"/>
      <c r="L705" s="718"/>
      <c r="M705" s="718"/>
      <c r="N705" s="699"/>
      <c r="O705" s="718"/>
    </row>
    <row r="706" spans="2:15">
      <c r="B706" s="715"/>
      <c r="F706" s="715"/>
      <c r="J706" s="718"/>
      <c r="K706" s="699"/>
      <c r="L706" s="718"/>
      <c r="M706" s="718"/>
      <c r="N706" s="699"/>
      <c r="O706" s="718"/>
    </row>
    <row r="707" spans="2:15">
      <c r="B707" s="715"/>
      <c r="F707" s="715"/>
      <c r="J707" s="718"/>
      <c r="K707" s="699"/>
      <c r="L707" s="718"/>
      <c r="M707" s="718"/>
      <c r="N707" s="699"/>
      <c r="O707" s="718"/>
    </row>
    <row r="708" spans="2:15">
      <c r="B708" s="715"/>
      <c r="F708" s="715"/>
      <c r="J708" s="718"/>
      <c r="K708" s="699"/>
      <c r="L708" s="718"/>
      <c r="M708" s="718"/>
      <c r="N708" s="699"/>
      <c r="O708" s="718"/>
    </row>
    <row r="709" spans="2:15">
      <c r="B709" s="715"/>
      <c r="F709" s="715"/>
      <c r="J709" s="718"/>
      <c r="K709" s="699"/>
      <c r="L709" s="718"/>
      <c r="M709" s="718"/>
      <c r="N709" s="699"/>
      <c r="O709" s="718"/>
    </row>
    <row r="710" spans="2:15">
      <c r="B710" s="715"/>
      <c r="F710" s="715"/>
      <c r="J710" s="718"/>
      <c r="K710" s="699"/>
      <c r="L710" s="718"/>
      <c r="M710" s="718"/>
      <c r="N710" s="699"/>
      <c r="O710" s="718"/>
    </row>
    <row r="711" spans="2:15">
      <c r="B711" s="715"/>
      <c r="F711" s="715"/>
      <c r="J711" s="718"/>
      <c r="K711" s="699"/>
      <c r="L711" s="718"/>
      <c r="M711" s="718"/>
      <c r="N711" s="699"/>
      <c r="O711" s="718"/>
    </row>
    <row r="712" spans="2:15">
      <c r="B712" s="715"/>
      <c r="F712" s="715"/>
      <c r="J712" s="718"/>
      <c r="K712" s="699"/>
      <c r="L712" s="718"/>
      <c r="M712" s="718"/>
      <c r="N712" s="699"/>
      <c r="O712" s="718"/>
    </row>
    <row r="713" spans="2:15">
      <c r="B713" s="715"/>
      <c r="F713" s="715"/>
      <c r="J713" s="718"/>
      <c r="K713" s="699"/>
      <c r="L713" s="718"/>
      <c r="M713" s="718"/>
      <c r="N713" s="699"/>
      <c r="O713" s="718"/>
    </row>
    <row r="714" spans="2:15">
      <c r="B714" s="715"/>
      <c r="F714" s="715"/>
      <c r="J714" s="718"/>
      <c r="K714" s="699"/>
      <c r="L714" s="718"/>
      <c r="M714" s="718"/>
      <c r="N714" s="699"/>
      <c r="O714" s="718"/>
    </row>
    <row r="715" spans="2:15">
      <c r="B715" s="715"/>
      <c r="F715" s="715"/>
      <c r="J715" s="718"/>
      <c r="K715" s="699"/>
      <c r="L715" s="718"/>
      <c r="M715" s="718"/>
      <c r="N715" s="699"/>
      <c r="O715" s="718"/>
    </row>
    <row r="716" spans="2:15">
      <c r="B716" s="715"/>
      <c r="F716" s="715"/>
      <c r="J716" s="718"/>
      <c r="K716" s="699"/>
      <c r="L716" s="718"/>
      <c r="M716" s="718"/>
      <c r="N716" s="699"/>
      <c r="O716" s="718"/>
    </row>
    <row r="717" spans="2:15">
      <c r="B717" s="715"/>
      <c r="F717" s="715"/>
      <c r="J717" s="718"/>
      <c r="K717" s="699"/>
      <c r="L717" s="718"/>
      <c r="M717" s="718"/>
      <c r="N717" s="699"/>
      <c r="O717" s="718"/>
    </row>
    <row r="718" spans="2:15">
      <c r="B718" s="715"/>
      <c r="F718" s="715"/>
      <c r="J718" s="718"/>
      <c r="K718" s="699"/>
      <c r="L718" s="718"/>
      <c r="M718" s="718"/>
      <c r="N718" s="699"/>
      <c r="O718" s="718"/>
    </row>
    <row r="719" spans="2:15">
      <c r="B719" s="715"/>
      <c r="F719" s="715"/>
      <c r="J719" s="718"/>
      <c r="K719" s="699"/>
      <c r="L719" s="718"/>
      <c r="M719" s="718"/>
      <c r="N719" s="699"/>
      <c r="O719" s="718"/>
    </row>
    <row r="720" spans="2:15">
      <c r="B720" s="715"/>
      <c r="F720" s="715"/>
      <c r="J720" s="718"/>
      <c r="K720" s="699"/>
      <c r="L720" s="718"/>
      <c r="M720" s="718"/>
      <c r="N720" s="699"/>
      <c r="O720" s="718"/>
    </row>
    <row r="721" spans="2:15">
      <c r="B721" s="715"/>
      <c r="F721" s="715"/>
      <c r="J721" s="718"/>
      <c r="K721" s="699"/>
      <c r="L721" s="718"/>
      <c r="M721" s="718"/>
      <c r="N721" s="699"/>
      <c r="O721" s="718"/>
    </row>
    <row r="722" spans="2:15">
      <c r="B722" s="715"/>
      <c r="F722" s="715"/>
      <c r="J722" s="718"/>
      <c r="K722" s="699"/>
      <c r="L722" s="718"/>
      <c r="M722" s="718"/>
      <c r="N722" s="699"/>
      <c r="O722" s="718"/>
    </row>
    <row r="723" spans="2:15">
      <c r="B723" s="715"/>
      <c r="F723" s="715"/>
      <c r="J723" s="718"/>
      <c r="K723" s="699"/>
      <c r="L723" s="718"/>
      <c r="M723" s="718"/>
      <c r="N723" s="699"/>
      <c r="O723" s="718"/>
    </row>
    <row r="724" spans="2:15">
      <c r="B724" s="715"/>
      <c r="F724" s="715"/>
      <c r="J724" s="718"/>
      <c r="K724" s="699"/>
      <c r="L724" s="718"/>
      <c r="M724" s="718"/>
      <c r="N724" s="699"/>
      <c r="O724" s="718"/>
    </row>
    <row r="725" spans="2:15">
      <c r="B725" s="715"/>
      <c r="F725" s="715"/>
      <c r="J725" s="718"/>
      <c r="K725" s="699"/>
      <c r="L725" s="718"/>
      <c r="M725" s="718"/>
      <c r="N725" s="699"/>
      <c r="O725" s="718"/>
    </row>
    <row r="726" spans="2:15">
      <c r="B726" s="715"/>
      <c r="F726" s="715"/>
      <c r="J726" s="718"/>
      <c r="K726" s="699"/>
      <c r="L726" s="718"/>
      <c r="M726" s="718"/>
      <c r="N726" s="699"/>
      <c r="O726" s="718"/>
    </row>
    <row r="727" spans="2:15">
      <c r="B727" s="715"/>
      <c r="F727" s="715"/>
      <c r="J727" s="718"/>
      <c r="K727" s="699"/>
      <c r="L727" s="718"/>
      <c r="M727" s="718"/>
      <c r="N727" s="699"/>
      <c r="O727" s="718"/>
    </row>
    <row r="728" spans="2:15">
      <c r="B728" s="715"/>
      <c r="F728" s="715"/>
      <c r="J728" s="718"/>
      <c r="K728" s="699"/>
      <c r="L728" s="718"/>
      <c r="M728" s="718"/>
      <c r="N728" s="699"/>
      <c r="O728" s="718"/>
    </row>
    <row r="729" spans="2:15">
      <c r="B729" s="715"/>
      <c r="F729" s="715"/>
      <c r="J729" s="718"/>
      <c r="K729" s="699"/>
      <c r="L729" s="718"/>
      <c r="M729" s="718"/>
      <c r="N729" s="699"/>
      <c r="O729" s="718"/>
    </row>
    <row r="730" spans="2:15">
      <c r="B730" s="715"/>
      <c r="F730" s="715"/>
      <c r="J730" s="718"/>
      <c r="K730" s="699"/>
      <c r="L730" s="718"/>
      <c r="M730" s="718"/>
      <c r="N730" s="699"/>
      <c r="O730" s="718"/>
    </row>
    <row r="731" spans="2:15">
      <c r="B731" s="715"/>
      <c r="F731" s="715"/>
      <c r="J731" s="718"/>
      <c r="K731" s="699"/>
      <c r="L731" s="718"/>
      <c r="M731" s="718"/>
      <c r="N731" s="699"/>
      <c r="O731" s="718"/>
    </row>
    <row r="732" spans="2:15">
      <c r="B732" s="715"/>
      <c r="F732" s="715"/>
      <c r="J732" s="718"/>
      <c r="K732" s="699"/>
      <c r="L732" s="718"/>
      <c r="M732" s="718"/>
      <c r="N732" s="699"/>
      <c r="O732" s="718"/>
    </row>
    <row r="733" spans="2:15">
      <c r="B733" s="715"/>
      <c r="F733" s="715"/>
      <c r="J733" s="718"/>
      <c r="K733" s="699"/>
      <c r="L733" s="718"/>
      <c r="M733" s="718"/>
      <c r="N733" s="699"/>
      <c r="O733" s="718"/>
    </row>
    <row r="734" spans="2:15">
      <c r="B734" s="715"/>
      <c r="F734" s="715"/>
      <c r="J734" s="718"/>
      <c r="K734" s="699"/>
      <c r="L734" s="718"/>
      <c r="M734" s="718"/>
      <c r="N734" s="699"/>
      <c r="O734" s="718"/>
    </row>
    <row r="735" spans="2:15">
      <c r="B735" s="715"/>
      <c r="F735" s="715"/>
      <c r="J735" s="718"/>
      <c r="K735" s="699"/>
      <c r="L735" s="718"/>
      <c r="M735" s="718"/>
      <c r="N735" s="699"/>
      <c r="O735" s="718"/>
    </row>
    <row r="736" spans="2:15">
      <c r="B736" s="715"/>
      <c r="F736" s="715"/>
      <c r="J736" s="718"/>
      <c r="K736" s="699"/>
      <c r="L736" s="718"/>
      <c r="M736" s="718"/>
      <c r="N736" s="699"/>
      <c r="O736" s="718"/>
    </row>
    <row r="737" spans="2:15">
      <c r="B737" s="715"/>
      <c r="F737" s="715"/>
      <c r="J737" s="718"/>
      <c r="K737" s="699"/>
      <c r="L737" s="718"/>
      <c r="M737" s="718"/>
      <c r="N737" s="699"/>
      <c r="O737" s="718"/>
    </row>
    <row r="738" spans="2:15">
      <c r="B738" s="715"/>
      <c r="F738" s="715"/>
      <c r="J738" s="718"/>
      <c r="K738" s="699"/>
      <c r="L738" s="718"/>
      <c r="M738" s="718"/>
      <c r="N738" s="699"/>
      <c r="O738" s="718"/>
    </row>
    <row r="739" spans="2:15">
      <c r="B739" s="715"/>
      <c r="F739" s="715"/>
      <c r="J739" s="718"/>
      <c r="K739" s="699"/>
      <c r="L739" s="718"/>
      <c r="M739" s="718"/>
      <c r="N739" s="699"/>
      <c r="O739" s="718"/>
    </row>
    <row r="740" spans="2:15">
      <c r="B740" s="715"/>
      <c r="F740" s="715"/>
      <c r="J740" s="718"/>
      <c r="K740" s="699"/>
      <c r="L740" s="718"/>
      <c r="M740" s="718"/>
      <c r="N740" s="699"/>
      <c r="O740" s="718"/>
    </row>
    <row r="741" spans="2:15">
      <c r="B741" s="715"/>
      <c r="F741" s="715"/>
      <c r="J741" s="718"/>
      <c r="K741" s="699"/>
      <c r="L741" s="718"/>
      <c r="M741" s="718"/>
      <c r="N741" s="699"/>
      <c r="O741" s="718"/>
    </row>
    <row r="742" spans="2:15">
      <c r="B742" s="715"/>
      <c r="F742" s="715"/>
      <c r="J742" s="718"/>
      <c r="K742" s="699"/>
      <c r="L742" s="718"/>
      <c r="M742" s="718"/>
      <c r="N742" s="699"/>
      <c r="O742" s="718"/>
    </row>
    <row r="743" spans="2:15">
      <c r="B743" s="715"/>
      <c r="F743" s="715"/>
      <c r="J743" s="718"/>
      <c r="K743" s="699"/>
      <c r="L743" s="718"/>
      <c r="M743" s="718"/>
      <c r="N743" s="699"/>
      <c r="O743" s="718"/>
    </row>
    <row r="744" spans="2:15">
      <c r="B744" s="715"/>
      <c r="F744" s="715"/>
      <c r="J744" s="718"/>
      <c r="K744" s="699"/>
      <c r="L744" s="718"/>
      <c r="M744" s="718"/>
      <c r="N744" s="699"/>
      <c r="O744" s="718"/>
    </row>
    <row r="745" spans="2:15">
      <c r="B745" s="715"/>
      <c r="F745" s="715"/>
      <c r="J745" s="718"/>
      <c r="K745" s="699"/>
      <c r="L745" s="718"/>
      <c r="M745" s="718"/>
      <c r="N745" s="699"/>
      <c r="O745" s="718"/>
    </row>
    <row r="746" spans="2:15">
      <c r="B746" s="715"/>
      <c r="F746" s="715"/>
      <c r="J746" s="718"/>
      <c r="K746" s="699"/>
      <c r="L746" s="718"/>
      <c r="M746" s="718"/>
      <c r="N746" s="699"/>
      <c r="O746" s="718"/>
    </row>
    <row r="747" spans="2:15">
      <c r="B747" s="715"/>
      <c r="F747" s="715"/>
      <c r="J747" s="718"/>
      <c r="K747" s="699"/>
      <c r="L747" s="718"/>
      <c r="M747" s="718"/>
      <c r="N747" s="699"/>
      <c r="O747" s="718"/>
    </row>
    <row r="748" spans="2:15">
      <c r="B748" s="715"/>
      <c r="F748" s="715"/>
      <c r="J748" s="718"/>
      <c r="K748" s="699"/>
      <c r="L748" s="718"/>
      <c r="M748" s="718"/>
      <c r="N748" s="699"/>
      <c r="O748" s="718"/>
    </row>
    <row r="749" spans="2:15">
      <c r="B749" s="715"/>
      <c r="F749" s="715"/>
      <c r="J749" s="718"/>
      <c r="K749" s="699"/>
      <c r="L749" s="718"/>
      <c r="M749" s="718"/>
      <c r="N749" s="699"/>
      <c r="O749" s="718"/>
    </row>
    <row r="750" spans="2:15">
      <c r="B750" s="715"/>
      <c r="F750" s="715"/>
      <c r="J750" s="718"/>
      <c r="K750" s="699"/>
      <c r="L750" s="718"/>
      <c r="M750" s="718"/>
      <c r="N750" s="699"/>
      <c r="O750" s="718"/>
    </row>
    <row r="751" spans="2:15">
      <c r="B751" s="715"/>
      <c r="F751" s="715"/>
      <c r="J751" s="718"/>
      <c r="K751" s="699"/>
      <c r="L751" s="718"/>
      <c r="M751" s="718"/>
      <c r="N751" s="699"/>
      <c r="O751" s="718"/>
    </row>
    <row r="752" spans="2:15">
      <c r="B752" s="715"/>
      <c r="F752" s="715"/>
      <c r="J752" s="718"/>
      <c r="K752" s="699"/>
      <c r="L752" s="718"/>
      <c r="M752" s="718"/>
      <c r="N752" s="699"/>
      <c r="O752" s="718"/>
    </row>
    <row r="753" spans="2:15">
      <c r="B753" s="715"/>
      <c r="F753" s="715"/>
      <c r="J753" s="718"/>
      <c r="K753" s="699"/>
      <c r="L753" s="718"/>
      <c r="M753" s="718"/>
      <c r="N753" s="699"/>
      <c r="O753" s="718"/>
    </row>
    <row r="754" spans="2:15">
      <c r="B754" s="715"/>
      <c r="F754" s="715"/>
      <c r="J754" s="718"/>
      <c r="K754" s="699"/>
      <c r="L754" s="718"/>
      <c r="M754" s="718"/>
      <c r="N754" s="699"/>
      <c r="O754" s="718"/>
    </row>
    <row r="755" spans="2:15">
      <c r="B755" s="715"/>
      <c r="F755" s="715"/>
      <c r="J755" s="718"/>
      <c r="K755" s="699"/>
      <c r="L755" s="718"/>
      <c r="M755" s="718"/>
      <c r="N755" s="699"/>
      <c r="O755" s="718"/>
    </row>
    <row r="756" spans="2:15">
      <c r="B756" s="715"/>
      <c r="F756" s="715"/>
      <c r="J756" s="718"/>
      <c r="K756" s="699"/>
      <c r="L756" s="718"/>
      <c r="M756" s="718"/>
      <c r="N756" s="699"/>
      <c r="O756" s="718"/>
    </row>
    <row r="757" spans="2:15">
      <c r="B757" s="715"/>
      <c r="F757" s="715"/>
      <c r="J757" s="718"/>
      <c r="K757" s="699"/>
      <c r="L757" s="718"/>
      <c r="M757" s="718"/>
      <c r="N757" s="699"/>
      <c r="O757" s="718"/>
    </row>
    <row r="758" spans="2:15">
      <c r="B758" s="715"/>
      <c r="F758" s="715"/>
      <c r="J758" s="718"/>
      <c r="K758" s="699"/>
      <c r="L758" s="718"/>
      <c r="M758" s="718"/>
      <c r="N758" s="699"/>
      <c r="O758" s="718"/>
    </row>
    <row r="759" spans="2:15">
      <c r="B759" s="715"/>
      <c r="F759" s="715"/>
      <c r="J759" s="718"/>
      <c r="K759" s="699"/>
      <c r="L759" s="718"/>
      <c r="M759" s="718"/>
      <c r="N759" s="699"/>
      <c r="O759" s="718"/>
    </row>
    <row r="760" spans="2:15">
      <c r="B760" s="715"/>
      <c r="F760" s="715"/>
      <c r="J760" s="718"/>
      <c r="K760" s="699"/>
      <c r="L760" s="718"/>
      <c r="M760" s="718"/>
      <c r="N760" s="699"/>
      <c r="O760" s="718"/>
    </row>
    <row r="761" spans="2:15">
      <c r="B761" s="715"/>
      <c r="F761" s="715"/>
      <c r="J761" s="718"/>
      <c r="K761" s="699"/>
      <c r="L761" s="718"/>
      <c r="M761" s="718"/>
      <c r="N761" s="699"/>
      <c r="O761" s="718"/>
    </row>
    <row r="762" spans="2:15">
      <c r="B762" s="715"/>
      <c r="F762" s="715"/>
      <c r="J762" s="718"/>
      <c r="K762" s="699"/>
      <c r="L762" s="718"/>
      <c r="M762" s="718"/>
      <c r="N762" s="699"/>
      <c r="O762" s="718"/>
    </row>
    <row r="763" spans="2:15">
      <c r="B763" s="715"/>
      <c r="F763" s="715"/>
      <c r="J763" s="718"/>
      <c r="K763" s="699"/>
      <c r="L763" s="718"/>
      <c r="M763" s="718"/>
      <c r="N763" s="699"/>
      <c r="O763" s="718"/>
    </row>
    <row r="764" spans="2:15">
      <c r="B764" s="715"/>
      <c r="F764" s="715"/>
      <c r="J764" s="718"/>
      <c r="K764" s="699"/>
      <c r="L764" s="718"/>
      <c r="M764" s="718"/>
      <c r="N764" s="699"/>
      <c r="O764" s="718"/>
    </row>
    <row r="765" spans="2:15">
      <c r="B765" s="715"/>
      <c r="F765" s="715"/>
      <c r="J765" s="718"/>
      <c r="K765" s="699"/>
      <c r="L765" s="718"/>
      <c r="M765" s="718"/>
      <c r="N765" s="699"/>
      <c r="O765" s="718"/>
    </row>
    <row r="766" spans="2:15">
      <c r="B766" s="715"/>
      <c r="F766" s="715"/>
      <c r="J766" s="718"/>
      <c r="K766" s="699"/>
      <c r="L766" s="718"/>
      <c r="M766" s="718"/>
      <c r="N766" s="699"/>
      <c r="O766" s="718"/>
    </row>
    <row r="767" spans="2:15">
      <c r="B767" s="715"/>
      <c r="F767" s="715"/>
      <c r="J767" s="718"/>
      <c r="K767" s="699"/>
      <c r="L767" s="718"/>
      <c r="M767" s="718"/>
      <c r="N767" s="699"/>
      <c r="O767" s="718"/>
    </row>
    <row r="768" spans="2:15">
      <c r="B768" s="715"/>
      <c r="F768" s="715"/>
      <c r="J768" s="718"/>
      <c r="K768" s="699"/>
      <c r="L768" s="718"/>
      <c r="M768" s="718"/>
      <c r="N768" s="699"/>
      <c r="O768" s="718"/>
    </row>
    <row r="769" spans="2:15">
      <c r="B769" s="715"/>
      <c r="F769" s="715"/>
      <c r="J769" s="718"/>
      <c r="K769" s="699"/>
      <c r="L769" s="718"/>
      <c r="M769" s="718"/>
      <c r="N769" s="699"/>
      <c r="O769" s="718"/>
    </row>
    <row r="770" spans="2:15">
      <c r="B770" s="715"/>
      <c r="F770" s="715"/>
      <c r="J770" s="718"/>
      <c r="K770" s="699"/>
      <c r="L770" s="718"/>
      <c r="M770" s="718"/>
      <c r="N770" s="699"/>
      <c r="O770" s="718"/>
    </row>
    <row r="771" spans="2:15">
      <c r="B771" s="715"/>
      <c r="F771" s="715"/>
      <c r="J771" s="718"/>
      <c r="K771" s="699"/>
      <c r="L771" s="718"/>
      <c r="M771" s="718"/>
      <c r="N771" s="699"/>
      <c r="O771" s="718"/>
    </row>
    <row r="772" spans="2:15">
      <c r="B772" s="715"/>
      <c r="F772" s="715"/>
      <c r="J772" s="718"/>
      <c r="K772" s="699"/>
      <c r="L772" s="718"/>
      <c r="M772" s="718"/>
      <c r="N772" s="699"/>
      <c r="O772" s="718"/>
    </row>
    <row r="773" spans="2:15">
      <c r="B773" s="715"/>
      <c r="F773" s="715"/>
      <c r="J773" s="718"/>
      <c r="K773" s="699"/>
      <c r="L773" s="718"/>
      <c r="M773" s="718"/>
      <c r="N773" s="699"/>
      <c r="O773" s="718"/>
    </row>
    <row r="774" spans="2:15">
      <c r="B774" s="715"/>
      <c r="F774" s="715"/>
      <c r="J774" s="718"/>
      <c r="K774" s="699"/>
      <c r="L774" s="718"/>
      <c r="M774" s="718"/>
      <c r="N774" s="699"/>
      <c r="O774" s="718"/>
    </row>
    <row r="775" spans="2:15">
      <c r="B775" s="715"/>
      <c r="F775" s="715"/>
      <c r="J775" s="718"/>
      <c r="K775" s="699"/>
      <c r="L775" s="718"/>
      <c r="M775" s="718"/>
      <c r="N775" s="699"/>
      <c r="O775" s="718"/>
    </row>
    <row r="776" spans="2:15">
      <c r="B776" s="715"/>
      <c r="F776" s="715"/>
      <c r="J776" s="718"/>
      <c r="K776" s="699"/>
      <c r="L776" s="718"/>
      <c r="M776" s="718"/>
      <c r="N776" s="699"/>
      <c r="O776" s="718"/>
    </row>
    <row r="777" spans="2:15">
      <c r="B777" s="715"/>
      <c r="F777" s="715"/>
      <c r="J777" s="718"/>
      <c r="K777" s="699"/>
      <c r="L777" s="718"/>
      <c r="M777" s="718"/>
      <c r="N777" s="699"/>
      <c r="O777" s="718"/>
    </row>
    <row r="778" spans="2:15">
      <c r="B778" s="715"/>
      <c r="F778" s="715"/>
      <c r="J778" s="718"/>
      <c r="K778" s="699"/>
      <c r="L778" s="718"/>
      <c r="M778" s="718"/>
      <c r="N778" s="699"/>
      <c r="O778" s="718"/>
    </row>
    <row r="779" spans="2:15">
      <c r="B779" s="715"/>
      <c r="F779" s="715"/>
      <c r="J779" s="718"/>
      <c r="K779" s="699"/>
      <c r="L779" s="718"/>
      <c r="M779" s="718"/>
      <c r="N779" s="699"/>
      <c r="O779" s="718"/>
    </row>
    <row r="780" spans="2:15">
      <c r="B780" s="715"/>
      <c r="F780" s="715"/>
      <c r="J780" s="718"/>
      <c r="K780" s="699"/>
      <c r="L780" s="718"/>
      <c r="M780" s="718"/>
      <c r="N780" s="699"/>
      <c r="O780" s="718"/>
    </row>
    <row r="781" spans="2:15">
      <c r="B781" s="715"/>
      <c r="F781" s="715"/>
      <c r="J781" s="718"/>
      <c r="K781" s="699"/>
      <c r="L781" s="718"/>
      <c r="M781" s="718"/>
      <c r="N781" s="699"/>
      <c r="O781" s="718"/>
    </row>
    <row r="782" spans="2:15">
      <c r="B782" s="715"/>
      <c r="F782" s="715"/>
      <c r="J782" s="718"/>
      <c r="K782" s="699"/>
      <c r="L782" s="718"/>
      <c r="M782" s="718"/>
      <c r="N782" s="699"/>
      <c r="O782" s="718"/>
    </row>
    <row r="783" spans="2:15">
      <c r="B783" s="715"/>
      <c r="F783" s="715"/>
      <c r="J783" s="718"/>
      <c r="K783" s="699"/>
      <c r="L783" s="718"/>
      <c r="M783" s="718"/>
      <c r="N783" s="699"/>
      <c r="O783" s="718"/>
    </row>
    <row r="784" spans="2:15">
      <c r="B784" s="715"/>
      <c r="F784" s="715"/>
      <c r="J784" s="718"/>
      <c r="K784" s="699"/>
      <c r="L784" s="718"/>
      <c r="M784" s="718"/>
      <c r="N784" s="699"/>
      <c r="O784" s="718"/>
    </row>
    <row r="785" spans="2:15">
      <c r="B785" s="715"/>
      <c r="F785" s="715"/>
      <c r="J785" s="718"/>
      <c r="K785" s="699"/>
      <c r="L785" s="718"/>
      <c r="M785" s="718"/>
      <c r="N785" s="699"/>
      <c r="O785" s="718"/>
    </row>
    <row r="786" spans="2:15">
      <c r="B786" s="715"/>
      <c r="F786" s="715"/>
      <c r="J786" s="718"/>
      <c r="K786" s="699"/>
      <c r="L786" s="718"/>
      <c r="M786" s="718"/>
      <c r="N786" s="699"/>
      <c r="O786" s="718"/>
    </row>
    <row r="787" spans="2:15">
      <c r="B787" s="715"/>
      <c r="F787" s="715"/>
      <c r="J787" s="718"/>
      <c r="K787" s="699"/>
      <c r="L787" s="718"/>
      <c r="M787" s="718"/>
      <c r="N787" s="699"/>
      <c r="O787" s="718"/>
    </row>
    <row r="788" spans="2:15">
      <c r="B788" s="715"/>
      <c r="F788" s="715"/>
      <c r="J788" s="718"/>
      <c r="K788" s="699"/>
      <c r="L788" s="718"/>
      <c r="M788" s="718"/>
      <c r="N788" s="699"/>
      <c r="O788" s="718"/>
    </row>
    <row r="789" spans="2:15">
      <c r="B789" s="715"/>
      <c r="F789" s="715"/>
      <c r="J789" s="718"/>
      <c r="K789" s="699"/>
      <c r="L789" s="718"/>
      <c r="M789" s="718"/>
      <c r="N789" s="699"/>
      <c r="O789" s="718"/>
    </row>
    <row r="790" spans="2:15">
      <c r="B790" s="715"/>
      <c r="F790" s="715"/>
      <c r="J790" s="718"/>
      <c r="K790" s="699"/>
      <c r="L790" s="718"/>
      <c r="M790" s="718"/>
      <c r="N790" s="699"/>
      <c r="O790" s="718"/>
    </row>
    <row r="791" spans="2:15">
      <c r="B791" s="715"/>
      <c r="F791" s="715"/>
      <c r="J791" s="718"/>
      <c r="K791" s="699"/>
      <c r="L791" s="718"/>
      <c r="M791" s="718"/>
      <c r="N791" s="699"/>
      <c r="O791" s="718"/>
    </row>
    <row r="792" spans="2:15">
      <c r="B792" s="715"/>
      <c r="F792" s="715"/>
      <c r="J792" s="718"/>
      <c r="K792" s="699"/>
      <c r="L792" s="718"/>
      <c r="M792" s="718"/>
      <c r="N792" s="699"/>
      <c r="O792" s="718"/>
    </row>
    <row r="793" spans="2:15">
      <c r="B793" s="715"/>
      <c r="F793" s="715"/>
      <c r="J793" s="718"/>
      <c r="K793" s="699"/>
      <c r="L793" s="718"/>
      <c r="M793" s="718"/>
      <c r="N793" s="699"/>
      <c r="O793" s="718"/>
    </row>
    <row r="794" spans="2:15">
      <c r="B794" s="715"/>
      <c r="F794" s="715"/>
      <c r="J794" s="718"/>
      <c r="K794" s="699"/>
      <c r="L794" s="718"/>
      <c r="M794" s="718"/>
      <c r="N794" s="699"/>
      <c r="O794" s="718"/>
    </row>
    <row r="795" spans="2:15">
      <c r="B795" s="715"/>
      <c r="F795" s="715"/>
      <c r="J795" s="718"/>
      <c r="K795" s="699"/>
      <c r="L795" s="718"/>
      <c r="M795" s="718"/>
      <c r="N795" s="699"/>
      <c r="O795" s="718"/>
    </row>
    <row r="796" spans="2:15">
      <c r="B796" s="715"/>
      <c r="F796" s="715"/>
      <c r="J796" s="718"/>
      <c r="K796" s="699"/>
      <c r="L796" s="718"/>
      <c r="M796" s="718"/>
      <c r="N796" s="699"/>
      <c r="O796" s="718"/>
    </row>
    <row r="797" spans="2:15">
      <c r="B797" s="715"/>
      <c r="F797" s="715"/>
      <c r="J797" s="718"/>
      <c r="K797" s="699"/>
      <c r="L797" s="718"/>
      <c r="M797" s="718"/>
      <c r="N797" s="699"/>
      <c r="O797" s="718"/>
    </row>
    <row r="798" spans="2:15">
      <c r="B798" s="715"/>
      <c r="F798" s="715"/>
      <c r="J798" s="718"/>
      <c r="K798" s="699"/>
      <c r="L798" s="718"/>
      <c r="M798" s="718"/>
      <c r="N798" s="699"/>
      <c r="O798" s="718"/>
    </row>
    <row r="799" spans="2:15">
      <c r="B799" s="715"/>
      <c r="F799" s="715"/>
      <c r="J799" s="718"/>
      <c r="K799" s="699"/>
      <c r="L799" s="718"/>
      <c r="M799" s="718"/>
      <c r="N799" s="699"/>
      <c r="O799" s="718"/>
    </row>
    <row r="800" spans="2:15">
      <c r="B800" s="715"/>
      <c r="F800" s="715"/>
      <c r="J800" s="718"/>
      <c r="K800" s="699"/>
      <c r="L800" s="718"/>
      <c r="M800" s="718"/>
      <c r="N800" s="699"/>
      <c r="O800" s="718"/>
    </row>
    <row r="801" spans="2:15">
      <c r="B801" s="715"/>
      <c r="F801" s="715"/>
      <c r="J801" s="718"/>
      <c r="K801" s="699"/>
      <c r="L801" s="718"/>
      <c r="M801" s="718"/>
      <c r="N801" s="699"/>
      <c r="O801" s="718"/>
    </row>
    <row r="802" spans="2:15">
      <c r="B802" s="715"/>
      <c r="F802" s="715"/>
      <c r="J802" s="718"/>
      <c r="K802" s="699"/>
      <c r="L802" s="718"/>
      <c r="M802" s="718"/>
      <c r="N802" s="699"/>
      <c r="O802" s="718"/>
    </row>
    <row r="803" spans="2:15">
      <c r="B803" s="715"/>
      <c r="F803" s="715"/>
      <c r="J803" s="718"/>
      <c r="K803" s="699"/>
      <c r="L803" s="718"/>
      <c r="M803" s="718"/>
      <c r="N803" s="699"/>
      <c r="O803" s="718"/>
    </row>
    <row r="804" spans="2:15">
      <c r="B804" s="715"/>
      <c r="F804" s="715"/>
      <c r="J804" s="718"/>
      <c r="K804" s="699"/>
      <c r="L804" s="718"/>
      <c r="M804" s="718"/>
      <c r="N804" s="699"/>
      <c r="O804" s="718"/>
    </row>
    <row r="805" spans="2:15">
      <c r="B805" s="715"/>
      <c r="F805" s="715"/>
      <c r="J805" s="718"/>
      <c r="K805" s="699"/>
      <c r="L805" s="718"/>
      <c r="M805" s="718"/>
      <c r="N805" s="699"/>
      <c r="O805" s="718"/>
    </row>
    <row r="806" spans="2:15">
      <c r="B806" s="715"/>
      <c r="F806" s="715"/>
      <c r="J806" s="718"/>
      <c r="K806" s="699"/>
      <c r="L806" s="718"/>
      <c r="M806" s="718"/>
      <c r="N806" s="699"/>
      <c r="O806" s="718"/>
    </row>
    <row r="807" spans="2:15">
      <c r="B807" s="715"/>
      <c r="F807" s="715"/>
      <c r="J807" s="718"/>
      <c r="K807" s="699"/>
      <c r="L807" s="718"/>
      <c r="M807" s="718"/>
      <c r="N807" s="699"/>
      <c r="O807" s="718"/>
    </row>
    <row r="808" spans="2:15">
      <c r="B808" s="715"/>
      <c r="F808" s="715"/>
      <c r="J808" s="718"/>
      <c r="K808" s="699"/>
      <c r="L808" s="718"/>
      <c r="M808" s="718"/>
      <c r="N808" s="699"/>
      <c r="O808" s="718"/>
    </row>
    <row r="809" spans="2:15">
      <c r="B809" s="715"/>
      <c r="F809" s="715"/>
      <c r="J809" s="718"/>
      <c r="K809" s="699"/>
      <c r="L809" s="718"/>
      <c r="M809" s="718"/>
      <c r="N809" s="699"/>
      <c r="O809" s="718"/>
    </row>
    <row r="810" spans="2:15">
      <c r="B810" s="715"/>
      <c r="F810" s="715"/>
      <c r="J810" s="718"/>
      <c r="K810" s="699"/>
      <c r="L810" s="718"/>
      <c r="M810" s="718"/>
      <c r="N810" s="699"/>
      <c r="O810" s="718"/>
    </row>
    <row r="811" spans="2:15">
      <c r="B811" s="715"/>
      <c r="F811" s="715"/>
      <c r="J811" s="718"/>
      <c r="K811" s="699"/>
      <c r="L811" s="718"/>
      <c r="M811" s="718"/>
      <c r="N811" s="699"/>
      <c r="O811" s="718"/>
    </row>
    <row r="812" spans="2:15">
      <c r="B812" s="715"/>
      <c r="F812" s="715"/>
      <c r="J812" s="718"/>
      <c r="K812" s="699"/>
      <c r="L812" s="718"/>
      <c r="M812" s="718"/>
      <c r="N812" s="699"/>
      <c r="O812" s="718"/>
    </row>
    <row r="813" spans="2:15">
      <c r="B813" s="715"/>
      <c r="F813" s="715"/>
      <c r="J813" s="718"/>
      <c r="K813" s="699"/>
      <c r="L813" s="718"/>
      <c r="M813" s="718"/>
      <c r="N813" s="699"/>
      <c r="O813" s="718"/>
    </row>
    <row r="814" spans="2:15">
      <c r="B814" s="715"/>
      <c r="F814" s="715"/>
      <c r="J814" s="718"/>
      <c r="K814" s="699"/>
      <c r="L814" s="718"/>
      <c r="M814" s="718"/>
      <c r="N814" s="699"/>
      <c r="O814" s="718"/>
    </row>
    <row r="815" spans="2:15">
      <c r="B815" s="715"/>
      <c r="F815" s="715"/>
      <c r="J815" s="718"/>
      <c r="K815" s="699"/>
      <c r="L815" s="718"/>
      <c r="M815" s="718"/>
      <c r="N815" s="699"/>
      <c r="O815" s="718"/>
    </row>
    <row r="816" spans="2:15">
      <c r="B816" s="715"/>
      <c r="F816" s="715"/>
      <c r="J816" s="718"/>
      <c r="K816" s="699"/>
      <c r="L816" s="718"/>
      <c r="M816" s="718"/>
      <c r="N816" s="699"/>
      <c r="O816" s="718"/>
    </row>
    <row r="817" spans="2:15">
      <c r="B817" s="715"/>
      <c r="F817" s="715"/>
      <c r="J817" s="718"/>
      <c r="K817" s="699"/>
      <c r="L817" s="718"/>
      <c r="M817" s="718"/>
      <c r="N817" s="699"/>
      <c r="O817" s="718"/>
    </row>
    <row r="818" spans="2:15">
      <c r="B818" s="715"/>
      <c r="F818" s="715"/>
      <c r="J818" s="718"/>
      <c r="K818" s="699"/>
      <c r="L818" s="718"/>
      <c r="M818" s="718"/>
      <c r="N818" s="699"/>
      <c r="O818" s="718"/>
    </row>
    <row r="819" spans="2:15">
      <c r="B819" s="715"/>
      <c r="F819" s="715"/>
      <c r="J819" s="718"/>
      <c r="K819" s="699"/>
      <c r="L819" s="718"/>
      <c r="M819" s="718"/>
      <c r="N819" s="699"/>
      <c r="O819" s="718"/>
    </row>
    <row r="820" spans="2:15">
      <c r="B820" s="715"/>
      <c r="F820" s="715"/>
      <c r="J820" s="718"/>
      <c r="K820" s="699"/>
      <c r="L820" s="718"/>
      <c r="M820" s="718"/>
      <c r="N820" s="699"/>
      <c r="O820" s="718"/>
    </row>
    <row r="821" spans="2:15">
      <c r="B821" s="715"/>
      <c r="F821" s="715"/>
      <c r="J821" s="718"/>
      <c r="K821" s="699"/>
      <c r="L821" s="718"/>
      <c r="M821" s="718"/>
      <c r="N821" s="699"/>
      <c r="O821" s="718"/>
    </row>
    <row r="822" spans="2:15">
      <c r="B822" s="715"/>
      <c r="F822" s="715"/>
      <c r="J822" s="718"/>
      <c r="K822" s="699"/>
      <c r="L822" s="718"/>
      <c r="M822" s="718"/>
      <c r="N822" s="699"/>
      <c r="O822" s="718"/>
    </row>
    <row r="823" spans="2:15">
      <c r="B823" s="715"/>
      <c r="F823" s="715"/>
      <c r="J823" s="718"/>
      <c r="K823" s="699"/>
      <c r="L823" s="718"/>
      <c r="M823" s="718"/>
      <c r="N823" s="699"/>
      <c r="O823" s="718"/>
    </row>
    <row r="824" spans="2:15">
      <c r="B824" s="715"/>
      <c r="F824" s="715"/>
      <c r="J824" s="718"/>
      <c r="K824" s="699"/>
      <c r="L824" s="718"/>
      <c r="M824" s="718"/>
      <c r="N824" s="699"/>
      <c r="O824" s="718"/>
    </row>
    <row r="825" spans="2:15">
      <c r="B825" s="715"/>
      <c r="F825" s="715"/>
      <c r="J825" s="718"/>
      <c r="K825" s="699"/>
      <c r="L825" s="718"/>
      <c r="M825" s="718"/>
      <c r="N825" s="699"/>
      <c r="O825" s="718"/>
    </row>
    <row r="826" spans="2:15">
      <c r="B826" s="715"/>
      <c r="F826" s="715"/>
      <c r="J826" s="718"/>
      <c r="K826" s="699"/>
      <c r="L826" s="718"/>
      <c r="M826" s="718"/>
      <c r="N826" s="699"/>
      <c r="O826" s="718"/>
    </row>
    <row r="827" spans="2:15">
      <c r="B827" s="715"/>
      <c r="F827" s="715"/>
      <c r="J827" s="718"/>
      <c r="K827" s="699"/>
      <c r="L827" s="718"/>
      <c r="M827" s="718"/>
      <c r="N827" s="699"/>
      <c r="O827" s="718"/>
    </row>
    <row r="828" spans="2:15">
      <c r="B828" s="715"/>
      <c r="F828" s="715"/>
      <c r="J828" s="718"/>
      <c r="K828" s="699"/>
      <c r="L828" s="718"/>
      <c r="M828" s="718"/>
      <c r="N828" s="699"/>
      <c r="O828" s="718"/>
    </row>
    <row r="829" spans="2:15">
      <c r="B829" s="715"/>
      <c r="F829" s="715"/>
      <c r="J829" s="718"/>
      <c r="K829" s="699"/>
      <c r="L829" s="718"/>
      <c r="M829" s="718"/>
      <c r="N829" s="699"/>
      <c r="O829" s="718"/>
    </row>
    <row r="830" spans="2:15">
      <c r="B830" s="715"/>
      <c r="F830" s="715"/>
      <c r="J830" s="718"/>
      <c r="K830" s="699"/>
      <c r="L830" s="718"/>
      <c r="M830" s="718"/>
      <c r="N830" s="699"/>
      <c r="O830" s="718"/>
    </row>
    <row r="831" spans="2:15">
      <c r="B831" s="715"/>
      <c r="F831" s="715"/>
      <c r="J831" s="718"/>
      <c r="K831" s="699"/>
      <c r="L831" s="718"/>
      <c r="M831" s="718"/>
      <c r="N831" s="699"/>
      <c r="O831" s="718"/>
    </row>
    <row r="832" spans="2:15">
      <c r="B832" s="715"/>
      <c r="F832" s="715"/>
      <c r="J832" s="718"/>
      <c r="K832" s="699"/>
      <c r="L832" s="718"/>
      <c r="M832" s="718"/>
      <c r="N832" s="699"/>
      <c r="O832" s="718"/>
    </row>
    <row r="833" spans="2:15">
      <c r="B833" s="715"/>
      <c r="F833" s="715"/>
      <c r="J833" s="718"/>
      <c r="K833" s="699"/>
      <c r="L833" s="718"/>
      <c r="M833" s="718"/>
      <c r="N833" s="699"/>
      <c r="O833" s="718"/>
    </row>
    <row r="834" spans="2:15">
      <c r="B834" s="715"/>
      <c r="F834" s="715"/>
      <c r="J834" s="718"/>
      <c r="K834" s="699"/>
      <c r="L834" s="718"/>
      <c r="M834" s="718"/>
      <c r="N834" s="699"/>
      <c r="O834" s="718"/>
    </row>
    <row r="835" spans="2:15">
      <c r="B835" s="715"/>
      <c r="F835" s="715"/>
      <c r="J835" s="718"/>
      <c r="K835" s="699"/>
      <c r="L835" s="718"/>
      <c r="M835" s="718"/>
      <c r="N835" s="699"/>
      <c r="O835" s="718"/>
    </row>
    <row r="836" spans="2:15">
      <c r="B836" s="715"/>
      <c r="F836" s="715"/>
      <c r="J836" s="718"/>
      <c r="K836" s="699"/>
      <c r="L836" s="718"/>
      <c r="M836" s="718"/>
      <c r="N836" s="699"/>
      <c r="O836" s="718"/>
    </row>
    <row r="837" spans="2:15">
      <c r="B837" s="715"/>
      <c r="F837" s="715"/>
      <c r="J837" s="718"/>
      <c r="K837" s="699"/>
      <c r="L837" s="718"/>
      <c r="M837" s="718"/>
      <c r="N837" s="699"/>
      <c r="O837" s="718"/>
    </row>
    <row r="838" spans="2:15">
      <c r="B838" s="715"/>
      <c r="F838" s="715"/>
      <c r="J838" s="718"/>
      <c r="K838" s="699"/>
      <c r="L838" s="718"/>
      <c r="M838" s="718"/>
      <c r="N838" s="699"/>
      <c r="O838" s="718"/>
    </row>
    <row r="839" spans="2:15">
      <c r="B839" s="715"/>
      <c r="F839" s="715"/>
      <c r="J839" s="718"/>
      <c r="K839" s="699"/>
      <c r="L839" s="718"/>
      <c r="M839" s="718"/>
      <c r="N839" s="699"/>
      <c r="O839" s="718"/>
    </row>
    <row r="840" spans="2:15">
      <c r="B840" s="715"/>
      <c r="F840" s="715"/>
      <c r="J840" s="718"/>
      <c r="K840" s="699"/>
      <c r="L840" s="718"/>
      <c r="M840" s="718"/>
      <c r="N840" s="699"/>
      <c r="O840" s="718"/>
    </row>
    <row r="841" spans="2:15">
      <c r="B841" s="715"/>
      <c r="F841" s="715"/>
      <c r="J841" s="718"/>
      <c r="K841" s="699"/>
      <c r="L841" s="718"/>
      <c r="M841" s="718"/>
      <c r="N841" s="699"/>
      <c r="O841" s="718"/>
    </row>
    <row r="842" spans="2:15">
      <c r="B842" s="715"/>
      <c r="F842" s="715"/>
      <c r="J842" s="718"/>
      <c r="K842" s="699"/>
      <c r="L842" s="718"/>
      <c r="M842" s="718"/>
      <c r="N842" s="699"/>
      <c r="O842" s="718"/>
    </row>
    <row r="843" spans="2:15">
      <c r="B843" s="715"/>
      <c r="F843" s="715"/>
      <c r="J843" s="718"/>
      <c r="K843" s="699"/>
      <c r="L843" s="718"/>
      <c r="M843" s="718"/>
      <c r="N843" s="699"/>
      <c r="O843" s="718"/>
    </row>
    <row r="844" spans="2:15">
      <c r="B844" s="715"/>
      <c r="F844" s="715"/>
      <c r="J844" s="718"/>
      <c r="K844" s="699"/>
      <c r="L844" s="718"/>
      <c r="M844" s="718"/>
      <c r="N844" s="699"/>
      <c r="O844" s="718"/>
    </row>
    <row r="845" spans="2:15">
      <c r="B845" s="715"/>
      <c r="F845" s="715"/>
      <c r="J845" s="718"/>
      <c r="K845" s="699"/>
      <c r="L845" s="718"/>
      <c r="M845" s="718"/>
      <c r="N845" s="699"/>
      <c r="O845" s="718"/>
    </row>
    <row r="846" spans="2:15">
      <c r="B846" s="715"/>
      <c r="F846" s="715"/>
      <c r="J846" s="718"/>
      <c r="K846" s="699"/>
      <c r="L846" s="718"/>
      <c r="M846" s="718"/>
      <c r="N846" s="699"/>
      <c r="O846" s="718"/>
    </row>
    <row r="847" spans="2:15">
      <c r="B847" s="715"/>
      <c r="F847" s="715"/>
      <c r="J847" s="718"/>
      <c r="K847" s="699"/>
      <c r="L847" s="718"/>
      <c r="M847" s="718"/>
      <c r="N847" s="699"/>
      <c r="O847" s="718"/>
    </row>
    <row r="848" spans="2:15">
      <c r="B848" s="715"/>
      <c r="F848" s="715"/>
      <c r="J848" s="718"/>
      <c r="K848" s="699"/>
      <c r="L848" s="718"/>
      <c r="M848" s="718"/>
      <c r="N848" s="699"/>
      <c r="O848" s="718"/>
    </row>
    <row r="849" spans="2:15">
      <c r="B849" s="715"/>
      <c r="F849" s="715"/>
      <c r="J849" s="718"/>
      <c r="K849" s="699"/>
      <c r="L849" s="718"/>
      <c r="M849" s="718"/>
      <c r="N849" s="699"/>
      <c r="O849" s="718"/>
    </row>
    <row r="850" spans="2:15">
      <c r="B850" s="715"/>
      <c r="F850" s="715"/>
      <c r="J850" s="718"/>
      <c r="K850" s="699"/>
      <c r="L850" s="718"/>
      <c r="M850" s="718"/>
      <c r="N850" s="699"/>
      <c r="O850" s="718"/>
    </row>
    <row r="851" spans="2:15">
      <c r="B851" s="715"/>
      <c r="F851" s="715"/>
      <c r="J851" s="718"/>
      <c r="K851" s="699"/>
      <c r="L851" s="718"/>
      <c r="M851" s="718"/>
      <c r="N851" s="699"/>
      <c r="O851" s="718"/>
    </row>
    <row r="852" spans="2:15">
      <c r="B852" s="715"/>
      <c r="F852" s="715"/>
      <c r="J852" s="718"/>
      <c r="K852" s="699"/>
      <c r="L852" s="718"/>
      <c r="M852" s="718"/>
      <c r="N852" s="699"/>
      <c r="O852" s="718"/>
    </row>
    <row r="853" spans="2:15">
      <c r="B853" s="715"/>
      <c r="F853" s="715"/>
      <c r="J853" s="718"/>
      <c r="K853" s="699"/>
      <c r="L853" s="718"/>
      <c r="M853" s="718"/>
      <c r="N853" s="699"/>
      <c r="O853" s="718"/>
    </row>
    <row r="854" spans="2:15">
      <c r="B854" s="715"/>
      <c r="F854" s="715"/>
      <c r="J854" s="718"/>
      <c r="K854" s="699"/>
      <c r="L854" s="718"/>
      <c r="M854" s="718"/>
      <c r="N854" s="699"/>
      <c r="O854" s="718"/>
    </row>
    <row r="855" spans="2:15">
      <c r="B855" s="715"/>
      <c r="F855" s="715"/>
      <c r="J855" s="718"/>
      <c r="K855" s="699"/>
      <c r="L855" s="718"/>
      <c r="M855" s="718"/>
      <c r="N855" s="699"/>
      <c r="O855" s="718"/>
    </row>
    <row r="856" spans="2:15">
      <c r="B856" s="715"/>
      <c r="F856" s="715"/>
      <c r="J856" s="718"/>
      <c r="K856" s="699"/>
      <c r="L856" s="718"/>
      <c r="M856" s="718"/>
      <c r="N856" s="699"/>
      <c r="O856" s="718"/>
    </row>
    <row r="857" spans="2:15">
      <c r="B857" s="715"/>
      <c r="F857" s="715"/>
      <c r="J857" s="718"/>
      <c r="K857" s="699"/>
      <c r="L857" s="718"/>
      <c r="M857" s="718"/>
      <c r="N857" s="699"/>
      <c r="O857" s="718"/>
    </row>
    <row r="858" spans="2:15">
      <c r="B858" s="715"/>
      <c r="F858" s="715"/>
      <c r="J858" s="718"/>
      <c r="K858" s="699"/>
      <c r="L858" s="718"/>
      <c r="M858" s="718"/>
      <c r="N858" s="699"/>
      <c r="O858" s="718"/>
    </row>
    <row r="859" spans="2:15">
      <c r="B859" s="715"/>
      <c r="F859" s="715"/>
      <c r="J859" s="718"/>
      <c r="K859" s="699"/>
      <c r="L859" s="718"/>
      <c r="M859" s="718"/>
      <c r="N859" s="699"/>
      <c r="O859" s="718"/>
    </row>
    <row r="860" spans="2:15">
      <c r="B860" s="715"/>
      <c r="F860" s="715"/>
      <c r="J860" s="718"/>
      <c r="K860" s="699"/>
      <c r="L860" s="718"/>
      <c r="M860" s="718"/>
      <c r="N860" s="699"/>
      <c r="O860" s="718"/>
    </row>
    <row r="861" spans="2:15">
      <c r="B861" s="715"/>
      <c r="F861" s="715"/>
      <c r="J861" s="718"/>
      <c r="K861" s="699"/>
      <c r="L861" s="718"/>
      <c r="M861" s="718"/>
      <c r="N861" s="699"/>
      <c r="O861" s="718"/>
    </row>
    <row r="862" spans="2:15">
      <c r="B862" s="715"/>
      <c r="F862" s="715"/>
      <c r="J862" s="718"/>
      <c r="K862" s="699"/>
      <c r="L862" s="718"/>
      <c r="M862" s="718"/>
      <c r="N862" s="699"/>
      <c r="O862" s="718"/>
    </row>
    <row r="863" spans="2:15">
      <c r="B863" s="715"/>
      <c r="F863" s="715"/>
      <c r="J863" s="718"/>
      <c r="K863" s="699"/>
      <c r="L863" s="718"/>
      <c r="M863" s="718"/>
      <c r="N863" s="699"/>
      <c r="O863" s="718"/>
    </row>
    <row r="864" spans="2:15">
      <c r="B864" s="715"/>
      <c r="F864" s="715"/>
      <c r="J864" s="718"/>
      <c r="K864" s="699"/>
      <c r="L864" s="718"/>
      <c r="M864" s="718"/>
      <c r="N864" s="699"/>
      <c r="O864" s="718"/>
    </row>
    <row r="865" spans="2:15">
      <c r="B865" s="715"/>
      <c r="F865" s="715"/>
      <c r="J865" s="718"/>
      <c r="K865" s="699"/>
      <c r="L865" s="718"/>
      <c r="M865" s="718"/>
      <c r="N865" s="699"/>
      <c r="O865" s="718"/>
    </row>
    <row r="866" spans="2:15">
      <c r="B866" s="715"/>
      <c r="F866" s="715"/>
      <c r="J866" s="718"/>
      <c r="K866" s="699"/>
      <c r="L866" s="718"/>
      <c r="M866" s="718"/>
      <c r="N866" s="699"/>
      <c r="O866" s="718"/>
    </row>
    <row r="867" spans="2:15">
      <c r="B867" s="715"/>
      <c r="F867" s="715"/>
      <c r="J867" s="718"/>
      <c r="K867" s="699"/>
      <c r="L867" s="718"/>
      <c r="M867" s="718"/>
      <c r="N867" s="699"/>
      <c r="O867" s="718"/>
    </row>
    <row r="868" spans="2:15">
      <c r="B868" s="715"/>
      <c r="F868" s="715"/>
      <c r="J868" s="718"/>
      <c r="K868" s="699"/>
      <c r="L868" s="718"/>
      <c r="M868" s="718"/>
      <c r="N868" s="699"/>
      <c r="O868" s="718"/>
    </row>
    <row r="869" spans="2:15">
      <c r="B869" s="715"/>
      <c r="F869" s="715"/>
      <c r="J869" s="718"/>
      <c r="K869" s="699"/>
      <c r="L869" s="718"/>
      <c r="M869" s="718"/>
      <c r="N869" s="699"/>
      <c r="O869" s="718"/>
    </row>
    <row r="870" spans="2:15">
      <c r="B870" s="715"/>
      <c r="F870" s="715"/>
      <c r="J870" s="718"/>
      <c r="K870" s="699"/>
      <c r="L870" s="718"/>
      <c r="M870" s="718"/>
      <c r="N870" s="699"/>
      <c r="O870" s="718"/>
    </row>
    <row r="871" spans="2:15">
      <c r="B871" s="715"/>
      <c r="F871" s="715"/>
      <c r="J871" s="718"/>
      <c r="K871" s="699"/>
      <c r="L871" s="718"/>
      <c r="M871" s="718"/>
      <c r="N871" s="699"/>
      <c r="O871" s="718"/>
    </row>
    <row r="872" spans="2:15">
      <c r="B872" s="715"/>
      <c r="F872" s="715"/>
      <c r="J872" s="718"/>
      <c r="K872" s="699"/>
      <c r="L872" s="718"/>
      <c r="M872" s="718"/>
      <c r="N872" s="699"/>
      <c r="O872" s="718"/>
    </row>
    <row r="873" spans="2:15">
      <c r="B873" s="715"/>
      <c r="F873" s="715"/>
      <c r="J873" s="718"/>
      <c r="K873" s="699"/>
      <c r="L873" s="718"/>
      <c r="M873" s="718"/>
      <c r="N873" s="699"/>
      <c r="O873" s="718"/>
    </row>
    <row r="874" spans="2:15">
      <c r="B874" s="715"/>
      <c r="F874" s="715"/>
      <c r="J874" s="718"/>
      <c r="K874" s="699"/>
      <c r="L874" s="718"/>
      <c r="M874" s="718"/>
      <c r="N874" s="699"/>
      <c r="O874" s="718"/>
    </row>
    <row r="875" spans="2:15">
      <c r="B875" s="715"/>
      <c r="F875" s="715"/>
      <c r="J875" s="718"/>
      <c r="K875" s="699"/>
      <c r="L875" s="718"/>
      <c r="M875" s="718"/>
      <c r="N875" s="699"/>
      <c r="O875" s="718"/>
    </row>
    <row r="876" spans="2:15">
      <c r="B876" s="715"/>
      <c r="F876" s="715"/>
      <c r="J876" s="718"/>
      <c r="K876" s="699"/>
      <c r="L876" s="718"/>
      <c r="M876" s="718"/>
      <c r="N876" s="699"/>
      <c r="O876" s="718"/>
    </row>
    <row r="877" spans="2:15">
      <c r="B877" s="715"/>
      <c r="F877" s="715"/>
      <c r="J877" s="718"/>
      <c r="K877" s="699"/>
      <c r="L877" s="718"/>
      <c r="M877" s="718"/>
      <c r="N877" s="699"/>
      <c r="O877" s="718"/>
    </row>
    <row r="878" spans="2:15">
      <c r="B878" s="715"/>
      <c r="F878" s="715"/>
      <c r="J878" s="718"/>
      <c r="K878" s="699"/>
      <c r="L878" s="718"/>
      <c r="M878" s="718"/>
      <c r="N878" s="699"/>
      <c r="O878" s="718"/>
    </row>
    <row r="879" spans="2:15">
      <c r="B879" s="715"/>
      <c r="F879" s="715"/>
      <c r="J879" s="718"/>
      <c r="K879" s="699"/>
      <c r="L879" s="718"/>
      <c r="M879" s="718"/>
      <c r="N879" s="699"/>
      <c r="O879" s="718"/>
    </row>
    <row r="880" spans="2:15">
      <c r="B880" s="715"/>
      <c r="F880" s="715"/>
      <c r="J880" s="718"/>
      <c r="K880" s="699"/>
      <c r="L880" s="718"/>
      <c r="M880" s="718"/>
      <c r="N880" s="699"/>
      <c r="O880" s="718"/>
    </row>
    <row r="881" spans="2:15">
      <c r="B881" s="715"/>
      <c r="F881" s="715"/>
      <c r="J881" s="718"/>
      <c r="K881" s="699"/>
      <c r="L881" s="718"/>
      <c r="M881" s="718"/>
      <c r="N881" s="699"/>
      <c r="O881" s="718"/>
    </row>
    <row r="882" spans="2:15">
      <c r="B882" s="715"/>
      <c r="F882" s="715"/>
      <c r="J882" s="718"/>
      <c r="K882" s="699"/>
      <c r="L882" s="718"/>
      <c r="M882" s="718"/>
      <c r="N882" s="699"/>
      <c r="O882" s="718"/>
    </row>
    <row r="883" spans="2:15">
      <c r="B883" s="715"/>
      <c r="F883" s="715"/>
      <c r="J883" s="718"/>
      <c r="K883" s="699"/>
      <c r="L883" s="718"/>
      <c r="M883" s="718"/>
      <c r="N883" s="699"/>
      <c r="O883" s="718"/>
    </row>
    <row r="884" spans="2:15">
      <c r="B884" s="715"/>
      <c r="F884" s="715"/>
      <c r="J884" s="718"/>
      <c r="K884" s="699"/>
      <c r="L884" s="718"/>
      <c r="M884" s="718"/>
      <c r="N884" s="699"/>
      <c r="O884" s="718"/>
    </row>
    <row r="885" spans="2:15">
      <c r="B885" s="715"/>
      <c r="F885" s="715"/>
      <c r="J885" s="718"/>
      <c r="K885" s="699"/>
      <c r="L885" s="718"/>
      <c r="M885" s="718"/>
      <c r="N885" s="699"/>
      <c r="O885" s="718"/>
    </row>
    <row r="886" spans="2:15">
      <c r="B886" s="715"/>
      <c r="F886" s="715"/>
      <c r="J886" s="718"/>
      <c r="K886" s="699"/>
      <c r="L886" s="718"/>
      <c r="M886" s="718"/>
      <c r="N886" s="699"/>
      <c r="O886" s="718"/>
    </row>
    <row r="887" spans="2:15">
      <c r="B887" s="715"/>
      <c r="F887" s="715"/>
      <c r="J887" s="718"/>
      <c r="K887" s="699"/>
      <c r="L887" s="718"/>
      <c r="M887" s="718"/>
      <c r="N887" s="699"/>
      <c r="O887" s="718"/>
    </row>
    <row r="888" spans="2:15">
      <c r="B888" s="715"/>
      <c r="F888" s="715"/>
      <c r="J888" s="718"/>
      <c r="K888" s="699"/>
      <c r="L888" s="718"/>
      <c r="M888" s="718"/>
      <c r="N888" s="699"/>
      <c r="O888" s="718"/>
    </row>
    <row r="889" spans="2:15">
      <c r="B889" s="715"/>
      <c r="F889" s="715"/>
      <c r="J889" s="718"/>
      <c r="K889" s="699"/>
      <c r="L889" s="718"/>
      <c r="M889" s="718"/>
      <c r="N889" s="699"/>
      <c r="O889" s="718"/>
    </row>
    <row r="890" spans="2:15">
      <c r="B890" s="715"/>
      <c r="F890" s="715"/>
      <c r="J890" s="718"/>
      <c r="K890" s="699"/>
      <c r="L890" s="718"/>
      <c r="M890" s="718"/>
      <c r="N890" s="699"/>
      <c r="O890" s="718"/>
    </row>
    <row r="891" spans="2:15">
      <c r="B891" s="715"/>
      <c r="F891" s="715"/>
      <c r="J891" s="718"/>
      <c r="K891" s="699"/>
      <c r="L891" s="718"/>
      <c r="M891" s="718"/>
      <c r="N891" s="699"/>
      <c r="O891" s="718"/>
    </row>
    <row r="892" spans="2:15">
      <c r="B892" s="715"/>
      <c r="F892" s="715"/>
      <c r="J892" s="718"/>
      <c r="K892" s="699"/>
      <c r="L892" s="718"/>
      <c r="M892" s="718"/>
      <c r="N892" s="699"/>
      <c r="O892" s="718"/>
    </row>
    <row r="893" spans="2:15">
      <c r="B893" s="715"/>
      <c r="F893" s="715"/>
      <c r="J893" s="718"/>
      <c r="K893" s="699"/>
      <c r="L893" s="718"/>
      <c r="M893" s="718"/>
      <c r="N893" s="699"/>
      <c r="O893" s="718"/>
    </row>
    <row r="894" spans="2:15">
      <c r="B894" s="715"/>
      <c r="F894" s="715"/>
      <c r="J894" s="718"/>
      <c r="K894" s="699"/>
      <c r="L894" s="718"/>
      <c r="M894" s="718"/>
      <c r="N894" s="699"/>
      <c r="O894" s="718"/>
    </row>
    <row r="895" spans="2:15">
      <c r="B895" s="715"/>
      <c r="F895" s="715"/>
      <c r="J895" s="718"/>
      <c r="K895" s="699"/>
      <c r="L895" s="718"/>
      <c r="M895" s="718"/>
      <c r="N895" s="699"/>
      <c r="O895" s="718"/>
    </row>
    <row r="896" spans="2:15">
      <c r="B896" s="715"/>
      <c r="F896" s="715"/>
      <c r="J896" s="718"/>
      <c r="K896" s="699"/>
      <c r="L896" s="718"/>
      <c r="M896" s="718"/>
      <c r="N896" s="699"/>
      <c r="O896" s="718"/>
    </row>
    <row r="897" spans="2:15">
      <c r="B897" s="715"/>
      <c r="F897" s="715"/>
      <c r="J897" s="718"/>
      <c r="K897" s="699"/>
      <c r="L897" s="718"/>
      <c r="M897" s="718"/>
      <c r="N897" s="699"/>
      <c r="O897" s="718"/>
    </row>
    <row r="898" spans="2:15">
      <c r="B898" s="715"/>
      <c r="F898" s="715"/>
      <c r="J898" s="718"/>
      <c r="K898" s="699"/>
      <c r="L898" s="718"/>
      <c r="M898" s="718"/>
      <c r="N898" s="699"/>
      <c r="O898" s="718"/>
    </row>
    <row r="899" spans="2:15">
      <c r="B899" s="715"/>
      <c r="F899" s="715"/>
      <c r="J899" s="718"/>
      <c r="K899" s="699"/>
      <c r="L899" s="718"/>
      <c r="M899" s="718"/>
      <c r="N899" s="699"/>
      <c r="O899" s="718"/>
    </row>
    <row r="900" spans="2:15">
      <c r="B900" s="715"/>
      <c r="F900" s="715"/>
      <c r="J900" s="718"/>
      <c r="K900" s="699"/>
      <c r="L900" s="718"/>
      <c r="M900" s="718"/>
      <c r="N900" s="699"/>
      <c r="O900" s="718"/>
    </row>
    <row r="901" spans="2:15">
      <c r="B901" s="715"/>
      <c r="F901" s="715"/>
      <c r="J901" s="718"/>
      <c r="K901" s="699"/>
      <c r="L901" s="718"/>
      <c r="M901" s="718"/>
      <c r="N901" s="699"/>
      <c r="O901" s="718"/>
    </row>
    <row r="902" spans="2:15">
      <c r="B902" s="715"/>
      <c r="F902" s="715"/>
      <c r="J902" s="718"/>
      <c r="K902" s="699"/>
      <c r="L902" s="718"/>
      <c r="M902" s="718"/>
      <c r="N902" s="699"/>
      <c r="O902" s="718"/>
    </row>
    <row r="903" spans="2:15">
      <c r="B903" s="715"/>
      <c r="F903" s="715"/>
      <c r="J903" s="718"/>
      <c r="K903" s="699"/>
      <c r="L903" s="718"/>
      <c r="M903" s="718"/>
      <c r="N903" s="699"/>
      <c r="O903" s="718"/>
    </row>
    <row r="904" spans="2:15">
      <c r="B904" s="715"/>
      <c r="F904" s="715"/>
      <c r="J904" s="718"/>
      <c r="K904" s="699"/>
      <c r="L904" s="718"/>
      <c r="M904" s="718"/>
      <c r="N904" s="699"/>
      <c r="O904" s="718"/>
    </row>
    <row r="905" spans="2:15">
      <c r="B905" s="715"/>
      <c r="F905" s="715"/>
      <c r="J905" s="718"/>
      <c r="K905" s="699"/>
      <c r="L905" s="718"/>
      <c r="M905" s="718"/>
      <c r="N905" s="699"/>
      <c r="O905" s="718"/>
    </row>
    <row r="906" spans="2:15">
      <c r="B906" s="715"/>
      <c r="F906" s="715"/>
      <c r="J906" s="718"/>
      <c r="K906" s="699"/>
      <c r="L906" s="718"/>
      <c r="M906" s="718"/>
      <c r="N906" s="699"/>
      <c r="O906" s="718"/>
    </row>
    <row r="907" spans="2:15">
      <c r="B907" s="715"/>
      <c r="F907" s="715"/>
      <c r="J907" s="718"/>
      <c r="K907" s="699"/>
      <c r="L907" s="718"/>
      <c r="M907" s="718"/>
      <c r="N907" s="699"/>
      <c r="O907" s="718"/>
    </row>
    <row r="908" spans="2:15">
      <c r="B908" s="715"/>
      <c r="F908" s="715"/>
      <c r="J908" s="718"/>
      <c r="K908" s="699"/>
      <c r="L908" s="718"/>
      <c r="M908" s="718"/>
      <c r="N908" s="699"/>
      <c r="O908" s="718"/>
    </row>
    <row r="909" spans="2:15">
      <c r="B909" s="715"/>
      <c r="F909" s="715"/>
      <c r="J909" s="718"/>
      <c r="K909" s="699"/>
      <c r="L909" s="718"/>
      <c r="M909" s="718"/>
      <c r="N909" s="699"/>
      <c r="O909" s="718"/>
    </row>
    <row r="910" spans="2:15">
      <c r="B910" s="715"/>
      <c r="F910" s="715"/>
      <c r="J910" s="718"/>
      <c r="K910" s="699"/>
      <c r="L910" s="718"/>
      <c r="M910" s="718"/>
      <c r="N910" s="699"/>
      <c r="O910" s="718"/>
    </row>
    <row r="911" spans="2:15">
      <c r="B911" s="715"/>
      <c r="F911" s="715"/>
      <c r="J911" s="718"/>
      <c r="K911" s="699"/>
      <c r="L911" s="718"/>
      <c r="M911" s="718"/>
      <c r="N911" s="699"/>
      <c r="O911" s="718"/>
    </row>
    <row r="912" spans="2:15">
      <c r="B912" s="715"/>
      <c r="F912" s="715"/>
      <c r="J912" s="718"/>
      <c r="K912" s="699"/>
      <c r="L912" s="718"/>
      <c r="M912" s="718"/>
      <c r="N912" s="699"/>
      <c r="O912" s="718"/>
    </row>
    <row r="913" spans="2:15">
      <c r="B913" s="715"/>
      <c r="F913" s="715"/>
      <c r="J913" s="718"/>
      <c r="K913" s="699"/>
      <c r="L913" s="718"/>
      <c r="M913" s="718"/>
      <c r="N913" s="699"/>
      <c r="O913" s="718"/>
    </row>
    <row r="914" spans="2:15">
      <c r="B914" s="715"/>
      <c r="F914" s="715"/>
      <c r="J914" s="718"/>
      <c r="K914" s="699"/>
      <c r="L914" s="718"/>
      <c r="M914" s="718"/>
      <c r="N914" s="699"/>
      <c r="O914" s="718"/>
    </row>
    <row r="915" spans="2:15">
      <c r="B915" s="715"/>
      <c r="F915" s="715"/>
      <c r="J915" s="718"/>
      <c r="K915" s="699"/>
      <c r="L915" s="718"/>
      <c r="M915" s="718"/>
      <c r="N915" s="699"/>
      <c r="O915" s="718"/>
    </row>
    <row r="916" spans="2:15">
      <c r="B916" s="715"/>
      <c r="F916" s="715"/>
      <c r="J916" s="718"/>
      <c r="K916" s="699"/>
      <c r="L916" s="718"/>
      <c r="M916" s="718"/>
      <c r="N916" s="699"/>
      <c r="O916" s="718"/>
    </row>
    <row r="917" spans="2:15">
      <c r="B917" s="715"/>
      <c r="F917" s="715"/>
      <c r="J917" s="718"/>
      <c r="K917" s="699"/>
      <c r="L917" s="718"/>
      <c r="M917" s="718"/>
      <c r="N917" s="699"/>
      <c r="O917" s="718"/>
    </row>
    <row r="918" spans="2:15">
      <c r="B918" s="715"/>
      <c r="F918" s="715"/>
      <c r="J918" s="718"/>
      <c r="K918" s="699"/>
      <c r="L918" s="718"/>
      <c r="M918" s="718"/>
      <c r="N918" s="699"/>
      <c r="O918" s="718"/>
    </row>
    <row r="919" spans="2:15">
      <c r="B919" s="715"/>
      <c r="F919" s="715"/>
      <c r="J919" s="718"/>
      <c r="K919" s="699"/>
      <c r="L919" s="718"/>
      <c r="M919" s="718"/>
      <c r="N919" s="699"/>
      <c r="O919" s="718"/>
    </row>
    <row r="920" spans="2:15">
      <c r="B920" s="715"/>
      <c r="F920" s="715"/>
      <c r="J920" s="718"/>
      <c r="K920" s="699"/>
      <c r="L920" s="718"/>
      <c r="M920" s="718"/>
      <c r="N920" s="699"/>
      <c r="O920" s="718"/>
    </row>
    <row r="921" spans="2:15">
      <c r="B921" s="715"/>
      <c r="F921" s="715"/>
      <c r="J921" s="718"/>
      <c r="K921" s="699"/>
      <c r="L921" s="718"/>
      <c r="M921" s="718"/>
      <c r="N921" s="699"/>
      <c r="O921" s="718"/>
    </row>
    <row r="922" spans="2:15">
      <c r="B922" s="715"/>
      <c r="F922" s="715"/>
      <c r="J922" s="718"/>
      <c r="K922" s="699"/>
      <c r="L922" s="718"/>
      <c r="M922" s="718"/>
      <c r="N922" s="699"/>
      <c r="O922" s="718"/>
    </row>
    <row r="923" spans="2:15">
      <c r="B923" s="715"/>
      <c r="F923" s="715"/>
      <c r="J923" s="718"/>
      <c r="K923" s="699"/>
      <c r="L923" s="718"/>
      <c r="M923" s="718"/>
      <c r="N923" s="699"/>
      <c r="O923" s="718"/>
    </row>
    <row r="924" spans="2:15">
      <c r="B924" s="715"/>
      <c r="F924" s="715"/>
      <c r="J924" s="718"/>
      <c r="K924" s="699"/>
      <c r="L924" s="718"/>
      <c r="M924" s="718"/>
      <c r="N924" s="699"/>
      <c r="O924" s="718"/>
    </row>
    <row r="925" spans="2:15">
      <c r="B925" s="715"/>
      <c r="F925" s="715"/>
      <c r="J925" s="718"/>
      <c r="K925" s="699"/>
      <c r="L925" s="718"/>
      <c r="M925" s="718"/>
      <c r="N925" s="699"/>
      <c r="O925" s="718"/>
    </row>
    <row r="926" spans="2:15">
      <c r="B926" s="715"/>
      <c r="F926" s="715"/>
      <c r="J926" s="718"/>
      <c r="K926" s="699"/>
      <c r="L926" s="718"/>
      <c r="M926" s="718"/>
      <c r="N926" s="699"/>
      <c r="O926" s="718"/>
    </row>
    <row r="927" spans="2:15">
      <c r="B927" s="715"/>
      <c r="F927" s="715"/>
      <c r="J927" s="718"/>
      <c r="K927" s="699"/>
      <c r="L927" s="718"/>
      <c r="M927" s="718"/>
      <c r="N927" s="699"/>
      <c r="O927" s="718"/>
    </row>
    <row r="928" spans="2:15">
      <c r="B928" s="715"/>
      <c r="F928" s="715"/>
      <c r="J928" s="718"/>
      <c r="K928" s="699"/>
      <c r="L928" s="718"/>
      <c r="M928" s="718"/>
      <c r="N928" s="699"/>
      <c r="O928" s="718"/>
    </row>
    <row r="929" spans="2:15">
      <c r="B929" s="715"/>
      <c r="F929" s="715"/>
      <c r="J929" s="718"/>
      <c r="K929" s="699"/>
      <c r="L929" s="718"/>
      <c r="M929" s="718"/>
      <c r="N929" s="699"/>
      <c r="O929" s="718"/>
    </row>
    <row r="930" spans="2:15">
      <c r="B930" s="715"/>
      <c r="F930" s="715"/>
      <c r="J930" s="718"/>
      <c r="K930" s="699"/>
      <c r="L930" s="718"/>
      <c r="M930" s="718"/>
      <c r="N930" s="699"/>
      <c r="O930" s="718"/>
    </row>
    <row r="931" spans="2:15">
      <c r="B931" s="715"/>
      <c r="F931" s="715"/>
      <c r="J931" s="718"/>
      <c r="K931" s="699"/>
      <c r="L931" s="718"/>
      <c r="M931" s="718"/>
      <c r="N931" s="699"/>
      <c r="O931" s="718"/>
    </row>
    <row r="932" spans="2:15">
      <c r="B932" s="715"/>
      <c r="F932" s="715"/>
      <c r="J932" s="718"/>
      <c r="K932" s="699"/>
      <c r="L932" s="718"/>
      <c r="M932" s="718"/>
      <c r="N932" s="699"/>
      <c r="O932" s="718"/>
    </row>
    <row r="933" spans="2:15">
      <c r="B933" s="715"/>
      <c r="F933" s="715"/>
      <c r="J933" s="718"/>
      <c r="K933" s="699"/>
      <c r="L933" s="718"/>
      <c r="M933" s="718"/>
      <c r="N933" s="699"/>
      <c r="O933" s="718"/>
    </row>
    <row r="934" spans="2:15">
      <c r="B934" s="715"/>
      <c r="F934" s="715"/>
      <c r="J934" s="718"/>
      <c r="K934" s="699"/>
      <c r="L934" s="718"/>
      <c r="M934" s="718"/>
      <c r="N934" s="699"/>
      <c r="O934" s="718"/>
    </row>
    <row r="935" spans="2:15">
      <c r="B935" s="715"/>
      <c r="F935" s="715"/>
      <c r="J935" s="718"/>
      <c r="K935" s="699"/>
      <c r="L935" s="718"/>
      <c r="M935" s="718"/>
      <c r="N935" s="699"/>
      <c r="O935" s="718"/>
    </row>
    <row r="936" spans="2:15">
      <c r="B936" s="715"/>
      <c r="F936" s="715"/>
      <c r="J936" s="718"/>
      <c r="K936" s="699"/>
      <c r="L936" s="718"/>
      <c r="M936" s="718"/>
      <c r="N936" s="699"/>
      <c r="O936" s="718"/>
    </row>
    <row r="937" spans="2:15">
      <c r="B937" s="715"/>
      <c r="F937" s="715"/>
      <c r="J937" s="718"/>
      <c r="K937" s="699"/>
      <c r="L937" s="718"/>
      <c r="M937" s="718"/>
      <c r="N937" s="699"/>
      <c r="O937" s="718"/>
    </row>
    <row r="938" spans="2:15">
      <c r="B938" s="715"/>
      <c r="F938" s="715"/>
      <c r="J938" s="718"/>
      <c r="K938" s="699"/>
      <c r="L938" s="718"/>
      <c r="M938" s="718"/>
      <c r="N938" s="699"/>
      <c r="O938" s="718"/>
    </row>
    <row r="939" spans="2:15">
      <c r="B939" s="715"/>
      <c r="F939" s="715"/>
      <c r="J939" s="718"/>
      <c r="K939" s="699"/>
      <c r="L939" s="718"/>
      <c r="M939" s="718"/>
      <c r="N939" s="699"/>
      <c r="O939" s="718"/>
    </row>
    <row r="940" spans="2:15">
      <c r="B940" s="715"/>
      <c r="F940" s="715"/>
      <c r="J940" s="718"/>
      <c r="K940" s="699"/>
      <c r="L940" s="718"/>
      <c r="M940" s="718"/>
      <c r="N940" s="699"/>
      <c r="O940" s="718"/>
    </row>
    <row r="941" spans="2:15">
      <c r="B941" s="715"/>
      <c r="F941" s="715"/>
      <c r="J941" s="718"/>
      <c r="K941" s="699"/>
      <c r="L941" s="718"/>
      <c r="M941" s="718"/>
      <c r="N941" s="699"/>
      <c r="O941" s="718"/>
    </row>
    <row r="942" spans="2:15">
      <c r="B942" s="715"/>
      <c r="F942" s="715"/>
      <c r="J942" s="718"/>
      <c r="K942" s="699"/>
      <c r="L942" s="718"/>
      <c r="M942" s="718"/>
      <c r="N942" s="699"/>
      <c r="O942" s="718"/>
    </row>
    <row r="943" spans="2:15">
      <c r="B943" s="715"/>
      <c r="F943" s="715"/>
      <c r="J943" s="718"/>
      <c r="K943" s="699"/>
      <c r="L943" s="718"/>
      <c r="M943" s="718"/>
      <c r="N943" s="699"/>
      <c r="O943" s="718"/>
    </row>
    <row r="944" spans="2:15">
      <c r="B944" s="715"/>
      <c r="F944" s="715"/>
      <c r="J944" s="718"/>
      <c r="K944" s="699"/>
      <c r="L944" s="718"/>
      <c r="M944" s="718"/>
      <c r="N944" s="699"/>
      <c r="O944" s="718"/>
    </row>
    <row r="945" spans="2:15">
      <c r="B945" s="715"/>
      <c r="F945" s="715"/>
      <c r="J945" s="718"/>
      <c r="K945" s="699"/>
      <c r="L945" s="718"/>
      <c r="M945" s="718"/>
      <c r="N945" s="699"/>
      <c r="O945" s="718"/>
    </row>
    <row r="946" spans="2:15">
      <c r="B946" s="715"/>
      <c r="F946" s="715"/>
      <c r="J946" s="718"/>
      <c r="K946" s="699"/>
      <c r="L946" s="718"/>
      <c r="M946" s="718"/>
      <c r="N946" s="699"/>
      <c r="O946" s="718"/>
    </row>
    <row r="947" spans="2:15">
      <c r="B947" s="715"/>
      <c r="F947" s="715"/>
      <c r="J947" s="718"/>
      <c r="K947" s="699"/>
      <c r="L947" s="718"/>
      <c r="M947" s="718"/>
      <c r="N947" s="699"/>
      <c r="O947" s="718"/>
    </row>
    <row r="948" spans="2:15">
      <c r="B948" s="715"/>
      <c r="F948" s="715"/>
      <c r="J948" s="718"/>
      <c r="K948" s="699"/>
      <c r="L948" s="718"/>
      <c r="M948" s="718"/>
      <c r="N948" s="699"/>
      <c r="O948" s="718"/>
    </row>
    <row r="949" spans="2:15">
      <c r="B949" s="715"/>
      <c r="F949" s="715"/>
      <c r="J949" s="718"/>
      <c r="K949" s="699"/>
      <c r="L949" s="718"/>
      <c r="M949" s="718"/>
      <c r="N949" s="699"/>
      <c r="O949" s="718"/>
    </row>
    <row r="950" spans="2:15">
      <c r="B950" s="715"/>
      <c r="F950" s="715"/>
      <c r="J950" s="718"/>
      <c r="K950" s="699"/>
      <c r="L950" s="718"/>
      <c r="M950" s="718"/>
      <c r="N950" s="699"/>
      <c r="O950" s="718"/>
    </row>
    <row r="951" spans="2:15">
      <c r="B951" s="715"/>
      <c r="F951" s="715"/>
      <c r="J951" s="718"/>
      <c r="K951" s="699"/>
      <c r="L951" s="718"/>
      <c r="M951" s="718"/>
      <c r="N951" s="699"/>
      <c r="O951" s="718"/>
    </row>
    <row r="952" spans="2:15">
      <c r="B952" s="715"/>
      <c r="F952" s="715"/>
      <c r="J952" s="718"/>
      <c r="K952" s="699"/>
      <c r="L952" s="718"/>
      <c r="M952" s="718"/>
      <c r="N952" s="699"/>
      <c r="O952" s="718"/>
    </row>
    <row r="953" spans="2:15">
      <c r="B953" s="715"/>
      <c r="F953" s="715"/>
      <c r="J953" s="718"/>
      <c r="K953" s="699"/>
      <c r="L953" s="718"/>
      <c r="M953" s="718"/>
      <c r="N953" s="699"/>
      <c r="O953" s="718"/>
    </row>
    <row r="954" spans="2:15">
      <c r="B954" s="715"/>
      <c r="F954" s="715"/>
      <c r="J954" s="718"/>
      <c r="K954" s="699"/>
      <c r="L954" s="718"/>
      <c r="M954" s="718"/>
      <c r="N954" s="699"/>
      <c r="O954" s="718"/>
    </row>
    <row r="955" spans="2:15">
      <c r="B955" s="715"/>
      <c r="F955" s="715"/>
      <c r="J955" s="718"/>
      <c r="K955" s="699"/>
      <c r="L955" s="718"/>
      <c r="M955" s="718"/>
      <c r="N955" s="699"/>
      <c r="O955" s="718"/>
    </row>
    <row r="956" spans="2:15">
      <c r="B956" s="715"/>
      <c r="F956" s="715"/>
      <c r="J956" s="718"/>
      <c r="K956" s="699"/>
      <c r="L956" s="718"/>
      <c r="M956" s="718"/>
      <c r="N956" s="699"/>
      <c r="O956" s="718"/>
    </row>
    <row r="957" spans="2:15">
      <c r="B957" s="715"/>
      <c r="F957" s="715"/>
      <c r="J957" s="718"/>
      <c r="K957" s="699"/>
      <c r="L957" s="718"/>
      <c r="M957" s="718"/>
      <c r="N957" s="699"/>
      <c r="O957" s="718"/>
    </row>
    <row r="958" spans="2:15">
      <c r="B958" s="715"/>
      <c r="F958" s="715"/>
      <c r="J958" s="718"/>
      <c r="K958" s="699"/>
      <c r="L958" s="718"/>
      <c r="M958" s="718"/>
      <c r="N958" s="699"/>
      <c r="O958" s="718"/>
    </row>
    <row r="959" spans="2:15">
      <c r="B959" s="715"/>
      <c r="F959" s="715"/>
      <c r="J959" s="718"/>
      <c r="K959" s="699"/>
      <c r="L959" s="718"/>
      <c r="M959" s="718"/>
      <c r="N959" s="699"/>
      <c r="O959" s="718"/>
    </row>
    <row r="960" spans="2:15">
      <c r="B960" s="715"/>
      <c r="F960" s="715"/>
      <c r="J960" s="718"/>
      <c r="K960" s="699"/>
      <c r="L960" s="718"/>
      <c r="M960" s="718"/>
      <c r="N960" s="699"/>
      <c r="O960" s="718"/>
    </row>
    <row r="961" spans="2:15">
      <c r="B961" s="715"/>
      <c r="F961" s="715"/>
      <c r="J961" s="718"/>
      <c r="K961" s="699"/>
      <c r="L961" s="718"/>
      <c r="M961" s="718"/>
      <c r="N961" s="699"/>
      <c r="O961" s="718"/>
    </row>
    <row r="962" spans="2:15">
      <c r="B962" s="715"/>
      <c r="F962" s="715"/>
      <c r="J962" s="718"/>
      <c r="K962" s="699"/>
      <c r="L962" s="718"/>
      <c r="M962" s="718"/>
      <c r="N962" s="699"/>
      <c r="O962" s="718"/>
    </row>
    <row r="963" spans="2:15">
      <c r="B963" s="715"/>
      <c r="F963" s="715"/>
      <c r="J963" s="718"/>
      <c r="K963" s="699"/>
      <c r="L963" s="718"/>
      <c r="M963" s="718"/>
      <c r="N963" s="699"/>
      <c r="O963" s="718"/>
    </row>
    <row r="964" spans="2:15">
      <c r="B964" s="715"/>
      <c r="F964" s="715"/>
      <c r="J964" s="718"/>
      <c r="K964" s="699"/>
      <c r="L964" s="718"/>
      <c r="M964" s="718"/>
      <c r="N964" s="699"/>
      <c r="O964" s="718"/>
    </row>
    <row r="965" spans="2:15">
      <c r="B965" s="715"/>
      <c r="F965" s="715"/>
      <c r="J965" s="718"/>
      <c r="K965" s="699"/>
      <c r="L965" s="718"/>
      <c r="M965" s="718"/>
      <c r="N965" s="699"/>
      <c r="O965" s="718"/>
    </row>
    <row r="966" spans="2:15">
      <c r="B966" s="715"/>
      <c r="F966" s="715"/>
      <c r="J966" s="718"/>
      <c r="K966" s="699"/>
      <c r="L966" s="718"/>
      <c r="M966" s="718"/>
      <c r="N966" s="699"/>
      <c r="O966" s="718"/>
    </row>
    <row r="967" spans="2:15">
      <c r="B967" s="715"/>
      <c r="F967" s="715"/>
      <c r="J967" s="718"/>
      <c r="K967" s="699"/>
      <c r="L967" s="718"/>
      <c r="M967" s="718"/>
      <c r="N967" s="699"/>
      <c r="O967" s="718"/>
    </row>
    <row r="968" spans="2:15">
      <c r="B968" s="715"/>
      <c r="F968" s="715"/>
      <c r="J968" s="718"/>
      <c r="K968" s="699"/>
      <c r="L968" s="718"/>
      <c r="M968" s="718"/>
      <c r="N968" s="699"/>
      <c r="O968" s="718"/>
    </row>
    <row r="969" spans="2:15">
      <c r="B969" s="715"/>
      <c r="F969" s="715"/>
      <c r="J969" s="718"/>
      <c r="K969" s="699"/>
      <c r="L969" s="718"/>
      <c r="M969" s="718"/>
      <c r="N969" s="699"/>
      <c r="O969" s="718"/>
    </row>
    <row r="970" spans="2:15">
      <c r="B970" s="715"/>
      <c r="F970" s="715"/>
      <c r="J970" s="718"/>
      <c r="K970" s="699"/>
      <c r="L970" s="718"/>
      <c r="M970" s="718"/>
      <c r="N970" s="699"/>
      <c r="O970" s="718"/>
    </row>
    <row r="971" spans="2:15">
      <c r="B971" s="715"/>
      <c r="F971" s="715"/>
      <c r="J971" s="718"/>
      <c r="K971" s="699"/>
      <c r="L971" s="718"/>
      <c r="M971" s="718"/>
      <c r="N971" s="699"/>
      <c r="O971" s="718"/>
    </row>
    <row r="972" spans="2:15">
      <c r="B972" s="715"/>
      <c r="F972" s="715"/>
      <c r="J972" s="718"/>
      <c r="K972" s="699"/>
      <c r="L972" s="718"/>
      <c r="M972" s="718"/>
      <c r="N972" s="699"/>
      <c r="O972" s="718"/>
    </row>
    <row r="973" spans="2:15">
      <c r="B973" s="715"/>
      <c r="F973" s="715"/>
      <c r="J973" s="718"/>
      <c r="K973" s="699"/>
      <c r="L973" s="718"/>
      <c r="M973" s="718"/>
      <c r="N973" s="699"/>
      <c r="O973" s="718"/>
    </row>
    <row r="974" spans="2:15">
      <c r="B974" s="715"/>
      <c r="F974" s="715"/>
      <c r="J974" s="718"/>
      <c r="K974" s="699"/>
      <c r="L974" s="718"/>
      <c r="M974" s="718"/>
      <c r="N974" s="699"/>
      <c r="O974" s="718"/>
    </row>
    <row r="975" spans="2:15">
      <c r="B975" s="715"/>
      <c r="F975" s="715"/>
      <c r="J975" s="718"/>
      <c r="K975" s="699"/>
      <c r="L975" s="718"/>
      <c r="M975" s="718"/>
      <c r="N975" s="699"/>
      <c r="O975" s="718"/>
    </row>
    <row r="976" spans="2:15">
      <c r="B976" s="715"/>
      <c r="F976" s="715"/>
      <c r="J976" s="718"/>
      <c r="K976" s="699"/>
      <c r="L976" s="718"/>
      <c r="M976" s="718"/>
      <c r="N976" s="699"/>
      <c r="O976" s="718"/>
    </row>
    <row r="977" spans="2:15">
      <c r="B977" s="715"/>
      <c r="F977" s="715"/>
      <c r="J977" s="718"/>
      <c r="K977" s="699"/>
      <c r="L977" s="718"/>
      <c r="M977" s="718"/>
      <c r="N977" s="699"/>
      <c r="O977" s="718"/>
    </row>
    <row r="978" spans="2:15">
      <c r="B978" s="715"/>
      <c r="F978" s="715"/>
      <c r="J978" s="718"/>
      <c r="K978" s="699"/>
      <c r="L978" s="718"/>
      <c r="M978" s="718"/>
      <c r="N978" s="699"/>
      <c r="O978" s="718"/>
    </row>
    <row r="979" spans="2:15">
      <c r="B979" s="715"/>
      <c r="F979" s="715"/>
      <c r="J979" s="718"/>
      <c r="K979" s="699"/>
      <c r="L979" s="718"/>
      <c r="M979" s="718"/>
      <c r="N979" s="699"/>
      <c r="O979" s="718"/>
    </row>
    <row r="980" spans="2:15">
      <c r="B980" s="715"/>
      <c r="F980" s="715"/>
      <c r="J980" s="718"/>
      <c r="K980" s="699"/>
      <c r="L980" s="718"/>
      <c r="M980" s="718"/>
      <c r="N980" s="699"/>
      <c r="O980" s="718"/>
    </row>
    <row r="981" spans="2:15">
      <c r="B981" s="715"/>
      <c r="F981" s="715"/>
      <c r="J981" s="718"/>
      <c r="K981" s="699"/>
      <c r="L981" s="718"/>
      <c r="M981" s="718"/>
      <c r="N981" s="699"/>
      <c r="O981" s="718"/>
    </row>
    <row r="982" spans="2:15">
      <c r="B982" s="715"/>
      <c r="F982" s="715"/>
      <c r="J982" s="718"/>
      <c r="K982" s="699"/>
      <c r="L982" s="718"/>
      <c r="M982" s="718"/>
      <c r="N982" s="699"/>
      <c r="O982" s="718"/>
    </row>
    <row r="983" spans="2:15">
      <c r="B983" s="715"/>
      <c r="F983" s="715"/>
      <c r="J983" s="718"/>
      <c r="K983" s="699"/>
      <c r="L983" s="718"/>
      <c r="M983" s="718"/>
      <c r="N983" s="699"/>
      <c r="O983" s="718"/>
    </row>
    <row r="984" spans="2:15">
      <c r="B984" s="715"/>
      <c r="F984" s="715"/>
      <c r="J984" s="718"/>
      <c r="K984" s="699"/>
      <c r="L984" s="718"/>
      <c r="M984" s="718"/>
      <c r="N984" s="699"/>
      <c r="O984" s="718"/>
    </row>
    <row r="985" spans="2:15">
      <c r="B985" s="715"/>
      <c r="F985" s="715"/>
      <c r="J985" s="718"/>
      <c r="K985" s="699"/>
      <c r="L985" s="718"/>
      <c r="M985" s="718"/>
      <c r="N985" s="699"/>
      <c r="O985" s="718"/>
    </row>
    <row r="986" spans="2:15">
      <c r="B986" s="715"/>
      <c r="F986" s="715"/>
      <c r="J986" s="718"/>
      <c r="K986" s="699"/>
      <c r="L986" s="718"/>
      <c r="M986" s="718"/>
      <c r="N986" s="699"/>
      <c r="O986" s="718"/>
    </row>
    <row r="987" spans="2:15">
      <c r="B987" s="715"/>
      <c r="F987" s="715"/>
      <c r="J987" s="718"/>
      <c r="K987" s="699"/>
      <c r="L987" s="718"/>
      <c r="M987" s="718"/>
      <c r="N987" s="699"/>
      <c r="O987" s="718"/>
    </row>
    <row r="988" spans="2:15">
      <c r="B988" s="715"/>
      <c r="F988" s="715"/>
      <c r="J988" s="718"/>
      <c r="K988" s="699"/>
      <c r="L988" s="718"/>
      <c r="M988" s="718"/>
      <c r="N988" s="699"/>
      <c r="O988" s="718"/>
    </row>
    <row r="989" spans="2:15">
      <c r="B989" s="715"/>
      <c r="F989" s="715"/>
      <c r="J989" s="718"/>
      <c r="K989" s="699"/>
      <c r="L989" s="718"/>
      <c r="M989" s="718"/>
      <c r="N989" s="699"/>
      <c r="O989" s="718"/>
    </row>
    <row r="990" spans="2:15">
      <c r="B990" s="715"/>
      <c r="F990" s="715"/>
      <c r="J990" s="718"/>
      <c r="K990" s="699"/>
      <c r="L990" s="718"/>
      <c r="M990" s="718"/>
      <c r="N990" s="699"/>
      <c r="O990" s="718"/>
    </row>
    <row r="991" spans="2:15">
      <c r="B991" s="715"/>
      <c r="F991" s="715"/>
      <c r="J991" s="718"/>
      <c r="K991" s="699"/>
      <c r="L991" s="718"/>
      <c r="M991" s="718"/>
      <c r="N991" s="699"/>
      <c r="O991" s="718"/>
    </row>
    <row r="992" spans="2:15">
      <c r="B992" s="715"/>
      <c r="F992" s="715"/>
      <c r="J992" s="718"/>
      <c r="K992" s="699"/>
      <c r="L992" s="718"/>
      <c r="M992" s="718"/>
      <c r="N992" s="699"/>
      <c r="O992" s="718"/>
    </row>
    <row r="993" spans="2:15">
      <c r="B993" s="715"/>
      <c r="F993" s="715"/>
      <c r="J993" s="718"/>
      <c r="K993" s="699"/>
      <c r="L993" s="718"/>
      <c r="M993" s="718"/>
      <c r="N993" s="699"/>
      <c r="O993" s="718"/>
    </row>
    <row r="994" spans="2:15">
      <c r="B994" s="715"/>
      <c r="F994" s="715"/>
      <c r="J994" s="718"/>
      <c r="K994" s="699"/>
      <c r="L994" s="718"/>
      <c r="M994" s="718"/>
      <c r="N994" s="699"/>
      <c r="O994" s="718"/>
    </row>
    <row r="995" spans="2:15">
      <c r="B995" s="715"/>
      <c r="F995" s="715"/>
      <c r="J995" s="718"/>
      <c r="K995" s="699"/>
      <c r="L995" s="718"/>
      <c r="M995" s="718"/>
      <c r="N995" s="699"/>
      <c r="O995" s="718"/>
    </row>
    <row r="996" spans="2:15">
      <c r="B996" s="715"/>
      <c r="F996" s="715"/>
      <c r="J996" s="718"/>
      <c r="K996" s="699"/>
      <c r="L996" s="718"/>
      <c r="M996" s="718"/>
      <c r="N996" s="699"/>
      <c r="O996" s="718"/>
    </row>
    <row r="997" spans="2:15">
      <c r="B997" s="715"/>
      <c r="F997" s="715"/>
      <c r="J997" s="718"/>
      <c r="K997" s="699"/>
      <c r="L997" s="718"/>
      <c r="M997" s="718"/>
      <c r="N997" s="699"/>
      <c r="O997" s="718"/>
    </row>
    <row r="998" spans="2:15">
      <c r="B998" s="715"/>
      <c r="F998" s="715"/>
      <c r="J998" s="718"/>
      <c r="K998" s="699"/>
      <c r="L998" s="718"/>
      <c r="M998" s="718"/>
      <c r="N998" s="699"/>
      <c r="O998" s="718"/>
    </row>
    <row r="999" spans="2:15">
      <c r="B999" s="715"/>
      <c r="F999" s="715"/>
      <c r="J999" s="718"/>
      <c r="K999" s="699"/>
      <c r="L999" s="718"/>
      <c r="M999" s="718"/>
      <c r="N999" s="699"/>
      <c r="O999" s="718"/>
    </row>
    <row r="1000" spans="2:15">
      <c r="B1000" s="715"/>
      <c r="F1000" s="715"/>
      <c r="J1000" s="718"/>
      <c r="K1000" s="699"/>
      <c r="L1000" s="718"/>
      <c r="M1000" s="718"/>
      <c r="N1000" s="699"/>
      <c r="O1000" s="718"/>
    </row>
    <row r="1001" spans="2:15">
      <c r="B1001" s="715"/>
      <c r="F1001" s="715"/>
      <c r="J1001" s="718"/>
      <c r="K1001" s="699"/>
      <c r="L1001" s="718"/>
      <c r="M1001" s="718"/>
      <c r="N1001" s="699"/>
      <c r="O1001" s="718"/>
    </row>
    <row r="1002" spans="2:15">
      <c r="B1002" s="715"/>
      <c r="F1002" s="715"/>
      <c r="J1002" s="718"/>
      <c r="K1002" s="699"/>
      <c r="L1002" s="718"/>
      <c r="M1002" s="718"/>
      <c r="N1002" s="699"/>
      <c r="O1002" s="718"/>
    </row>
    <row r="1003" spans="2:15">
      <c r="B1003" s="715"/>
      <c r="F1003" s="715"/>
      <c r="J1003" s="718"/>
      <c r="K1003" s="699"/>
      <c r="L1003" s="718"/>
      <c r="M1003" s="718"/>
      <c r="N1003" s="699"/>
      <c r="O1003" s="718"/>
    </row>
    <row r="1004" spans="2:15">
      <c r="B1004" s="715"/>
      <c r="F1004" s="715"/>
      <c r="J1004" s="718"/>
      <c r="K1004" s="699"/>
      <c r="L1004" s="718"/>
      <c r="M1004" s="718"/>
      <c r="N1004" s="699"/>
      <c r="O1004" s="718"/>
    </row>
    <row r="1005" spans="2:15">
      <c r="B1005" s="715"/>
      <c r="F1005" s="715"/>
      <c r="J1005" s="718"/>
      <c r="K1005" s="699"/>
      <c r="L1005" s="718"/>
      <c r="M1005" s="718"/>
      <c r="N1005" s="699"/>
      <c r="O1005" s="718"/>
    </row>
    <row r="1006" spans="2:15">
      <c r="B1006" s="715"/>
      <c r="F1006" s="715"/>
      <c r="J1006" s="718"/>
      <c r="K1006" s="699"/>
      <c r="L1006" s="718"/>
      <c r="M1006" s="718"/>
      <c r="N1006" s="699"/>
      <c r="O1006" s="718"/>
    </row>
    <row r="1007" spans="2:15">
      <c r="B1007" s="715"/>
      <c r="F1007" s="715"/>
      <c r="J1007" s="718"/>
      <c r="K1007" s="699"/>
      <c r="L1007" s="718"/>
      <c r="M1007" s="718"/>
      <c r="N1007" s="699"/>
      <c r="O1007" s="718"/>
    </row>
    <row r="1008" spans="2:15">
      <c r="B1008" s="715"/>
      <c r="F1008" s="715"/>
      <c r="J1008" s="718"/>
      <c r="K1008" s="699"/>
      <c r="L1008" s="718"/>
      <c r="M1008" s="718"/>
      <c r="N1008" s="699"/>
      <c r="O1008" s="718"/>
    </row>
    <row r="1009" spans="2:15">
      <c r="B1009" s="715"/>
      <c r="F1009" s="715"/>
      <c r="J1009" s="718"/>
      <c r="K1009" s="699"/>
      <c r="L1009" s="718"/>
      <c r="M1009" s="718"/>
      <c r="N1009" s="699"/>
      <c r="O1009" s="718"/>
    </row>
    <row r="1010" spans="2:15">
      <c r="B1010" s="715"/>
      <c r="F1010" s="715"/>
      <c r="J1010" s="718"/>
      <c r="K1010" s="699"/>
      <c r="L1010" s="718"/>
      <c r="M1010" s="718"/>
      <c r="N1010" s="699"/>
      <c r="O1010" s="718"/>
    </row>
    <row r="1011" spans="2:15">
      <c r="B1011" s="715"/>
      <c r="F1011" s="715"/>
      <c r="J1011" s="718"/>
      <c r="K1011" s="699"/>
      <c r="L1011" s="718"/>
      <c r="M1011" s="718"/>
      <c r="N1011" s="699"/>
      <c r="O1011" s="718"/>
    </row>
    <row r="1012" spans="2:15">
      <c r="B1012" s="715"/>
      <c r="F1012" s="715"/>
      <c r="J1012" s="718"/>
      <c r="K1012" s="699"/>
      <c r="L1012" s="718"/>
      <c r="M1012" s="718"/>
      <c r="N1012" s="699"/>
      <c r="O1012" s="718"/>
    </row>
    <row r="1013" spans="2:15">
      <c r="B1013" s="715"/>
      <c r="F1013" s="715"/>
      <c r="J1013" s="718"/>
      <c r="K1013" s="699"/>
      <c r="L1013" s="718"/>
      <c r="M1013" s="718"/>
      <c r="N1013" s="699"/>
      <c r="O1013" s="718"/>
    </row>
    <row r="1014" spans="2:15">
      <c r="B1014" s="715"/>
      <c r="F1014" s="715"/>
      <c r="J1014" s="718"/>
      <c r="K1014" s="699"/>
      <c r="L1014" s="718"/>
      <c r="M1014" s="718"/>
      <c r="N1014" s="699"/>
      <c r="O1014" s="718"/>
    </row>
    <row r="1015" spans="2:15">
      <c r="B1015" s="715"/>
      <c r="F1015" s="715"/>
      <c r="J1015" s="718"/>
      <c r="K1015" s="699"/>
      <c r="L1015" s="718"/>
      <c r="M1015" s="718"/>
      <c r="N1015" s="699"/>
      <c r="O1015" s="718"/>
    </row>
    <row r="1016" spans="2:15">
      <c r="B1016" s="715"/>
      <c r="F1016" s="715"/>
      <c r="J1016" s="718"/>
      <c r="K1016" s="699"/>
      <c r="L1016" s="718"/>
      <c r="M1016" s="718"/>
      <c r="N1016" s="699"/>
      <c r="O1016" s="718"/>
    </row>
    <row r="1017" spans="2:15">
      <c r="B1017" s="715"/>
      <c r="F1017" s="715"/>
      <c r="J1017" s="718"/>
      <c r="K1017" s="699"/>
      <c r="L1017" s="718"/>
      <c r="M1017" s="718"/>
      <c r="N1017" s="699"/>
      <c r="O1017" s="718"/>
    </row>
    <row r="1018" spans="2:15">
      <c r="B1018" s="715"/>
      <c r="F1018" s="715"/>
      <c r="J1018" s="718"/>
      <c r="K1018" s="699"/>
      <c r="L1018" s="718"/>
      <c r="M1018" s="718"/>
      <c r="N1018" s="699"/>
      <c r="O1018" s="718"/>
    </row>
    <row r="1019" spans="2:15">
      <c r="B1019" s="715"/>
      <c r="F1019" s="715"/>
      <c r="J1019" s="718"/>
      <c r="K1019" s="699"/>
      <c r="L1019" s="718"/>
      <c r="M1019" s="718"/>
      <c r="N1019" s="699"/>
      <c r="O1019" s="718"/>
    </row>
    <row r="1020" spans="2:15">
      <c r="B1020" s="715"/>
      <c r="F1020" s="715"/>
      <c r="J1020" s="718"/>
      <c r="K1020" s="699"/>
      <c r="L1020" s="718"/>
      <c r="M1020" s="718"/>
      <c r="N1020" s="699"/>
      <c r="O1020" s="718"/>
    </row>
    <row r="1021" spans="2:15">
      <c r="B1021" s="715"/>
      <c r="F1021" s="715"/>
      <c r="J1021" s="718"/>
      <c r="K1021" s="699"/>
      <c r="L1021" s="718"/>
      <c r="M1021" s="718"/>
      <c r="N1021" s="699"/>
      <c r="O1021" s="718"/>
    </row>
    <row r="1022" spans="2:15">
      <c r="B1022" s="715"/>
      <c r="F1022" s="715"/>
      <c r="J1022" s="718"/>
      <c r="K1022" s="699"/>
      <c r="L1022" s="718"/>
      <c r="M1022" s="718"/>
      <c r="N1022" s="699"/>
      <c r="O1022" s="718"/>
    </row>
    <row r="1023" spans="2:15">
      <c r="B1023" s="715"/>
      <c r="F1023" s="715"/>
      <c r="J1023" s="718"/>
      <c r="K1023" s="699"/>
      <c r="L1023" s="718"/>
      <c r="M1023" s="718"/>
      <c r="N1023" s="699"/>
      <c r="O1023" s="718"/>
    </row>
    <row r="1024" spans="2:15">
      <c r="B1024" s="715"/>
      <c r="F1024" s="715"/>
      <c r="J1024" s="718"/>
      <c r="K1024" s="699"/>
      <c r="L1024" s="718"/>
      <c r="M1024" s="718"/>
      <c r="N1024" s="699"/>
      <c r="O1024" s="718"/>
    </row>
    <row r="1025" spans="2:15">
      <c r="B1025" s="715"/>
      <c r="F1025" s="715"/>
      <c r="J1025" s="718"/>
      <c r="K1025" s="699"/>
      <c r="L1025" s="718"/>
      <c r="M1025" s="718"/>
      <c r="N1025" s="699"/>
      <c r="O1025" s="718"/>
    </row>
    <row r="1026" spans="2:15">
      <c r="B1026" s="715"/>
      <c r="F1026" s="715"/>
      <c r="J1026" s="718"/>
      <c r="K1026" s="699"/>
      <c r="L1026" s="718"/>
      <c r="M1026" s="718"/>
      <c r="N1026" s="699"/>
      <c r="O1026" s="718"/>
    </row>
    <row r="1027" spans="2:15">
      <c r="B1027" s="715"/>
      <c r="F1027" s="715"/>
      <c r="J1027" s="718"/>
      <c r="K1027" s="699"/>
      <c r="L1027" s="718"/>
      <c r="M1027" s="718"/>
      <c r="N1027" s="699"/>
      <c r="O1027" s="718"/>
    </row>
    <row r="1028" spans="2:15">
      <c r="B1028" s="715"/>
      <c r="F1028" s="715"/>
      <c r="J1028" s="718"/>
      <c r="K1028" s="699"/>
      <c r="L1028" s="718"/>
      <c r="M1028" s="718"/>
      <c r="N1028" s="699"/>
      <c r="O1028" s="718"/>
    </row>
    <row r="1029" spans="2:15">
      <c r="B1029" s="715"/>
      <c r="F1029" s="715"/>
      <c r="J1029" s="718"/>
      <c r="K1029" s="699"/>
      <c r="L1029" s="718"/>
      <c r="M1029" s="718"/>
      <c r="N1029" s="699"/>
      <c r="O1029" s="718"/>
    </row>
    <row r="1030" spans="2:15">
      <c r="B1030" s="715"/>
      <c r="F1030" s="715"/>
      <c r="J1030" s="718"/>
      <c r="K1030" s="699"/>
      <c r="L1030" s="718"/>
      <c r="M1030" s="718"/>
      <c r="N1030" s="699"/>
      <c r="O1030" s="718"/>
    </row>
    <row r="1031" spans="2:15">
      <c r="B1031" s="715"/>
      <c r="F1031" s="715"/>
      <c r="J1031" s="718"/>
      <c r="K1031" s="699"/>
      <c r="L1031" s="718"/>
      <c r="M1031" s="718"/>
      <c r="N1031" s="699"/>
      <c r="O1031" s="718"/>
    </row>
    <row r="1032" spans="2:15">
      <c r="B1032" s="715"/>
      <c r="F1032" s="715"/>
      <c r="J1032" s="718"/>
      <c r="K1032" s="699"/>
      <c r="L1032" s="718"/>
      <c r="M1032" s="718"/>
      <c r="N1032" s="699"/>
      <c r="O1032" s="718"/>
    </row>
    <row r="1033" spans="2:15">
      <c r="B1033" s="715"/>
      <c r="F1033" s="715"/>
      <c r="J1033" s="718"/>
      <c r="K1033" s="699"/>
      <c r="L1033" s="718"/>
      <c r="M1033" s="718"/>
      <c r="N1033" s="699"/>
      <c r="O1033" s="718"/>
    </row>
    <row r="1034" spans="2:15">
      <c r="B1034" s="715"/>
      <c r="F1034" s="715"/>
      <c r="J1034" s="718"/>
      <c r="K1034" s="699"/>
      <c r="L1034" s="718"/>
      <c r="M1034" s="718"/>
      <c r="N1034" s="699"/>
      <c r="O1034" s="718"/>
    </row>
    <row r="1035" spans="2:15">
      <c r="B1035" s="715"/>
      <c r="F1035" s="715"/>
      <c r="J1035" s="718"/>
      <c r="K1035" s="699"/>
      <c r="L1035" s="718"/>
      <c r="M1035" s="718"/>
      <c r="N1035" s="699"/>
      <c r="O1035" s="718"/>
    </row>
    <row r="1036" spans="2:15">
      <c r="B1036" s="715"/>
      <c r="F1036" s="715"/>
      <c r="J1036" s="718"/>
      <c r="K1036" s="699"/>
      <c r="L1036" s="718"/>
      <c r="M1036" s="718"/>
      <c r="N1036" s="699"/>
      <c r="O1036" s="718"/>
    </row>
    <row r="1037" spans="2:15">
      <c r="B1037" s="715"/>
      <c r="F1037" s="715"/>
      <c r="J1037" s="718"/>
      <c r="K1037" s="699"/>
      <c r="L1037" s="718"/>
      <c r="M1037" s="718"/>
      <c r="N1037" s="699"/>
      <c r="O1037" s="718"/>
    </row>
    <row r="1038" spans="2:15">
      <c r="B1038" s="715"/>
      <c r="F1038" s="715"/>
      <c r="J1038" s="718"/>
      <c r="K1038" s="699"/>
      <c r="L1038" s="718"/>
      <c r="M1038" s="718"/>
      <c r="N1038" s="699"/>
      <c r="O1038" s="718"/>
    </row>
    <row r="1039" spans="2:15">
      <c r="B1039" s="715"/>
      <c r="F1039" s="715"/>
      <c r="J1039" s="718"/>
      <c r="K1039" s="699"/>
      <c r="L1039" s="718"/>
      <c r="M1039" s="718"/>
      <c r="N1039" s="699"/>
      <c r="O1039" s="718"/>
    </row>
    <row r="1040" spans="2:15">
      <c r="B1040" s="715"/>
      <c r="F1040" s="715"/>
      <c r="J1040" s="718"/>
      <c r="K1040" s="699"/>
      <c r="L1040" s="718"/>
      <c r="M1040" s="718"/>
      <c r="N1040" s="699"/>
      <c r="O1040" s="718"/>
    </row>
    <row r="1041" spans="2:15">
      <c r="B1041" s="715"/>
      <c r="F1041" s="715"/>
      <c r="J1041" s="718"/>
      <c r="K1041" s="699"/>
      <c r="L1041" s="718"/>
      <c r="M1041" s="718"/>
      <c r="N1041" s="699"/>
      <c r="O1041" s="718"/>
    </row>
  </sheetData>
  <autoFilter ref="E1:F76" xr:uid="{00000000-0009-0000-0000-000009000000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N17"/>
  <sheetViews>
    <sheetView workbookViewId="0"/>
  </sheetViews>
  <sheetFormatPr defaultColWidth="14.42578125" defaultRowHeight="15" customHeight="1"/>
  <cols>
    <col min="1" max="1" width="17" customWidth="1"/>
  </cols>
  <sheetData>
    <row r="2" spans="1:14">
      <c r="A2" s="472" t="s">
        <v>3313</v>
      </c>
      <c r="C2" s="724" t="s">
        <v>3314</v>
      </c>
      <c r="L2" s="336" t="s">
        <v>3315</v>
      </c>
    </row>
    <row r="3" spans="1:14">
      <c r="A3" s="472" t="s">
        <v>3316</v>
      </c>
    </row>
    <row r="4" spans="1:14">
      <c r="A4" s="472" t="s">
        <v>3317</v>
      </c>
    </row>
    <row r="5" spans="1:14">
      <c r="A5" s="472" t="s">
        <v>3318</v>
      </c>
    </row>
    <row r="6" spans="1:14">
      <c r="A6" s="472" t="s">
        <v>3319</v>
      </c>
    </row>
    <row r="8" spans="1:14">
      <c r="A8" s="725"/>
      <c r="B8" s="726" t="s">
        <v>0</v>
      </c>
      <c r="C8" s="726" t="s">
        <v>1</v>
      </c>
      <c r="D8" s="726" t="s">
        <v>2</v>
      </c>
      <c r="E8" s="726" t="s">
        <v>3</v>
      </c>
      <c r="F8" s="726" t="s">
        <v>4</v>
      </c>
      <c r="G8" s="726" t="s">
        <v>5</v>
      </c>
      <c r="H8" s="726" t="s">
        <v>6</v>
      </c>
      <c r="I8" s="726" t="s">
        <v>7</v>
      </c>
      <c r="J8" s="726" t="s">
        <v>8</v>
      </c>
      <c r="K8" s="726" t="s">
        <v>9</v>
      </c>
      <c r="L8" s="726" t="s">
        <v>10</v>
      </c>
      <c r="M8" s="726" t="s">
        <v>11</v>
      </c>
      <c r="N8" s="727" t="s">
        <v>3199</v>
      </c>
    </row>
    <row r="9" spans="1:14">
      <c r="A9" s="728" t="s">
        <v>3320</v>
      </c>
      <c r="B9" s="729">
        <v>79013.08</v>
      </c>
      <c r="C9" s="730">
        <v>0</v>
      </c>
      <c r="D9" s="730">
        <v>0</v>
      </c>
      <c r="E9" s="730">
        <v>0</v>
      </c>
      <c r="F9" s="730">
        <v>0</v>
      </c>
      <c r="G9" s="730">
        <v>0</v>
      </c>
      <c r="H9" s="729">
        <f>78995.07+7531.87</f>
        <v>86526.94</v>
      </c>
      <c r="I9" s="731"/>
      <c r="J9" s="731"/>
      <c r="K9" s="731"/>
      <c r="L9" s="731"/>
      <c r="M9" s="731"/>
      <c r="N9" s="732">
        <f>SUM(B9:M9)</f>
        <v>165540.02000000002</v>
      </c>
    </row>
    <row r="10" spans="1:14">
      <c r="C10" s="336" t="s">
        <v>3321</v>
      </c>
      <c r="D10" s="336" t="s">
        <v>3321</v>
      </c>
    </row>
    <row r="17" spans="8:8">
      <c r="H17" s="729">
        <f>78995.07+7531.87</f>
        <v>86526.94</v>
      </c>
    </row>
  </sheetData>
  <hyperlinks>
    <hyperlink ref="C2" r:id="rId1" location="gid=813083212" xr:uid="{00000000-0004-0000-0A00-000000000000}"/>
  </hyperlinks>
  <pageMargins left="0.511811024" right="0.511811024" top="0.78740157499999996" bottom="0.78740157499999996" header="0.31496062000000002" footer="0.31496062000000002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9"/>
  <sheetViews>
    <sheetView workbookViewId="0"/>
  </sheetViews>
  <sheetFormatPr defaultColWidth="14.42578125" defaultRowHeight="15" customHeight="1"/>
  <sheetData>
    <row r="1" spans="1:12">
      <c r="A1" s="733" t="s">
        <v>3322</v>
      </c>
      <c r="B1" s="733" t="s">
        <v>127</v>
      </c>
      <c r="C1" s="733" t="s">
        <v>128</v>
      </c>
      <c r="D1" s="733" t="s">
        <v>129</v>
      </c>
      <c r="E1" s="733" t="s">
        <v>3323</v>
      </c>
      <c r="F1" s="733" t="s">
        <v>3324</v>
      </c>
      <c r="G1" s="733" t="s">
        <v>132</v>
      </c>
      <c r="H1" s="733" t="s">
        <v>133</v>
      </c>
      <c r="I1" s="733" t="s">
        <v>3325</v>
      </c>
      <c r="J1" s="733" t="s">
        <v>3326</v>
      </c>
      <c r="L1" s="734" t="s">
        <v>3327</v>
      </c>
    </row>
    <row r="2" spans="1:12">
      <c r="A2" s="735" t="s">
        <v>3328</v>
      </c>
      <c r="B2" s="736" t="s">
        <v>138</v>
      </c>
      <c r="C2" s="736" t="s">
        <v>96</v>
      </c>
      <c r="D2" s="737" t="s">
        <v>962</v>
      </c>
      <c r="E2" s="737" t="s">
        <v>963</v>
      </c>
      <c r="F2" s="737" t="s">
        <v>146</v>
      </c>
      <c r="G2" s="738">
        <v>-1302.3499999999999</v>
      </c>
      <c r="H2" s="738">
        <v>-1302.3499999999999</v>
      </c>
      <c r="I2" s="736" t="s">
        <v>964</v>
      </c>
      <c r="J2" s="737" t="s">
        <v>137</v>
      </c>
    </row>
    <row r="3" spans="1:12">
      <c r="A3" s="735" t="s">
        <v>3328</v>
      </c>
      <c r="B3" s="736" t="s">
        <v>138</v>
      </c>
      <c r="C3" s="736" t="s">
        <v>96</v>
      </c>
      <c r="D3" s="737" t="s">
        <v>983</v>
      </c>
      <c r="E3" s="737" t="s">
        <v>3329</v>
      </c>
      <c r="F3" s="737" t="s">
        <v>149</v>
      </c>
      <c r="G3" s="739">
        <v>-879.92</v>
      </c>
      <c r="H3" s="739">
        <v>-879.92</v>
      </c>
      <c r="I3" s="736" t="s">
        <v>162</v>
      </c>
      <c r="J3" s="737" t="s">
        <v>137</v>
      </c>
    </row>
    <row r="4" spans="1:12">
      <c r="A4" s="735" t="s">
        <v>3328</v>
      </c>
      <c r="B4" s="736" t="s">
        <v>138</v>
      </c>
      <c r="C4" s="736" t="s">
        <v>96</v>
      </c>
      <c r="D4" s="737" t="s">
        <v>1053</v>
      </c>
      <c r="E4" s="737" t="s">
        <v>1055</v>
      </c>
      <c r="F4" s="737" t="s">
        <v>146</v>
      </c>
      <c r="G4" s="739">
        <v>-35.9</v>
      </c>
      <c r="H4" s="739">
        <v>-35.9</v>
      </c>
      <c r="I4" s="736" t="s">
        <v>422</v>
      </c>
      <c r="J4" s="737" t="s">
        <v>137</v>
      </c>
    </row>
    <row r="5" spans="1:12">
      <c r="A5" s="735" t="s">
        <v>3328</v>
      </c>
      <c r="B5" s="736" t="s">
        <v>138</v>
      </c>
      <c r="C5" s="736" t="s">
        <v>973</v>
      </c>
      <c r="D5" s="737" t="s">
        <v>999</v>
      </c>
      <c r="E5" s="737" t="s">
        <v>1074</v>
      </c>
      <c r="F5" s="737" t="s">
        <v>146</v>
      </c>
      <c r="G5" s="739">
        <v>-105.52</v>
      </c>
      <c r="H5" s="739">
        <v>-105.52</v>
      </c>
      <c r="I5" s="736" t="s">
        <v>964</v>
      </c>
      <c r="J5" s="737" t="s">
        <v>232</v>
      </c>
    </row>
    <row r="6" spans="1:12">
      <c r="A6" s="735" t="s">
        <v>3328</v>
      </c>
      <c r="B6" s="736" t="s">
        <v>138</v>
      </c>
      <c r="C6" s="736" t="s">
        <v>973</v>
      </c>
      <c r="D6" s="737" t="s">
        <v>1004</v>
      </c>
      <c r="E6" s="737" t="s">
        <v>1077</v>
      </c>
      <c r="F6" s="737" t="s">
        <v>146</v>
      </c>
      <c r="G6" s="739">
        <v>-24.25</v>
      </c>
      <c r="H6" s="739">
        <v>-24.25</v>
      </c>
      <c r="I6" s="736" t="s">
        <v>162</v>
      </c>
      <c r="J6" s="737" t="s">
        <v>137</v>
      </c>
    </row>
    <row r="7" spans="1:12">
      <c r="A7" s="735" t="s">
        <v>3328</v>
      </c>
      <c r="B7" s="736" t="s">
        <v>138</v>
      </c>
      <c r="C7" s="736" t="s">
        <v>973</v>
      </c>
      <c r="D7" s="737" t="s">
        <v>1104</v>
      </c>
      <c r="E7" s="737" t="s">
        <v>1127</v>
      </c>
      <c r="F7" s="737" t="s">
        <v>146</v>
      </c>
      <c r="G7" s="739">
        <v>-165.72</v>
      </c>
      <c r="H7" s="739">
        <v>-165.72</v>
      </c>
      <c r="I7" s="736" t="s">
        <v>3308</v>
      </c>
      <c r="J7" s="737" t="s">
        <v>232</v>
      </c>
    </row>
    <row r="8" spans="1:12">
      <c r="A8" s="735" t="s">
        <v>3328</v>
      </c>
      <c r="B8" s="736" t="s">
        <v>138</v>
      </c>
      <c r="C8" s="736" t="s">
        <v>973</v>
      </c>
      <c r="D8" s="737" t="s">
        <v>1124</v>
      </c>
      <c r="E8" s="737" t="s">
        <v>1143</v>
      </c>
      <c r="F8" s="737" t="s">
        <v>146</v>
      </c>
      <c r="G8" s="739">
        <v>-61.41</v>
      </c>
      <c r="H8" s="739">
        <v>-61.41</v>
      </c>
      <c r="I8" s="736" t="s">
        <v>422</v>
      </c>
      <c r="J8" s="737" t="s">
        <v>137</v>
      </c>
    </row>
    <row r="9" spans="1:12">
      <c r="A9" s="735" t="s">
        <v>3328</v>
      </c>
      <c r="B9" s="736" t="s">
        <v>138</v>
      </c>
      <c r="C9" s="736" t="s">
        <v>973</v>
      </c>
      <c r="D9" s="740" t="s">
        <v>1156</v>
      </c>
      <c r="E9" s="737" t="s">
        <v>1158</v>
      </c>
      <c r="F9" s="737" t="s">
        <v>146</v>
      </c>
      <c r="G9" s="739">
        <v>-100.74</v>
      </c>
      <c r="H9" s="739">
        <v>-100.74</v>
      </c>
      <c r="I9" s="736" t="s">
        <v>162</v>
      </c>
      <c r="J9" s="737" t="s">
        <v>232</v>
      </c>
    </row>
  </sheetData>
  <hyperlinks>
    <hyperlink ref="D9" r:id="rId1" xr:uid="{00000000-0004-0000-0B00-000000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Resultados</vt:lpstr>
      <vt:lpstr>Cálculos de Impostos</vt:lpstr>
      <vt:lpstr>Lançamentos Omie</vt:lpstr>
      <vt:lpstr>Página60</vt:lpstr>
      <vt:lpstr>Outras Informações</vt:lpstr>
      <vt:lpstr>Rendimentos SPDX</vt:lpstr>
      <vt:lpstr>Viagens Consultoria</vt:lpstr>
      <vt:lpstr>P&amp;D</vt:lpstr>
      <vt:lpstr>Pessoal</vt:lpstr>
      <vt:lpstr>Conversor GP</vt:lpstr>
      <vt:lpstr>Aproveitamento Perse</vt:lpstr>
      <vt:lpstr>Lançamentos Retroagidos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Meireles</dc:creator>
  <cp:lastModifiedBy>Lucas Meireles</cp:lastModifiedBy>
  <dcterms:created xsi:type="dcterms:W3CDTF">2026-10-05T12:30:52Z</dcterms:created>
  <dcterms:modified xsi:type="dcterms:W3CDTF">2026-10-05T12:34:55Z</dcterms:modified>
</cp:coreProperties>
</file>