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Feat eventos" sheetId="2" state="visible" r:id="rId2"/>
    <sheet xmlns:r="http://schemas.openxmlformats.org/officeDocument/2006/relationships" name="Mensal LL" sheetId="3" state="visible" r:id="rId3"/>
    <sheet xmlns:r="http://schemas.openxmlformats.org/officeDocument/2006/relationships" name="Viva Company" sheetId="4" state="visible" r:id="rId4"/>
    <sheet xmlns:r="http://schemas.openxmlformats.org/officeDocument/2006/relationships" name="Uniticket" sheetId="5" state="visible" r:id="rId5"/>
    <sheet xmlns:r="http://schemas.openxmlformats.org/officeDocument/2006/relationships" name="Young Med" sheetId="6" state="visible" r:id="rId6"/>
    <sheet xmlns:r="http://schemas.openxmlformats.org/officeDocument/2006/relationships" name="Feat" sheetId="7" state="visible" r:id="rId7"/>
    <sheet xmlns:r="http://schemas.openxmlformats.org/officeDocument/2006/relationships" name="Terrazzo" sheetId="8" state="visible" r:id="rId8"/>
    <sheet xmlns:r="http://schemas.openxmlformats.org/officeDocument/2006/relationships" name="Sirena" sheetId="9" state="visible" r:id="rId9"/>
    <sheet xmlns:r="http://schemas.openxmlformats.org/officeDocument/2006/relationships" name="Case Shows" sheetId="10" state="visible" r:id="rId10"/>
    <sheet xmlns:r="http://schemas.openxmlformats.org/officeDocument/2006/relationships" name="Fotografi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;[Red]-#,##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AE6DC"/>
      </patternFill>
    </fill>
    <fill>
      <patternFill patternType="solid">
        <fgColor rgb="00E3ECF8"/>
      </patternFill>
    </fill>
    <fill>
      <patternFill patternType="solid">
        <fgColor rgb="00FBE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9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165" fontId="2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65" fontId="0" fillId="4" borderId="0" pivotButton="0" quotePrefix="0" xfId="0"/>
    <xf numFmtId="165" fontId="0" fillId="5" borderId="0" pivotButton="0" quotePrefix="0" xfId="0"/>
    <xf numFmtId="165" fontId="0" fillId="3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8" customWidth="1" min="4" max="4"/>
    <col width="14" customWidth="1" min="5" max="5"/>
    <col width="18" customWidth="1" min="6" max="6"/>
    <col width="18" customWidth="1" min="7" max="7"/>
    <col width="14" customWidth="1" min="8" max="8"/>
    <col width="20" customWidth="1" min="9" max="9"/>
    <col width="20" customWidth="1" min="10" max="10"/>
    <col width="80" customWidth="1" min="11" max="11"/>
  </cols>
  <sheetData>
    <row r="1">
      <c r="A1" s="1" t="inlineStr">
        <is>
          <t>Forecast 2026 — Viva Holding (lucro líquido, R$)</t>
        </is>
      </c>
    </row>
    <row r="2">
      <c r="A2" t="inlineStr">
        <is>
          <t>Viva Company e Uniticket: realizado jan–ago + orçado set–dez (planilhas). Demais: Control Hub › Budget e Forecast › Projeção, realizado jan–set + orçado out–dez. Feat com a lista de eventos em aberto de 05/10 (aba Feat eventos).</t>
        </is>
      </c>
    </row>
    <row r="4">
      <c r="A4" s="2" t="inlineStr">
        <is>
          <t>Controlada</t>
        </is>
      </c>
      <c r="B4" s="2" t="inlineStr">
        <is>
          <t>Cota</t>
        </is>
      </c>
      <c r="C4" s="2" t="inlineStr">
        <is>
          <t>LL Forecast (100%)</t>
        </is>
      </c>
      <c r="D4" s="2" t="inlineStr">
        <is>
          <t>LL Orçado (100%)</t>
        </is>
      </c>
      <c r="E4" s="2" t="inlineStr">
        <is>
          <t>Var.</t>
        </is>
      </c>
      <c r="F4" s="2" t="inlineStr">
        <is>
          <t>Holding Forecast</t>
        </is>
      </c>
      <c r="G4" s="2" t="inlineStr">
        <is>
          <t>Holding Orçado</t>
        </is>
      </c>
      <c r="H4" s="2" t="inlineStr">
        <is>
          <t>Var. Holding</t>
        </is>
      </c>
      <c r="I4" s="2" t="inlineStr">
        <is>
          <t>Receita bruta Forecast*</t>
        </is>
      </c>
      <c r="J4" s="2" t="inlineStr">
        <is>
          <t>Receita bruta Orçado</t>
        </is>
      </c>
      <c r="K4" s="2" t="inlineStr">
        <is>
          <t>Fonte</t>
        </is>
      </c>
    </row>
    <row r="5">
      <c r="A5" t="inlineStr">
        <is>
          <t>Viva Company</t>
        </is>
      </c>
      <c r="B5" s="3" t="n">
        <v>1</v>
      </c>
      <c r="C5" s="4" t="n">
        <v>5139534.61</v>
      </c>
      <c r="D5" s="4" t="n">
        <v>4551006.43</v>
      </c>
      <c r="E5" s="4">
        <f>C5-D5</f>
        <v/>
      </c>
      <c r="F5" s="4">
        <f>C5*B5</f>
        <v/>
      </c>
      <c r="G5" s="4">
        <f>D5*B5</f>
        <v/>
      </c>
      <c r="H5" s="4">
        <f>F5-G5</f>
        <v/>
      </c>
      <c r="I5" s="4" t="n">
        <v>19516706.74</v>
      </c>
      <c r="J5" s="4" t="n">
        <v>19211157.37</v>
      </c>
      <c r="K5" t="inlineStr">
        <is>
          <t>Planilhas (Resultados jan–ago + Orçamento set–dez)</t>
        </is>
      </c>
    </row>
    <row r="6">
      <c r="A6" t="inlineStr">
        <is>
          <t>Uniticket</t>
        </is>
      </c>
      <c r="B6" s="3" t="n">
        <v>0.68</v>
      </c>
      <c r="C6" s="4" t="n">
        <v>1011019.31</v>
      </c>
      <c r="D6" s="4" t="n">
        <v>1183372.87</v>
      </c>
      <c r="E6" s="4">
        <f>C6-D6</f>
        <v/>
      </c>
      <c r="F6" s="4">
        <f>C6*B6</f>
        <v/>
      </c>
      <c r="G6" s="4">
        <f>D6*B6</f>
        <v/>
      </c>
      <c r="H6" s="4">
        <f>F6-G6</f>
        <v/>
      </c>
      <c r="I6" s="4" t="n">
        <v>3811673.07</v>
      </c>
      <c r="J6" s="4" t="n">
        <v>4129172.93</v>
      </c>
      <c r="K6" t="inlineStr">
        <is>
          <t>Planilha (DRE 2026 jan–ago + Orçamento set–dez)</t>
        </is>
      </c>
    </row>
    <row r="7">
      <c r="A7" t="inlineStr">
        <is>
          <t>Young Med</t>
        </is>
      </c>
      <c r="B7" s="3" t="n">
        <v>0.5</v>
      </c>
      <c r="C7" s="4" t="n">
        <v>-53015.26</v>
      </c>
      <c r="D7" s="4" t="n">
        <v>2120.78</v>
      </c>
      <c r="E7" s="4">
        <f>C7-D7</f>
        <v/>
      </c>
      <c r="F7" s="4">
        <f>C7*B7</f>
        <v/>
      </c>
      <c r="G7" s="4">
        <f>D7*B7</f>
        <v/>
      </c>
      <c r="H7" s="4">
        <f>F7-G7</f>
        <v/>
      </c>
      <c r="I7" s="4" t="n">
        <v>593326.16</v>
      </c>
      <c r="J7" s="4" t="n">
        <v>676079.29</v>
      </c>
      <c r="K7" t="inlineStr">
        <is>
          <t>Control Hub · Budget e Forecast › Projeção (mês atual como orçado)</t>
        </is>
      </c>
    </row>
    <row r="8">
      <c r="A8" t="inlineStr">
        <is>
          <t>Feat</t>
        </is>
      </c>
      <c r="B8" s="3" t="n">
        <v>0.5</v>
      </c>
      <c r="C8" s="4">
        <f>'Feat eventos'!G25</f>
        <v/>
      </c>
      <c r="D8" s="4" t="n">
        <v>2496388.7</v>
      </c>
      <c r="E8" s="4">
        <f>C8-D8</f>
        <v/>
      </c>
      <c r="F8" s="4">
        <f>C8*B8</f>
        <v/>
      </c>
      <c r="G8" s="4">
        <f>D8*B8</f>
        <v/>
      </c>
      <c r="H8" s="4">
        <f>F8-G8</f>
        <v/>
      </c>
      <c r="I8" s="4" t="n">
        <v>4103099.33</v>
      </c>
      <c r="J8" s="4" t="n">
        <v>5836000</v>
      </c>
      <c r="K8" t="inlineStr">
        <is>
          <t>Control Hub · Budget e Forecast › Projeção (mês atual como orçado) + lista de eventos em aberto (05/10)</t>
        </is>
      </c>
    </row>
    <row r="9">
      <c r="A9" t="inlineStr">
        <is>
          <t>Terrazzo</t>
        </is>
      </c>
      <c r="B9" s="3" t="n">
        <v>0.5</v>
      </c>
      <c r="C9" s="4" t="n">
        <v>-718080.87</v>
      </c>
      <c r="D9" s="4" t="n">
        <v>-845763.02</v>
      </c>
      <c r="E9" s="4">
        <f>C9-D9</f>
        <v/>
      </c>
      <c r="F9" s="4">
        <f>C9*B9</f>
        <v/>
      </c>
      <c r="G9" s="4">
        <f>D9*B9</f>
        <v/>
      </c>
      <c r="H9" s="4">
        <f>F9-G9</f>
        <v/>
      </c>
      <c r="I9" s="4" t="n">
        <v>1818434.87</v>
      </c>
      <c r="J9" s="4" t="n">
        <v>1988540.39</v>
      </c>
      <c r="K9" t="inlineStr">
        <is>
          <t>Control Hub · Budget e Forecast › Projeção (mês atual como orçado)</t>
        </is>
      </c>
    </row>
    <row r="10">
      <c r="A10" t="inlineStr">
        <is>
          <t>Sirena</t>
        </is>
      </c>
      <c r="B10" s="3" t="n">
        <v>0.5</v>
      </c>
      <c r="C10" s="4" t="n">
        <v>31079.74</v>
      </c>
      <c r="D10" s="4" t="n">
        <v>29700</v>
      </c>
      <c r="E10" s="4">
        <f>C10-D10</f>
        <v/>
      </c>
      <c r="F10" s="4">
        <f>C10*B10</f>
        <v/>
      </c>
      <c r="G10" s="4">
        <f>D10*B10</f>
        <v/>
      </c>
      <c r="H10" s="4">
        <f>F10-G10</f>
        <v/>
      </c>
      <c r="I10" s="4" t="n">
        <v>261813</v>
      </c>
      <c r="J10" s="4" t="n">
        <v>287097</v>
      </c>
      <c r="K10" t="inlineStr">
        <is>
          <t>Control Hub · Budget e Forecast › Projeção (mês atual como orçado)</t>
        </is>
      </c>
    </row>
    <row r="11">
      <c r="A11" t="inlineStr">
        <is>
          <t>Case Shows</t>
        </is>
      </c>
      <c r="B11" s="3" t="n">
        <v>0.25</v>
      </c>
      <c r="C11" s="4" t="n">
        <v>422308.99</v>
      </c>
      <c r="D11" s="4" t="n">
        <v>201681</v>
      </c>
      <c r="E11" s="4">
        <f>C11-D11</f>
        <v/>
      </c>
      <c r="F11" s="4">
        <f>C11*B11</f>
        <v/>
      </c>
      <c r="G11" s="4">
        <f>D11*B11</f>
        <v/>
      </c>
      <c r="H11" s="4">
        <f>F11-G11</f>
        <v/>
      </c>
      <c r="I11" s="4" t="n">
        <v>743348.83</v>
      </c>
      <c r="J11" s="4" t="n">
        <v>568612</v>
      </c>
      <c r="K11" t="inlineStr">
        <is>
          <t>Control Hub · Budget e Forecast › Projeção (mês atual como orçado)</t>
        </is>
      </c>
    </row>
    <row r="12">
      <c r="A12" s="5" t="inlineStr">
        <is>
          <t>Holding</t>
        </is>
      </c>
      <c r="B12" s="6" t="n"/>
      <c r="C12" s="6" t="n"/>
      <c r="D12" s="6" t="n"/>
      <c r="E12" s="6" t="n"/>
      <c r="F12" s="7">
        <f>SUM(F5:F11)</f>
        <v/>
      </c>
      <c r="G12" s="7">
        <f>SUM(G5:G11)</f>
        <v/>
      </c>
      <c r="H12" s="7">
        <f>SUM(H5:H11)</f>
        <v/>
      </c>
      <c r="I12" s="6" t="n"/>
      <c r="J12" s="6" t="n"/>
      <c r="K12" s="6" t="n"/>
    </row>
    <row r="13">
      <c r="A13" t="inlineStr">
        <is>
          <t>* Receita bruta da Feat é a do Control Hub (a lista traz resultados, não receitas).</t>
        </is>
      </c>
    </row>
    <row r="14"/>
    <row r="15">
      <c r="A15" s="8" t="inlineStr">
        <is>
          <t>Fotografia (V Eventos, Lucro Presumido) — lucro líquido por cenário</t>
        </is>
      </c>
    </row>
    <row r="16">
      <c r="A16" s="2" t="inlineStr">
        <is>
          <t>Cenário</t>
        </is>
      </c>
      <c r="B16" s="2" t="inlineStr">
        <is>
          <t>Receita</t>
        </is>
      </c>
      <c r="C16" s="2" t="inlineStr">
        <is>
          <t>Custos</t>
        </is>
      </c>
      <c r="D16" s="2" t="inlineStr">
        <is>
          <t>Impostos</t>
        </is>
      </c>
      <c r="E16" s="2" t="inlineStr">
        <is>
          <t>Lucro líquido</t>
        </is>
      </c>
      <c r="F16" s="2" t="inlineStr">
        <is>
          <t>Holding c/ Fotografia</t>
        </is>
      </c>
      <c r="G16" s="2" t="inlineStr">
        <is>
          <t>Var. vs orçado</t>
        </is>
      </c>
    </row>
    <row r="17">
      <c r="A17" t="inlineStr">
        <is>
          <t>Pessimista</t>
        </is>
      </c>
      <c r="B17" s="4" t="n">
        <v>230400</v>
      </c>
      <c r="C17" s="4" t="n">
        <v>-115200</v>
      </c>
      <c r="D17" s="4" t="n">
        <v>-47503.87</v>
      </c>
      <c r="E17" s="4">
        <f>B17+C17+D17</f>
        <v/>
      </c>
      <c r="F17" s="4">
        <f>F12+E17</f>
        <v/>
      </c>
      <c r="G17" s="4">
        <f>F17-G12</f>
        <v/>
      </c>
    </row>
    <row r="18">
      <c r="A18" t="inlineStr">
        <is>
          <t>Realista</t>
        </is>
      </c>
      <c r="B18" s="4" t="n">
        <v>480000</v>
      </c>
      <c r="C18" s="4" t="n">
        <v>-240000</v>
      </c>
      <c r="D18" s="4" t="n">
        <v>-98966.39999999999</v>
      </c>
      <c r="E18" s="4">
        <f>B18+C18+D18</f>
        <v/>
      </c>
      <c r="F18" s="4">
        <f>F12+E18</f>
        <v/>
      </c>
      <c r="G18" s="4">
        <f>F18-G12</f>
        <v/>
      </c>
    </row>
    <row r="19">
      <c r="A19" t="inlineStr">
        <is>
          <t>Otimista</t>
        </is>
      </c>
      <c r="B19" s="4" t="n">
        <v>806400</v>
      </c>
      <c r="C19" s="4" t="n">
        <v>-403200</v>
      </c>
      <c r="D19" s="4" t="n">
        <v>-166263.55</v>
      </c>
      <c r="E19" s="4">
        <f>B19+C19+D19</f>
        <v/>
      </c>
      <c r="F19" s="4">
        <f>F12+E19</f>
        <v/>
      </c>
      <c r="G19" s="4">
        <f>F19-G12</f>
        <v/>
      </c>
    </row>
    <row r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6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52" customWidth="1" min="8" max="8"/>
  </cols>
  <sheetData>
    <row r="1">
      <c r="A1" s="9" t="inlineStr">
        <is>
          <t>Feat — eventos em aberto e previsões (lista de 05/10/2026), R$</t>
        </is>
      </c>
    </row>
    <row r="2">
      <c r="A2" t="inlineStr">
        <is>
          <t>Valores da lista já líquidos de impostos. Impostos calculados só para Feirão INC JF e MRS Congonhas: 16,33% da receita (ISS 5%, COFINS 3%, PIS 0,65%, IRPJ 4,8%, CSLL 2,88%), regra da planilha de eventos da Feat; sem adicional de IRPJ.</t>
        </is>
      </c>
    </row>
    <row r="4">
      <c r="A4" s="8" t="inlineStr">
        <is>
          <t>Lucro líquido Feat no Control Hub (Projeção)</t>
        </is>
      </c>
      <c r="C4" s="10" t="n">
        <v>1103135.79</v>
      </c>
    </row>
    <row r="6">
      <c r="A6" s="2" t="inlineStr">
        <is>
          <t>Evento</t>
        </is>
      </c>
      <c r="B6" s="2" t="inlineStr">
        <is>
          <t>Mês</t>
        </is>
      </c>
      <c r="C6" s="2" t="inlineStr">
        <is>
          <t>Resultado da lista</t>
        </is>
      </c>
      <c r="D6" s="2" t="inlineStr">
        <is>
          <t>Receita (p/ imposto)</t>
        </is>
      </c>
      <c r="E6" s="2" t="inlineStr">
        <is>
          <t>Impostos calculados</t>
        </is>
      </c>
      <c r="F6" s="2" t="inlineStr">
        <is>
          <t>Valor no sistema substituído</t>
        </is>
      </c>
      <c r="G6" s="2" t="inlineStr">
        <is>
          <t>Efeito no lucro</t>
        </is>
      </c>
      <c r="H6" s="2" t="inlineStr">
        <is>
          <t>Situação</t>
        </is>
      </c>
    </row>
    <row r="7">
      <c r="A7" t="inlineStr">
        <is>
          <t>Festival de Verão (28/03)</t>
        </is>
      </c>
      <c r="B7" t="inlineStr">
        <is>
          <t>Mar</t>
        </is>
      </c>
      <c r="C7" s="10" t="n">
        <v>733034.16</v>
      </c>
      <c r="D7" s="10" t="n"/>
      <c r="E7" s="10" t="n">
        <v>0</v>
      </c>
      <c r="F7" s="10" t="n">
        <v>0</v>
      </c>
      <c r="G7" s="10">
        <f>C7+E7-F7</f>
        <v/>
      </c>
      <c r="H7" t="inlineStr">
        <is>
          <t>aberto · orçado em fev–mar (fora do forecast)</t>
        </is>
      </c>
    </row>
    <row r="8">
      <c r="A8" t="inlineStr">
        <is>
          <t>Tudibaum (17–26/07)</t>
        </is>
      </c>
      <c r="B8" t="inlineStr">
        <is>
          <t>Jul</t>
        </is>
      </c>
      <c r="C8" s="10" t="n">
        <v>17160.6</v>
      </c>
      <c r="D8" s="10" t="n"/>
      <c r="E8" s="10" t="n">
        <v>0</v>
      </c>
      <c r="F8" s="10" t="n">
        <v>0</v>
      </c>
      <c r="G8" s="10">
        <f>C8+E8-F8</f>
        <v/>
      </c>
      <c r="H8" t="inlineStr">
        <is>
          <t>aberto · orçado em jul (fora do forecast)</t>
        </is>
      </c>
    </row>
    <row r="9">
      <c r="A9" t="inlineStr">
        <is>
          <t>Minha Jornada MRS – Juiz de Fora</t>
        </is>
      </c>
      <c r="B9" t="inlineStr">
        <is>
          <t>Ago</t>
        </is>
      </c>
      <c r="C9" s="10" t="n">
        <v>15527.94</v>
      </c>
      <c r="D9" s="10" t="n"/>
      <c r="E9" s="10" t="n">
        <v>0</v>
      </c>
      <c r="F9" s="10" t="n">
        <v>0</v>
      </c>
      <c r="G9" s="10">
        <f>C9+E9-F9</f>
        <v/>
      </c>
      <c r="H9" t="inlineStr">
        <is>
          <t>aberto · sem orçamento</t>
        </is>
      </c>
    </row>
    <row r="10">
      <c r="A10" t="inlineStr">
        <is>
          <t>Minha Jornada MRS – São José dos Campos</t>
        </is>
      </c>
      <c r="B10" t="inlineStr">
        <is>
          <t>Ago</t>
        </is>
      </c>
      <c r="C10" s="10" t="n">
        <v>10544.4</v>
      </c>
      <c r="D10" s="10" t="n"/>
      <c r="E10" s="10" t="n">
        <v>0</v>
      </c>
      <c r="F10" s="10" t="n">
        <v>0</v>
      </c>
      <c r="G10" s="10">
        <f>C10+E10-F10</f>
        <v/>
      </c>
      <c r="H10" t="inlineStr">
        <is>
          <t>aberto · sem orçamento</t>
        </is>
      </c>
    </row>
    <row r="11">
      <c r="A11" t="inlineStr">
        <is>
          <t>Minha Jornada MRS – Lafaiete</t>
        </is>
      </c>
      <c r="B11" t="inlineStr">
        <is>
          <t>Ago</t>
        </is>
      </c>
      <c r="C11" s="10" t="n">
        <v>17150.05</v>
      </c>
      <c r="D11" s="10" t="n"/>
      <c r="E11" s="10" t="n">
        <v>0</v>
      </c>
      <c r="F11" s="10" t="n">
        <v>0</v>
      </c>
      <c r="G11" s="10">
        <f>C11+E11-F11</f>
        <v/>
      </c>
      <c r="H11" t="inlineStr">
        <is>
          <t>aberto · sem orçamento</t>
        </is>
      </c>
    </row>
    <row r="12">
      <c r="A12" t="inlineStr">
        <is>
          <t>Minha Jornada MRS – Volta Redonda</t>
        </is>
      </c>
      <c r="B12" t="inlineStr">
        <is>
          <t>Ago</t>
        </is>
      </c>
      <c r="C12" s="10" t="n">
        <v>15960.52</v>
      </c>
      <c r="D12" s="10" t="n"/>
      <c r="E12" s="10" t="n">
        <v>0</v>
      </c>
      <c r="F12" s="10" t="n">
        <v>0</v>
      </c>
      <c r="G12" s="10">
        <f>C12+E12-F12</f>
        <v/>
      </c>
      <c r="H12" t="inlineStr">
        <is>
          <t>aberto · sem orçamento</t>
        </is>
      </c>
    </row>
    <row r="13">
      <c r="A13" t="inlineStr">
        <is>
          <t>Minha Jornada MRS – Belo Horizonte</t>
        </is>
      </c>
      <c r="B13" t="inlineStr">
        <is>
          <t>Ago</t>
        </is>
      </c>
      <c r="C13" s="10" t="n">
        <v>12408.12</v>
      </c>
      <c r="D13" s="10" t="n"/>
      <c r="E13" s="10" t="n">
        <v>0</v>
      </c>
      <c r="F13" s="10" t="n">
        <v>0</v>
      </c>
      <c r="G13" s="10">
        <f>C13+E13-F13</f>
        <v/>
      </c>
      <c r="H13" t="inlineStr">
        <is>
          <t>aberto · sem orçamento</t>
        </is>
      </c>
    </row>
    <row r="14">
      <c r="A14" t="inlineStr">
        <is>
          <t>Minha Jornada MRS – Jundiaí</t>
        </is>
      </c>
      <c r="B14" t="inlineStr">
        <is>
          <t>Ago</t>
        </is>
      </c>
      <c r="C14" s="10" t="n">
        <v>6503.8</v>
      </c>
      <c r="D14" s="10" t="n"/>
      <c r="E14" s="10" t="n">
        <v>0</v>
      </c>
      <c r="F14" s="10" t="n">
        <v>0</v>
      </c>
      <c r="G14" s="10">
        <f>C14+E14-F14</f>
        <v/>
      </c>
      <c r="H14" t="inlineStr">
        <is>
          <t>aberto · sem orçamento</t>
        </is>
      </c>
    </row>
    <row r="15">
      <c r="A15" t="inlineStr">
        <is>
          <t>Minha Jornada MRS – Santos</t>
        </is>
      </c>
      <c r="B15" t="inlineStr">
        <is>
          <t>Ago</t>
        </is>
      </c>
      <c r="C15" s="10" t="n">
        <v>8334.4</v>
      </c>
      <c r="D15" s="10" t="n"/>
      <c r="E15" s="10" t="n">
        <v>0</v>
      </c>
      <c r="F15" s="10" t="n">
        <v>8352.23</v>
      </c>
      <c r="G15" s="10">
        <f>C15+E15-F15</f>
        <v/>
      </c>
      <c r="H15" t="inlineStr">
        <is>
          <t>realizado na planilha (substituído)</t>
        </is>
      </c>
    </row>
    <row r="16">
      <c r="A16" t="inlineStr">
        <is>
          <t>Inauguração MRS Congonhas (07/08)</t>
        </is>
      </c>
      <c r="B16" t="inlineStr">
        <is>
          <t>Ago</t>
        </is>
      </c>
      <c r="C16" s="10" t="n">
        <v>62135.51</v>
      </c>
      <c r="D16" s="10" t="n">
        <v>110420.86</v>
      </c>
      <c r="E16" s="10">
        <f>-ROUND(D16*0.1633,2)</f>
        <v/>
      </c>
      <c r="F16" s="10" t="n">
        <v>0</v>
      </c>
      <c r="G16" s="10">
        <f>C16+E16-F16</f>
        <v/>
      </c>
      <c r="H16" t="inlineStr">
        <is>
          <t>aberto · sem orçamento · impostos calculados</t>
        </is>
      </c>
    </row>
    <row r="17">
      <c r="A17" t="inlineStr">
        <is>
          <t>MRS Rainbow Fest (08 e 22/08)</t>
        </is>
      </c>
      <c r="B17" t="inlineStr">
        <is>
          <t>Ago</t>
        </is>
      </c>
      <c r="C17" s="10" t="n">
        <v>8508.540000000001</v>
      </c>
      <c r="D17" s="10" t="n"/>
      <c r="E17" s="10" t="n">
        <v>0</v>
      </c>
      <c r="F17" s="10" t="n">
        <v>0</v>
      </c>
      <c r="G17" s="10">
        <f>C17+E17-F17</f>
        <v/>
      </c>
      <c r="H17" t="inlineStr">
        <is>
          <t>aberto · sem orçamento</t>
        </is>
      </c>
    </row>
    <row r="18">
      <c r="A18" t="inlineStr">
        <is>
          <t>Feirão da Casa Própria INC JF (21/08–28/09)</t>
        </is>
      </c>
      <c r="B18" t="inlineStr">
        <is>
          <t>Set</t>
        </is>
      </c>
      <c r="C18" s="10" t="n">
        <v>106101.5</v>
      </c>
      <c r="D18" s="10" t="n">
        <v>194732.17</v>
      </c>
      <c r="E18" s="10">
        <f>-ROUND(D18*0.1633,2)</f>
        <v/>
      </c>
      <c r="F18" s="10" t="n">
        <v>0</v>
      </c>
      <c r="G18" s="10">
        <f>C18+E18-F18</f>
        <v/>
      </c>
      <c r="H18" t="inlineStr">
        <is>
          <t>aberto · sem orçamento · impostos calculados</t>
        </is>
      </c>
    </row>
    <row r="19">
      <c r="A19" t="inlineStr">
        <is>
          <t>INC Live 440 JF (21/09)</t>
        </is>
      </c>
      <c r="B19" t="inlineStr">
        <is>
          <t>Set</t>
        </is>
      </c>
      <c r="C19" s="10" t="n">
        <v>43451.29</v>
      </c>
      <c r="D19" s="10" t="n"/>
      <c r="E19" s="10" t="n">
        <v>0</v>
      </c>
      <c r="F19" s="10" t="n">
        <v>0</v>
      </c>
      <c r="G19" s="10">
        <f>C19+E19-F19</f>
        <v/>
      </c>
      <c r="H19" t="inlineStr">
        <is>
          <t>aberto · sem orçamento</t>
        </is>
      </c>
    </row>
    <row r="20">
      <c r="A20" t="inlineStr">
        <is>
          <t>Extras INC</t>
        </is>
      </c>
      <c r="B20" t="inlineStr">
        <is>
          <t>Set</t>
        </is>
      </c>
      <c r="C20" s="10" t="n">
        <v>21391.65</v>
      </c>
      <c r="D20" s="10" t="n"/>
      <c r="E20" s="10" t="n">
        <v>0</v>
      </c>
      <c r="F20" s="10" t="n">
        <v>0</v>
      </c>
      <c r="G20" s="10">
        <f>C20+E20-F20</f>
        <v/>
      </c>
      <c r="H20" t="inlineStr">
        <is>
          <t>sem orçamento</t>
        </is>
      </c>
    </row>
    <row r="21">
      <c r="A21" t="inlineStr">
        <is>
          <t>JF Summit 2026 (agosto)</t>
        </is>
      </c>
      <c r="B21" t="inlineStr">
        <is>
          <t>Ago</t>
        </is>
      </c>
      <c r="C21" s="10" t="n">
        <v>410341.39</v>
      </c>
      <c r="D21" s="10" t="n"/>
      <c r="E21" s="10" t="n">
        <v>0</v>
      </c>
      <c r="F21" s="10" t="n">
        <v>0</v>
      </c>
      <c r="G21" s="10">
        <f>C21+E21-F21</f>
        <v/>
      </c>
      <c r="H21" t="inlineStr">
        <is>
          <t>aberto · aconteceu e foi orçado em agosto (fora do forecast)</t>
        </is>
      </c>
    </row>
    <row r="22">
      <c r="A22" t="inlineStr">
        <is>
          <t>Show do Frei Gilson (18/11)</t>
        </is>
      </c>
      <c r="H22" t="inlineStr">
        <is>
          <t>sem valor na lista · mantido como está (não orçado)</t>
        </is>
      </c>
    </row>
    <row r="24">
      <c r="A24" s="8" t="inlineStr">
        <is>
          <t>Efeito total no lucro da Feat</t>
        </is>
      </c>
      <c r="G24" s="11">
        <f>SUM(G7:G22)</f>
        <v/>
      </c>
    </row>
    <row r="25">
      <c r="A25" s="8" t="inlineStr">
        <is>
          <t>Lucro líquido Feat ajustado</t>
        </is>
      </c>
      <c r="G25" s="11">
        <f>C4+G24</f>
        <v/>
      </c>
    </row>
    <row r="26">
      <c r="A26" s="8" t="inlineStr">
        <is>
          <t>Efeito na Holding (50%)</t>
        </is>
      </c>
      <c r="G26" s="11">
        <f>G24*0.5</f>
        <v/>
      </c>
    </row>
    <row r="28">
      <c r="A28" t="inlineStr">
        <is>
          <t>JF Summit: aconteceu em agosto e estava orçada em agosto (R$ 400 mil antes dos impostos); como agosto entra pelos números reais, o valor da lista entra inteiro, sem trocar orçamento.</t>
        </is>
      </c>
    </row>
    <row r="29">
      <c r="A29" t="inlineStr">
        <is>
          <t>Festival de Verão (orçado R$ 700 mil) e Tudibaum (orçado R$ 200 mil): orçados em meses que o forecast já lê pelo realizado (fev–jul), por isso também entram inteiros.</t>
        </is>
      </c>
    </row>
    <row r="30">
      <c r="A30" t="inlineStr">
        <is>
          <t>Feirão da Casa Própria INC da lista = edição JF de 21/08 a 28/09 (aberta). A edição de maio (fechada, já na planilha) foi mantida.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Lucro líquido mensal 2026 (forecast), R$ — azul = orçado; laranja = mês com evento da lista (Feat)</t>
        </is>
      </c>
    </row>
    <row r="3">
      <c r="A3" s="2" t="inlineStr">
        <is>
          <t>Controlada</t>
        </is>
      </c>
      <c r="B3" s="2" t="inlineStr">
        <is>
          <t>Cota</t>
        </is>
      </c>
      <c r="C3" s="2" t="inlineStr">
        <is>
          <t>Jan</t>
        </is>
      </c>
      <c r="D3" s="2" t="inlineStr">
        <is>
          <t>Fev</t>
        </is>
      </c>
      <c r="E3" s="2" t="inlineStr">
        <is>
          <t>Mar</t>
        </is>
      </c>
      <c r="F3" s="2" t="inlineStr">
        <is>
          <t>Abr</t>
        </is>
      </c>
      <c r="G3" s="2" t="inlineStr">
        <is>
          <t>Mai</t>
        </is>
      </c>
      <c r="H3" s="2" t="inlineStr">
        <is>
          <t>Jun</t>
        </is>
      </c>
      <c r="I3" s="2" t="inlineStr">
        <is>
          <t>Jul</t>
        </is>
      </c>
      <c r="J3" s="2" t="inlineStr">
        <is>
          <t>Ago</t>
        </is>
      </c>
      <c r="K3" s="2" t="inlineStr">
        <is>
          <t>Set</t>
        </is>
      </c>
      <c r="L3" s="2" t="inlineStr">
        <is>
          <t>Out</t>
        </is>
      </c>
      <c r="M3" s="2" t="inlineStr">
        <is>
          <t>Nov</t>
        </is>
      </c>
      <c r="N3" s="2" t="inlineStr">
        <is>
          <t>Dez</t>
        </is>
      </c>
      <c r="O3" s="2" t="inlineStr">
        <is>
          <t>Total</t>
        </is>
      </c>
      <c r="P3" s="2" t="inlineStr">
        <is>
          <t>Holding</t>
        </is>
      </c>
    </row>
    <row r="4">
      <c r="A4" t="inlineStr">
        <is>
          <t>Viva Company</t>
        </is>
      </c>
      <c r="B4" s="3" t="n">
        <v>1</v>
      </c>
      <c r="C4" s="4" t="n">
        <v>508650.36</v>
      </c>
      <c r="D4" s="4" t="n">
        <v>218962.24</v>
      </c>
      <c r="E4" s="4" t="n">
        <v>322192.97</v>
      </c>
      <c r="F4" s="4" t="n">
        <v>302656.96</v>
      </c>
      <c r="G4" s="4" t="n">
        <v>311271.44</v>
      </c>
      <c r="H4" s="4" t="n">
        <v>364735.8</v>
      </c>
      <c r="I4" s="4" t="n">
        <v>533885.76</v>
      </c>
      <c r="J4" s="4" t="n">
        <v>369204.08</v>
      </c>
      <c r="K4" s="12" t="n">
        <v>515288.59</v>
      </c>
      <c r="L4" s="12" t="n">
        <v>472903.49</v>
      </c>
      <c r="M4" s="12" t="n">
        <v>584885.66</v>
      </c>
      <c r="N4" s="12" t="n">
        <v>634897.25</v>
      </c>
      <c r="O4" s="4">
        <f>SUM(C4:N4)</f>
        <v/>
      </c>
      <c r="P4" s="4">
        <f>O4*B4</f>
        <v/>
      </c>
    </row>
    <row r="5">
      <c r="A5" t="inlineStr">
        <is>
          <t>Uniticket</t>
        </is>
      </c>
      <c r="B5" s="3" t="n">
        <v>0.68</v>
      </c>
      <c r="C5" s="4" t="n">
        <v>43620.85</v>
      </c>
      <c r="D5" s="4" t="n">
        <v>74795.97</v>
      </c>
      <c r="E5" s="4" t="n">
        <v>109569.47</v>
      </c>
      <c r="F5" s="4" t="n">
        <v>15761.71</v>
      </c>
      <c r="G5" s="4" t="n">
        <v>73122.61</v>
      </c>
      <c r="H5" s="4" t="n">
        <v>91484.73</v>
      </c>
      <c r="I5" s="4" t="n">
        <v>56977.29</v>
      </c>
      <c r="J5" s="4" t="n">
        <v>142993.04</v>
      </c>
      <c r="K5" s="12" t="n">
        <v>99060</v>
      </c>
      <c r="L5" s="12" t="n">
        <v>76346.05</v>
      </c>
      <c r="M5" s="12" t="n">
        <v>117121.44</v>
      </c>
      <c r="N5" s="12" t="n">
        <v>110166.14</v>
      </c>
      <c r="O5" s="4">
        <f>SUM(C5:N5)</f>
        <v/>
      </c>
      <c r="P5" s="4">
        <f>O5*B5</f>
        <v/>
      </c>
    </row>
    <row r="6">
      <c r="A6" t="inlineStr">
        <is>
          <t>Young Med</t>
        </is>
      </c>
      <c r="B6" s="3" t="n">
        <v>0.5</v>
      </c>
      <c r="C6" s="4" t="n">
        <v>-39176.14</v>
      </c>
      <c r="D6" s="4" t="n">
        <v>-21267.72</v>
      </c>
      <c r="E6" s="4" t="n">
        <v>-5123.92</v>
      </c>
      <c r="F6" s="4" t="n">
        <v>-39840.37</v>
      </c>
      <c r="G6" s="4" t="n">
        <v>28341.09</v>
      </c>
      <c r="H6" s="4" t="n">
        <v>-29582.67</v>
      </c>
      <c r="I6" s="4" t="n">
        <v>-19329.02</v>
      </c>
      <c r="J6" s="4" t="n">
        <v>-25388.68</v>
      </c>
      <c r="K6" s="4" t="n">
        <v>877.88</v>
      </c>
      <c r="L6" s="12" t="n">
        <v>46334.7</v>
      </c>
      <c r="M6" s="12" t="n">
        <v>14379.36</v>
      </c>
      <c r="N6" s="12" t="n">
        <v>36760.22</v>
      </c>
      <c r="O6" s="4">
        <f>SUM(C6:N6)</f>
        <v/>
      </c>
      <c r="P6" s="4">
        <f>O6*B6</f>
        <v/>
      </c>
    </row>
    <row r="7">
      <c r="A7" t="inlineStr">
        <is>
          <t>Feat</t>
        </is>
      </c>
      <c r="B7" s="3" t="n">
        <v>0.5</v>
      </c>
      <c r="C7" s="4" t="n">
        <v>-38651.53</v>
      </c>
      <c r="D7" s="4" t="n">
        <v>211425.04</v>
      </c>
      <c r="E7" s="13" t="n">
        <v>854160.34</v>
      </c>
      <c r="F7" s="4" t="n">
        <v>144610.42</v>
      </c>
      <c r="G7" s="4" t="n">
        <v>89410.23</v>
      </c>
      <c r="H7" s="4" t="n">
        <v>195217.05</v>
      </c>
      <c r="I7" s="13" t="n">
        <v>-137651.67</v>
      </c>
      <c r="J7" s="13" t="n">
        <v>619839.47</v>
      </c>
      <c r="K7" s="13" t="n">
        <v>40583.07</v>
      </c>
      <c r="L7" s="12" t="n">
        <v>57693.35</v>
      </c>
      <c r="M7" s="12" t="n">
        <v>113347.1</v>
      </c>
      <c r="N7" s="12" t="n">
        <v>383523.07</v>
      </c>
      <c r="O7" s="4">
        <f>SUM(C7:N7)</f>
        <v/>
      </c>
      <c r="P7" s="4">
        <f>O7*B7</f>
        <v/>
      </c>
    </row>
    <row r="8">
      <c r="A8" t="inlineStr">
        <is>
          <t>Terrazzo</t>
        </is>
      </c>
      <c r="B8" s="3" t="n">
        <v>0.5</v>
      </c>
      <c r="C8" s="4" t="n">
        <v>-30438.24</v>
      </c>
      <c r="D8" s="4" t="n">
        <v>-141023.96</v>
      </c>
      <c r="E8" s="4" t="n">
        <v>-82820.99000000001</v>
      </c>
      <c r="F8" s="4" t="n">
        <v>-77720.59</v>
      </c>
      <c r="G8" s="4" t="n">
        <v>-77512.03999999999</v>
      </c>
      <c r="H8" s="4" t="n">
        <v>-94548.10000000001</v>
      </c>
      <c r="I8" s="4" t="n">
        <v>-98657.22</v>
      </c>
      <c r="J8" s="4" t="n">
        <v>47508.84</v>
      </c>
      <c r="K8" s="4" t="n">
        <v>60609.47</v>
      </c>
      <c r="L8" s="12" t="n">
        <v>-96900.75999999999</v>
      </c>
      <c r="M8" s="12" t="n">
        <v>-123694.78</v>
      </c>
      <c r="N8" s="12" t="n">
        <v>-2882.49</v>
      </c>
      <c r="O8" s="4">
        <f>SUM(C8:N8)</f>
        <v/>
      </c>
      <c r="P8" s="4">
        <f>O8*B8</f>
        <v/>
      </c>
    </row>
    <row r="9">
      <c r="A9" t="inlineStr">
        <is>
          <t>Sirena</t>
        </is>
      </c>
      <c r="B9" s="3" t="n">
        <v>0.5</v>
      </c>
      <c r="C9" s="4" t="n">
        <v>17391.27</v>
      </c>
      <c r="D9" s="4" t="n">
        <v>-953.46</v>
      </c>
      <c r="E9" s="4" t="n">
        <v>8513.91</v>
      </c>
      <c r="F9" s="4" t="n">
        <v>-11732.58</v>
      </c>
      <c r="G9" s="4" t="n">
        <v>-6755.34</v>
      </c>
      <c r="H9" s="4" t="n">
        <v>-10979.84</v>
      </c>
      <c r="I9" s="4" t="n">
        <v>3237.65</v>
      </c>
      <c r="J9" s="4" t="n">
        <v>5819.59</v>
      </c>
      <c r="K9" s="4" t="n">
        <v>2809.54</v>
      </c>
      <c r="L9" s="12" t="n">
        <v>-10796</v>
      </c>
      <c r="M9" s="12" t="n">
        <v>7965</v>
      </c>
      <c r="N9" s="12" t="n">
        <v>26560</v>
      </c>
      <c r="O9" s="4">
        <f>SUM(C9:N9)</f>
        <v/>
      </c>
      <c r="P9" s="4">
        <f>O9*B9</f>
        <v/>
      </c>
    </row>
    <row r="10">
      <c r="A10" t="inlineStr">
        <is>
          <t>Case Shows</t>
        </is>
      </c>
      <c r="B10" s="3" t="n">
        <v>0.25</v>
      </c>
      <c r="C10" s="4" t="n">
        <v>123212.32</v>
      </c>
      <c r="D10" s="4" t="n">
        <v>30744.3</v>
      </c>
      <c r="E10" s="4" t="n">
        <v>13205.97</v>
      </c>
      <c r="F10" s="4" t="n">
        <v>6919.05</v>
      </c>
      <c r="G10" s="4" t="n">
        <v>23599.08</v>
      </c>
      <c r="H10" s="4" t="n">
        <v>59401.91</v>
      </c>
      <c r="I10" s="4" t="n">
        <v>44019.36</v>
      </c>
      <c r="J10" s="4" t="n">
        <v>35653.36</v>
      </c>
      <c r="K10" s="4" t="n">
        <v>39066.64</v>
      </c>
      <c r="L10" s="12" t="n">
        <v>17138</v>
      </c>
      <c r="M10" s="12" t="n">
        <v>14380</v>
      </c>
      <c r="N10" s="12" t="n">
        <v>14969</v>
      </c>
      <c r="O10" s="4">
        <f>SUM(C10:N10)</f>
        <v/>
      </c>
      <c r="P10" s="4">
        <f>O10*B10</f>
        <v/>
      </c>
    </row>
    <row r="11">
      <c r="A11" s="5" t="inlineStr">
        <is>
          <t>Holding (equivalente)</t>
        </is>
      </c>
      <c r="B11" s="6" t="n"/>
      <c r="C11" s="7">
        <f>SUMPRODUCT($B$4:$B$10,C4:C10)</f>
        <v/>
      </c>
      <c r="D11" s="7">
        <f>SUMPRODUCT($B$4:$B$10,D4:D10)</f>
        <v/>
      </c>
      <c r="E11" s="7">
        <f>SUMPRODUCT($B$4:$B$10,E4:E10)</f>
        <v/>
      </c>
      <c r="F11" s="7">
        <f>SUMPRODUCT($B$4:$B$10,F4:F10)</f>
        <v/>
      </c>
      <c r="G11" s="7">
        <f>SUMPRODUCT($B$4:$B$10,G4:G10)</f>
        <v/>
      </c>
      <c r="H11" s="7">
        <f>SUMPRODUCT($B$4:$B$10,H4:H10)</f>
        <v/>
      </c>
      <c r="I11" s="7">
        <f>SUMPRODUCT($B$4:$B$10,I4:I10)</f>
        <v/>
      </c>
      <c r="J11" s="7">
        <f>SUMPRODUCT($B$4:$B$10,J4:J10)</f>
        <v/>
      </c>
      <c r="K11" s="7">
        <f>SUMPRODUCT($B$4:$B$10,K4:K10)</f>
        <v/>
      </c>
      <c r="L11" s="7">
        <f>SUMPRODUCT($B$4:$B$10,L4:L10)</f>
        <v/>
      </c>
      <c r="M11" s="7">
        <f>SUMPRODUCT($B$4:$B$10,M4:M10)</f>
        <v/>
      </c>
      <c r="N11" s="7">
        <f>SUMPRODUCT($B$4:$B$10,N4:N10)</f>
        <v/>
      </c>
      <c r="O11" s="6" t="n"/>
      <c r="P11" s="14">
        <f>SUM(P4:P10)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Viva Company — DRE resumida 2026, R$ (forecast; azul = orçado)</t>
        </is>
      </c>
    </row>
    <row r="2">
      <c r="A2" t="inlineStr">
        <is>
          <t>Planilhas (Resultados jan–ago + Orçamento set–dez)</t>
        </is>
      </c>
    </row>
    <row r="4">
      <c r="A4" s="2" t="inlineStr">
        <is>
          <t>Linha</t>
        </is>
      </c>
      <c r="B4" s="2" t="inlineStr">
        <is>
          <t>Jan</t>
        </is>
      </c>
      <c r="C4" s="2" t="inlineStr">
        <is>
          <t>Fev</t>
        </is>
      </c>
      <c r="D4" s="2" t="inlineStr">
        <is>
          <t>Mar</t>
        </is>
      </c>
      <c r="E4" s="2" t="inlineStr">
        <is>
          <t>Abr</t>
        </is>
      </c>
      <c r="F4" s="2" t="inlineStr">
        <is>
          <t>Mai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Ago</t>
        </is>
      </c>
      <c r="J4" s="2" t="inlineStr">
        <is>
          <t>Set</t>
        </is>
      </c>
      <c r="K4" s="2" t="inlineStr">
        <is>
          <t>Out</t>
        </is>
      </c>
      <c r="L4" s="2" t="inlineStr">
        <is>
          <t>Nov</t>
        </is>
      </c>
      <c r="M4" s="2" t="inlineStr">
        <is>
          <t>Dez</t>
        </is>
      </c>
      <c r="N4" s="2" t="inlineStr">
        <is>
          <t>Forecast</t>
        </is>
      </c>
      <c r="O4" s="2" t="inlineStr">
        <is>
          <t>Orçado ano</t>
        </is>
      </c>
      <c r="P4" s="2" t="inlineStr">
        <is>
          <t>Var.</t>
        </is>
      </c>
    </row>
    <row r="5">
      <c r="A5" t="inlineStr">
        <is>
          <t>Receita bruta</t>
        </is>
      </c>
      <c r="B5" s="4" t="n">
        <v>1686702.63</v>
      </c>
      <c r="C5" s="4" t="n">
        <v>1279880.24</v>
      </c>
      <c r="D5" s="4" t="n">
        <v>1452060.57</v>
      </c>
      <c r="E5" s="4" t="n">
        <v>1422561.48</v>
      </c>
      <c r="F5" s="4" t="n">
        <v>1596280.57</v>
      </c>
      <c r="G5" s="4" t="n">
        <v>1566051.96</v>
      </c>
      <c r="H5" s="4" t="n">
        <v>1647475.24</v>
      </c>
      <c r="I5" s="4" t="n">
        <v>1388629.29</v>
      </c>
      <c r="J5" s="12" t="n">
        <v>1809643.85</v>
      </c>
      <c r="K5" s="12" t="n">
        <v>1695611.26</v>
      </c>
      <c r="L5" s="12" t="n">
        <v>1819418.18</v>
      </c>
      <c r="M5" s="12" t="n">
        <v>2152391.47</v>
      </c>
      <c r="N5" s="4">
        <f>SUM(B5:M5)</f>
        <v/>
      </c>
      <c r="O5" s="4" t="n">
        <v>19211157.37</v>
      </c>
      <c r="P5" s="4">
        <f>N5-O5</f>
        <v/>
      </c>
    </row>
    <row r="6">
      <c r="A6" t="inlineStr">
        <is>
          <t>Deduções</t>
        </is>
      </c>
      <c r="B6" s="4" t="n">
        <v>-104494.82</v>
      </c>
      <c r="C6" s="4" t="n">
        <v>-75622.53999999999</v>
      </c>
      <c r="D6" s="4" t="n">
        <v>-80727.96000000001</v>
      </c>
      <c r="E6" s="4" t="n">
        <v>-78716.02</v>
      </c>
      <c r="F6" s="4" t="n">
        <v>-74576.06</v>
      </c>
      <c r="G6" s="4" t="n">
        <v>-187978.64</v>
      </c>
      <c r="H6" s="4" t="n">
        <v>-75289.38</v>
      </c>
      <c r="I6" s="4" t="n">
        <v>-61021.42</v>
      </c>
      <c r="J6" s="12" t="n">
        <v>-104507.44</v>
      </c>
      <c r="K6" s="12" t="n">
        <v>-90870.67999999999</v>
      </c>
      <c r="L6" s="12" t="n">
        <v>-99669.46000000001</v>
      </c>
      <c r="M6" s="12" t="n">
        <v>-130487.32</v>
      </c>
      <c r="N6" s="4">
        <f>SUM(B6:M6)</f>
        <v/>
      </c>
      <c r="O6" s="4" t="n">
        <v>-1084596.53</v>
      </c>
      <c r="P6" s="4">
        <f>N6-O6</f>
        <v/>
      </c>
    </row>
    <row r="7">
      <c r="A7" t="inlineStr">
        <is>
          <t>Receita líquida</t>
        </is>
      </c>
      <c r="B7" s="4" t="n">
        <v>1582207.81</v>
      </c>
      <c r="C7" s="4" t="n">
        <v>1204257.7</v>
      </c>
      <c r="D7" s="4" t="n">
        <v>1371332.6</v>
      </c>
      <c r="E7" s="4" t="n">
        <v>1343845.46</v>
      </c>
      <c r="F7" s="4" t="n">
        <v>1521704.51</v>
      </c>
      <c r="G7" s="4" t="n">
        <v>1378073.32</v>
      </c>
      <c r="H7" s="4" t="n">
        <v>1572185.87</v>
      </c>
      <c r="I7" s="4" t="n">
        <v>1327607.87</v>
      </c>
      <c r="J7" s="12" t="n">
        <v>1705136.41</v>
      </c>
      <c r="K7" s="12" t="n">
        <v>1604740.58</v>
      </c>
      <c r="L7" s="12" t="n">
        <v>1719748.72</v>
      </c>
      <c r="M7" s="12" t="n">
        <v>2021904.15</v>
      </c>
      <c r="N7" s="4">
        <f>SUM(B7:M7)</f>
        <v/>
      </c>
      <c r="O7" s="4" t="n">
        <v>18126560.84</v>
      </c>
      <c r="P7" s="4">
        <f>N7-O7</f>
        <v/>
      </c>
    </row>
    <row r="8">
      <c r="A8" t="inlineStr">
        <is>
          <t>Custos dos serviços</t>
        </is>
      </c>
      <c r="B8" s="4" t="n">
        <v>-75616.96000000001</v>
      </c>
      <c r="C8" s="4" t="n">
        <v>-46012.15</v>
      </c>
      <c r="D8" s="4" t="n">
        <v>-61394.78</v>
      </c>
      <c r="E8" s="4" t="n">
        <v>-52504.5</v>
      </c>
      <c r="F8" s="4" t="n">
        <v>-235852.36</v>
      </c>
      <c r="G8" s="4" t="n">
        <v>-30271.71</v>
      </c>
      <c r="H8" s="4" t="n">
        <v>-54339.31</v>
      </c>
      <c r="I8" s="4" t="n">
        <v>-14711.09</v>
      </c>
      <c r="J8" s="12" t="n">
        <v>-104472.69</v>
      </c>
      <c r="K8" s="12" t="n">
        <v>-34635.87</v>
      </c>
      <c r="L8" s="12" t="n">
        <v>-43396.79</v>
      </c>
      <c r="M8" s="12" t="n">
        <v>-54560.14</v>
      </c>
      <c r="N8" s="4">
        <f>SUM(B8:M8)</f>
        <v/>
      </c>
      <c r="O8" s="4" t="n">
        <v>-758542.47</v>
      </c>
      <c r="P8" s="4">
        <f>N8-O8</f>
        <v/>
      </c>
    </row>
    <row r="9">
      <c r="A9" t="inlineStr">
        <is>
          <t>Lucro bruto</t>
        </is>
      </c>
      <c r="B9" s="4" t="n">
        <v>1506590.84</v>
      </c>
      <c r="C9" s="4" t="n">
        <v>1158245.55</v>
      </c>
      <c r="D9" s="4" t="n">
        <v>1309937.83</v>
      </c>
      <c r="E9" s="4" t="n">
        <v>1291340.96</v>
      </c>
      <c r="F9" s="4" t="n">
        <v>1285852.14</v>
      </c>
      <c r="G9" s="4" t="n">
        <v>1347801.61</v>
      </c>
      <c r="H9" s="4" t="n">
        <v>1517846.55</v>
      </c>
      <c r="I9" s="4" t="n">
        <v>1312896.78</v>
      </c>
      <c r="J9" s="12" t="n">
        <v>1600663.72</v>
      </c>
      <c r="K9" s="12" t="n">
        <v>1570104.71</v>
      </c>
      <c r="L9" s="12" t="n">
        <v>1676351.93</v>
      </c>
      <c r="M9" s="12" t="n">
        <v>1967344</v>
      </c>
      <c r="N9" s="4">
        <f>SUM(B9:M9)</f>
        <v/>
      </c>
      <c r="O9" s="4" t="n">
        <v>17368018.37</v>
      </c>
      <c r="P9" s="4">
        <f>N9-O9</f>
        <v/>
      </c>
    </row>
    <row r="10">
      <c r="A10" t="inlineStr">
        <is>
          <t>Despesas operacionais</t>
        </is>
      </c>
      <c r="B10" s="4" t="n">
        <v>-840219.09</v>
      </c>
      <c r="C10" s="4" t="n">
        <v>-815784.65</v>
      </c>
      <c r="D10" s="4" t="n">
        <v>-837720.96</v>
      </c>
      <c r="E10" s="4" t="n">
        <v>-844375.58</v>
      </c>
      <c r="F10" s="4" t="n">
        <v>-838063.11</v>
      </c>
      <c r="G10" s="4" t="n">
        <v>-819946.91</v>
      </c>
      <c r="H10" s="4" t="n">
        <v>-827938.24</v>
      </c>
      <c r="I10" s="4" t="n">
        <v>-801762.4</v>
      </c>
      <c r="J10" s="12" t="n">
        <v>-893848.05</v>
      </c>
      <c r="K10" s="12" t="n">
        <v>-919747.22</v>
      </c>
      <c r="L10" s="12" t="n">
        <v>-901963.86</v>
      </c>
      <c r="M10" s="12" t="n">
        <v>-1115434.73</v>
      </c>
      <c r="N10" s="4">
        <f>SUM(B10:M10)</f>
        <v/>
      </c>
      <c r="O10" s="4" t="n">
        <v>-10882344.49</v>
      </c>
      <c r="P10" s="4">
        <f>N10-O10</f>
        <v/>
      </c>
    </row>
    <row r="11">
      <c r="A11" t="inlineStr">
        <is>
          <t>Lucro operacional</t>
        </is>
      </c>
      <c r="B11" s="4" t="n">
        <v>666371.75</v>
      </c>
      <c r="C11" s="4" t="n">
        <v>342460.9</v>
      </c>
      <c r="D11" s="4" t="n">
        <v>472216.87</v>
      </c>
      <c r="E11" s="4" t="n">
        <v>446965.38</v>
      </c>
      <c r="F11" s="4" t="n">
        <v>447789.03</v>
      </c>
      <c r="G11" s="4" t="n">
        <v>527854.7</v>
      </c>
      <c r="H11" s="4" t="n">
        <v>689908.3100000001</v>
      </c>
      <c r="I11" s="4" t="n">
        <v>511134.38</v>
      </c>
      <c r="J11" s="12" t="n">
        <v>706815.67</v>
      </c>
      <c r="K11" s="12" t="n">
        <v>650357.49</v>
      </c>
      <c r="L11" s="12" t="n">
        <v>774388.0699999999</v>
      </c>
      <c r="M11" s="12" t="n">
        <v>851909.27</v>
      </c>
      <c r="N11" s="4">
        <f>SUM(B11:M11)</f>
        <v/>
      </c>
      <c r="O11" s="4" t="n">
        <v>6485673.88</v>
      </c>
      <c r="P11" s="4">
        <f>N11-O11</f>
        <v/>
      </c>
    </row>
    <row r="12">
      <c r="A12" t="inlineStr">
        <is>
          <t>Receitas não operacionais</t>
        </is>
      </c>
      <c r="B12" s="4" t="n">
        <v>15584.31</v>
      </c>
      <c r="C12" s="4" t="n">
        <v>14237.36</v>
      </c>
      <c r="D12" s="4" t="n">
        <v>14183.15</v>
      </c>
      <c r="E12" s="4" t="n">
        <v>15216.83</v>
      </c>
      <c r="F12" s="4" t="n">
        <v>13209.71</v>
      </c>
      <c r="G12" s="4" t="n">
        <v>8721.030000000001</v>
      </c>
      <c r="H12" s="4" t="n">
        <v>17437.35</v>
      </c>
      <c r="I12" s="4" t="n">
        <v>11672.58</v>
      </c>
      <c r="J12" s="12" t="n">
        <v>21956.88</v>
      </c>
      <c r="K12" s="12" t="n">
        <v>21956.88</v>
      </c>
      <c r="L12" s="12" t="n">
        <v>21956.88</v>
      </c>
      <c r="M12" s="12" t="n">
        <v>21956.88</v>
      </c>
      <c r="N12" s="4">
        <f>SUM(B12:M12)</f>
        <v/>
      </c>
      <c r="O12" s="4" t="n">
        <v>263482.56</v>
      </c>
      <c r="P12" s="4">
        <f>N12-O12</f>
        <v/>
      </c>
    </row>
    <row r="13">
      <c r="A13" t="inlineStr">
        <is>
          <t>Resultado antes IR/CS</t>
        </is>
      </c>
      <c r="B13" s="4" t="n">
        <v>681956.0600000001</v>
      </c>
      <c r="C13" s="4" t="n">
        <v>356698.26</v>
      </c>
      <c r="D13" s="4" t="n">
        <v>486400.02</v>
      </c>
      <c r="E13" s="4" t="n">
        <v>462182.21</v>
      </c>
      <c r="F13" s="4" t="n">
        <v>460998.74</v>
      </c>
      <c r="G13" s="4" t="n">
        <v>536575.73</v>
      </c>
      <c r="H13" s="4" t="n">
        <v>707345.66</v>
      </c>
      <c r="I13" s="4" t="n">
        <v>522806.96</v>
      </c>
      <c r="J13" s="12" t="n">
        <v>728772.55</v>
      </c>
      <c r="K13" s="12" t="n">
        <v>672314.37</v>
      </c>
      <c r="L13" s="12" t="n">
        <v>796344.95</v>
      </c>
      <c r="M13" s="12" t="n">
        <v>873866.15</v>
      </c>
      <c r="N13" s="4">
        <f>SUM(B13:M13)</f>
        <v/>
      </c>
      <c r="O13" s="4" t="n">
        <v>6749156.44</v>
      </c>
      <c r="P13" s="4">
        <f>N13-O13</f>
        <v/>
      </c>
    </row>
    <row r="14">
      <c r="A14" t="inlineStr">
        <is>
          <t>IRPJ</t>
        </is>
      </c>
      <c r="B14" s="4" t="n">
        <v>-143908.21</v>
      </c>
      <c r="C14" s="4" t="n">
        <v>-116879.28</v>
      </c>
      <c r="D14" s="4" t="n">
        <v>-142948.1</v>
      </c>
      <c r="E14" s="4" t="n">
        <v>-136789.48</v>
      </c>
      <c r="F14" s="4" t="n">
        <v>-128916.59</v>
      </c>
      <c r="G14" s="4" t="n">
        <v>-145561.71</v>
      </c>
      <c r="H14" s="4" t="n">
        <v>-145719.75</v>
      </c>
      <c r="I14" s="4" t="n">
        <v>-131901.66</v>
      </c>
      <c r="J14" s="12" t="n">
        <v>-180916.2</v>
      </c>
      <c r="K14" s="12" t="n">
        <v>-172432.74</v>
      </c>
      <c r="L14" s="12" t="n">
        <v>-182074.97</v>
      </c>
      <c r="M14" s="12" t="n">
        <v>-200689.79</v>
      </c>
      <c r="N14" s="4">
        <f>SUM(B14:M14)</f>
        <v/>
      </c>
      <c r="O14" s="4" t="n">
        <v>-1878392.99</v>
      </c>
      <c r="P14" s="4">
        <f>N14-O14</f>
        <v/>
      </c>
    </row>
    <row r="15">
      <c r="A15" t="inlineStr">
        <is>
          <t>CSLL</t>
        </is>
      </c>
      <c r="B15" s="4" t="n">
        <v>-29397.49</v>
      </c>
      <c r="C15" s="4" t="n">
        <v>-20856.74</v>
      </c>
      <c r="D15" s="4" t="n">
        <v>-21258.95</v>
      </c>
      <c r="E15" s="4" t="n">
        <v>-22735.77</v>
      </c>
      <c r="F15" s="4" t="n">
        <v>-20810.71</v>
      </c>
      <c r="G15" s="4" t="n">
        <v>-26278.22</v>
      </c>
      <c r="H15" s="4" t="n">
        <v>-27740.15</v>
      </c>
      <c r="I15" s="4" t="n">
        <v>-21701.22</v>
      </c>
      <c r="J15" s="12" t="n">
        <v>-32567.76</v>
      </c>
      <c r="K15" s="12" t="n">
        <v>-26978.15</v>
      </c>
      <c r="L15" s="12" t="n">
        <v>-29384.32</v>
      </c>
      <c r="M15" s="12" t="n">
        <v>-38279.11</v>
      </c>
      <c r="N15" s="4">
        <f>SUM(B15:M15)</f>
        <v/>
      </c>
      <c r="O15" s="4" t="n">
        <v>-319757.02</v>
      </c>
      <c r="P15" s="4">
        <f>N15-O15</f>
        <v/>
      </c>
    </row>
    <row r="16">
      <c r="A16" s="5" t="inlineStr">
        <is>
          <t>Lucro líquido</t>
        </is>
      </c>
      <c r="B16" s="7" t="n">
        <v>508650.36</v>
      </c>
      <c r="C16" s="7" t="n">
        <v>218962.24</v>
      </c>
      <c r="D16" s="7" t="n">
        <v>322192.97</v>
      </c>
      <c r="E16" s="7" t="n">
        <v>302656.96</v>
      </c>
      <c r="F16" s="7" t="n">
        <v>311271.44</v>
      </c>
      <c r="G16" s="7" t="n">
        <v>364735.8</v>
      </c>
      <c r="H16" s="7" t="n">
        <v>533885.76</v>
      </c>
      <c r="I16" s="7" t="n">
        <v>369204.08</v>
      </c>
      <c r="J16" s="7" t="n">
        <v>515288.59</v>
      </c>
      <c r="K16" s="7" t="n">
        <v>472903.49</v>
      </c>
      <c r="L16" s="7" t="n">
        <v>584885.66</v>
      </c>
      <c r="M16" s="7" t="n">
        <v>634897.25</v>
      </c>
      <c r="N16" s="7">
        <f>SUM(B16:M16)</f>
        <v/>
      </c>
      <c r="O16" s="7" t="n">
        <v>4551006.43</v>
      </c>
      <c r="P16" s="7">
        <f>N16-O16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Uniticket — DRE resumida 2026, R$ (forecast; azul = orçado)</t>
        </is>
      </c>
    </row>
    <row r="2">
      <c r="A2" t="inlineStr">
        <is>
          <t>Planilha (DRE 2026 jan–ago + Orçamento set–dez)</t>
        </is>
      </c>
    </row>
    <row r="4">
      <c r="A4" s="2" t="inlineStr">
        <is>
          <t>Linha</t>
        </is>
      </c>
      <c r="B4" s="2" t="inlineStr">
        <is>
          <t>Jan</t>
        </is>
      </c>
      <c r="C4" s="2" t="inlineStr">
        <is>
          <t>Fev</t>
        </is>
      </c>
      <c r="D4" s="2" t="inlineStr">
        <is>
          <t>Mar</t>
        </is>
      </c>
      <c r="E4" s="2" t="inlineStr">
        <is>
          <t>Abr</t>
        </is>
      </c>
      <c r="F4" s="2" t="inlineStr">
        <is>
          <t>Mai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Ago</t>
        </is>
      </c>
      <c r="J4" s="2" t="inlineStr">
        <is>
          <t>Set</t>
        </is>
      </c>
      <c r="K4" s="2" t="inlineStr">
        <is>
          <t>Out</t>
        </is>
      </c>
      <c r="L4" s="2" t="inlineStr">
        <is>
          <t>Nov</t>
        </is>
      </c>
      <c r="M4" s="2" t="inlineStr">
        <is>
          <t>Dez</t>
        </is>
      </c>
      <c r="N4" s="2" t="inlineStr">
        <is>
          <t>Forecast</t>
        </is>
      </c>
      <c r="O4" s="2" t="inlineStr">
        <is>
          <t>Orçado ano</t>
        </is>
      </c>
      <c r="P4" s="2" t="inlineStr">
        <is>
          <t>Var.</t>
        </is>
      </c>
    </row>
    <row r="5">
      <c r="A5" t="inlineStr">
        <is>
          <t>Receita bruta</t>
        </is>
      </c>
      <c r="B5" s="4" t="n">
        <v>276257.97</v>
      </c>
      <c r="C5" s="4" t="n">
        <v>302537.98</v>
      </c>
      <c r="D5" s="4" t="n">
        <v>297990.92</v>
      </c>
      <c r="E5" s="4" t="n">
        <v>235626.88</v>
      </c>
      <c r="F5" s="4" t="n">
        <v>242586.46</v>
      </c>
      <c r="G5" s="4" t="n">
        <v>283604.11</v>
      </c>
      <c r="H5" s="4" t="n">
        <v>305701.16</v>
      </c>
      <c r="I5" s="4" t="n">
        <v>414516.74</v>
      </c>
      <c r="J5" s="12" t="n">
        <v>339417.39</v>
      </c>
      <c r="K5" s="12" t="n">
        <v>327122.5</v>
      </c>
      <c r="L5" s="12" t="n">
        <v>383439.94</v>
      </c>
      <c r="M5" s="12" t="n">
        <v>402871.03</v>
      </c>
      <c r="N5" s="4">
        <f>SUM(B5:M5)</f>
        <v/>
      </c>
      <c r="O5" s="4" t="n">
        <v>4129172.93</v>
      </c>
      <c r="P5" s="4">
        <f>N5-O5</f>
        <v/>
      </c>
    </row>
    <row r="6">
      <c r="A6" t="inlineStr">
        <is>
          <t>Deduções</t>
        </is>
      </c>
      <c r="B6" s="4" t="n">
        <v>-40017.8</v>
      </c>
      <c r="C6" s="4" t="n">
        <v>-39398.19</v>
      </c>
      <c r="D6" s="4" t="n">
        <v>-27355.42</v>
      </c>
      <c r="E6" s="4" t="n">
        <v>-36236.73</v>
      </c>
      <c r="F6" s="4" t="n">
        <v>-28528.1</v>
      </c>
      <c r="G6" s="4" t="n">
        <v>-39028.04</v>
      </c>
      <c r="H6" s="4" t="n">
        <v>-43587.67</v>
      </c>
      <c r="I6" s="4" t="n">
        <v>-28063.11</v>
      </c>
      <c r="J6" s="12" t="n">
        <v>-43783.79</v>
      </c>
      <c r="K6" s="12" t="n">
        <v>-41555.75</v>
      </c>
      <c r="L6" s="12" t="n">
        <v>-51494</v>
      </c>
      <c r="M6" s="12" t="n">
        <v>-54327.97</v>
      </c>
      <c r="N6" s="4">
        <f>SUM(B6:M6)</f>
        <v/>
      </c>
      <c r="O6" s="4" t="n">
        <v>-523366.2</v>
      </c>
      <c r="P6" s="4">
        <f>N6-O6</f>
        <v/>
      </c>
    </row>
    <row r="7">
      <c r="A7" t="inlineStr">
        <is>
          <t>Receita líquida</t>
        </is>
      </c>
      <c r="B7" s="4" t="n">
        <v>236240.17</v>
      </c>
      <c r="C7" s="4" t="n">
        <v>263139.79</v>
      </c>
      <c r="D7" s="4" t="n">
        <v>270635.5</v>
      </c>
      <c r="E7" s="4" t="n">
        <v>199390.15</v>
      </c>
      <c r="F7" s="4" t="n">
        <v>214058.36</v>
      </c>
      <c r="G7" s="4" t="n">
        <v>244576.07</v>
      </c>
      <c r="H7" s="4" t="n">
        <v>262113.49</v>
      </c>
      <c r="I7" s="4" t="n">
        <v>386453.63</v>
      </c>
      <c r="J7" s="12" t="n">
        <v>295633.6</v>
      </c>
      <c r="K7" s="12" t="n">
        <v>285566.75</v>
      </c>
      <c r="L7" s="12" t="n">
        <v>331945.93</v>
      </c>
      <c r="M7" s="12" t="n">
        <v>348543.06</v>
      </c>
      <c r="N7" s="4">
        <f>SUM(B7:M7)</f>
        <v/>
      </c>
      <c r="O7" s="4" t="n">
        <v>3605806.73</v>
      </c>
      <c r="P7" s="4">
        <f>N7-O7</f>
        <v/>
      </c>
    </row>
    <row r="8">
      <c r="A8" t="inlineStr">
        <is>
          <t>Custos dos serviços</t>
        </is>
      </c>
      <c r="B8" s="4" t="n">
        <v>-65505.12</v>
      </c>
      <c r="C8" s="4" t="n">
        <v>-73305.13</v>
      </c>
      <c r="D8" s="4" t="n">
        <v>-69757.14</v>
      </c>
      <c r="E8" s="4" t="n">
        <v>-56260.37</v>
      </c>
      <c r="F8" s="4" t="n">
        <v>-54369.77</v>
      </c>
      <c r="G8" s="4" t="n">
        <v>-73768.21000000001</v>
      </c>
      <c r="H8" s="4" t="n">
        <v>-76154.49000000001</v>
      </c>
      <c r="I8" s="4" t="n">
        <v>-110740.75</v>
      </c>
      <c r="J8" s="12" t="n">
        <v>-73754.21000000001</v>
      </c>
      <c r="K8" s="12" t="n">
        <v>-71846.78999999999</v>
      </c>
      <c r="L8" s="12" t="n">
        <v>-83958.92999999999</v>
      </c>
      <c r="M8" s="12" t="n">
        <v>-88444.44</v>
      </c>
      <c r="N8" s="4">
        <f>SUM(B8:M8)</f>
        <v/>
      </c>
      <c r="O8" s="4" t="n">
        <v>-904760.1800000001</v>
      </c>
      <c r="P8" s="4">
        <f>N8-O8</f>
        <v/>
      </c>
    </row>
    <row r="9">
      <c r="A9" t="inlineStr">
        <is>
          <t>Lucro bruto</t>
        </is>
      </c>
      <c r="B9" s="4" t="n">
        <v>170735.05</v>
      </c>
      <c r="C9" s="4" t="n">
        <v>189834.66</v>
      </c>
      <c r="D9" s="4" t="n">
        <v>200878.36</v>
      </c>
      <c r="E9" s="4" t="n">
        <v>143129.78</v>
      </c>
      <c r="F9" s="4" t="n">
        <v>159688.59</v>
      </c>
      <c r="G9" s="4" t="n">
        <v>170807.86</v>
      </c>
      <c r="H9" s="4" t="n">
        <v>185959</v>
      </c>
      <c r="I9" s="4" t="n">
        <v>275712.88</v>
      </c>
      <c r="J9" s="12" t="n">
        <v>221879.39</v>
      </c>
      <c r="K9" s="12" t="n">
        <v>213719.96</v>
      </c>
      <c r="L9" s="12" t="n">
        <v>247987</v>
      </c>
      <c r="M9" s="12" t="n">
        <v>260098.62</v>
      </c>
      <c r="N9" s="4">
        <f>SUM(B9:M9)</f>
        <v/>
      </c>
      <c r="O9" s="4" t="n">
        <v>2701046.54</v>
      </c>
      <c r="P9" s="4">
        <f>N9-O9</f>
        <v/>
      </c>
    </row>
    <row r="10">
      <c r="A10" t="inlineStr">
        <is>
          <t>Despesas operacionais</t>
        </is>
      </c>
      <c r="B10" s="4" t="n">
        <v>-112856.77</v>
      </c>
      <c r="C10" s="4" t="n">
        <v>-116364.79</v>
      </c>
      <c r="D10" s="4" t="n">
        <v>-94723.74000000001</v>
      </c>
      <c r="E10" s="4" t="n">
        <v>-127896.35</v>
      </c>
      <c r="F10" s="4" t="n">
        <v>-87178.47</v>
      </c>
      <c r="G10" s="4" t="n">
        <v>-79811.64999999999</v>
      </c>
      <c r="H10" s="4" t="n">
        <v>-133299.76</v>
      </c>
      <c r="I10" s="4" t="n">
        <v>-121493.36</v>
      </c>
      <c r="J10" s="12" t="n">
        <v>-122819.39</v>
      </c>
      <c r="K10" s="12" t="n">
        <v>-137373.91</v>
      </c>
      <c r="L10" s="12" t="n">
        <v>-130865.56</v>
      </c>
      <c r="M10" s="12" t="n">
        <v>-149932.47</v>
      </c>
      <c r="N10" s="4">
        <f>SUM(B10:M10)</f>
        <v/>
      </c>
      <c r="O10" s="4" t="n">
        <v>-1517673.67</v>
      </c>
      <c r="P10" s="4">
        <f>N10-O10</f>
        <v/>
      </c>
    </row>
    <row r="11">
      <c r="A11" t="inlineStr">
        <is>
          <t>Receita financeira</t>
        </is>
      </c>
      <c r="B11" s="4" t="n">
        <v>8341.450000000001</v>
      </c>
      <c r="C11" s="4" t="n">
        <v>2824.67</v>
      </c>
      <c r="D11" s="4" t="n">
        <v>4494.84</v>
      </c>
      <c r="E11" s="4" t="n">
        <v>871.29</v>
      </c>
      <c r="F11" s="4" t="n">
        <v>294.24</v>
      </c>
      <c r="G11" s="4" t="n">
        <v>31.08</v>
      </c>
      <c r="H11" s="4" t="n">
        <v>3673.66</v>
      </c>
      <c r="I11" s="4" t="n">
        <v>476.16</v>
      </c>
      <c r="J11" s="12" t="n">
        <v>0</v>
      </c>
      <c r="K11" s="12" t="n">
        <v>0</v>
      </c>
      <c r="L11" s="12" t="n">
        <v>0</v>
      </c>
      <c r="M11" s="12" t="n">
        <v>0</v>
      </c>
      <c r="N11" s="4">
        <f>SUM(B11:M11)</f>
        <v/>
      </c>
      <c r="O11" s="4" t="n">
        <v>0</v>
      </c>
      <c r="P11" s="4">
        <f>N11-O11</f>
        <v/>
      </c>
    </row>
    <row r="12">
      <c r="A12" t="inlineStr">
        <is>
          <t>Lucro operacional</t>
        </is>
      </c>
      <c r="B12" s="4" t="n">
        <v>66219.73</v>
      </c>
      <c r="C12" s="4" t="n">
        <v>76294.53999999999</v>
      </c>
      <c r="D12" s="4" t="n">
        <v>110649.46</v>
      </c>
      <c r="E12" s="4" t="n">
        <v>16104.72</v>
      </c>
      <c r="F12" s="4" t="n">
        <v>72804.36</v>
      </c>
      <c r="G12" s="4" t="n">
        <v>91027.28999999999</v>
      </c>
      <c r="H12" s="4" t="n">
        <v>56332.9</v>
      </c>
      <c r="I12" s="4" t="n">
        <v>154695.68</v>
      </c>
      <c r="J12" s="12" t="n">
        <v>99060</v>
      </c>
      <c r="K12" s="12" t="n">
        <v>76346.05</v>
      </c>
      <c r="L12" s="12" t="n">
        <v>117121.44</v>
      </c>
      <c r="M12" s="12" t="n">
        <v>110166.14</v>
      </c>
      <c r="N12" s="4">
        <f>SUM(B12:M12)</f>
        <v/>
      </c>
      <c r="O12" s="4" t="n">
        <v>1183372.87</v>
      </c>
      <c r="P12" s="4">
        <f>N12-O12</f>
        <v/>
      </c>
    </row>
    <row r="13">
      <c r="A13" t="inlineStr">
        <is>
          <t>Receitas não operacionais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509.43</v>
      </c>
      <c r="G13" s="4" t="n">
        <v>476.73</v>
      </c>
      <c r="H13" s="4" t="n">
        <v>650.72</v>
      </c>
      <c r="I13" s="4" t="n">
        <v>906.01</v>
      </c>
      <c r="J13" s="12" t="n">
        <v>0</v>
      </c>
      <c r="K13" s="12" t="n">
        <v>0</v>
      </c>
      <c r="L13" s="12" t="n">
        <v>0</v>
      </c>
      <c r="M13" s="12" t="n">
        <v>0</v>
      </c>
      <c r="N13" s="4">
        <f>SUM(B13:M13)</f>
        <v/>
      </c>
      <c r="O13" s="4" t="n">
        <v>0</v>
      </c>
      <c r="P13" s="4">
        <f>N13-O13</f>
        <v/>
      </c>
    </row>
    <row r="14">
      <c r="A14" t="inlineStr">
        <is>
          <t>Resultado antes IR/CS</t>
        </is>
      </c>
      <c r="B14" s="4" t="n">
        <v>66219.73</v>
      </c>
      <c r="C14" s="4" t="n">
        <v>76294.53999999999</v>
      </c>
      <c r="D14" s="4" t="n">
        <v>110649.46</v>
      </c>
      <c r="E14" s="4" t="n">
        <v>16104.72</v>
      </c>
      <c r="F14" s="4" t="n">
        <v>73313.78999999999</v>
      </c>
      <c r="G14" s="4" t="n">
        <v>91504.02</v>
      </c>
      <c r="H14" s="4" t="n">
        <v>56983.62</v>
      </c>
      <c r="I14" s="4" t="n">
        <v>155601.69</v>
      </c>
      <c r="J14" s="12" t="n">
        <v>99060</v>
      </c>
      <c r="K14" s="12" t="n">
        <v>76346.05</v>
      </c>
      <c r="L14" s="12" t="n">
        <v>117121.44</v>
      </c>
      <c r="M14" s="12" t="n">
        <v>110166.14</v>
      </c>
      <c r="N14" s="4">
        <f>SUM(B14:M14)</f>
        <v/>
      </c>
      <c r="O14" s="4" t="n">
        <v>1183372.87</v>
      </c>
      <c r="P14" s="4">
        <f>N14-O14</f>
        <v/>
      </c>
    </row>
    <row r="15">
      <c r="A15" t="inlineStr">
        <is>
          <t>IRPJ</t>
        </is>
      </c>
      <c r="B15" s="4" t="n">
        <v>-2473.88</v>
      </c>
      <c r="C15" s="4" t="n">
        <v>-748.5700000000001</v>
      </c>
      <c r="D15" s="4" t="n">
        <v>-1079.99</v>
      </c>
      <c r="E15" s="4" t="n">
        <v>-343.01</v>
      </c>
      <c r="F15" s="4" t="n">
        <v>-191.18</v>
      </c>
      <c r="G15" s="4" t="n">
        <v>-19.29</v>
      </c>
      <c r="H15" s="4" t="n">
        <v>-6.33</v>
      </c>
      <c r="I15" s="4" t="n">
        <v>-8.65</v>
      </c>
      <c r="J15" s="12" t="n">
        <v>0</v>
      </c>
      <c r="K15" s="12" t="n">
        <v>0</v>
      </c>
      <c r="L15" s="12" t="n">
        <v>0</v>
      </c>
      <c r="M15" s="12" t="n">
        <v>0</v>
      </c>
      <c r="N15" s="4">
        <f>SUM(B15:M15)</f>
        <v/>
      </c>
      <c r="O15" s="4" t="n">
        <v>0</v>
      </c>
      <c r="P15" s="4">
        <f>N15-O15</f>
        <v/>
      </c>
    </row>
    <row r="16">
      <c r="A16" t="inlineStr">
        <is>
          <t>CSLL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4">
        <f>SUM(B16:M16)</f>
        <v/>
      </c>
      <c r="O16" s="4" t="n">
        <v>0</v>
      </c>
      <c r="P16" s="4">
        <f>N16-O16</f>
        <v/>
      </c>
    </row>
    <row r="17">
      <c r="A17" t="inlineStr">
        <is>
          <t>Resultado após IR/CS</t>
        </is>
      </c>
      <c r="B17" s="4" t="n">
        <v>63745.85</v>
      </c>
      <c r="C17" s="4" t="n">
        <v>75545.97</v>
      </c>
      <c r="D17" s="4" t="n">
        <v>109569.47</v>
      </c>
      <c r="E17" s="4" t="n">
        <v>15761.71</v>
      </c>
      <c r="F17" s="4" t="n">
        <v>73122.61</v>
      </c>
      <c r="G17" s="4" t="n">
        <v>91484.73</v>
      </c>
      <c r="H17" s="4" t="n">
        <v>56977.29</v>
      </c>
      <c r="I17" s="4" t="n">
        <v>155593.04</v>
      </c>
      <c r="J17" s="12" t="n">
        <v>99060</v>
      </c>
      <c r="K17" s="12" t="n">
        <v>76346.05</v>
      </c>
      <c r="L17" s="12" t="n">
        <v>117121.44</v>
      </c>
      <c r="M17" s="12" t="n">
        <v>110166.14</v>
      </c>
      <c r="N17" s="4">
        <f>SUM(B17:M17)</f>
        <v/>
      </c>
      <c r="O17" s="4" t="n">
        <v>1183372.87</v>
      </c>
      <c r="P17" s="4">
        <f>N17-O17</f>
        <v/>
      </c>
    </row>
    <row r="18">
      <c r="A18" t="inlineStr">
        <is>
          <t>Participações</t>
        </is>
      </c>
      <c r="B18" s="4" t="n">
        <v>-20125</v>
      </c>
      <c r="C18" s="4" t="n">
        <v>-750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-12600</v>
      </c>
      <c r="J18" s="12" t="n">
        <v>0</v>
      </c>
      <c r="K18" s="12" t="n">
        <v>0</v>
      </c>
      <c r="L18" s="12" t="n">
        <v>0</v>
      </c>
      <c r="M18" s="12" t="n">
        <v>0</v>
      </c>
      <c r="N18" s="4">
        <f>SUM(B18:M18)</f>
        <v/>
      </c>
      <c r="O18" s="4" t="n">
        <v>0</v>
      </c>
      <c r="P18" s="4">
        <f>N18-O18</f>
        <v/>
      </c>
    </row>
    <row r="19">
      <c r="A19" s="5" t="inlineStr">
        <is>
          <t>Lucro líquido</t>
        </is>
      </c>
      <c r="B19" s="7" t="n">
        <v>43620.85</v>
      </c>
      <c r="C19" s="7" t="n">
        <v>74795.97</v>
      </c>
      <c r="D19" s="7" t="n">
        <v>109569.47</v>
      </c>
      <c r="E19" s="7" t="n">
        <v>15761.71</v>
      </c>
      <c r="F19" s="7" t="n">
        <v>73122.61</v>
      </c>
      <c r="G19" s="7" t="n">
        <v>91484.73</v>
      </c>
      <c r="H19" s="7" t="n">
        <v>56977.29</v>
      </c>
      <c r="I19" s="7" t="n">
        <v>142993.04</v>
      </c>
      <c r="J19" s="7" t="n">
        <v>99060</v>
      </c>
      <c r="K19" s="7" t="n">
        <v>76346.05</v>
      </c>
      <c r="L19" s="7" t="n">
        <v>117121.44</v>
      </c>
      <c r="M19" s="7" t="n">
        <v>110166.14</v>
      </c>
      <c r="N19" s="7">
        <f>SUM(B19:M19)</f>
        <v/>
      </c>
      <c r="O19" s="7" t="n">
        <v>1183372.87</v>
      </c>
      <c r="P19" s="7">
        <f>N19-O19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Young Med — DRE resumida 2026, R$ (forecast; azul = orçado)</t>
        </is>
      </c>
    </row>
    <row r="2">
      <c r="A2" t="inlineStr">
        <is>
          <t>Control Hub · Budget e Forecast › Projeção (mês atual como orçado)</t>
        </is>
      </c>
    </row>
    <row r="4">
      <c r="A4" s="2" t="inlineStr">
        <is>
          <t>Linha</t>
        </is>
      </c>
      <c r="B4" s="2" t="inlineStr">
        <is>
          <t>Jan</t>
        </is>
      </c>
      <c r="C4" s="2" t="inlineStr">
        <is>
          <t>Fev</t>
        </is>
      </c>
      <c r="D4" s="2" t="inlineStr">
        <is>
          <t>Mar</t>
        </is>
      </c>
      <c r="E4" s="2" t="inlineStr">
        <is>
          <t>Abr</t>
        </is>
      </c>
      <c r="F4" s="2" t="inlineStr">
        <is>
          <t>Mai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Ago</t>
        </is>
      </c>
      <c r="J4" s="2" t="inlineStr">
        <is>
          <t>Set</t>
        </is>
      </c>
      <c r="K4" s="2" t="inlineStr">
        <is>
          <t>Out</t>
        </is>
      </c>
      <c r="L4" s="2" t="inlineStr">
        <is>
          <t>Nov</t>
        </is>
      </c>
      <c r="M4" s="2" t="inlineStr">
        <is>
          <t>Dez</t>
        </is>
      </c>
      <c r="N4" s="2" t="inlineStr">
        <is>
          <t>Forecast</t>
        </is>
      </c>
      <c r="O4" s="2" t="inlineStr">
        <is>
          <t>Orçado ano</t>
        </is>
      </c>
      <c r="P4" s="2" t="inlineStr">
        <is>
          <t>Var.</t>
        </is>
      </c>
    </row>
    <row r="5">
      <c r="A5" t="inlineStr">
        <is>
          <t>Receita bruta</t>
        </is>
      </c>
      <c r="B5" s="4" t="n">
        <v>10405.4</v>
      </c>
      <c r="C5" s="4" t="n">
        <v>33627.57</v>
      </c>
      <c r="D5" s="4" t="n">
        <v>38782.43</v>
      </c>
      <c r="E5" s="4" t="n">
        <v>13682.4</v>
      </c>
      <c r="F5" s="4" t="n">
        <v>77465.8</v>
      </c>
      <c r="G5" s="4" t="n">
        <v>19000</v>
      </c>
      <c r="H5" s="4" t="n">
        <v>28028.2</v>
      </c>
      <c r="I5" s="4" t="n">
        <v>19431.37</v>
      </c>
      <c r="J5" s="4" t="n">
        <v>55652.75</v>
      </c>
      <c r="K5" s="12" t="n">
        <v>116511.75</v>
      </c>
      <c r="L5" s="12" t="n">
        <v>81381.75</v>
      </c>
      <c r="M5" s="12" t="n">
        <v>99356.75</v>
      </c>
      <c r="N5" s="4">
        <f>SUM(B5:M5)</f>
        <v/>
      </c>
      <c r="O5" s="4" t="n">
        <v>676079.29</v>
      </c>
      <c r="P5" s="4">
        <f>N5-O5</f>
        <v/>
      </c>
    </row>
    <row r="6">
      <c r="A6" t="inlineStr">
        <is>
          <t>Deduções</t>
        </is>
      </c>
      <c r="B6" s="4" t="n">
        <v>-182.42</v>
      </c>
      <c r="C6" s="4" t="n">
        <v>-277.37</v>
      </c>
      <c r="D6" s="4" t="n">
        <v>-7539.24</v>
      </c>
      <c r="E6" s="4" t="n">
        <v>-310.94</v>
      </c>
      <c r="F6" s="4" t="n">
        <v>-432.95</v>
      </c>
      <c r="G6" s="4" t="n">
        <v>-6840</v>
      </c>
      <c r="H6" s="4" t="n">
        <v>-1816.68</v>
      </c>
      <c r="I6" s="4" t="n">
        <v>-2302.59</v>
      </c>
      <c r="J6" s="4" t="n">
        <v>-1502.7</v>
      </c>
      <c r="K6" s="12" t="n">
        <v>-9768.85</v>
      </c>
      <c r="L6" s="12" t="n">
        <v>-12424.06</v>
      </c>
      <c r="M6" s="12" t="n">
        <v>-9506.57</v>
      </c>
      <c r="N6" s="4">
        <f>SUM(B6:M6)</f>
        <v/>
      </c>
      <c r="O6" s="4" t="n">
        <v>-55980.64</v>
      </c>
      <c r="P6" s="4">
        <f>N6-O6</f>
        <v/>
      </c>
    </row>
    <row r="7">
      <c r="A7" t="inlineStr">
        <is>
          <t>Receita líquida</t>
        </is>
      </c>
      <c r="B7" s="4" t="n">
        <v>10222.98</v>
      </c>
      <c r="C7" s="4" t="n">
        <v>33350.2</v>
      </c>
      <c r="D7" s="4" t="n">
        <v>31243.19</v>
      </c>
      <c r="E7" s="4" t="n">
        <v>13371.46</v>
      </c>
      <c r="F7" s="4" t="n">
        <v>77032.85000000001</v>
      </c>
      <c r="G7" s="4" t="n">
        <v>12160</v>
      </c>
      <c r="H7" s="4" t="n">
        <v>26211.52</v>
      </c>
      <c r="I7" s="4" t="n">
        <v>17128.78</v>
      </c>
      <c r="J7" s="4" t="n">
        <v>54150.05</v>
      </c>
      <c r="K7" s="12" t="n">
        <v>106742.89</v>
      </c>
      <c r="L7" s="12" t="n">
        <v>68957.67999999999</v>
      </c>
      <c r="M7" s="12" t="n">
        <v>89850.17999999999</v>
      </c>
      <c r="N7" s="4">
        <f>SUM(B7:M7)</f>
        <v/>
      </c>
      <c r="O7" s="4" t="n">
        <v>620098.65</v>
      </c>
      <c r="P7" s="4">
        <f>N7-O7</f>
        <v/>
      </c>
    </row>
    <row r="8">
      <c r="A8" t="inlineStr">
        <is>
          <t>Despesas operacionais</t>
        </is>
      </c>
      <c r="B8" s="4" t="n">
        <v>-49399.12</v>
      </c>
      <c r="C8" s="4" t="n">
        <v>-54617.92</v>
      </c>
      <c r="D8" s="4" t="n">
        <v>-36367.11</v>
      </c>
      <c r="E8" s="4" t="n">
        <v>-53211.83</v>
      </c>
      <c r="F8" s="4" t="n">
        <v>-48691.76</v>
      </c>
      <c r="G8" s="4" t="n">
        <v>-41742.67</v>
      </c>
      <c r="H8" s="4" t="n">
        <v>-45540.54</v>
      </c>
      <c r="I8" s="4" t="n">
        <v>-42517.46</v>
      </c>
      <c r="J8" s="4" t="n">
        <v>-53272.17</v>
      </c>
      <c r="K8" s="12" t="n">
        <v>-60408.19</v>
      </c>
      <c r="L8" s="12" t="n">
        <v>-54578.32</v>
      </c>
      <c r="M8" s="12" t="n">
        <v>-53089.96</v>
      </c>
      <c r="N8" s="4">
        <f>SUM(B8:M8)</f>
        <v/>
      </c>
      <c r="O8" s="4" t="n">
        <v>-617977.87</v>
      </c>
      <c r="P8" s="4">
        <f>N8-O8</f>
        <v/>
      </c>
    </row>
    <row r="9">
      <c r="A9" t="inlineStr">
        <is>
          <t>Lucro operacional</t>
        </is>
      </c>
      <c r="B9" s="4" t="n">
        <v>-39176.14</v>
      </c>
      <c r="C9" s="4" t="n">
        <v>-21267.72</v>
      </c>
      <c r="D9" s="4" t="n">
        <v>-5123.92</v>
      </c>
      <c r="E9" s="4" t="n">
        <v>-39840.37</v>
      </c>
      <c r="F9" s="4" t="n">
        <v>28341.09</v>
      </c>
      <c r="G9" s="4" t="n">
        <v>-29582.67</v>
      </c>
      <c r="H9" s="4" t="n">
        <v>-19329.02</v>
      </c>
      <c r="I9" s="4" t="n">
        <v>-25388.68</v>
      </c>
      <c r="J9" s="4" t="n">
        <v>877.88</v>
      </c>
      <c r="K9" s="12" t="n">
        <v>46334.7</v>
      </c>
      <c r="L9" s="12" t="n">
        <v>14379.36</v>
      </c>
      <c r="M9" s="12" t="n">
        <v>36760.22</v>
      </c>
      <c r="N9" s="4">
        <f>SUM(B9:M9)</f>
        <v/>
      </c>
      <c r="O9" s="4" t="n">
        <v>2120.78</v>
      </c>
      <c r="P9" s="4">
        <f>N9-O9</f>
        <v/>
      </c>
    </row>
    <row r="10">
      <c r="A10" s="5" t="inlineStr">
        <is>
          <t>Lucro líquido</t>
        </is>
      </c>
      <c r="B10" s="7" t="n">
        <v>-39176.14</v>
      </c>
      <c r="C10" s="7" t="n">
        <v>-21267.72</v>
      </c>
      <c r="D10" s="7" t="n">
        <v>-5123.92</v>
      </c>
      <c r="E10" s="7" t="n">
        <v>-39840.37</v>
      </c>
      <c r="F10" s="7" t="n">
        <v>28341.09</v>
      </c>
      <c r="G10" s="7" t="n">
        <v>-29582.67</v>
      </c>
      <c r="H10" s="7" t="n">
        <v>-19329.02</v>
      </c>
      <c r="I10" s="7" t="n">
        <v>-25388.68</v>
      </c>
      <c r="J10" s="7" t="n">
        <v>877.88</v>
      </c>
      <c r="K10" s="7" t="n">
        <v>46334.7</v>
      </c>
      <c r="L10" s="7" t="n">
        <v>14379.36</v>
      </c>
      <c r="M10" s="7" t="n">
        <v>36760.22</v>
      </c>
      <c r="N10" s="7">
        <f>SUM(B10:M10)</f>
        <v/>
      </c>
      <c r="O10" s="7" t="n">
        <v>2120.78</v>
      </c>
      <c r="P10" s="7">
        <f>N10-O10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Feat — DRE resumida 2026, R$ (forecast; azul = orçado)</t>
        </is>
      </c>
    </row>
    <row r="2">
      <c r="A2" t="inlineStr">
        <is>
          <t>Control Hub · Budget e Forecast › Projeção (mês atual como orçado)</t>
        </is>
      </c>
    </row>
    <row r="4">
      <c r="A4" s="2" t="inlineStr">
        <is>
          <t>Linha</t>
        </is>
      </c>
      <c r="B4" s="2" t="inlineStr">
        <is>
          <t>Jan</t>
        </is>
      </c>
      <c r="C4" s="2" t="inlineStr">
        <is>
          <t>Fev</t>
        </is>
      </c>
      <c r="D4" s="2" t="inlineStr">
        <is>
          <t>Mar</t>
        </is>
      </c>
      <c r="E4" s="2" t="inlineStr">
        <is>
          <t>Abr</t>
        </is>
      </c>
      <c r="F4" s="2" t="inlineStr">
        <is>
          <t>Mai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Ago</t>
        </is>
      </c>
      <c r="J4" s="2" t="inlineStr">
        <is>
          <t>Set</t>
        </is>
      </c>
      <c r="K4" s="2" t="inlineStr">
        <is>
          <t>Out</t>
        </is>
      </c>
      <c r="L4" s="2" t="inlineStr">
        <is>
          <t>Nov</t>
        </is>
      </c>
      <c r="M4" s="2" t="inlineStr">
        <is>
          <t>Dez</t>
        </is>
      </c>
      <c r="N4" s="2" t="inlineStr">
        <is>
          <t>Forecast</t>
        </is>
      </c>
      <c r="O4" s="2" t="inlineStr">
        <is>
          <t>Orçado ano</t>
        </is>
      </c>
      <c r="P4" s="2" t="inlineStr">
        <is>
          <t>Var.</t>
        </is>
      </c>
    </row>
    <row r="5">
      <c r="A5" t="inlineStr">
        <is>
          <t>Receita bruta</t>
        </is>
      </c>
      <c r="B5" s="4" t="n">
        <v>33622.07</v>
      </c>
      <c r="C5" s="4" t="n">
        <v>673072.7</v>
      </c>
      <c r="D5" s="4" t="n">
        <v>280930.62</v>
      </c>
      <c r="E5" s="4" t="n">
        <v>341588.61</v>
      </c>
      <c r="F5" s="4" t="n">
        <v>220477.62</v>
      </c>
      <c r="G5" s="4" t="n">
        <v>435129.37</v>
      </c>
      <c r="H5" s="4" t="n">
        <v>23791.68</v>
      </c>
      <c r="I5" s="4" t="n">
        <v>171484.71</v>
      </c>
      <c r="J5" s="4" t="n">
        <v>3001.95</v>
      </c>
      <c r="K5" s="12" t="n">
        <v>252000</v>
      </c>
      <c r="L5" s="12" t="n">
        <v>546000</v>
      </c>
      <c r="M5" s="12" t="n">
        <v>1122000</v>
      </c>
      <c r="N5" s="4">
        <f>SUM(B5:M5)</f>
        <v/>
      </c>
      <c r="O5" s="4" t="n">
        <v>5836000</v>
      </c>
      <c r="P5" s="4">
        <f>N5-O5</f>
        <v/>
      </c>
    </row>
    <row r="6">
      <c r="A6" t="inlineStr">
        <is>
          <t>Deduções</t>
        </is>
      </c>
      <c r="B6" s="4" t="n">
        <v>-5691.7</v>
      </c>
      <c r="C6" s="4" t="n">
        <v>-201024.97</v>
      </c>
      <c r="D6" s="4" t="n">
        <v>-44631.73</v>
      </c>
      <c r="E6" s="4" t="n">
        <v>-54962.31</v>
      </c>
      <c r="F6" s="4" t="n">
        <v>-23048.46</v>
      </c>
      <c r="G6" s="4" t="n">
        <v>-63159.19</v>
      </c>
      <c r="H6" s="4" t="n">
        <v>-7811.33</v>
      </c>
      <c r="I6" s="4" t="n">
        <v>-9717.1</v>
      </c>
      <c r="J6" s="4" t="n">
        <v>0</v>
      </c>
      <c r="K6" s="12" t="n">
        <v>-51035</v>
      </c>
      <c r="L6" s="12" t="n">
        <v>-157430</v>
      </c>
      <c r="M6" s="12" t="n">
        <v>-323510</v>
      </c>
      <c r="N6" s="4">
        <f>SUM(B6:M6)</f>
        <v/>
      </c>
      <c r="O6" s="4" t="n">
        <v>-1113255</v>
      </c>
      <c r="P6" s="4">
        <f>N6-O6</f>
        <v/>
      </c>
    </row>
    <row r="7">
      <c r="A7" t="inlineStr">
        <is>
          <t>Receita líquida</t>
        </is>
      </c>
      <c r="B7" s="4" t="n">
        <v>27930.37</v>
      </c>
      <c r="C7" s="4" t="n">
        <v>472047.73</v>
      </c>
      <c r="D7" s="4" t="n">
        <v>236298.89</v>
      </c>
      <c r="E7" s="4" t="n">
        <v>286626.3</v>
      </c>
      <c r="F7" s="4" t="n">
        <v>197429.16</v>
      </c>
      <c r="G7" s="4" t="n">
        <v>371970.18</v>
      </c>
      <c r="H7" s="4" t="n">
        <v>15980.35</v>
      </c>
      <c r="I7" s="4" t="n">
        <v>161767.61</v>
      </c>
      <c r="J7" s="4" t="n">
        <v>3001.95</v>
      </c>
      <c r="K7" s="12" t="n">
        <v>200965</v>
      </c>
      <c r="L7" s="12" t="n">
        <v>388570</v>
      </c>
      <c r="M7" s="12" t="n">
        <v>798490</v>
      </c>
      <c r="N7" s="4">
        <f>SUM(B7:M7)</f>
        <v/>
      </c>
      <c r="O7" s="4" t="n">
        <v>4722745</v>
      </c>
      <c r="P7" s="4">
        <f>N7-O7</f>
        <v/>
      </c>
    </row>
    <row r="8">
      <c r="A8" t="inlineStr">
        <is>
          <t>Despesas operacionais</t>
        </is>
      </c>
      <c r="B8" s="4" t="n">
        <v>-60165.22</v>
      </c>
      <c r="C8" s="4" t="n">
        <v>-80720.5</v>
      </c>
      <c r="D8" s="4" t="n">
        <v>-75545.92</v>
      </c>
      <c r="E8" s="4" t="n">
        <v>-93216.97</v>
      </c>
      <c r="F8" s="4" t="n">
        <v>-87555.3</v>
      </c>
      <c r="G8" s="4" t="n">
        <v>-120676.53</v>
      </c>
      <c r="H8" s="4" t="n">
        <v>-108657.25</v>
      </c>
      <c r="I8" s="4" t="n">
        <v>-74331.44</v>
      </c>
      <c r="J8" s="4" t="n">
        <v>-101563.56</v>
      </c>
      <c r="K8" s="12" t="n">
        <v>-97959.64999999999</v>
      </c>
      <c r="L8" s="12" t="n">
        <v>-135446.9</v>
      </c>
      <c r="M8" s="12" t="n">
        <v>-127734.93</v>
      </c>
      <c r="N8" s="4">
        <f>SUM(B8:M8)</f>
        <v/>
      </c>
      <c r="O8" s="4" t="n">
        <v>-1237940.3</v>
      </c>
      <c r="P8" s="4">
        <f>N8-O8</f>
        <v/>
      </c>
    </row>
    <row r="9">
      <c r="A9" t="inlineStr">
        <is>
          <t>Lucro operacional</t>
        </is>
      </c>
      <c r="B9" s="4" t="n">
        <v>-33598.09</v>
      </c>
      <c r="C9" s="4" t="n">
        <v>389907.13</v>
      </c>
      <c r="D9" s="4" t="n">
        <v>160752.97</v>
      </c>
      <c r="E9" s="4" t="n">
        <v>193409.33</v>
      </c>
      <c r="F9" s="4" t="n">
        <v>109873.86</v>
      </c>
      <c r="G9" s="4" t="n">
        <v>251293.65</v>
      </c>
      <c r="H9" s="4" t="n">
        <v>-147876.9</v>
      </c>
      <c r="I9" s="4" t="n">
        <v>87436.17</v>
      </c>
      <c r="J9" s="4" t="n">
        <v>-98561.61</v>
      </c>
      <c r="K9" s="12" t="n">
        <v>103005.35</v>
      </c>
      <c r="L9" s="12" t="n">
        <v>253123.1</v>
      </c>
      <c r="M9" s="12" t="n">
        <v>670755.0699999999</v>
      </c>
      <c r="N9" s="4">
        <f>SUM(B9:M9)</f>
        <v/>
      </c>
      <c r="O9" s="4" t="n">
        <v>3484804.7</v>
      </c>
      <c r="P9" s="4">
        <f>N9-O9</f>
        <v/>
      </c>
    </row>
    <row r="10">
      <c r="A10" t="inlineStr">
        <is>
          <t>IRPJ</t>
        </is>
      </c>
      <c r="B10" s="4" t="n">
        <v>-3158.4</v>
      </c>
      <c r="C10" s="4" t="n">
        <v>-111551.43</v>
      </c>
      <c r="D10" s="4" t="n">
        <v>-24766.75</v>
      </c>
      <c r="E10" s="4" t="n">
        <v>-30499.31</v>
      </c>
      <c r="F10" s="4" t="n">
        <v>-12789.9</v>
      </c>
      <c r="G10" s="4" t="n">
        <v>-35047.87</v>
      </c>
      <c r="H10" s="4" t="n">
        <v>-4334.61</v>
      </c>
      <c r="I10" s="4" t="n">
        <v>-5392.14</v>
      </c>
      <c r="J10" s="4" t="n">
        <v>0</v>
      </c>
      <c r="K10" s="12" t="n">
        <v>-28320</v>
      </c>
      <c r="L10" s="12" t="n">
        <v>-87360</v>
      </c>
      <c r="M10" s="12" t="n">
        <v>-179520</v>
      </c>
      <c r="N10" s="4">
        <f>SUM(B10:M10)</f>
        <v/>
      </c>
      <c r="O10" s="4" t="n">
        <v>-617760</v>
      </c>
      <c r="P10" s="4">
        <f>N10-O10</f>
        <v/>
      </c>
    </row>
    <row r="11">
      <c r="A11" t="inlineStr">
        <is>
          <t>CSLL</t>
        </is>
      </c>
      <c r="B11" s="4" t="n">
        <v>-1895.04</v>
      </c>
      <c r="C11" s="4" t="n">
        <v>-66930.66</v>
      </c>
      <c r="D11" s="4" t="n">
        <v>-14860.05</v>
      </c>
      <c r="E11" s="4" t="n">
        <v>-18299.59</v>
      </c>
      <c r="F11" s="4" t="n">
        <v>-7673.74</v>
      </c>
      <c r="G11" s="4" t="n">
        <v>-21028.72</v>
      </c>
      <c r="H11" s="4" t="n">
        <v>-2600.76</v>
      </c>
      <c r="I11" s="4" t="n">
        <v>-3235.28</v>
      </c>
      <c r="J11" s="4" t="n">
        <v>0</v>
      </c>
      <c r="K11" s="12" t="n">
        <v>-16992</v>
      </c>
      <c r="L11" s="12" t="n">
        <v>-52416</v>
      </c>
      <c r="M11" s="12" t="n">
        <v>-107712</v>
      </c>
      <c r="N11" s="4">
        <f>SUM(B11:M11)</f>
        <v/>
      </c>
      <c r="O11" s="4" t="n">
        <v>-370656</v>
      </c>
      <c r="P11" s="4">
        <f>N11-O11</f>
        <v/>
      </c>
    </row>
    <row r="12">
      <c r="A12" s="5" t="inlineStr">
        <is>
          <t>Lucro líquido</t>
        </is>
      </c>
      <c r="B12" s="7" t="n">
        <v>-38651.53</v>
      </c>
      <c r="C12" s="7" t="n">
        <v>211425.04</v>
      </c>
      <c r="D12" s="7" t="n">
        <v>121126.18</v>
      </c>
      <c r="E12" s="7" t="n">
        <v>144610.42</v>
      </c>
      <c r="F12" s="7" t="n">
        <v>89410.23</v>
      </c>
      <c r="G12" s="7" t="n">
        <v>195217.05</v>
      </c>
      <c r="H12" s="7" t="n">
        <v>-154812.27</v>
      </c>
      <c r="I12" s="7" t="n">
        <v>78808.75999999999</v>
      </c>
      <c r="J12" s="7" t="n">
        <v>-98561.61</v>
      </c>
      <c r="K12" s="7" t="n">
        <v>57693.35</v>
      </c>
      <c r="L12" s="7" t="n">
        <v>113347.1</v>
      </c>
      <c r="M12" s="7" t="n">
        <v>383523.07</v>
      </c>
      <c r="N12" s="7">
        <f>SUM(B12:M12)</f>
        <v/>
      </c>
      <c r="O12" s="7" t="n">
        <v>2496388.7</v>
      </c>
      <c r="P12" s="7">
        <f>N12-O12</f>
        <v/>
      </c>
    </row>
    <row r="13">
      <c r="A13" s="8" t="inlineStr">
        <is>
          <t>Eventos da lista de 05/10 (efeito)</t>
        </is>
      </c>
      <c r="B13" s="4" t="n">
        <v>0</v>
      </c>
      <c r="C13" s="4" t="n">
        <v>0</v>
      </c>
      <c r="D13" s="4" t="n">
        <v>733034.16</v>
      </c>
      <c r="E13" s="4" t="n">
        <v>0</v>
      </c>
      <c r="F13" s="4" t="n">
        <v>0</v>
      </c>
      <c r="G13" s="4" t="n">
        <v>0</v>
      </c>
      <c r="H13" s="4" t="n">
        <v>17160.6</v>
      </c>
      <c r="I13" s="4" t="n">
        <v>541030.71</v>
      </c>
      <c r="J13" s="4" t="n">
        <v>139144.68</v>
      </c>
      <c r="K13" s="4" t="n">
        <v>0</v>
      </c>
      <c r="L13" s="4" t="n">
        <v>0</v>
      </c>
      <c r="M13" s="4" t="n">
        <v>0</v>
      </c>
      <c r="N13" s="4">
        <f>SUM(B13:M13)</f>
        <v/>
      </c>
    </row>
    <row r="14">
      <c r="A14" s="8" t="inlineStr">
        <is>
          <t>Lucro líquido ajustado</t>
        </is>
      </c>
      <c r="B14" s="15">
        <f>B12+B13</f>
        <v/>
      </c>
      <c r="C14" s="15">
        <f>C12+C13</f>
        <v/>
      </c>
      <c r="D14" s="15">
        <f>D12+D13</f>
        <v/>
      </c>
      <c r="E14" s="15">
        <f>E12+E13</f>
        <v/>
      </c>
      <c r="F14" s="15">
        <f>F12+F13</f>
        <v/>
      </c>
      <c r="G14" s="15">
        <f>G12+G13</f>
        <v/>
      </c>
      <c r="H14" s="15">
        <f>H12+H13</f>
        <v/>
      </c>
      <c r="I14" s="15">
        <f>I12+I13</f>
        <v/>
      </c>
      <c r="J14" s="15">
        <f>J12+J13</f>
        <v/>
      </c>
      <c r="K14" s="15">
        <f>K12+K13</f>
        <v/>
      </c>
      <c r="L14" s="15">
        <f>L12+L13</f>
        <v/>
      </c>
      <c r="M14" s="15">
        <f>M12+M13</f>
        <v/>
      </c>
      <c r="N14" s="4">
        <f>SUM(B14:M14)</f>
        <v/>
      </c>
    </row>
    <row r="16">
      <c r="A16" t="inlineStr">
        <is>
          <t>Obs.: o lançamento de R$ 330.000 de "RESGATE VB" (01/09/2026) foi reclassificado na Omie (categoria 2.10.98) e não entra mais no resultado. Planilha de eventos sem setembro (sync 04/10/2026).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Terrazzo — DRE resumida 2026, R$ (forecast; azul = orçado)</t>
        </is>
      </c>
    </row>
    <row r="2">
      <c r="A2" t="inlineStr">
        <is>
          <t>Control Hub · Budget e Forecast › Projeção (mês atual como orçado)</t>
        </is>
      </c>
    </row>
    <row r="4">
      <c r="A4" s="2" t="inlineStr">
        <is>
          <t>Linha</t>
        </is>
      </c>
      <c r="B4" s="2" t="inlineStr">
        <is>
          <t>Jan</t>
        </is>
      </c>
      <c r="C4" s="2" t="inlineStr">
        <is>
          <t>Fev</t>
        </is>
      </c>
      <c r="D4" s="2" t="inlineStr">
        <is>
          <t>Mar</t>
        </is>
      </c>
      <c r="E4" s="2" t="inlineStr">
        <is>
          <t>Abr</t>
        </is>
      </c>
      <c r="F4" s="2" t="inlineStr">
        <is>
          <t>Mai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Ago</t>
        </is>
      </c>
      <c r="J4" s="2" t="inlineStr">
        <is>
          <t>Set</t>
        </is>
      </c>
      <c r="K4" s="2" t="inlineStr">
        <is>
          <t>Out</t>
        </is>
      </c>
      <c r="L4" s="2" t="inlineStr">
        <is>
          <t>Nov</t>
        </is>
      </c>
      <c r="M4" s="2" t="inlineStr">
        <is>
          <t>Dez</t>
        </is>
      </c>
      <c r="N4" s="2" t="inlineStr">
        <is>
          <t>Forecast</t>
        </is>
      </c>
      <c r="O4" s="2" t="inlineStr">
        <is>
          <t>Orçado ano</t>
        </is>
      </c>
      <c r="P4" s="2" t="inlineStr">
        <is>
          <t>Var.</t>
        </is>
      </c>
    </row>
    <row r="5">
      <c r="A5" t="inlineStr">
        <is>
          <t>Receita bruta</t>
        </is>
      </c>
      <c r="B5" s="4" t="n">
        <v>248280</v>
      </c>
      <c r="C5" s="4" t="n">
        <v>52130.31</v>
      </c>
      <c r="D5" s="4" t="n">
        <v>126850.37</v>
      </c>
      <c r="E5" s="4" t="n">
        <v>118900.33</v>
      </c>
      <c r="F5" s="4" t="n">
        <v>122760.34</v>
      </c>
      <c r="G5" s="4" t="n">
        <v>91351.71000000001</v>
      </c>
      <c r="H5" s="4" t="n">
        <v>82780.38</v>
      </c>
      <c r="I5" s="4" t="n">
        <v>257600</v>
      </c>
      <c r="J5" s="4" t="n">
        <v>241646.33</v>
      </c>
      <c r="K5" s="12" t="n">
        <v>166711.7</v>
      </c>
      <c r="L5" s="12" t="n">
        <v>81711.7</v>
      </c>
      <c r="M5" s="12" t="n">
        <v>227711.7</v>
      </c>
      <c r="N5" s="4">
        <f>SUM(B5:M5)</f>
        <v/>
      </c>
      <c r="O5" s="4" t="n">
        <v>1988540.39</v>
      </c>
      <c r="P5" s="4">
        <f>N5-O5</f>
        <v/>
      </c>
    </row>
    <row r="6">
      <c r="A6" t="inlineStr">
        <is>
          <t>Deduções</t>
        </is>
      </c>
      <c r="B6" s="4" t="n">
        <v>-9305.99</v>
      </c>
      <c r="C6" s="4" t="n">
        <v>-1883.4</v>
      </c>
      <c r="D6" s="4" t="n">
        <v>-4613.6</v>
      </c>
      <c r="E6" s="4" t="n">
        <v>-4321.6</v>
      </c>
      <c r="F6" s="4" t="n">
        <v>-4412.85</v>
      </c>
      <c r="G6" s="4" t="n">
        <v>-3259.45</v>
      </c>
      <c r="H6" s="4" t="n">
        <v>-3018.55</v>
      </c>
      <c r="I6" s="4" t="n">
        <v>-9402.4</v>
      </c>
      <c r="J6" s="4" t="n">
        <v>-8820.08</v>
      </c>
      <c r="K6" s="12" t="n">
        <v>-4562.5</v>
      </c>
      <c r="L6" s="12" t="n">
        <v>-6022.5</v>
      </c>
      <c r="M6" s="12" t="n">
        <v>-2920</v>
      </c>
      <c r="N6" s="4">
        <f>SUM(B6:M6)</f>
        <v/>
      </c>
      <c r="O6" s="4" t="n">
        <v>-68583.5</v>
      </c>
      <c r="P6" s="4">
        <f>N6-O6</f>
        <v/>
      </c>
    </row>
    <row r="7">
      <c r="A7" t="inlineStr">
        <is>
          <t>Receita líquida</t>
        </is>
      </c>
      <c r="B7" s="4" t="n">
        <v>238974.02</v>
      </c>
      <c r="C7" s="4" t="n">
        <v>50246.91</v>
      </c>
      <c r="D7" s="4" t="n">
        <v>122236.77</v>
      </c>
      <c r="E7" s="4" t="n">
        <v>114578.73</v>
      </c>
      <c r="F7" s="4" t="n">
        <v>118347.49</v>
      </c>
      <c r="G7" s="4" t="n">
        <v>88092.25999999999</v>
      </c>
      <c r="H7" s="4" t="n">
        <v>79761.83</v>
      </c>
      <c r="I7" s="4" t="n">
        <v>248197.6</v>
      </c>
      <c r="J7" s="4" t="n">
        <v>232826.25</v>
      </c>
      <c r="K7" s="12" t="n">
        <v>162149.2</v>
      </c>
      <c r="L7" s="12" t="n">
        <v>75689.2</v>
      </c>
      <c r="M7" s="12" t="n">
        <v>224791.7</v>
      </c>
      <c r="N7" s="4">
        <f>SUM(B7:M7)</f>
        <v/>
      </c>
      <c r="O7" s="4" t="n">
        <v>1919956.89</v>
      </c>
      <c r="P7" s="4">
        <f>N7-O7</f>
        <v/>
      </c>
    </row>
    <row r="8">
      <c r="A8" t="inlineStr">
        <is>
          <t>Despesas operacionais</t>
        </is>
      </c>
      <c r="B8" s="4" t="n">
        <v>-222680.83</v>
      </c>
      <c r="C8" s="4" t="n">
        <v>-171453.53</v>
      </c>
      <c r="D8" s="4" t="n">
        <v>-178804.24</v>
      </c>
      <c r="E8" s="4" t="n">
        <v>-165775.67</v>
      </c>
      <c r="F8" s="4" t="n">
        <v>-157635.05</v>
      </c>
      <c r="G8" s="4" t="n">
        <v>-166211.52</v>
      </c>
      <c r="H8" s="4" t="n">
        <v>-159148.97</v>
      </c>
      <c r="I8" s="4" t="n">
        <v>-169177.13</v>
      </c>
      <c r="J8" s="4" t="n">
        <v>-132991.12</v>
      </c>
      <c r="K8" s="12" t="n">
        <v>-179190.02</v>
      </c>
      <c r="L8" s="12" t="n">
        <v>-184713.41</v>
      </c>
      <c r="M8" s="12" t="n">
        <v>-196512.48</v>
      </c>
      <c r="N8" s="4">
        <f>SUM(B8:M8)</f>
        <v/>
      </c>
      <c r="O8" s="4" t="n">
        <v>-2278294.53</v>
      </c>
      <c r="P8" s="4">
        <f>N8-O8</f>
        <v/>
      </c>
    </row>
    <row r="9">
      <c r="A9" t="inlineStr">
        <is>
          <t>Lucro operacional</t>
        </is>
      </c>
      <c r="B9" s="4" t="n">
        <v>-11372.64</v>
      </c>
      <c r="C9" s="4" t="n">
        <v>-137061.08</v>
      </c>
      <c r="D9" s="4" t="n">
        <v>-73113.47</v>
      </c>
      <c r="E9" s="4" t="n">
        <v>-68627.47</v>
      </c>
      <c r="F9" s="4" t="n">
        <v>-68226.92</v>
      </c>
      <c r="G9" s="4" t="n">
        <v>-87689.86</v>
      </c>
      <c r="H9" s="4" t="n">
        <v>-92305.86</v>
      </c>
      <c r="I9" s="4" t="n">
        <v>67292.52</v>
      </c>
      <c r="J9" s="4" t="n">
        <v>79167.88</v>
      </c>
      <c r="K9" s="12" t="n">
        <v>-40231.96</v>
      </c>
      <c r="L9" s="12" t="n">
        <v>-123694.78</v>
      </c>
      <c r="M9" s="12" t="n">
        <v>-2882.49</v>
      </c>
      <c r="N9" s="4">
        <f>SUM(B9:M9)</f>
        <v/>
      </c>
      <c r="O9" s="4" t="n">
        <v>-668483.02</v>
      </c>
      <c r="P9" s="4">
        <f>N9-O9</f>
        <v/>
      </c>
    </row>
    <row r="10">
      <c r="A10" t="inlineStr">
        <is>
          <t>IRPJ</t>
        </is>
      </c>
      <c r="B10" s="4" t="n">
        <v>-11916</v>
      </c>
      <c r="C10" s="4" t="n">
        <v>-2476.8</v>
      </c>
      <c r="D10" s="4" t="n">
        <v>-6067.2</v>
      </c>
      <c r="E10" s="4" t="n">
        <v>-5683.2</v>
      </c>
      <c r="F10" s="4" t="n">
        <v>-5803.2</v>
      </c>
      <c r="G10" s="4" t="n">
        <v>-4286.4</v>
      </c>
      <c r="H10" s="4" t="n">
        <v>-3969.6</v>
      </c>
      <c r="I10" s="4" t="n">
        <v>-12364.8</v>
      </c>
      <c r="J10" s="4" t="n">
        <v>-11599.01</v>
      </c>
      <c r="K10" s="12" t="n">
        <v>-40080</v>
      </c>
      <c r="L10" s="12" t="n">
        <v>0</v>
      </c>
      <c r="M10" s="12" t="n">
        <v>0</v>
      </c>
      <c r="N10" s="4">
        <f>SUM(B10:M10)</f>
        <v/>
      </c>
      <c r="O10" s="4" t="n">
        <v>-124000</v>
      </c>
      <c r="P10" s="4">
        <f>N10-O10</f>
        <v/>
      </c>
    </row>
    <row r="11">
      <c r="A11" t="inlineStr">
        <is>
          <t>CSLL</t>
        </is>
      </c>
      <c r="B11" s="4" t="n">
        <v>-7149.6</v>
      </c>
      <c r="C11" s="4" t="n">
        <v>-1486.08</v>
      </c>
      <c r="D11" s="4" t="n">
        <v>-3640.32</v>
      </c>
      <c r="E11" s="4" t="n">
        <v>-3409.92</v>
      </c>
      <c r="F11" s="4" t="n">
        <v>-3481.92</v>
      </c>
      <c r="G11" s="4" t="n">
        <v>-2571.84</v>
      </c>
      <c r="H11" s="4" t="n">
        <v>-2381.76</v>
      </c>
      <c r="I11" s="4" t="n">
        <v>-7418.88</v>
      </c>
      <c r="J11" s="4" t="n">
        <v>-6959.4</v>
      </c>
      <c r="K11" s="12" t="n">
        <v>-16588.8</v>
      </c>
      <c r="L11" s="12" t="n">
        <v>0</v>
      </c>
      <c r="M11" s="12" t="n">
        <v>0</v>
      </c>
      <c r="N11" s="4">
        <f>SUM(B11:M11)</f>
        <v/>
      </c>
      <c r="O11" s="4" t="n">
        <v>-53280</v>
      </c>
      <c r="P11" s="4">
        <f>N11-O11</f>
        <v/>
      </c>
    </row>
    <row r="12">
      <c r="A12" s="5" t="inlineStr">
        <is>
          <t>Lucro líquido</t>
        </is>
      </c>
      <c r="B12" s="7" t="n">
        <v>-30438.24</v>
      </c>
      <c r="C12" s="7" t="n">
        <v>-141023.96</v>
      </c>
      <c r="D12" s="7" t="n">
        <v>-82820.99000000001</v>
      </c>
      <c r="E12" s="7" t="n">
        <v>-77720.59</v>
      </c>
      <c r="F12" s="7" t="n">
        <v>-77512.03999999999</v>
      </c>
      <c r="G12" s="7" t="n">
        <v>-94548.10000000001</v>
      </c>
      <c r="H12" s="7" t="n">
        <v>-98657.22</v>
      </c>
      <c r="I12" s="7" t="n">
        <v>47508.84</v>
      </c>
      <c r="J12" s="7" t="n">
        <v>60609.47</v>
      </c>
      <c r="K12" s="7" t="n">
        <v>-96900.75999999999</v>
      </c>
      <c r="L12" s="7" t="n">
        <v>-123694.78</v>
      </c>
      <c r="M12" s="7" t="n">
        <v>-2882.49</v>
      </c>
      <c r="N12" s="7">
        <f>SUM(B12:M12)</f>
        <v/>
      </c>
      <c r="O12" s="7" t="n">
        <v>-845763.02</v>
      </c>
      <c r="P12" s="7">
        <f>N12-O12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Sirena — DRE resumida 2026, R$ (forecast; azul = orçado)</t>
        </is>
      </c>
    </row>
    <row r="2">
      <c r="A2" t="inlineStr">
        <is>
          <t>Control Hub · Budget e Forecast › Projeção (mês atual como orçado)</t>
        </is>
      </c>
    </row>
    <row r="4">
      <c r="A4" s="2" t="inlineStr">
        <is>
          <t>Linha</t>
        </is>
      </c>
      <c r="B4" s="2" t="inlineStr">
        <is>
          <t>Jan</t>
        </is>
      </c>
      <c r="C4" s="2" t="inlineStr">
        <is>
          <t>Fev</t>
        </is>
      </c>
      <c r="D4" s="2" t="inlineStr">
        <is>
          <t>Mar</t>
        </is>
      </c>
      <c r="E4" s="2" t="inlineStr">
        <is>
          <t>Abr</t>
        </is>
      </c>
      <c r="F4" s="2" t="inlineStr">
        <is>
          <t>Mai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Ago</t>
        </is>
      </c>
      <c r="J4" s="2" t="inlineStr">
        <is>
          <t>Set</t>
        </is>
      </c>
      <c r="K4" s="2" t="inlineStr">
        <is>
          <t>Out</t>
        </is>
      </c>
      <c r="L4" s="2" t="inlineStr">
        <is>
          <t>Nov</t>
        </is>
      </c>
      <c r="M4" s="2" t="inlineStr">
        <is>
          <t>Dez</t>
        </is>
      </c>
      <c r="N4" s="2" t="inlineStr">
        <is>
          <t>Forecast</t>
        </is>
      </c>
      <c r="O4" s="2" t="inlineStr">
        <is>
          <t>Orçado ano</t>
        </is>
      </c>
      <c r="P4" s="2" t="inlineStr">
        <is>
          <t>Var.</t>
        </is>
      </c>
    </row>
    <row r="5">
      <c r="A5" t="inlineStr">
        <is>
          <t>Receita bruta</t>
        </is>
      </c>
      <c r="B5" s="4" t="n">
        <v>45230</v>
      </c>
      <c r="C5" s="4" t="n">
        <v>24560</v>
      </c>
      <c r="D5" s="4" t="n">
        <v>29770</v>
      </c>
      <c r="E5" s="4" t="n">
        <v>7734</v>
      </c>
      <c r="F5" s="4" t="n">
        <v>5000</v>
      </c>
      <c r="G5" s="4" t="n">
        <v>2685</v>
      </c>
      <c r="H5" s="4" t="n">
        <v>14310</v>
      </c>
      <c r="I5" s="4" t="n">
        <v>23270</v>
      </c>
      <c r="J5" s="4" t="n">
        <v>12727</v>
      </c>
      <c r="K5" s="12" t="n">
        <v>8884</v>
      </c>
      <c r="L5" s="12" t="n">
        <v>27453</v>
      </c>
      <c r="M5" s="12" t="n">
        <v>60190</v>
      </c>
      <c r="N5" s="4">
        <f>SUM(B5:M5)</f>
        <v/>
      </c>
      <c r="O5" s="4" t="n">
        <v>287097</v>
      </c>
      <c r="P5" s="4">
        <f>N5-O5</f>
        <v/>
      </c>
    </row>
    <row r="6">
      <c r="A6" t="inlineStr">
        <is>
          <t>Deduções</t>
        </is>
      </c>
      <c r="B6" s="4" t="n">
        <v>-1870.66</v>
      </c>
      <c r="C6" s="4" t="n">
        <v>-1163.19</v>
      </c>
      <c r="D6" s="4" t="n">
        <v>-1333.38</v>
      </c>
      <c r="E6" s="4" t="n">
        <v>-416.05</v>
      </c>
      <c r="F6" s="4" t="n">
        <v>-182.5</v>
      </c>
      <c r="G6" s="4" t="n">
        <v>-217.98</v>
      </c>
      <c r="H6" s="4" t="n">
        <v>-705.03</v>
      </c>
      <c r="I6" s="4" t="n">
        <v>-1087.86</v>
      </c>
      <c r="J6" s="4" t="n">
        <v>-647.6799999999999</v>
      </c>
      <c r="K6" s="12" t="n">
        <v>-369</v>
      </c>
      <c r="L6" s="12" t="n">
        <v>-1135</v>
      </c>
      <c r="M6" s="12" t="n">
        <v>-2507</v>
      </c>
      <c r="N6" s="4">
        <f>SUM(B6:M6)</f>
        <v/>
      </c>
      <c r="O6" s="4" t="n">
        <v>-11897</v>
      </c>
      <c r="P6" s="4">
        <f>N6-O6</f>
        <v/>
      </c>
    </row>
    <row r="7">
      <c r="A7" t="inlineStr">
        <is>
          <t>Receita líquida</t>
        </is>
      </c>
      <c r="B7" s="4" t="n">
        <v>43359.33</v>
      </c>
      <c r="C7" s="4" t="n">
        <v>23396.81</v>
      </c>
      <c r="D7" s="4" t="n">
        <v>28436.62</v>
      </c>
      <c r="E7" s="4" t="n">
        <v>7317.95</v>
      </c>
      <c r="F7" s="4" t="n">
        <v>4817.5</v>
      </c>
      <c r="G7" s="4" t="n">
        <v>2467.02</v>
      </c>
      <c r="H7" s="4" t="n">
        <v>13604.97</v>
      </c>
      <c r="I7" s="4" t="n">
        <v>22182.15</v>
      </c>
      <c r="J7" s="4" t="n">
        <v>12079.32</v>
      </c>
      <c r="K7" s="12" t="n">
        <v>8515</v>
      </c>
      <c r="L7" s="12" t="n">
        <v>26318</v>
      </c>
      <c r="M7" s="12" t="n">
        <v>57683</v>
      </c>
      <c r="N7" s="4">
        <f>SUM(B7:M7)</f>
        <v/>
      </c>
      <c r="O7" s="4" t="n">
        <v>275200</v>
      </c>
      <c r="P7" s="4">
        <f>N7-O7</f>
        <v/>
      </c>
    </row>
    <row r="8">
      <c r="A8" t="inlineStr">
        <is>
          <t>Despesas operacionais</t>
        </is>
      </c>
      <c r="B8" s="4" t="n">
        <v>-16980.84</v>
      </c>
      <c r="C8" s="4" t="n">
        <v>-18304.98</v>
      </c>
      <c r="D8" s="4" t="n">
        <v>-14052.82</v>
      </c>
      <c r="E8" s="4" t="n">
        <v>-14863.54</v>
      </c>
      <c r="F8" s="4" t="n">
        <v>-9078.74</v>
      </c>
      <c r="G8" s="4" t="n">
        <v>-7795.82</v>
      </c>
      <c r="H8" s="4" t="n">
        <v>-6685.12</v>
      </c>
      <c r="I8" s="4" t="n">
        <v>-10545.32</v>
      </c>
      <c r="J8" s="4" t="n">
        <v>-6235.18</v>
      </c>
      <c r="K8" s="12" t="n">
        <v>-16550</v>
      </c>
      <c r="L8" s="12" t="n">
        <v>-12257</v>
      </c>
      <c r="M8" s="12" t="n">
        <v>-18919</v>
      </c>
      <c r="N8" s="4">
        <f>SUM(B8:M8)</f>
        <v/>
      </c>
      <c r="O8" s="4" t="n">
        <v>-179686</v>
      </c>
      <c r="P8" s="4">
        <f>N8-O8</f>
        <v/>
      </c>
    </row>
    <row r="9">
      <c r="A9" t="inlineStr">
        <is>
          <t>Lucro operacional</t>
        </is>
      </c>
      <c r="B9" s="4" t="n">
        <v>20863.4</v>
      </c>
      <c r="C9" s="4" t="n">
        <v>922.76</v>
      </c>
      <c r="D9" s="4" t="n">
        <v>10798.71</v>
      </c>
      <c r="E9" s="4" t="n">
        <v>-11141.22</v>
      </c>
      <c r="F9" s="4" t="n">
        <v>-6371.34</v>
      </c>
      <c r="G9" s="4" t="n">
        <v>-10786.3</v>
      </c>
      <c r="H9" s="4" t="n">
        <v>4329.75</v>
      </c>
      <c r="I9" s="4" t="n">
        <v>7606.73</v>
      </c>
      <c r="J9" s="4" t="n">
        <v>3784.14</v>
      </c>
      <c r="K9" s="12" t="n">
        <v>-10114</v>
      </c>
      <c r="L9" s="12" t="n">
        <v>10074</v>
      </c>
      <c r="M9" s="12" t="n">
        <v>31182</v>
      </c>
      <c r="N9" s="4">
        <f>SUM(B9:M9)</f>
        <v/>
      </c>
      <c r="O9" s="4" t="n">
        <v>51748</v>
      </c>
      <c r="P9" s="4">
        <f>N9-O9</f>
        <v/>
      </c>
    </row>
    <row r="10">
      <c r="A10" t="inlineStr">
        <is>
          <t>IRPJ</t>
        </is>
      </c>
      <c r="B10" s="4" t="n">
        <v>-2170.08</v>
      </c>
      <c r="C10" s="4" t="n">
        <v>-1172.64</v>
      </c>
      <c r="D10" s="4" t="n">
        <v>-1428</v>
      </c>
      <c r="E10" s="4" t="n">
        <v>-369.6</v>
      </c>
      <c r="F10" s="4" t="n">
        <v>-240</v>
      </c>
      <c r="G10" s="4" t="n">
        <v>-120.96</v>
      </c>
      <c r="H10" s="4" t="n">
        <v>-682.5599999999999</v>
      </c>
      <c r="I10" s="4" t="n">
        <v>-1116.96</v>
      </c>
      <c r="J10" s="4" t="n">
        <v>-609.12</v>
      </c>
      <c r="K10" s="12" t="n">
        <v>-426</v>
      </c>
      <c r="L10" s="12" t="n">
        <v>-1318</v>
      </c>
      <c r="M10" s="12" t="n">
        <v>-2889</v>
      </c>
      <c r="N10" s="4">
        <f>SUM(B10:M10)</f>
        <v/>
      </c>
      <c r="O10" s="4" t="n">
        <v>-13778</v>
      </c>
      <c r="P10" s="4">
        <f>N10-O10</f>
        <v/>
      </c>
    </row>
    <row r="11">
      <c r="A11" t="inlineStr">
        <is>
          <t>CSLL</t>
        </is>
      </c>
      <c r="B11" s="4" t="n">
        <v>-1302.05</v>
      </c>
      <c r="C11" s="4" t="n">
        <v>-703.58</v>
      </c>
      <c r="D11" s="4" t="n">
        <v>-856.8</v>
      </c>
      <c r="E11" s="4" t="n">
        <v>-221.76</v>
      </c>
      <c r="F11" s="4" t="n">
        <v>-144</v>
      </c>
      <c r="G11" s="4" t="n">
        <v>-72.58</v>
      </c>
      <c r="H11" s="4" t="n">
        <v>-409.54</v>
      </c>
      <c r="I11" s="4" t="n">
        <v>-670.1799999999999</v>
      </c>
      <c r="J11" s="4" t="n">
        <v>-365.47</v>
      </c>
      <c r="K11" s="12" t="n">
        <v>-256</v>
      </c>
      <c r="L11" s="12" t="n">
        <v>-791</v>
      </c>
      <c r="M11" s="12" t="n">
        <v>-1733</v>
      </c>
      <c r="N11" s="4">
        <f>SUM(B11:M11)</f>
        <v/>
      </c>
      <c r="O11" s="4" t="n">
        <v>-8270</v>
      </c>
      <c r="P11" s="4">
        <f>N11-O11</f>
        <v/>
      </c>
    </row>
    <row r="12">
      <c r="A12" s="5" t="inlineStr">
        <is>
          <t>Lucro líquido</t>
        </is>
      </c>
      <c r="B12" s="7" t="n">
        <v>17391.27</v>
      </c>
      <c r="C12" s="7" t="n">
        <v>-953.46</v>
      </c>
      <c r="D12" s="7" t="n">
        <v>8513.91</v>
      </c>
      <c r="E12" s="7" t="n">
        <v>-11732.58</v>
      </c>
      <c r="F12" s="7" t="n">
        <v>-6755.34</v>
      </c>
      <c r="G12" s="7" t="n">
        <v>-10979.84</v>
      </c>
      <c r="H12" s="7" t="n">
        <v>3237.65</v>
      </c>
      <c r="I12" s="7" t="n">
        <v>5819.59</v>
      </c>
      <c r="J12" s="7" t="n">
        <v>2809.54</v>
      </c>
      <c r="K12" s="7" t="n">
        <v>-10796</v>
      </c>
      <c r="L12" s="7" t="n">
        <v>7965</v>
      </c>
      <c r="M12" s="7" t="n">
        <v>26560</v>
      </c>
      <c r="N12" s="7">
        <f>SUM(B12:M12)</f>
        <v/>
      </c>
      <c r="O12" s="7" t="n">
        <v>29700</v>
      </c>
      <c r="P12" s="7">
        <f>N12-O12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9" t="inlineStr">
        <is>
          <t>Case Shows — DRE resumida 2026, R$ (forecast; azul = orçado)</t>
        </is>
      </c>
    </row>
    <row r="2">
      <c r="A2" t="inlineStr">
        <is>
          <t>Control Hub · Budget e Forecast › Projeção (mês atual como orçado)</t>
        </is>
      </c>
    </row>
    <row r="4">
      <c r="A4" s="2" t="inlineStr">
        <is>
          <t>Linha</t>
        </is>
      </c>
      <c r="B4" s="2" t="inlineStr">
        <is>
          <t>Jan</t>
        </is>
      </c>
      <c r="C4" s="2" t="inlineStr">
        <is>
          <t>Fev</t>
        </is>
      </c>
      <c r="D4" s="2" t="inlineStr">
        <is>
          <t>Mar</t>
        </is>
      </c>
      <c r="E4" s="2" t="inlineStr">
        <is>
          <t>Abr</t>
        </is>
      </c>
      <c r="F4" s="2" t="inlineStr">
        <is>
          <t>Mai</t>
        </is>
      </c>
      <c r="G4" s="2" t="inlineStr">
        <is>
          <t>Jun</t>
        </is>
      </c>
      <c r="H4" s="2" t="inlineStr">
        <is>
          <t>Jul</t>
        </is>
      </c>
      <c r="I4" s="2" t="inlineStr">
        <is>
          <t>Ago</t>
        </is>
      </c>
      <c r="J4" s="2" t="inlineStr">
        <is>
          <t>Set</t>
        </is>
      </c>
      <c r="K4" s="2" t="inlineStr">
        <is>
          <t>Out</t>
        </is>
      </c>
      <c r="L4" s="2" t="inlineStr">
        <is>
          <t>Nov</t>
        </is>
      </c>
      <c r="M4" s="2" t="inlineStr">
        <is>
          <t>Dez</t>
        </is>
      </c>
      <c r="N4" s="2" t="inlineStr">
        <is>
          <t>Forecast</t>
        </is>
      </c>
      <c r="O4" s="2" t="inlineStr">
        <is>
          <t>Orçado ano</t>
        </is>
      </c>
      <c r="P4" s="2" t="inlineStr">
        <is>
          <t>Var.</t>
        </is>
      </c>
    </row>
    <row r="5">
      <c r="A5" t="inlineStr">
        <is>
          <t>Receita bruta</t>
        </is>
      </c>
      <c r="B5" s="4" t="n">
        <v>167669.41</v>
      </c>
      <c r="C5" s="4" t="n">
        <v>63365.71</v>
      </c>
      <c r="D5" s="4" t="n">
        <v>34830.03</v>
      </c>
      <c r="E5" s="4" t="n">
        <v>22522.56</v>
      </c>
      <c r="F5" s="4" t="n">
        <v>38297.53</v>
      </c>
      <c r="G5" s="4" t="n">
        <v>79896.86</v>
      </c>
      <c r="H5" s="4" t="n">
        <v>71593.16</v>
      </c>
      <c r="I5" s="4" t="n">
        <v>64385.61</v>
      </c>
      <c r="J5" s="4" t="n">
        <v>58632.96</v>
      </c>
      <c r="K5" s="12" t="n">
        <v>47385</v>
      </c>
      <c r="L5" s="12" t="n">
        <v>47385</v>
      </c>
      <c r="M5" s="12" t="n">
        <v>47385</v>
      </c>
      <c r="N5" s="4">
        <f>SUM(B5:M5)</f>
        <v/>
      </c>
      <c r="O5" s="4" t="n">
        <v>568612</v>
      </c>
      <c r="P5" s="4">
        <f>N5-O5</f>
        <v/>
      </c>
    </row>
    <row r="6">
      <c r="A6" t="inlineStr">
        <is>
          <t>Deduções</t>
        </is>
      </c>
      <c r="B6" s="4" t="n">
        <v>-32536.54</v>
      </c>
      <c r="C6" s="4" t="n">
        <v>-21557.64</v>
      </c>
      <c r="D6" s="4" t="n">
        <v>-10371.69</v>
      </c>
      <c r="E6" s="4" t="n">
        <v>-3804.38</v>
      </c>
      <c r="F6" s="4" t="n">
        <v>-2136.78</v>
      </c>
      <c r="G6" s="4" t="n">
        <v>-9831.07</v>
      </c>
      <c r="H6" s="4" t="n">
        <v>-13347.2</v>
      </c>
      <c r="I6" s="4" t="n">
        <v>-8909.43</v>
      </c>
      <c r="J6" s="4" t="n">
        <v>-12613.75</v>
      </c>
      <c r="K6" s="12" t="n">
        <v>-17052</v>
      </c>
      <c r="L6" s="12" t="n">
        <v>-17052</v>
      </c>
      <c r="M6" s="12" t="n">
        <v>-17052</v>
      </c>
      <c r="N6" s="4">
        <f>SUM(B6:M6)</f>
        <v/>
      </c>
      <c r="O6" s="4" t="n">
        <v>-204624</v>
      </c>
      <c r="P6" s="4">
        <f>N6-O6</f>
        <v/>
      </c>
    </row>
    <row r="7">
      <c r="A7" t="inlineStr">
        <is>
          <t>Receita líquida</t>
        </is>
      </c>
      <c r="B7" s="4" t="n">
        <v>135132.87</v>
      </c>
      <c r="C7" s="4" t="n">
        <v>41808.07</v>
      </c>
      <c r="D7" s="4" t="n">
        <v>24458.34</v>
      </c>
      <c r="E7" s="4" t="n">
        <v>18718.18</v>
      </c>
      <c r="F7" s="4" t="n">
        <v>36160.75</v>
      </c>
      <c r="G7" s="4" t="n">
        <v>70065.78999999999</v>
      </c>
      <c r="H7" s="4" t="n">
        <v>58245.96</v>
      </c>
      <c r="I7" s="4" t="n">
        <v>55476.18</v>
      </c>
      <c r="J7" s="4" t="n">
        <v>46019.21</v>
      </c>
      <c r="K7" s="12" t="n">
        <v>30333</v>
      </c>
      <c r="L7" s="12" t="n">
        <v>30333</v>
      </c>
      <c r="M7" s="12" t="n">
        <v>30333</v>
      </c>
      <c r="N7" s="4">
        <f>SUM(B7:M7)</f>
        <v/>
      </c>
      <c r="O7" s="4" t="n">
        <v>363988</v>
      </c>
      <c r="P7" s="4">
        <f>N7-O7</f>
        <v/>
      </c>
    </row>
    <row r="8">
      <c r="A8" t="inlineStr">
        <is>
          <t>Despesas operacionais</t>
        </is>
      </c>
      <c r="B8" s="4" t="n">
        <v>-11630.55</v>
      </c>
      <c r="C8" s="4" t="n">
        <v>-11063.77</v>
      </c>
      <c r="D8" s="4" t="n">
        <v>-11252.37</v>
      </c>
      <c r="E8" s="4" t="n">
        <v>-11799.13</v>
      </c>
      <c r="F8" s="4" t="n">
        <v>-12561.67</v>
      </c>
      <c r="G8" s="4" t="n">
        <v>-10663.88</v>
      </c>
      <c r="H8" s="4" t="n">
        <v>-13210.65</v>
      </c>
      <c r="I8" s="4" t="n">
        <v>-19822.82</v>
      </c>
      <c r="J8" s="4" t="n">
        <v>-6952.57</v>
      </c>
      <c r="K8" s="12" t="n">
        <v>-13195</v>
      </c>
      <c r="L8" s="12" t="n">
        <v>-15953</v>
      </c>
      <c r="M8" s="12" t="n">
        <v>-15364</v>
      </c>
      <c r="N8" s="4">
        <f>SUM(B8:M8)</f>
        <v/>
      </c>
      <c r="O8" s="4" t="n">
        <v>-162307</v>
      </c>
      <c r="P8" s="4">
        <f>N8-O8</f>
        <v/>
      </c>
    </row>
    <row r="9">
      <c r="A9" t="inlineStr">
        <is>
          <t>Lucro operacional</t>
        </is>
      </c>
      <c r="B9" s="4" t="n">
        <v>123212.32</v>
      </c>
      <c r="C9" s="4" t="n">
        <v>30744.3</v>
      </c>
      <c r="D9" s="4" t="n">
        <v>13205.97</v>
      </c>
      <c r="E9" s="4" t="n">
        <v>6919.05</v>
      </c>
      <c r="F9" s="4" t="n">
        <v>23599.08</v>
      </c>
      <c r="G9" s="4" t="n">
        <v>59401.91</v>
      </c>
      <c r="H9" s="4" t="n">
        <v>44019.36</v>
      </c>
      <c r="I9" s="4" t="n">
        <v>35653.36</v>
      </c>
      <c r="J9" s="4" t="n">
        <v>39066.64</v>
      </c>
      <c r="K9" s="12" t="n">
        <v>17138</v>
      </c>
      <c r="L9" s="12" t="n">
        <v>14380</v>
      </c>
      <c r="M9" s="12" t="n">
        <v>14969</v>
      </c>
      <c r="N9" s="4">
        <f>SUM(B9:M9)</f>
        <v/>
      </c>
      <c r="O9" s="4" t="n">
        <v>201681</v>
      </c>
      <c r="P9" s="4">
        <f>N9-O9</f>
        <v/>
      </c>
    </row>
    <row r="10">
      <c r="A10" s="5" t="inlineStr">
        <is>
          <t>Lucro líquido</t>
        </is>
      </c>
      <c r="B10" s="7" t="n">
        <v>123212.32</v>
      </c>
      <c r="C10" s="7" t="n">
        <v>30744.3</v>
      </c>
      <c r="D10" s="7" t="n">
        <v>13205.97</v>
      </c>
      <c r="E10" s="7" t="n">
        <v>6919.05</v>
      </c>
      <c r="F10" s="7" t="n">
        <v>23599.08</v>
      </c>
      <c r="G10" s="7" t="n">
        <v>59401.91</v>
      </c>
      <c r="H10" s="7" t="n">
        <v>44019.36</v>
      </c>
      <c r="I10" s="7" t="n">
        <v>35653.36</v>
      </c>
      <c r="J10" s="7" t="n">
        <v>39066.64</v>
      </c>
      <c r="K10" s="7" t="n">
        <v>17138</v>
      </c>
      <c r="L10" s="7" t="n">
        <v>14380</v>
      </c>
      <c r="M10" s="7" t="n">
        <v>14969</v>
      </c>
      <c r="N10" s="7">
        <f>SUM(B10:M10)</f>
        <v/>
      </c>
      <c r="O10" s="7" t="n">
        <v>201681</v>
      </c>
      <c r="P10" s="7">
        <f>N10-O10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9" t="inlineStr">
        <is>
          <t>Receitas – Fotografia: impostos incrementais na V Eventos (Lucro Presumido), R$</t>
        </is>
      </c>
    </row>
    <row r="2">
      <c r="A2" t="inlineStr">
        <is>
          <t>Fórmulas da aba Cálculos de Impostos: PIS 0,65%, COFINS 3%, ISS 5% sobre a receita; IRPJ 15% + adicional 10% (base &gt; R$ 20 mil/mês) e CSLL 9% sobre base presumida (32% até R$ 416.666,67/mês; 35,2% acima). Receita e custos distribuídos igualmente em set–dez.</t>
        </is>
      </c>
    </row>
    <row r="4">
      <c r="A4" s="8" t="inlineStr">
        <is>
          <t>Cenário Pessimista</t>
        </is>
      </c>
    </row>
    <row r="5">
      <c r="A5" s="2" t="inlineStr">
        <is>
          <t>Mês</t>
        </is>
      </c>
      <c r="B5" s="2" t="inlineStr">
        <is>
          <t>Receita V Eventos (base orçada)</t>
        </is>
      </c>
      <c r="C5" s="2" t="inlineStr">
        <is>
          <t>Receita Fotografia</t>
        </is>
      </c>
      <c r="D5" s="2" t="inlineStr">
        <is>
          <t>Custos Fotografia</t>
        </is>
      </c>
      <c r="E5" s="2" t="inlineStr">
        <is>
          <t>PIS</t>
        </is>
      </c>
      <c r="F5" s="2" t="inlineStr">
        <is>
          <t>COFINS</t>
        </is>
      </c>
      <c r="G5" s="2" t="inlineStr">
        <is>
          <t>ISS</t>
        </is>
      </c>
      <c r="H5" s="2" t="inlineStr">
        <is>
          <t>IRPJ</t>
        </is>
      </c>
      <c r="I5" s="2" t="inlineStr">
        <is>
          <t>CSLL</t>
        </is>
      </c>
      <c r="J5" s="2" t="inlineStr">
        <is>
          <t>Lucro líquido Fotografia</t>
        </is>
      </c>
    </row>
    <row r="6">
      <c r="A6" t="inlineStr">
        <is>
          <t>Set</t>
        </is>
      </c>
      <c r="B6" s="4" t="n">
        <v>953854.01</v>
      </c>
      <c r="C6" s="4" t="n">
        <v>57600</v>
      </c>
      <c r="D6" s="4" t="n">
        <v>-28800</v>
      </c>
      <c r="E6" s="4" t="n">
        <v>-374.4</v>
      </c>
      <c r="F6" s="4" t="n">
        <v>-1728</v>
      </c>
      <c r="G6" s="4" t="n">
        <v>-2880</v>
      </c>
      <c r="H6" s="4" t="n">
        <v>-5068.8</v>
      </c>
      <c r="I6" s="4" t="n">
        <v>-1824.77</v>
      </c>
      <c r="J6" s="4">
        <f>SUM(C6:I6)</f>
        <v/>
      </c>
    </row>
    <row r="7">
      <c r="A7" t="inlineStr">
        <is>
          <t>Out</t>
        </is>
      </c>
      <c r="B7" s="4" t="n">
        <v>772873.41</v>
      </c>
      <c r="C7" s="4" t="n">
        <v>57600</v>
      </c>
      <c r="D7" s="4" t="n">
        <v>-28800</v>
      </c>
      <c r="E7" s="4" t="n">
        <v>-374.4</v>
      </c>
      <c r="F7" s="4" t="n">
        <v>-1728</v>
      </c>
      <c r="G7" s="4" t="n">
        <v>-2880</v>
      </c>
      <c r="H7" s="4" t="n">
        <v>-5068.8</v>
      </c>
      <c r="I7" s="4" t="n">
        <v>-1824.77</v>
      </c>
      <c r="J7" s="4">
        <f>SUM(C7:I7)</f>
        <v/>
      </c>
    </row>
    <row r="8">
      <c r="A8" t="inlineStr">
        <is>
          <t>Nov</t>
        </is>
      </c>
      <c r="B8" s="4" t="n">
        <v>842598.36</v>
      </c>
      <c r="C8" s="4" t="n">
        <v>57600</v>
      </c>
      <c r="D8" s="4" t="n">
        <v>-28800</v>
      </c>
      <c r="E8" s="4" t="n">
        <v>-374.4</v>
      </c>
      <c r="F8" s="4" t="n">
        <v>-1728</v>
      </c>
      <c r="G8" s="4" t="n">
        <v>-2880</v>
      </c>
      <c r="H8" s="4" t="n">
        <v>-5068.8</v>
      </c>
      <c r="I8" s="4" t="n">
        <v>-1824.77</v>
      </c>
      <c r="J8" s="4">
        <f>SUM(C8:I8)</f>
        <v/>
      </c>
    </row>
    <row r="9">
      <c r="A9" t="inlineStr">
        <is>
          <t>Dez</t>
        </is>
      </c>
      <c r="B9" s="4" t="n">
        <v>1105120.54</v>
      </c>
      <c r="C9" s="4" t="n">
        <v>57600</v>
      </c>
      <c r="D9" s="4" t="n">
        <v>-28800</v>
      </c>
      <c r="E9" s="4" t="n">
        <v>-374.4</v>
      </c>
      <c r="F9" s="4" t="n">
        <v>-1728</v>
      </c>
      <c r="G9" s="4" t="n">
        <v>-2880</v>
      </c>
      <c r="H9" s="4" t="n">
        <v>-5068.8</v>
      </c>
      <c r="I9" s="4" t="n">
        <v>-1824.77</v>
      </c>
      <c r="J9" s="4">
        <f>SUM(C9:I9)</f>
        <v/>
      </c>
    </row>
    <row r="10">
      <c r="A10" s="8" t="inlineStr">
        <is>
          <t>Total</t>
        </is>
      </c>
      <c r="B10" s="4" t="n"/>
      <c r="C10" s="15">
        <f>SUM(C6:C9)</f>
        <v/>
      </c>
      <c r="D10" s="15">
        <f>SUM(D6:D9)</f>
        <v/>
      </c>
      <c r="E10" s="15">
        <f>SUM(E6:E9)</f>
        <v/>
      </c>
      <c r="F10" s="15">
        <f>SUM(F6:F9)</f>
        <v/>
      </c>
      <c r="G10" s="15">
        <f>SUM(G6:G9)</f>
        <v/>
      </c>
      <c r="H10" s="15">
        <f>SUM(H6:H9)</f>
        <v/>
      </c>
      <c r="I10" s="15">
        <f>SUM(I6:I9)</f>
        <v/>
      </c>
      <c r="J10" s="15">
        <f>SUM(J6:J9)</f>
        <v/>
      </c>
    </row>
    <row r="12">
      <c r="A12" s="8" t="inlineStr">
        <is>
          <t>Cenário Realista</t>
        </is>
      </c>
    </row>
    <row r="13">
      <c r="A13" s="2" t="inlineStr">
        <is>
          <t>Mês</t>
        </is>
      </c>
      <c r="B13" s="2" t="inlineStr">
        <is>
          <t>Receita V Eventos (base orçada)</t>
        </is>
      </c>
      <c r="C13" s="2" t="inlineStr">
        <is>
          <t>Receita Fotografia</t>
        </is>
      </c>
      <c r="D13" s="2" t="inlineStr">
        <is>
          <t>Custos Fotografia</t>
        </is>
      </c>
      <c r="E13" s="2" t="inlineStr">
        <is>
          <t>PIS</t>
        </is>
      </c>
      <c r="F13" s="2" t="inlineStr">
        <is>
          <t>COFINS</t>
        </is>
      </c>
      <c r="G13" s="2" t="inlineStr">
        <is>
          <t>ISS</t>
        </is>
      </c>
      <c r="H13" s="2" t="inlineStr">
        <is>
          <t>IRPJ</t>
        </is>
      </c>
      <c r="I13" s="2" t="inlineStr">
        <is>
          <t>CSLL</t>
        </is>
      </c>
      <c r="J13" s="2" t="inlineStr">
        <is>
          <t>Lucro líquido Fotografia</t>
        </is>
      </c>
    </row>
    <row r="14">
      <c r="A14" t="inlineStr">
        <is>
          <t>Set</t>
        </is>
      </c>
      <c r="B14" s="4" t="n">
        <v>953854.01</v>
      </c>
      <c r="C14" s="4" t="n">
        <v>120000</v>
      </c>
      <c r="D14" s="4" t="n">
        <v>-60000</v>
      </c>
      <c r="E14" s="4" t="n">
        <v>-780</v>
      </c>
      <c r="F14" s="4" t="n">
        <v>-3600</v>
      </c>
      <c r="G14" s="4" t="n">
        <v>-6000</v>
      </c>
      <c r="H14" s="4" t="n">
        <v>-10560</v>
      </c>
      <c r="I14" s="4" t="n">
        <v>-3801.6</v>
      </c>
      <c r="J14" s="4">
        <f>SUM(C14:I14)</f>
        <v/>
      </c>
    </row>
    <row r="15">
      <c r="A15" t="inlineStr">
        <is>
          <t>Out</t>
        </is>
      </c>
      <c r="B15" s="4" t="n">
        <v>772873.41</v>
      </c>
      <c r="C15" s="4" t="n">
        <v>120000</v>
      </c>
      <c r="D15" s="4" t="n">
        <v>-60000</v>
      </c>
      <c r="E15" s="4" t="n">
        <v>-780</v>
      </c>
      <c r="F15" s="4" t="n">
        <v>-3600</v>
      </c>
      <c r="G15" s="4" t="n">
        <v>-6000</v>
      </c>
      <c r="H15" s="4" t="n">
        <v>-10560</v>
      </c>
      <c r="I15" s="4" t="n">
        <v>-3801.6</v>
      </c>
      <c r="J15" s="4">
        <f>SUM(C15:I15)</f>
        <v/>
      </c>
    </row>
    <row r="16">
      <c r="A16" t="inlineStr">
        <is>
          <t>Nov</t>
        </is>
      </c>
      <c r="B16" s="4" t="n">
        <v>842598.36</v>
      </c>
      <c r="C16" s="4" t="n">
        <v>120000</v>
      </c>
      <c r="D16" s="4" t="n">
        <v>-60000</v>
      </c>
      <c r="E16" s="4" t="n">
        <v>-780</v>
      </c>
      <c r="F16" s="4" t="n">
        <v>-3600</v>
      </c>
      <c r="G16" s="4" t="n">
        <v>-6000</v>
      </c>
      <c r="H16" s="4" t="n">
        <v>-10560</v>
      </c>
      <c r="I16" s="4" t="n">
        <v>-3801.6</v>
      </c>
      <c r="J16" s="4">
        <f>SUM(C16:I16)</f>
        <v/>
      </c>
    </row>
    <row r="17">
      <c r="A17" t="inlineStr">
        <is>
          <t>Dez</t>
        </is>
      </c>
      <c r="B17" s="4" t="n">
        <v>1105120.54</v>
      </c>
      <c r="C17" s="4" t="n">
        <v>120000</v>
      </c>
      <c r="D17" s="4" t="n">
        <v>-60000</v>
      </c>
      <c r="E17" s="4" t="n">
        <v>-780</v>
      </c>
      <c r="F17" s="4" t="n">
        <v>-3600</v>
      </c>
      <c r="G17" s="4" t="n">
        <v>-6000</v>
      </c>
      <c r="H17" s="4" t="n">
        <v>-10560</v>
      </c>
      <c r="I17" s="4" t="n">
        <v>-3801.6</v>
      </c>
      <c r="J17" s="4">
        <f>SUM(C17:I17)</f>
        <v/>
      </c>
    </row>
    <row r="18">
      <c r="A18" s="8" t="inlineStr">
        <is>
          <t>Total</t>
        </is>
      </c>
      <c r="B18" s="4" t="n"/>
      <c r="C18" s="15">
        <f>SUM(C14:C17)</f>
        <v/>
      </c>
      <c r="D18" s="15">
        <f>SUM(D14:D17)</f>
        <v/>
      </c>
      <c r="E18" s="15">
        <f>SUM(E14:E17)</f>
        <v/>
      </c>
      <c r="F18" s="15">
        <f>SUM(F14:F17)</f>
        <v/>
      </c>
      <c r="G18" s="15">
        <f>SUM(G14:G17)</f>
        <v/>
      </c>
      <c r="H18" s="15">
        <f>SUM(H14:H17)</f>
        <v/>
      </c>
      <c r="I18" s="15">
        <f>SUM(I14:I17)</f>
        <v/>
      </c>
      <c r="J18" s="15">
        <f>SUM(J14:J17)</f>
        <v/>
      </c>
    </row>
    <row r="20">
      <c r="A20" s="8" t="inlineStr">
        <is>
          <t>Cenário Otimista</t>
        </is>
      </c>
    </row>
    <row r="21">
      <c r="A21" s="2" t="inlineStr">
        <is>
          <t>Mês</t>
        </is>
      </c>
      <c r="B21" s="2" t="inlineStr">
        <is>
          <t>Receita V Eventos (base orçada)</t>
        </is>
      </c>
      <c r="C21" s="2" t="inlineStr">
        <is>
          <t>Receita Fotografia</t>
        </is>
      </c>
      <c r="D21" s="2" t="inlineStr">
        <is>
          <t>Custos Fotografia</t>
        </is>
      </c>
      <c r="E21" s="2" t="inlineStr">
        <is>
          <t>PIS</t>
        </is>
      </c>
      <c r="F21" s="2" t="inlineStr">
        <is>
          <t>COFINS</t>
        </is>
      </c>
      <c r="G21" s="2" t="inlineStr">
        <is>
          <t>ISS</t>
        </is>
      </c>
      <c r="H21" s="2" t="inlineStr">
        <is>
          <t>IRPJ</t>
        </is>
      </c>
      <c r="I21" s="2" t="inlineStr">
        <is>
          <t>CSLL</t>
        </is>
      </c>
      <c r="J21" s="2" t="inlineStr">
        <is>
          <t>Lucro líquido Fotografia</t>
        </is>
      </c>
    </row>
    <row r="22">
      <c r="A22" t="inlineStr">
        <is>
          <t>Set</t>
        </is>
      </c>
      <c r="B22" s="4" t="n">
        <v>953854.01</v>
      </c>
      <c r="C22" s="4" t="n">
        <v>201600</v>
      </c>
      <c r="D22" s="4" t="n">
        <v>-100800</v>
      </c>
      <c r="E22" s="4" t="n">
        <v>-1310.4</v>
      </c>
      <c r="F22" s="4" t="n">
        <v>-6048</v>
      </c>
      <c r="G22" s="4" t="n">
        <v>-10080</v>
      </c>
      <c r="H22" s="4" t="n">
        <v>-17740.8</v>
      </c>
      <c r="I22" s="4" t="n">
        <v>-6386.69</v>
      </c>
      <c r="J22" s="4">
        <f>SUM(C22:I22)</f>
        <v/>
      </c>
    </row>
    <row r="23">
      <c r="A23" t="inlineStr">
        <is>
          <t>Out</t>
        </is>
      </c>
      <c r="B23" s="4" t="n">
        <v>772873.41</v>
      </c>
      <c r="C23" s="4" t="n">
        <v>201600</v>
      </c>
      <c r="D23" s="4" t="n">
        <v>-100800</v>
      </c>
      <c r="E23" s="4" t="n">
        <v>-1310.4</v>
      </c>
      <c r="F23" s="4" t="n">
        <v>-6048</v>
      </c>
      <c r="G23" s="4" t="n">
        <v>-10080</v>
      </c>
      <c r="H23" s="4" t="n">
        <v>-17740.8</v>
      </c>
      <c r="I23" s="4" t="n">
        <v>-6386.69</v>
      </c>
      <c r="J23" s="4">
        <f>SUM(C23:I23)</f>
        <v/>
      </c>
    </row>
    <row r="24">
      <c r="A24" t="inlineStr">
        <is>
          <t>Nov</t>
        </is>
      </c>
      <c r="B24" s="4" t="n">
        <v>842598.36</v>
      </c>
      <c r="C24" s="4" t="n">
        <v>201600</v>
      </c>
      <c r="D24" s="4" t="n">
        <v>-100800</v>
      </c>
      <c r="E24" s="4" t="n">
        <v>-1310.4</v>
      </c>
      <c r="F24" s="4" t="n">
        <v>-6048</v>
      </c>
      <c r="G24" s="4" t="n">
        <v>-10080</v>
      </c>
      <c r="H24" s="4" t="n">
        <v>-17740.8</v>
      </c>
      <c r="I24" s="4" t="n">
        <v>-6386.69</v>
      </c>
      <c r="J24" s="4">
        <f>SUM(C24:I24)</f>
        <v/>
      </c>
    </row>
    <row r="25">
      <c r="A25" t="inlineStr">
        <is>
          <t>Dez</t>
        </is>
      </c>
      <c r="B25" s="4" t="n">
        <v>1105120.54</v>
      </c>
      <c r="C25" s="4" t="n">
        <v>201600</v>
      </c>
      <c r="D25" s="4" t="n">
        <v>-100800</v>
      </c>
      <c r="E25" s="4" t="n">
        <v>-1310.4</v>
      </c>
      <c r="F25" s="4" t="n">
        <v>-6048</v>
      </c>
      <c r="G25" s="4" t="n">
        <v>-10080</v>
      </c>
      <c r="H25" s="4" t="n">
        <v>-17740.8</v>
      </c>
      <c r="I25" s="4" t="n">
        <v>-6386.69</v>
      </c>
      <c r="J25" s="4">
        <f>SUM(C25:I25)</f>
        <v/>
      </c>
    </row>
    <row r="26">
      <c r="A26" s="8" t="inlineStr">
        <is>
          <t>Total</t>
        </is>
      </c>
      <c r="B26" s="4" t="n"/>
      <c r="C26" s="15">
        <f>SUM(C22:C25)</f>
        <v/>
      </c>
      <c r="D26" s="15">
        <f>SUM(D22:D25)</f>
        <v/>
      </c>
      <c r="E26" s="15">
        <f>SUM(E22:E25)</f>
        <v/>
      </c>
      <c r="F26" s="15">
        <f>SUM(F22:F25)</f>
        <v/>
      </c>
      <c r="G26" s="15">
        <f>SUM(G22:G25)</f>
        <v/>
      </c>
      <c r="H26" s="15">
        <f>SUM(H22:H25)</f>
        <v/>
      </c>
      <c r="I26" s="15">
        <f>SUM(I22:I25)</f>
        <v/>
      </c>
      <c r="J26" s="15">
        <f>SUM(J22:J25)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2026-10-05T17:56:20Z</dcterms:created>
  <dcterms:modified xmlns:dcterms="http://purl.org/dc/terms/" xmlns:xsi="http://www.w3.org/2001/XMLSchema-instance" xsi:type="dcterms:W3CDTF">2026-10-05T17:56:20Z</dcterms:modified>
</cp:coreProperties>
</file>