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casm\Downloads\"/>
    </mc:Choice>
  </mc:AlternateContent>
  <xr:revisionPtr revIDLastSave="0" documentId="13_ncr:1_{B88E42A6-1826-44BC-8A8C-5E5F4C2A13FC}" xr6:coauthVersionLast="47" xr6:coauthVersionMax="47" xr10:uidLastSave="{00000000-0000-0000-0000-000000000000}"/>
  <bookViews>
    <workbookView xWindow="660" yWindow="3045" windowWidth="21600" windowHeight="11295" xr2:uid="{00000000-000D-0000-FFFF-FFFF00000000}"/>
  </bookViews>
  <sheets>
    <sheet name="DRE 2026" sheetId="1" r:id="rId1"/>
    <sheet name="ORÇADO X REALIZADO" sheetId="2" r:id="rId2"/>
    <sheet name="DRE 2025 " sheetId="3" r:id="rId3"/>
    <sheet name="Orçamen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2" i="4" l="1"/>
  <c r="M102" i="4"/>
  <c r="L102" i="4"/>
  <c r="AH104" i="2" s="1"/>
  <c r="K102" i="4"/>
  <c r="AE104" i="2" s="1"/>
  <c r="J102" i="4"/>
  <c r="I102" i="4"/>
  <c r="H102" i="4"/>
  <c r="G102" i="4"/>
  <c r="F102" i="4"/>
  <c r="E102" i="4"/>
  <c r="D102" i="4"/>
  <c r="C102" i="4"/>
  <c r="G104" i="2" s="1"/>
  <c r="B102" i="4"/>
  <c r="A102" i="4"/>
  <c r="N101" i="4"/>
  <c r="M101" i="4"/>
  <c r="L101" i="4"/>
  <c r="K101" i="4"/>
  <c r="J101" i="4"/>
  <c r="I101" i="4"/>
  <c r="H101" i="4"/>
  <c r="G101" i="4"/>
  <c r="F101" i="4"/>
  <c r="E101" i="4"/>
  <c r="M103" i="2" s="1"/>
  <c r="D101" i="4"/>
  <c r="C101" i="4"/>
  <c r="B101" i="4"/>
  <c r="A101" i="4"/>
  <c r="N100" i="4"/>
  <c r="M100" i="4"/>
  <c r="L100" i="4"/>
  <c r="K100" i="4"/>
  <c r="J100" i="4"/>
  <c r="I100" i="4"/>
  <c r="H100" i="4"/>
  <c r="G100" i="4"/>
  <c r="S102" i="2" s="1"/>
  <c r="F100" i="4"/>
  <c r="E100" i="4"/>
  <c r="D100" i="4"/>
  <c r="C100" i="4"/>
  <c r="B100" i="4"/>
  <c r="A100" i="4"/>
  <c r="N98" i="4"/>
  <c r="M98" i="4"/>
  <c r="L98" i="4"/>
  <c r="K98" i="4"/>
  <c r="J98" i="4"/>
  <c r="I98" i="4"/>
  <c r="Y100" i="2" s="1"/>
  <c r="AA100" i="2" s="1"/>
  <c r="H98" i="4"/>
  <c r="G98" i="4"/>
  <c r="F98" i="4"/>
  <c r="E98" i="4"/>
  <c r="D98" i="4"/>
  <c r="C98" i="4"/>
  <c r="B98" i="4"/>
  <c r="A98" i="4"/>
  <c r="N97" i="4"/>
  <c r="A97" i="4"/>
  <c r="N96" i="4"/>
  <c r="A96" i="4"/>
  <c r="N95" i="4"/>
  <c r="A95" i="4"/>
  <c r="N94" i="4"/>
  <c r="M94" i="4"/>
  <c r="L94" i="4"/>
  <c r="K94" i="4"/>
  <c r="J94" i="4"/>
  <c r="I94" i="4"/>
  <c r="H94" i="4"/>
  <c r="G94" i="4"/>
  <c r="F94" i="4"/>
  <c r="E94" i="4"/>
  <c r="M96" i="2" s="1"/>
  <c r="D94" i="4"/>
  <c r="C94" i="4"/>
  <c r="B94" i="4"/>
  <c r="A94" i="4"/>
  <c r="N93" i="4"/>
  <c r="A93" i="4"/>
  <c r="N92" i="4"/>
  <c r="A92" i="4"/>
  <c r="N91" i="4"/>
  <c r="M91" i="4"/>
  <c r="L91" i="4"/>
  <c r="K91" i="4"/>
  <c r="AE93" i="2" s="1"/>
  <c r="J91" i="4"/>
  <c r="I91" i="4"/>
  <c r="Y93" i="2" s="1"/>
  <c r="H91" i="4"/>
  <c r="G91" i="4"/>
  <c r="F91" i="4"/>
  <c r="E91" i="4"/>
  <c r="D91" i="4"/>
  <c r="C91" i="4"/>
  <c r="B91" i="4"/>
  <c r="A91" i="4"/>
  <c r="N90" i="4"/>
  <c r="A90" i="4"/>
  <c r="N89" i="4"/>
  <c r="M89" i="4"/>
  <c r="L89" i="4"/>
  <c r="K89" i="4"/>
  <c r="J89" i="4"/>
  <c r="I89" i="4"/>
  <c r="H89" i="4"/>
  <c r="G89" i="4"/>
  <c r="F89" i="4"/>
  <c r="E89" i="4"/>
  <c r="D89" i="4"/>
  <c r="C89" i="4"/>
  <c r="G91" i="2" s="1"/>
  <c r="I91" i="2" s="1"/>
  <c r="B89" i="4"/>
  <c r="A89" i="4"/>
  <c r="N88" i="4"/>
  <c r="M88" i="4"/>
  <c r="AK90" i="2" s="1"/>
  <c r="L88" i="4"/>
  <c r="K88" i="4"/>
  <c r="J88" i="4"/>
  <c r="I88" i="4"/>
  <c r="H88" i="4"/>
  <c r="G88" i="4"/>
  <c r="F88" i="4"/>
  <c r="E88" i="4"/>
  <c r="M90" i="2" s="1"/>
  <c r="D88" i="4"/>
  <c r="C88" i="4"/>
  <c r="B88" i="4"/>
  <c r="A88" i="4"/>
  <c r="N87" i="4"/>
  <c r="A87" i="4"/>
  <c r="N86" i="4"/>
  <c r="A86" i="4"/>
  <c r="N85" i="4"/>
  <c r="M85" i="4"/>
  <c r="L85" i="4"/>
  <c r="K85" i="4"/>
  <c r="AE87" i="2" s="1"/>
  <c r="AG87" i="2" s="1"/>
  <c r="J85" i="4"/>
  <c r="I85" i="4"/>
  <c r="H85" i="4"/>
  <c r="G85" i="4"/>
  <c r="F85" i="4"/>
  <c r="E85" i="4"/>
  <c r="D85" i="4"/>
  <c r="C85" i="4"/>
  <c r="B85" i="4"/>
  <c r="A85" i="4"/>
  <c r="N84" i="4"/>
  <c r="M84" i="4"/>
  <c r="AK86" i="2" s="1"/>
  <c r="AM86" i="2" s="1"/>
  <c r="L84" i="4"/>
  <c r="K84" i="4"/>
  <c r="J84" i="4"/>
  <c r="I84" i="4"/>
  <c r="H84" i="4"/>
  <c r="G84" i="4"/>
  <c r="S86" i="2" s="1"/>
  <c r="U86" i="2" s="1"/>
  <c r="F84" i="4"/>
  <c r="E84" i="4"/>
  <c r="D84" i="4"/>
  <c r="C84" i="4"/>
  <c r="B84" i="4"/>
  <c r="A84" i="4"/>
  <c r="N83" i="4"/>
  <c r="M83" i="4"/>
  <c r="L83" i="4"/>
  <c r="AH85" i="2" s="1"/>
  <c r="K83" i="4"/>
  <c r="J83" i="4"/>
  <c r="I83" i="4"/>
  <c r="H83" i="4"/>
  <c r="G83" i="4"/>
  <c r="F83" i="4"/>
  <c r="E83" i="4"/>
  <c r="D83" i="4"/>
  <c r="C83" i="4"/>
  <c r="G85" i="2" s="1"/>
  <c r="B83" i="4"/>
  <c r="A83" i="4"/>
  <c r="N82" i="4"/>
  <c r="M82" i="4"/>
  <c r="L82" i="4"/>
  <c r="K82" i="4"/>
  <c r="J82" i="4"/>
  <c r="I82" i="4"/>
  <c r="H82" i="4"/>
  <c r="G82" i="4"/>
  <c r="F82" i="4"/>
  <c r="E82" i="4"/>
  <c r="M84" i="2" s="1"/>
  <c r="O84" i="2" s="1"/>
  <c r="D82" i="4"/>
  <c r="C82" i="4"/>
  <c r="B82" i="4"/>
  <c r="D84" i="2" s="1"/>
  <c r="A82" i="4"/>
  <c r="N81" i="4"/>
  <c r="M81" i="4"/>
  <c r="AK83" i="2" s="1"/>
  <c r="L81" i="4"/>
  <c r="K81" i="4"/>
  <c r="J81" i="4"/>
  <c r="I81" i="4"/>
  <c r="H81" i="4"/>
  <c r="G81" i="4"/>
  <c r="S83" i="2" s="1"/>
  <c r="U83" i="2" s="1"/>
  <c r="F81" i="4"/>
  <c r="E81" i="4"/>
  <c r="M83" i="2" s="1"/>
  <c r="O83" i="2" s="1"/>
  <c r="D81" i="4"/>
  <c r="C81" i="4"/>
  <c r="B81" i="4"/>
  <c r="A81" i="4"/>
  <c r="N80" i="4"/>
  <c r="M80" i="4"/>
  <c r="L80" i="4"/>
  <c r="K80" i="4"/>
  <c r="J80" i="4"/>
  <c r="I80" i="4"/>
  <c r="Y82" i="2" s="1"/>
  <c r="AA82" i="2" s="1"/>
  <c r="H80" i="4"/>
  <c r="G80" i="4"/>
  <c r="S82" i="2" s="1"/>
  <c r="U82" i="2" s="1"/>
  <c r="F80" i="4"/>
  <c r="E80" i="4"/>
  <c r="D80" i="4"/>
  <c r="C80" i="4"/>
  <c r="B80" i="4"/>
  <c r="A80" i="4"/>
  <c r="N79" i="4"/>
  <c r="M79" i="4"/>
  <c r="L79" i="4"/>
  <c r="K79" i="4"/>
  <c r="AE81" i="2" s="1"/>
  <c r="J79" i="4"/>
  <c r="I79" i="4"/>
  <c r="H79" i="4"/>
  <c r="G79" i="4"/>
  <c r="F79" i="4"/>
  <c r="E79" i="4"/>
  <c r="D79" i="4"/>
  <c r="C79" i="4"/>
  <c r="B79" i="4"/>
  <c r="A79" i="4"/>
  <c r="N78" i="4"/>
  <c r="M78" i="4"/>
  <c r="AK80" i="2" s="1"/>
  <c r="AM80" i="2" s="1"/>
  <c r="L78" i="4"/>
  <c r="K78" i="4"/>
  <c r="J78" i="4"/>
  <c r="I78" i="4"/>
  <c r="H78" i="4"/>
  <c r="G78" i="4"/>
  <c r="F78" i="4"/>
  <c r="E78" i="4"/>
  <c r="D78" i="4"/>
  <c r="C78" i="4"/>
  <c r="B78" i="4"/>
  <c r="A78" i="4"/>
  <c r="N77" i="4"/>
  <c r="M77" i="4"/>
  <c r="L77" i="4"/>
  <c r="AH79" i="2" s="1"/>
  <c r="K77" i="4"/>
  <c r="J77" i="4"/>
  <c r="I77" i="4"/>
  <c r="H77" i="4"/>
  <c r="G77" i="4"/>
  <c r="F77" i="4"/>
  <c r="E77" i="4"/>
  <c r="D77" i="4"/>
  <c r="C77" i="4"/>
  <c r="G79" i="2" s="1"/>
  <c r="I79" i="2" s="1"/>
  <c r="B77" i="4"/>
  <c r="A77" i="4"/>
  <c r="N76" i="4"/>
  <c r="M76" i="4"/>
  <c r="L76" i="4"/>
  <c r="K76" i="4"/>
  <c r="AE78" i="2" s="1"/>
  <c r="J76" i="4"/>
  <c r="I76" i="4"/>
  <c r="H76" i="4"/>
  <c r="G76" i="4"/>
  <c r="F76" i="4"/>
  <c r="E76" i="4"/>
  <c r="M78" i="2" s="1"/>
  <c r="O78" i="2" s="1"/>
  <c r="D76" i="4"/>
  <c r="C76" i="4"/>
  <c r="G78" i="2" s="1"/>
  <c r="B76" i="4"/>
  <c r="A76" i="4"/>
  <c r="N75" i="4"/>
  <c r="M75" i="4"/>
  <c r="L75" i="4"/>
  <c r="K75" i="4"/>
  <c r="J75" i="4"/>
  <c r="I75" i="4"/>
  <c r="H75" i="4"/>
  <c r="G75" i="4"/>
  <c r="S77" i="2" s="1"/>
  <c r="U77" i="2" s="1"/>
  <c r="F75" i="4"/>
  <c r="E75" i="4"/>
  <c r="D75" i="4"/>
  <c r="C75" i="4"/>
  <c r="B75" i="4"/>
  <c r="A75" i="4"/>
  <c r="N74" i="4"/>
  <c r="M74" i="4"/>
  <c r="L74" i="4"/>
  <c r="K74" i="4"/>
  <c r="J74" i="4"/>
  <c r="I74" i="4"/>
  <c r="Y76" i="2" s="1"/>
  <c r="AA76" i="2" s="1"/>
  <c r="H74" i="4"/>
  <c r="G74" i="4"/>
  <c r="S76" i="2" s="1"/>
  <c r="U76" i="2" s="1"/>
  <c r="F74" i="4"/>
  <c r="E74" i="4"/>
  <c r="D74" i="4"/>
  <c r="C74" i="4"/>
  <c r="B74" i="4"/>
  <c r="A74" i="4"/>
  <c r="N73" i="4"/>
  <c r="M73" i="4"/>
  <c r="L73" i="4"/>
  <c r="K73" i="4"/>
  <c r="AE75" i="2" s="1"/>
  <c r="AG75" i="2" s="1"/>
  <c r="J73" i="4"/>
  <c r="I73" i="4"/>
  <c r="H73" i="4"/>
  <c r="G73" i="4"/>
  <c r="F73" i="4"/>
  <c r="E73" i="4"/>
  <c r="M75" i="2" s="1"/>
  <c r="D73" i="4"/>
  <c r="C73" i="4"/>
  <c r="B73" i="4"/>
  <c r="A73" i="4"/>
  <c r="N72" i="4"/>
  <c r="M72" i="4"/>
  <c r="AK74" i="2" s="1"/>
  <c r="AM74" i="2" s="1"/>
  <c r="L72" i="4"/>
  <c r="K72" i="4"/>
  <c r="AE74" i="2" s="1"/>
  <c r="J72" i="4"/>
  <c r="I72" i="4"/>
  <c r="H72" i="4"/>
  <c r="G72" i="4"/>
  <c r="F72" i="4"/>
  <c r="E72" i="4"/>
  <c r="D72" i="4"/>
  <c r="C72" i="4"/>
  <c r="B72" i="4"/>
  <c r="A72" i="4"/>
  <c r="N71" i="4"/>
  <c r="M71" i="4"/>
  <c r="L71" i="4"/>
  <c r="K71" i="4"/>
  <c r="AE73" i="2" s="1"/>
  <c r="J71" i="4"/>
  <c r="I71" i="4"/>
  <c r="H71" i="4"/>
  <c r="G71" i="4"/>
  <c r="F71" i="4"/>
  <c r="E71" i="4"/>
  <c r="D71" i="4"/>
  <c r="C71" i="4"/>
  <c r="G73" i="2" s="1"/>
  <c r="I73" i="2" s="1"/>
  <c r="B71" i="4"/>
  <c r="A71" i="4"/>
  <c r="N70" i="4"/>
  <c r="M70" i="4"/>
  <c r="L70" i="4"/>
  <c r="K70" i="4"/>
  <c r="J70" i="4"/>
  <c r="I70" i="4"/>
  <c r="H70" i="4"/>
  <c r="G70" i="4"/>
  <c r="F70" i="4"/>
  <c r="E70" i="4"/>
  <c r="M72" i="2" s="1"/>
  <c r="O72" i="2" s="1"/>
  <c r="D70" i="4"/>
  <c r="C70" i="4"/>
  <c r="G72" i="2" s="1"/>
  <c r="I72" i="2" s="1"/>
  <c r="B70" i="4"/>
  <c r="D72" i="2" s="1"/>
  <c r="F72" i="2" s="1"/>
  <c r="A70" i="4"/>
  <c r="N69" i="4"/>
  <c r="M69" i="4"/>
  <c r="AK71" i="2" s="1"/>
  <c r="L69" i="4"/>
  <c r="K69" i="4"/>
  <c r="J69" i="4"/>
  <c r="I69" i="4"/>
  <c r="H69" i="4"/>
  <c r="G69" i="4"/>
  <c r="S71" i="2" s="1"/>
  <c r="U71" i="2" s="1"/>
  <c r="F69" i="4"/>
  <c r="E69" i="4"/>
  <c r="M71" i="2" s="1"/>
  <c r="O71" i="2" s="1"/>
  <c r="D69" i="4"/>
  <c r="C69" i="4"/>
  <c r="B69" i="4"/>
  <c r="A69" i="4"/>
  <c r="N68" i="4"/>
  <c r="M68" i="4"/>
  <c r="L68" i="4"/>
  <c r="K68" i="4"/>
  <c r="J68" i="4"/>
  <c r="I68" i="4"/>
  <c r="Y70" i="2" s="1"/>
  <c r="AA70" i="2" s="1"/>
  <c r="H68" i="4"/>
  <c r="G68" i="4"/>
  <c r="S70" i="2" s="1"/>
  <c r="F68" i="4"/>
  <c r="E68" i="4"/>
  <c r="D68" i="4"/>
  <c r="C68" i="4"/>
  <c r="G70" i="2" s="1"/>
  <c r="I70" i="2" s="1"/>
  <c r="B68" i="4"/>
  <c r="A68" i="4"/>
  <c r="N67" i="4"/>
  <c r="M67" i="4"/>
  <c r="L67" i="4"/>
  <c r="K67" i="4"/>
  <c r="AE69" i="2" s="1"/>
  <c r="AG69" i="2" s="1"/>
  <c r="J67" i="4"/>
  <c r="I67" i="4"/>
  <c r="H67" i="4"/>
  <c r="G67" i="4"/>
  <c r="F67" i="4"/>
  <c r="E67" i="4"/>
  <c r="M69" i="2" s="1"/>
  <c r="O69" i="2" s="1"/>
  <c r="D67" i="4"/>
  <c r="C67" i="4"/>
  <c r="B67" i="4"/>
  <c r="A67" i="4"/>
  <c r="N66" i="4"/>
  <c r="M66" i="4"/>
  <c r="AK68" i="2" s="1"/>
  <c r="AM68" i="2" s="1"/>
  <c r="L66" i="4"/>
  <c r="K66" i="4"/>
  <c r="AE68" i="2" s="1"/>
  <c r="AG68" i="2" s="1"/>
  <c r="J66" i="4"/>
  <c r="AB68" i="2" s="1"/>
  <c r="AD68" i="2" s="1"/>
  <c r="I66" i="4"/>
  <c r="H66" i="4"/>
  <c r="G66" i="4"/>
  <c r="F66" i="4"/>
  <c r="E66" i="4"/>
  <c r="D66" i="4"/>
  <c r="C66" i="4"/>
  <c r="B66" i="4"/>
  <c r="A66" i="4"/>
  <c r="N65" i="4"/>
  <c r="M65" i="4"/>
  <c r="L65" i="4"/>
  <c r="K65" i="4"/>
  <c r="J65" i="4"/>
  <c r="I65" i="4"/>
  <c r="H65" i="4"/>
  <c r="G65" i="4"/>
  <c r="F65" i="4"/>
  <c r="E65" i="4"/>
  <c r="D65" i="4"/>
  <c r="C65" i="4"/>
  <c r="G67" i="2" s="1"/>
  <c r="I67" i="2" s="1"/>
  <c r="B65" i="4"/>
  <c r="A65" i="4"/>
  <c r="N64" i="4"/>
  <c r="M64" i="4"/>
  <c r="L64" i="4"/>
  <c r="K64" i="4"/>
  <c r="AE66" i="2" s="1"/>
  <c r="J64" i="4"/>
  <c r="I64" i="4"/>
  <c r="H64" i="4"/>
  <c r="G64" i="4"/>
  <c r="F64" i="4"/>
  <c r="E64" i="4"/>
  <c r="M66" i="2" s="1"/>
  <c r="O66" i="2" s="1"/>
  <c r="D64" i="4"/>
  <c r="C64" i="4"/>
  <c r="B64" i="4"/>
  <c r="A64" i="4"/>
  <c r="N63" i="4"/>
  <c r="M63" i="4"/>
  <c r="L63" i="4"/>
  <c r="K63" i="4"/>
  <c r="J63" i="4"/>
  <c r="I63" i="4"/>
  <c r="H63" i="4"/>
  <c r="G63" i="4"/>
  <c r="S65" i="2" s="1"/>
  <c r="U65" i="2" s="1"/>
  <c r="F63" i="4"/>
  <c r="E63" i="4"/>
  <c r="D63" i="4"/>
  <c r="C63" i="4"/>
  <c r="B63" i="4"/>
  <c r="A63" i="4"/>
  <c r="N62" i="4"/>
  <c r="M62" i="4"/>
  <c r="L62" i="4"/>
  <c r="K62" i="4"/>
  <c r="J62" i="4"/>
  <c r="I62" i="4"/>
  <c r="Y64" i="2" s="1"/>
  <c r="AA64" i="2" s="1"/>
  <c r="H62" i="4"/>
  <c r="G62" i="4"/>
  <c r="F62" i="4"/>
  <c r="E62" i="4"/>
  <c r="D62" i="4"/>
  <c r="C62" i="4"/>
  <c r="B62" i="4"/>
  <c r="A62" i="4"/>
  <c r="N61" i="4"/>
  <c r="M61" i="4"/>
  <c r="L61" i="4"/>
  <c r="K61" i="4"/>
  <c r="AE63" i="2" s="1"/>
  <c r="AG63" i="2" s="1"/>
  <c r="J61" i="4"/>
  <c r="I61" i="4"/>
  <c r="H61" i="4"/>
  <c r="V63" i="2" s="1"/>
  <c r="G61" i="4"/>
  <c r="S63" i="2" s="1"/>
  <c r="F61" i="4"/>
  <c r="E61" i="4"/>
  <c r="D61" i="4"/>
  <c r="C61" i="4"/>
  <c r="B61" i="4"/>
  <c r="A61" i="4"/>
  <c r="N60" i="4"/>
  <c r="M60" i="4"/>
  <c r="AK62" i="2" s="1"/>
  <c r="AM62" i="2" s="1"/>
  <c r="L60" i="4"/>
  <c r="K60" i="4"/>
  <c r="J60" i="4"/>
  <c r="I60" i="4"/>
  <c r="H60" i="4"/>
  <c r="G60" i="4"/>
  <c r="S62" i="2" s="1"/>
  <c r="F60" i="4"/>
  <c r="E60" i="4"/>
  <c r="D60" i="4"/>
  <c r="C60" i="4"/>
  <c r="B60" i="4"/>
  <c r="A60" i="4"/>
  <c r="N59" i="4"/>
  <c r="M59" i="4"/>
  <c r="L59" i="4"/>
  <c r="K59" i="4"/>
  <c r="J59" i="4"/>
  <c r="I59" i="4"/>
  <c r="H59" i="4"/>
  <c r="G59" i="4"/>
  <c r="F59" i="4"/>
  <c r="E59" i="4"/>
  <c r="D59" i="4"/>
  <c r="C59" i="4"/>
  <c r="G61" i="2" s="1"/>
  <c r="I61" i="2" s="1"/>
  <c r="B59" i="4"/>
  <c r="A59" i="4"/>
  <c r="N58" i="4"/>
  <c r="M58" i="4"/>
  <c r="L58" i="4"/>
  <c r="K58" i="4"/>
  <c r="J58" i="4"/>
  <c r="I58" i="4"/>
  <c r="H58" i="4"/>
  <c r="G58" i="4"/>
  <c r="F58" i="4"/>
  <c r="E58" i="4"/>
  <c r="M60" i="2" s="1"/>
  <c r="O60" i="2" s="1"/>
  <c r="D58" i="4"/>
  <c r="C58" i="4"/>
  <c r="B58" i="4"/>
  <c r="A58" i="4"/>
  <c r="N57" i="4"/>
  <c r="M57" i="4"/>
  <c r="AK59" i="2" s="1"/>
  <c r="AM59" i="2" s="1"/>
  <c r="L57" i="4"/>
  <c r="K57" i="4"/>
  <c r="J57" i="4"/>
  <c r="I57" i="4"/>
  <c r="H57" i="4"/>
  <c r="G57" i="4"/>
  <c r="S59" i="2" s="1"/>
  <c r="U59" i="2" s="1"/>
  <c r="F57" i="4"/>
  <c r="E57" i="4"/>
  <c r="M59" i="2" s="1"/>
  <c r="O59" i="2" s="1"/>
  <c r="D57" i="4"/>
  <c r="C57" i="4"/>
  <c r="B57" i="4"/>
  <c r="A57" i="4"/>
  <c r="N56" i="4"/>
  <c r="M56" i="4"/>
  <c r="L56" i="4"/>
  <c r="K56" i="4"/>
  <c r="J56" i="4"/>
  <c r="I56" i="4"/>
  <c r="Y58" i="2" s="1"/>
  <c r="AA58" i="2" s="1"/>
  <c r="H56" i="4"/>
  <c r="G56" i="4"/>
  <c r="F56" i="4"/>
  <c r="E56" i="4"/>
  <c r="D56" i="4"/>
  <c r="C56" i="4"/>
  <c r="B56" i="4"/>
  <c r="A56" i="4"/>
  <c r="N55" i="4"/>
  <c r="M55" i="4"/>
  <c r="L55" i="4"/>
  <c r="K55" i="4"/>
  <c r="AE57" i="2" s="1"/>
  <c r="AG57" i="2" s="1"/>
  <c r="J55" i="4"/>
  <c r="I55" i="4"/>
  <c r="H55" i="4"/>
  <c r="G55" i="4"/>
  <c r="S57" i="2" s="1"/>
  <c r="U57" i="2" s="1"/>
  <c r="F55" i="4"/>
  <c r="E55" i="4"/>
  <c r="M57" i="2" s="1"/>
  <c r="O57" i="2" s="1"/>
  <c r="D55" i="4"/>
  <c r="C55" i="4"/>
  <c r="B55" i="4"/>
  <c r="A55" i="4"/>
  <c r="N54" i="4"/>
  <c r="M54" i="4"/>
  <c r="AK56" i="2" s="1"/>
  <c r="L54" i="4"/>
  <c r="K54" i="4"/>
  <c r="AE56" i="2" s="1"/>
  <c r="J54" i="4"/>
  <c r="I54" i="4"/>
  <c r="H54" i="4"/>
  <c r="G54" i="4"/>
  <c r="F54" i="4"/>
  <c r="E54" i="4"/>
  <c r="D54" i="4"/>
  <c r="C54" i="4"/>
  <c r="B54" i="4"/>
  <c r="A54" i="4"/>
  <c r="N53" i="4"/>
  <c r="M53" i="4"/>
  <c r="L53" i="4"/>
  <c r="K53" i="4"/>
  <c r="J53" i="4"/>
  <c r="I53" i="4"/>
  <c r="H53" i="4"/>
  <c r="G53" i="4"/>
  <c r="F53" i="4"/>
  <c r="E53" i="4"/>
  <c r="D53" i="4"/>
  <c r="C53" i="4"/>
  <c r="G55" i="2" s="1"/>
  <c r="I55" i="2" s="1"/>
  <c r="B53" i="4"/>
  <c r="A53" i="4"/>
  <c r="N52" i="4"/>
  <c r="M52" i="4"/>
  <c r="AK54" i="2" s="1"/>
  <c r="L52" i="4"/>
  <c r="K52" i="4"/>
  <c r="AE54" i="2" s="1"/>
  <c r="AG54" i="2" s="1"/>
  <c r="J52" i="4"/>
  <c r="I52" i="4"/>
  <c r="H52" i="4"/>
  <c r="G52" i="4"/>
  <c r="F52" i="4"/>
  <c r="E52" i="4"/>
  <c r="M54" i="2" s="1"/>
  <c r="O54" i="2" s="1"/>
  <c r="D52" i="4"/>
  <c r="C52" i="4"/>
  <c r="B52" i="4"/>
  <c r="A52" i="4"/>
  <c r="N51" i="4"/>
  <c r="M51" i="4"/>
  <c r="L51" i="4"/>
  <c r="K51" i="4"/>
  <c r="J51" i="4"/>
  <c r="I51" i="4"/>
  <c r="H51" i="4"/>
  <c r="G51" i="4"/>
  <c r="S53" i="2" s="1"/>
  <c r="U53" i="2" s="1"/>
  <c r="F51" i="4"/>
  <c r="E51" i="4"/>
  <c r="M53" i="2" s="1"/>
  <c r="O53" i="2" s="1"/>
  <c r="D51" i="4"/>
  <c r="C51" i="4"/>
  <c r="B51" i="4"/>
  <c r="A51" i="4"/>
  <c r="N50" i="4"/>
  <c r="M50" i="4"/>
  <c r="L50" i="4"/>
  <c r="K50" i="4"/>
  <c r="J50" i="4"/>
  <c r="I50" i="4"/>
  <c r="Y52" i="2" s="1"/>
  <c r="AA52" i="2" s="1"/>
  <c r="H50" i="4"/>
  <c r="G50" i="4"/>
  <c r="F50" i="4"/>
  <c r="E50" i="4"/>
  <c r="M52" i="2" s="1"/>
  <c r="D50" i="4"/>
  <c r="C50" i="4"/>
  <c r="B50" i="4"/>
  <c r="A50" i="4"/>
  <c r="N49" i="4"/>
  <c r="M49" i="4"/>
  <c r="L49" i="4"/>
  <c r="K49" i="4"/>
  <c r="AE51" i="2" s="1"/>
  <c r="AG51" i="2" s="1"/>
  <c r="J49" i="4"/>
  <c r="I49" i="4"/>
  <c r="H49" i="4"/>
  <c r="G49" i="4"/>
  <c r="F49" i="4"/>
  <c r="E49" i="4"/>
  <c r="M51" i="2" s="1"/>
  <c r="D49" i="4"/>
  <c r="C49" i="4"/>
  <c r="B49" i="4"/>
  <c r="A49" i="4"/>
  <c r="N48" i="4"/>
  <c r="M48" i="4"/>
  <c r="AK50" i="2" s="1"/>
  <c r="AM50" i="2" s="1"/>
  <c r="L48" i="4"/>
  <c r="K48" i="4"/>
  <c r="J48" i="4"/>
  <c r="I48" i="4"/>
  <c r="H48" i="4"/>
  <c r="G48" i="4"/>
  <c r="S50" i="2" s="1"/>
  <c r="U50" i="2" s="1"/>
  <c r="F48" i="4"/>
  <c r="E48" i="4"/>
  <c r="D48" i="4"/>
  <c r="C48" i="4"/>
  <c r="B48" i="4"/>
  <c r="A48" i="4"/>
  <c r="N47" i="4"/>
  <c r="M47" i="4"/>
  <c r="L47" i="4"/>
  <c r="K47" i="4"/>
  <c r="J47" i="4"/>
  <c r="I47" i="4"/>
  <c r="H47" i="4"/>
  <c r="G47" i="4"/>
  <c r="F47" i="4"/>
  <c r="E47" i="4"/>
  <c r="D47" i="4"/>
  <c r="C47" i="4"/>
  <c r="G49" i="2" s="1"/>
  <c r="I49" i="2" s="1"/>
  <c r="B47" i="4"/>
  <c r="A47" i="4"/>
  <c r="N46" i="4"/>
  <c r="M46" i="4"/>
  <c r="AK48" i="2" s="1"/>
  <c r="L46" i="4"/>
  <c r="K46" i="4"/>
  <c r="J46" i="4"/>
  <c r="I46" i="4"/>
  <c r="H46" i="4"/>
  <c r="G46" i="4"/>
  <c r="F46" i="4"/>
  <c r="E46" i="4"/>
  <c r="M48" i="2" s="1"/>
  <c r="O48" i="2" s="1"/>
  <c r="D46" i="4"/>
  <c r="C46" i="4"/>
  <c r="B46" i="4"/>
  <c r="A46" i="4"/>
  <c r="N45" i="4"/>
  <c r="M45" i="4"/>
  <c r="L45" i="4"/>
  <c r="K45" i="4"/>
  <c r="J45" i="4"/>
  <c r="I45" i="4"/>
  <c r="H45" i="4"/>
  <c r="G45" i="4"/>
  <c r="S47" i="2" s="1"/>
  <c r="U47" i="2" s="1"/>
  <c r="F45" i="4"/>
  <c r="E45" i="4"/>
  <c r="M47" i="2" s="1"/>
  <c r="D45" i="4"/>
  <c r="C45" i="4"/>
  <c r="B45" i="4"/>
  <c r="A45" i="4"/>
  <c r="N44" i="4"/>
  <c r="M44" i="4"/>
  <c r="L44" i="4"/>
  <c r="K44" i="4"/>
  <c r="J44" i="4"/>
  <c r="I44" i="4"/>
  <c r="Y46" i="2" s="1"/>
  <c r="AA46" i="2" s="1"/>
  <c r="H44" i="4"/>
  <c r="G44" i="4"/>
  <c r="F44" i="4"/>
  <c r="E44" i="4"/>
  <c r="D44" i="4"/>
  <c r="C44" i="4"/>
  <c r="B44" i="4"/>
  <c r="A44" i="4"/>
  <c r="N43" i="4"/>
  <c r="M43" i="4"/>
  <c r="L43" i="4"/>
  <c r="K43" i="4"/>
  <c r="AE45" i="2" s="1"/>
  <c r="AG45" i="2" s="1"/>
  <c r="J43" i="4"/>
  <c r="I43" i="4"/>
  <c r="Y45" i="2" s="1"/>
  <c r="H43" i="4"/>
  <c r="G43" i="4"/>
  <c r="F43" i="4"/>
  <c r="E43" i="4"/>
  <c r="D43" i="4"/>
  <c r="C43" i="4"/>
  <c r="B43" i="4"/>
  <c r="A43" i="4"/>
  <c r="N42" i="4"/>
  <c r="M42" i="4"/>
  <c r="AK44" i="2" s="1"/>
  <c r="AM44" i="2" s="1"/>
  <c r="L42" i="4"/>
  <c r="K42" i="4"/>
  <c r="J42" i="4"/>
  <c r="I42" i="4"/>
  <c r="Y44" i="2" s="1"/>
  <c r="H42" i="4"/>
  <c r="G42" i="4"/>
  <c r="F42" i="4"/>
  <c r="E42" i="4"/>
  <c r="D42" i="4"/>
  <c r="C42" i="4"/>
  <c r="B42" i="4"/>
  <c r="A42" i="4"/>
  <c r="N41" i="4"/>
  <c r="M41" i="4"/>
  <c r="L41" i="4"/>
  <c r="K41" i="4"/>
  <c r="J41" i="4"/>
  <c r="I41" i="4"/>
  <c r="Y43" i="2" s="1"/>
  <c r="H41" i="4"/>
  <c r="G41" i="4"/>
  <c r="F41" i="4"/>
  <c r="E41" i="4"/>
  <c r="D41" i="4"/>
  <c r="C41" i="4"/>
  <c r="G43" i="2" s="1"/>
  <c r="B41" i="4"/>
  <c r="A41" i="4"/>
  <c r="N40" i="4"/>
  <c r="M40" i="4"/>
  <c r="L40" i="4"/>
  <c r="K40" i="4"/>
  <c r="AE42" i="2" s="1"/>
  <c r="J40" i="4"/>
  <c r="I40" i="4"/>
  <c r="H40" i="4"/>
  <c r="G40" i="4"/>
  <c r="F40" i="4"/>
  <c r="E40" i="4"/>
  <c r="M42" i="2" s="1"/>
  <c r="D40" i="4"/>
  <c r="C40" i="4"/>
  <c r="B40" i="4"/>
  <c r="A40" i="4"/>
  <c r="N39" i="4"/>
  <c r="M39" i="4"/>
  <c r="L39" i="4"/>
  <c r="K39" i="4"/>
  <c r="J39" i="4"/>
  <c r="I39" i="4"/>
  <c r="H39" i="4"/>
  <c r="G39" i="4"/>
  <c r="S41" i="2" s="1"/>
  <c r="U41" i="2" s="1"/>
  <c r="F39" i="4"/>
  <c r="E39" i="4"/>
  <c r="D39" i="4"/>
  <c r="C39" i="4"/>
  <c r="G41" i="2" s="1"/>
  <c r="I41" i="2" s="1"/>
  <c r="B39" i="4"/>
  <c r="A39" i="4"/>
  <c r="N38" i="4"/>
  <c r="M38" i="4"/>
  <c r="L38" i="4"/>
  <c r="K38" i="4"/>
  <c r="J38" i="4"/>
  <c r="I38" i="4"/>
  <c r="Y40" i="2" s="1"/>
  <c r="H38" i="4"/>
  <c r="G38" i="4"/>
  <c r="F38" i="4"/>
  <c r="E38" i="4"/>
  <c r="D38" i="4"/>
  <c r="C38" i="4"/>
  <c r="B38" i="4"/>
  <c r="A38" i="4"/>
  <c r="N37" i="4"/>
  <c r="M37" i="4"/>
  <c r="L37" i="4"/>
  <c r="K37" i="4"/>
  <c r="AE39" i="2" s="1"/>
  <c r="AG39" i="2" s="1"/>
  <c r="J37" i="4"/>
  <c r="I37" i="4"/>
  <c r="H37" i="4"/>
  <c r="G37" i="4"/>
  <c r="F37" i="4"/>
  <c r="E37" i="4"/>
  <c r="M39" i="2" s="1"/>
  <c r="O39" i="2" s="1"/>
  <c r="D37" i="4"/>
  <c r="C37" i="4"/>
  <c r="B37" i="4"/>
  <c r="A37" i="4"/>
  <c r="N36" i="4"/>
  <c r="M36" i="4"/>
  <c r="AK38" i="2" s="1"/>
  <c r="AM38" i="2" s="1"/>
  <c r="L36" i="4"/>
  <c r="K36" i="4"/>
  <c r="AE38" i="2" s="1"/>
  <c r="AG38" i="2" s="1"/>
  <c r="J36" i="4"/>
  <c r="I36" i="4"/>
  <c r="H36" i="4"/>
  <c r="G36" i="4"/>
  <c r="F36" i="4"/>
  <c r="E36" i="4"/>
  <c r="D36" i="4"/>
  <c r="C36" i="4"/>
  <c r="B36" i="4"/>
  <c r="A36" i="4"/>
  <c r="N35" i="4"/>
  <c r="M35" i="4"/>
  <c r="L35" i="4"/>
  <c r="K35" i="4"/>
  <c r="AE37" i="2" s="1"/>
  <c r="AG37" i="2" s="1"/>
  <c r="J35" i="4"/>
  <c r="I35" i="4"/>
  <c r="H35" i="4"/>
  <c r="G35" i="4"/>
  <c r="F35" i="4"/>
  <c r="E35" i="4"/>
  <c r="D35" i="4"/>
  <c r="C35" i="4"/>
  <c r="G37" i="2" s="1"/>
  <c r="I37" i="2" s="1"/>
  <c r="B35" i="4"/>
  <c r="A35" i="4"/>
  <c r="N34" i="4"/>
  <c r="M34" i="4"/>
  <c r="L34" i="4"/>
  <c r="K34" i="4"/>
  <c r="J34" i="4"/>
  <c r="I34" i="4"/>
  <c r="H34" i="4"/>
  <c r="G34" i="4"/>
  <c r="F34" i="4"/>
  <c r="E34" i="4"/>
  <c r="M36" i="2" s="1"/>
  <c r="O36" i="2" s="1"/>
  <c r="D34" i="4"/>
  <c r="C34" i="4"/>
  <c r="G36" i="2" s="1"/>
  <c r="I36" i="2" s="1"/>
  <c r="B34" i="4"/>
  <c r="A34" i="4"/>
  <c r="N33" i="4"/>
  <c r="M33" i="4"/>
  <c r="L33" i="4"/>
  <c r="K33" i="4"/>
  <c r="J33" i="4"/>
  <c r="I33" i="4"/>
  <c r="H33" i="4"/>
  <c r="G33" i="4"/>
  <c r="S35" i="2" s="1"/>
  <c r="U35" i="2" s="1"/>
  <c r="F33" i="4"/>
  <c r="E33" i="4"/>
  <c r="D33" i="4"/>
  <c r="C33" i="4"/>
  <c r="G35" i="2" s="1"/>
  <c r="I35" i="2" s="1"/>
  <c r="B33" i="4"/>
  <c r="A33" i="4"/>
  <c r="N32" i="4"/>
  <c r="M32" i="4"/>
  <c r="L32" i="4"/>
  <c r="K32" i="4"/>
  <c r="J32" i="4"/>
  <c r="I32" i="4"/>
  <c r="Y34" i="2" s="1"/>
  <c r="AA34" i="2" s="1"/>
  <c r="H32" i="4"/>
  <c r="G32" i="4"/>
  <c r="S34" i="2" s="1"/>
  <c r="U34" i="2" s="1"/>
  <c r="F32" i="4"/>
  <c r="E32" i="4"/>
  <c r="D32" i="4"/>
  <c r="C32" i="4"/>
  <c r="B32" i="4"/>
  <c r="A32" i="4"/>
  <c r="N31" i="4"/>
  <c r="M31" i="4"/>
  <c r="L31" i="4"/>
  <c r="K31" i="4"/>
  <c r="AE33" i="2" s="1"/>
  <c r="AG33" i="2" s="1"/>
  <c r="J31" i="4"/>
  <c r="I31" i="4"/>
  <c r="H31" i="4"/>
  <c r="G31" i="4"/>
  <c r="S33" i="2" s="1"/>
  <c r="U33" i="2" s="1"/>
  <c r="F31" i="4"/>
  <c r="E31" i="4"/>
  <c r="D31" i="4"/>
  <c r="C31" i="4"/>
  <c r="B31" i="4"/>
  <c r="A31" i="4"/>
  <c r="N30" i="4"/>
  <c r="M30" i="4"/>
  <c r="AK32" i="2" s="1"/>
  <c r="L30" i="4"/>
  <c r="K30" i="4"/>
  <c r="J30" i="4"/>
  <c r="I30" i="4"/>
  <c r="H30" i="4"/>
  <c r="G30" i="4"/>
  <c r="F30" i="4"/>
  <c r="E30" i="4"/>
  <c r="D30" i="4"/>
  <c r="C30" i="4"/>
  <c r="B30" i="4"/>
  <c r="A30" i="4"/>
  <c r="N29" i="4"/>
  <c r="M29" i="4"/>
  <c r="L29" i="4"/>
  <c r="K29" i="4"/>
  <c r="J29" i="4"/>
  <c r="I29" i="4"/>
  <c r="Y31" i="2" s="1"/>
  <c r="H29" i="4"/>
  <c r="G29" i="4"/>
  <c r="F29" i="4"/>
  <c r="E29" i="4"/>
  <c r="D29" i="4"/>
  <c r="C29" i="4"/>
  <c r="G31" i="2" s="1"/>
  <c r="B29" i="4"/>
  <c r="A29" i="4"/>
  <c r="N28" i="4"/>
  <c r="M28" i="4"/>
  <c r="L28" i="4"/>
  <c r="K28" i="4"/>
  <c r="J28" i="4"/>
  <c r="I28" i="4"/>
  <c r="H28" i="4"/>
  <c r="G28" i="4"/>
  <c r="F28" i="4"/>
  <c r="E28" i="4"/>
  <c r="M30" i="2" s="1"/>
  <c r="D28" i="4"/>
  <c r="C28" i="4"/>
  <c r="G30" i="2" s="1"/>
  <c r="B28" i="4"/>
  <c r="A28" i="4"/>
  <c r="N27" i="4"/>
  <c r="M27" i="4"/>
  <c r="L27" i="4"/>
  <c r="K27" i="4"/>
  <c r="J27" i="4"/>
  <c r="I27" i="4"/>
  <c r="H27" i="4"/>
  <c r="G27" i="4"/>
  <c r="S29" i="2" s="1"/>
  <c r="U29" i="2" s="1"/>
  <c r="F27" i="4"/>
  <c r="E27" i="4"/>
  <c r="D27" i="4"/>
  <c r="C27" i="4"/>
  <c r="B27" i="4"/>
  <c r="A27" i="4"/>
  <c r="N26" i="4"/>
  <c r="M26" i="4"/>
  <c r="L26" i="4"/>
  <c r="K26" i="4"/>
  <c r="J26" i="4"/>
  <c r="I26" i="4"/>
  <c r="Y28" i="2" s="1"/>
  <c r="AA28" i="2" s="1"/>
  <c r="H26" i="4"/>
  <c r="G26" i="4"/>
  <c r="S28" i="2" s="1"/>
  <c r="F26" i="4"/>
  <c r="E26" i="4"/>
  <c r="D26" i="4"/>
  <c r="C26" i="4"/>
  <c r="B26" i="4"/>
  <c r="A26" i="4"/>
  <c r="N25" i="4"/>
  <c r="M25" i="4"/>
  <c r="L25" i="4"/>
  <c r="K25" i="4"/>
  <c r="AE27" i="2" s="1"/>
  <c r="AG27" i="2" s="1"/>
  <c r="J25" i="4"/>
  <c r="I25" i="4"/>
  <c r="Y27" i="2" s="1"/>
  <c r="H25" i="4"/>
  <c r="G25" i="4"/>
  <c r="F25" i="4"/>
  <c r="E25" i="4"/>
  <c r="D25" i="4"/>
  <c r="C25" i="4"/>
  <c r="B25" i="4"/>
  <c r="A25" i="4"/>
  <c r="N24" i="4"/>
  <c r="M24" i="4"/>
  <c r="AK26" i="2" s="1"/>
  <c r="AM26" i="2" s="1"/>
  <c r="L24" i="4"/>
  <c r="K24" i="4"/>
  <c r="J24" i="4"/>
  <c r="I24" i="4"/>
  <c r="H24" i="4"/>
  <c r="G24" i="4"/>
  <c r="F24" i="4"/>
  <c r="E24" i="4"/>
  <c r="D24" i="4"/>
  <c r="C24" i="4"/>
  <c r="B24" i="4"/>
  <c r="A24" i="4"/>
  <c r="N23" i="4"/>
  <c r="M23" i="4"/>
  <c r="L23" i="4"/>
  <c r="K23" i="4"/>
  <c r="J23" i="4"/>
  <c r="I23" i="4"/>
  <c r="H23" i="4"/>
  <c r="G23" i="4"/>
  <c r="F23" i="4"/>
  <c r="E23" i="4"/>
  <c r="D23" i="4"/>
  <c r="C23" i="4"/>
  <c r="G25" i="2" s="1"/>
  <c r="I25" i="2" s="1"/>
  <c r="B23" i="4"/>
  <c r="A23" i="4"/>
  <c r="N22" i="4"/>
  <c r="M22" i="4"/>
  <c r="L22" i="4"/>
  <c r="K22" i="4"/>
  <c r="J22" i="4"/>
  <c r="I22" i="4"/>
  <c r="H22" i="4"/>
  <c r="G22" i="4"/>
  <c r="F22" i="4"/>
  <c r="E22" i="4"/>
  <c r="M24" i="2" s="1"/>
  <c r="O24" i="2" s="1"/>
  <c r="D22" i="4"/>
  <c r="C22" i="4"/>
  <c r="B22" i="4"/>
  <c r="A22" i="4"/>
  <c r="N21" i="4"/>
  <c r="M21" i="4"/>
  <c r="L21" i="4"/>
  <c r="K21" i="4"/>
  <c r="J21" i="4"/>
  <c r="I21" i="4"/>
  <c r="H21" i="4"/>
  <c r="G21" i="4"/>
  <c r="S23" i="2" s="1"/>
  <c r="F21" i="4"/>
  <c r="E21" i="4"/>
  <c r="D21" i="4"/>
  <c r="C21" i="4"/>
  <c r="B21" i="4"/>
  <c r="A21" i="4"/>
  <c r="N20" i="4"/>
  <c r="M20" i="4"/>
  <c r="L20" i="4"/>
  <c r="K20" i="4"/>
  <c r="J20" i="4"/>
  <c r="I20" i="4"/>
  <c r="Y22" i="2" s="1"/>
  <c r="AA22" i="2" s="1"/>
  <c r="H20" i="4"/>
  <c r="G20" i="4"/>
  <c r="S22" i="2" s="1"/>
  <c r="U22" i="2" s="1"/>
  <c r="F20" i="4"/>
  <c r="E20" i="4"/>
  <c r="M22" i="2" s="1"/>
  <c r="O22" i="2" s="1"/>
  <c r="D20" i="4"/>
  <c r="C20" i="4"/>
  <c r="B20" i="4"/>
  <c r="A20" i="4"/>
  <c r="N19" i="4"/>
  <c r="M19" i="4"/>
  <c r="L19" i="4"/>
  <c r="K19" i="4"/>
  <c r="AE21" i="2" s="1"/>
  <c r="AG21" i="2" s="1"/>
  <c r="J19" i="4"/>
  <c r="I19" i="4"/>
  <c r="H19" i="4"/>
  <c r="G19" i="4"/>
  <c r="F19" i="4"/>
  <c r="E19" i="4"/>
  <c r="D19" i="4"/>
  <c r="C19" i="4"/>
  <c r="B19" i="4"/>
  <c r="A19" i="4"/>
  <c r="N18" i="4"/>
  <c r="M18" i="4"/>
  <c r="AK20" i="2" s="1"/>
  <c r="AM20" i="2" s="1"/>
  <c r="L18" i="4"/>
  <c r="K18" i="4"/>
  <c r="J18" i="4"/>
  <c r="I18" i="4"/>
  <c r="Y20" i="2" s="1"/>
  <c r="H18" i="4"/>
  <c r="G18" i="4"/>
  <c r="F18" i="4"/>
  <c r="E18" i="4"/>
  <c r="D18" i="4"/>
  <c r="C18" i="4"/>
  <c r="B18" i="4"/>
  <c r="A18" i="4"/>
  <c r="N17" i="4"/>
  <c r="M17" i="4"/>
  <c r="L17" i="4"/>
  <c r="K17" i="4"/>
  <c r="J17" i="4"/>
  <c r="I17" i="4"/>
  <c r="H17" i="4"/>
  <c r="G17" i="4"/>
  <c r="F17" i="4"/>
  <c r="E17" i="4"/>
  <c r="D17" i="4"/>
  <c r="C17" i="4"/>
  <c r="G19" i="2" s="1"/>
  <c r="I19" i="2" s="1"/>
  <c r="B17" i="4"/>
  <c r="A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N15" i="4"/>
  <c r="M15" i="4"/>
  <c r="L15" i="4"/>
  <c r="K15" i="4"/>
  <c r="J15" i="4"/>
  <c r="I15" i="4"/>
  <c r="H15" i="4"/>
  <c r="G15" i="4"/>
  <c r="S18" i="2" s="1"/>
  <c r="U18" i="2" s="1"/>
  <c r="F15" i="4"/>
  <c r="E15" i="4"/>
  <c r="D15" i="4"/>
  <c r="C15" i="4"/>
  <c r="B15" i="4"/>
  <c r="A15" i="4"/>
  <c r="N14" i="4"/>
  <c r="M14" i="4"/>
  <c r="L14" i="4"/>
  <c r="K14" i="4"/>
  <c r="J14" i="4"/>
  <c r="I14" i="4"/>
  <c r="Y17" i="2" s="1"/>
  <c r="AA17" i="2" s="1"/>
  <c r="H14" i="4"/>
  <c r="G14" i="4"/>
  <c r="S17" i="2" s="1"/>
  <c r="U17" i="2" s="1"/>
  <c r="F14" i="4"/>
  <c r="E14" i="4"/>
  <c r="D14" i="4"/>
  <c r="C14" i="4"/>
  <c r="G17" i="2" s="1"/>
  <c r="I17" i="2" s="1"/>
  <c r="B14" i="4"/>
  <c r="A14" i="4"/>
  <c r="N13" i="4"/>
  <c r="M13" i="4"/>
  <c r="L13" i="4"/>
  <c r="K13" i="4"/>
  <c r="AE16" i="2" s="1"/>
  <c r="AG16" i="2" s="1"/>
  <c r="J13" i="4"/>
  <c r="I13" i="4"/>
  <c r="H13" i="4"/>
  <c r="G13" i="4"/>
  <c r="F13" i="4"/>
  <c r="E13" i="4"/>
  <c r="M16" i="2" s="1"/>
  <c r="O16" i="2" s="1"/>
  <c r="D13" i="4"/>
  <c r="C13" i="4"/>
  <c r="B13" i="4"/>
  <c r="A13" i="4"/>
  <c r="N12" i="4"/>
  <c r="M12" i="4"/>
  <c r="AK15" i="2" s="1"/>
  <c r="AM15" i="2" s="1"/>
  <c r="L12" i="4"/>
  <c r="K12" i="4"/>
  <c r="AE15" i="2" s="1"/>
  <c r="AG15" i="2" s="1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Y14" i="2" s="1"/>
  <c r="H11" i="4"/>
  <c r="G11" i="4"/>
  <c r="F11" i="4"/>
  <c r="E11" i="4"/>
  <c r="D11" i="4"/>
  <c r="C11" i="4"/>
  <c r="G14" i="2" s="1"/>
  <c r="I14" i="2" s="1"/>
  <c r="B11" i="4"/>
  <c r="A11" i="4"/>
  <c r="N10" i="4"/>
  <c r="M10" i="4"/>
  <c r="L10" i="4"/>
  <c r="K10" i="4"/>
  <c r="AE13" i="2" s="1"/>
  <c r="AG13" i="2" s="1"/>
  <c r="J10" i="4"/>
  <c r="I10" i="4"/>
  <c r="H10" i="4"/>
  <c r="G10" i="4"/>
  <c r="F10" i="4"/>
  <c r="E10" i="4"/>
  <c r="M13" i="2" s="1"/>
  <c r="O13" i="2" s="1"/>
  <c r="D10" i="4"/>
  <c r="C10" i="4"/>
  <c r="B10" i="4"/>
  <c r="A10" i="4"/>
  <c r="N9" i="4"/>
  <c r="M9" i="4"/>
  <c r="AK12" i="2" s="1"/>
  <c r="L9" i="4"/>
  <c r="K9" i="4"/>
  <c r="J9" i="4"/>
  <c r="I9" i="4"/>
  <c r="H9" i="4"/>
  <c r="G9" i="4"/>
  <c r="S12" i="2" s="1"/>
  <c r="U12" i="2" s="1"/>
  <c r="F9" i="4"/>
  <c r="E9" i="4"/>
  <c r="D9" i="4"/>
  <c r="C9" i="4"/>
  <c r="B9" i="4"/>
  <c r="A9" i="4"/>
  <c r="N8" i="4"/>
  <c r="M8" i="4"/>
  <c r="L8" i="4"/>
  <c r="K8" i="4"/>
  <c r="J8" i="4"/>
  <c r="I8" i="4"/>
  <c r="Y11" i="2" s="1"/>
  <c r="AA11" i="2" s="1"/>
  <c r="H8" i="4"/>
  <c r="G8" i="4"/>
  <c r="S11" i="2" s="1"/>
  <c r="U11" i="2" s="1"/>
  <c r="F8" i="4"/>
  <c r="E8" i="4"/>
  <c r="D8" i="4"/>
  <c r="C8" i="4"/>
  <c r="G11" i="2" s="1"/>
  <c r="I11" i="2" s="1"/>
  <c r="B8" i="4"/>
  <c r="A8" i="4"/>
  <c r="N7" i="4"/>
  <c r="M7" i="4"/>
  <c r="L7" i="4"/>
  <c r="K7" i="4"/>
  <c r="AE10" i="2" s="1"/>
  <c r="AG10" i="2" s="1"/>
  <c r="J7" i="4"/>
  <c r="I7" i="4"/>
  <c r="H7" i="4"/>
  <c r="G7" i="4"/>
  <c r="F7" i="4"/>
  <c r="E7" i="4"/>
  <c r="D7" i="4"/>
  <c r="C7" i="4"/>
  <c r="B7" i="4"/>
  <c r="A7" i="4"/>
  <c r="N6" i="4"/>
  <c r="M6" i="4"/>
  <c r="AK9" i="2" s="1"/>
  <c r="AM9" i="2" s="1"/>
  <c r="L6" i="4"/>
  <c r="K6" i="4"/>
  <c r="AE9" i="2" s="1"/>
  <c r="AG9" i="2" s="1"/>
  <c r="J6" i="4"/>
  <c r="I6" i="4"/>
  <c r="H6" i="4"/>
  <c r="G6" i="4"/>
  <c r="S9" i="2" s="1"/>
  <c r="U9" i="2" s="1"/>
  <c r="F6" i="4"/>
  <c r="E6" i="4"/>
  <c r="D6" i="4"/>
  <c r="C6" i="4"/>
  <c r="B6" i="4"/>
  <c r="A6" i="4"/>
  <c r="N5" i="4"/>
  <c r="M5" i="4"/>
  <c r="L5" i="4"/>
  <c r="K5" i="4"/>
  <c r="AE8" i="2" s="1"/>
  <c r="AG8" i="2" s="1"/>
  <c r="J5" i="4"/>
  <c r="I5" i="4"/>
  <c r="H5" i="4"/>
  <c r="G5" i="4"/>
  <c r="F5" i="4"/>
  <c r="E5" i="4"/>
  <c r="D5" i="4"/>
  <c r="C5" i="4"/>
  <c r="G8" i="2" s="1"/>
  <c r="I8" i="2" s="1"/>
  <c r="B5" i="4"/>
  <c r="A5" i="4"/>
  <c r="N4" i="4"/>
  <c r="M4" i="4"/>
  <c r="L4" i="4"/>
  <c r="K4" i="4"/>
  <c r="AE7" i="2" s="1"/>
  <c r="J4" i="4"/>
  <c r="I4" i="4"/>
  <c r="H4" i="4"/>
  <c r="G4" i="4"/>
  <c r="F4" i="4"/>
  <c r="E4" i="4"/>
  <c r="M7" i="2" s="1"/>
  <c r="O7" i="2" s="1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A2" i="4"/>
  <c r="F137" i="3"/>
  <c r="G137" i="3" s="1"/>
  <c r="H137" i="3" s="1"/>
  <c r="I137" i="3" s="1"/>
  <c r="J137" i="3" s="1"/>
  <c r="K137" i="3" s="1"/>
  <c r="L137" i="3" s="1"/>
  <c r="M137" i="3" s="1"/>
  <c r="N137" i="3" s="1"/>
  <c r="O137" i="3" s="1"/>
  <c r="E137" i="3"/>
  <c r="E136" i="3"/>
  <c r="D135" i="3"/>
  <c r="AG108" i="2"/>
  <c r="AG107" i="2"/>
  <c r="AM106" i="2"/>
  <c r="AJ106" i="2"/>
  <c r="AG106" i="2"/>
  <c r="AM105" i="2"/>
  <c r="AJ105" i="2"/>
  <c r="AG105" i="2"/>
  <c r="AK104" i="2"/>
  <c r="AB104" i="2"/>
  <c r="Y104" i="2"/>
  <c r="V104" i="2"/>
  <c r="S104" i="2"/>
  <c r="P104" i="2"/>
  <c r="M104" i="2"/>
  <c r="J104" i="2"/>
  <c r="D104" i="2"/>
  <c r="AL103" i="2"/>
  <c r="AK103" i="2"/>
  <c r="AM103" i="2" s="1"/>
  <c r="AI103" i="2"/>
  <c r="AH103" i="2"/>
  <c r="AJ103" i="2" s="1"/>
  <c r="AF103" i="2"/>
  <c r="AE103" i="2"/>
  <c r="AG103" i="2" s="1"/>
  <c r="AC103" i="2"/>
  <c r="AB103" i="2"/>
  <c r="AD103" i="2" s="1"/>
  <c r="Y103" i="2"/>
  <c r="V103" i="2"/>
  <c r="T103" i="2"/>
  <c r="S103" i="2"/>
  <c r="Q103" i="2"/>
  <c r="P103" i="2"/>
  <c r="N103" i="2"/>
  <c r="K103" i="2"/>
  <c r="J103" i="2"/>
  <c r="H103" i="2"/>
  <c r="G103" i="2"/>
  <c r="I103" i="2" s="1"/>
  <c r="E103" i="2"/>
  <c r="F103" i="2" s="1"/>
  <c r="D103" i="2"/>
  <c r="AL102" i="2"/>
  <c r="AK102" i="2"/>
  <c r="AI102" i="2"/>
  <c r="AH102" i="2"/>
  <c r="AJ102" i="2" s="1"/>
  <c r="AF102" i="2"/>
  <c r="AE102" i="2"/>
  <c r="AC102" i="2"/>
  <c r="AB102" i="2"/>
  <c r="Y102" i="2"/>
  <c r="V102" i="2"/>
  <c r="P102" i="2"/>
  <c r="M102" i="2"/>
  <c r="J102" i="2"/>
  <c r="G102" i="2"/>
  <c r="D102" i="2"/>
  <c r="AL101" i="2"/>
  <c r="AK101" i="2"/>
  <c r="AM101" i="2" s="1"/>
  <c r="AI101" i="2"/>
  <c r="AH101" i="2"/>
  <c r="AJ101" i="2" s="1"/>
  <c r="AF101" i="2"/>
  <c r="AE101" i="2"/>
  <c r="AG101" i="2" s="1"/>
  <c r="AC101" i="2"/>
  <c r="AB101" i="2"/>
  <c r="AD101" i="2" s="1"/>
  <c r="Z101" i="2"/>
  <c r="Y101" i="2"/>
  <c r="W101" i="2"/>
  <c r="V101" i="2"/>
  <c r="X101" i="2" s="1"/>
  <c r="T101" i="2"/>
  <c r="S101" i="2"/>
  <c r="U101" i="2" s="1"/>
  <c r="Q101" i="2"/>
  <c r="P101" i="2"/>
  <c r="N101" i="2"/>
  <c r="M101" i="2"/>
  <c r="L101" i="2"/>
  <c r="K101" i="2"/>
  <c r="J101" i="2"/>
  <c r="H101" i="2"/>
  <c r="G101" i="2"/>
  <c r="I101" i="2" s="1"/>
  <c r="E101" i="2"/>
  <c r="D101" i="2"/>
  <c r="AK100" i="2"/>
  <c r="AH100" i="2"/>
  <c r="AE100" i="2"/>
  <c r="AB100" i="2"/>
  <c r="V100" i="2"/>
  <c r="S100" i="2"/>
  <c r="P100" i="2"/>
  <c r="M100" i="2"/>
  <c r="J100" i="2"/>
  <c r="G100" i="2"/>
  <c r="D100" i="2"/>
  <c r="AK99" i="2"/>
  <c r="AH99" i="2"/>
  <c r="AE99" i="2"/>
  <c r="AB99" i="2"/>
  <c r="Y99" i="2"/>
  <c r="V99" i="2"/>
  <c r="T99" i="2"/>
  <c r="S99" i="2"/>
  <c r="U99" i="2" s="1"/>
  <c r="Q99" i="2"/>
  <c r="R99" i="2" s="1"/>
  <c r="P99" i="2"/>
  <c r="N99" i="2"/>
  <c r="M99" i="2"/>
  <c r="O99" i="2" s="1"/>
  <c r="K99" i="2"/>
  <c r="J99" i="2"/>
  <c r="L99" i="2" s="1"/>
  <c r="H99" i="2"/>
  <c r="G99" i="2"/>
  <c r="I99" i="2" s="1"/>
  <c r="F99" i="2"/>
  <c r="E99" i="2"/>
  <c r="D99" i="2"/>
  <c r="AK98" i="2"/>
  <c r="AH98" i="2"/>
  <c r="AE98" i="2"/>
  <c r="AB98" i="2"/>
  <c r="Y98" i="2"/>
  <c r="V98" i="2"/>
  <c r="T98" i="2"/>
  <c r="S98" i="2"/>
  <c r="U98" i="2" s="1"/>
  <c r="Q98" i="2"/>
  <c r="P98" i="2"/>
  <c r="R98" i="2" s="1"/>
  <c r="N98" i="2"/>
  <c r="M98" i="2"/>
  <c r="O98" i="2" s="1"/>
  <c r="K98" i="2"/>
  <c r="J98" i="2"/>
  <c r="L98" i="2" s="1"/>
  <c r="H98" i="2"/>
  <c r="G98" i="2"/>
  <c r="E98" i="2"/>
  <c r="D98" i="2"/>
  <c r="AO97" i="2"/>
  <c r="AK97" i="2"/>
  <c r="AH97" i="2"/>
  <c r="AE97" i="2"/>
  <c r="AB97" i="2"/>
  <c r="Y97" i="2"/>
  <c r="V97" i="2"/>
  <c r="T97" i="2"/>
  <c r="S97" i="2"/>
  <c r="U97" i="2" s="1"/>
  <c r="Q97" i="2"/>
  <c r="P97" i="2"/>
  <c r="N97" i="2"/>
  <c r="M97" i="2"/>
  <c r="O97" i="2" s="1"/>
  <c r="K97" i="2"/>
  <c r="J97" i="2"/>
  <c r="L97" i="2" s="1"/>
  <c r="H97" i="2"/>
  <c r="G97" i="2"/>
  <c r="I97" i="2" s="1"/>
  <c r="E97" i="2"/>
  <c r="D97" i="2"/>
  <c r="F97" i="2" s="1"/>
  <c r="AK96" i="2"/>
  <c r="AH96" i="2"/>
  <c r="AE96" i="2"/>
  <c r="AB96" i="2"/>
  <c r="Y96" i="2"/>
  <c r="V96" i="2"/>
  <c r="S96" i="2"/>
  <c r="P96" i="2"/>
  <c r="J96" i="2"/>
  <c r="G96" i="2"/>
  <c r="D96" i="2"/>
  <c r="AL95" i="2"/>
  <c r="AK95" i="2"/>
  <c r="AM95" i="2" s="1"/>
  <c r="AI95" i="2"/>
  <c r="AH95" i="2"/>
  <c r="AJ95" i="2" s="1"/>
  <c r="AF95" i="2"/>
  <c r="AE95" i="2"/>
  <c r="AG95" i="2" s="1"/>
  <c r="AC95" i="2"/>
  <c r="AB95" i="2"/>
  <c r="AD95" i="2" s="1"/>
  <c r="Z95" i="2"/>
  <c r="Y95" i="2"/>
  <c r="AA95" i="2" s="1"/>
  <c r="W95" i="2"/>
  <c r="V95" i="2"/>
  <c r="X95" i="2" s="1"/>
  <c r="T95" i="2"/>
  <c r="S95" i="2"/>
  <c r="Q95" i="2"/>
  <c r="P95" i="2"/>
  <c r="R95" i="2" s="1"/>
  <c r="N95" i="2"/>
  <c r="M95" i="2"/>
  <c r="O95" i="2" s="1"/>
  <c r="K95" i="2"/>
  <c r="J95" i="2"/>
  <c r="H95" i="2"/>
  <c r="AO95" i="2" s="1"/>
  <c r="G95" i="2"/>
  <c r="F95" i="2"/>
  <c r="E95" i="2"/>
  <c r="D95" i="2"/>
  <c r="AK94" i="2"/>
  <c r="AH94" i="2"/>
  <c r="AE94" i="2"/>
  <c r="AB94" i="2"/>
  <c r="Y94" i="2"/>
  <c r="V94" i="2"/>
  <c r="T94" i="2"/>
  <c r="S94" i="2"/>
  <c r="Q94" i="2"/>
  <c r="P94" i="2"/>
  <c r="O94" i="2"/>
  <c r="N94" i="2"/>
  <c r="M94" i="2"/>
  <c r="J94" i="2"/>
  <c r="G94" i="2"/>
  <c r="D94" i="2"/>
  <c r="AK93" i="2"/>
  <c r="AH93" i="2"/>
  <c r="AB93" i="2"/>
  <c r="V93" i="2"/>
  <c r="X93" i="2" s="1"/>
  <c r="S93" i="2"/>
  <c r="P93" i="2"/>
  <c r="M93" i="2"/>
  <c r="J93" i="2"/>
  <c r="G93" i="2"/>
  <c r="D93" i="2"/>
  <c r="AO92" i="2"/>
  <c r="AK92" i="2"/>
  <c r="AH92" i="2"/>
  <c r="AE92" i="2"/>
  <c r="AB92" i="2"/>
  <c r="Y92" i="2"/>
  <c r="V92" i="2"/>
  <c r="U92" i="2"/>
  <c r="T92" i="2"/>
  <c r="S92" i="2"/>
  <c r="Q92" i="2"/>
  <c r="P92" i="2"/>
  <c r="R92" i="2" s="1"/>
  <c r="N92" i="2"/>
  <c r="M92" i="2"/>
  <c r="K92" i="2"/>
  <c r="J92" i="2"/>
  <c r="L92" i="2" s="1"/>
  <c r="H92" i="2"/>
  <c r="G92" i="2"/>
  <c r="I92" i="2" s="1"/>
  <c r="E92" i="2"/>
  <c r="D92" i="2"/>
  <c r="AO91" i="2"/>
  <c r="AK91" i="2"/>
  <c r="AH91" i="2"/>
  <c r="AE91" i="2"/>
  <c r="AB91" i="2"/>
  <c r="Y91" i="2"/>
  <c r="V91" i="2"/>
  <c r="T91" i="2"/>
  <c r="S91" i="2"/>
  <c r="R91" i="2"/>
  <c r="Q91" i="2"/>
  <c r="P91" i="2"/>
  <c r="N91" i="2"/>
  <c r="M91" i="2"/>
  <c r="O91" i="2" s="1"/>
  <c r="K91" i="2"/>
  <c r="J91" i="2"/>
  <c r="L91" i="2" s="1"/>
  <c r="H91" i="2"/>
  <c r="E91" i="2"/>
  <c r="D91" i="2"/>
  <c r="AH90" i="2"/>
  <c r="AE90" i="2"/>
  <c r="AB90" i="2"/>
  <c r="Y90" i="2"/>
  <c r="V90" i="2"/>
  <c r="S90" i="2"/>
  <c r="P90" i="2"/>
  <c r="J90" i="2"/>
  <c r="G90" i="2"/>
  <c r="D90" i="2"/>
  <c r="AL89" i="2"/>
  <c r="AK89" i="2"/>
  <c r="AJ89" i="2"/>
  <c r="AI89" i="2"/>
  <c r="AH89" i="2"/>
  <c r="AF89" i="2"/>
  <c r="AE89" i="2"/>
  <c r="AG89" i="2" s="1"/>
  <c r="AC89" i="2"/>
  <c r="AB89" i="2"/>
  <c r="AD89" i="2" s="1"/>
  <c r="Y89" i="2"/>
  <c r="V89" i="2"/>
  <c r="T89" i="2"/>
  <c r="S89" i="2"/>
  <c r="Q89" i="2"/>
  <c r="P89" i="2"/>
  <c r="N89" i="2"/>
  <c r="M89" i="2"/>
  <c r="J89" i="2"/>
  <c r="G89" i="2"/>
  <c r="D89" i="2"/>
  <c r="AK88" i="2"/>
  <c r="AH88" i="2"/>
  <c r="AE88" i="2"/>
  <c r="AB88" i="2"/>
  <c r="Y88" i="2"/>
  <c r="V88" i="2"/>
  <c r="T88" i="2"/>
  <c r="S88" i="2"/>
  <c r="U88" i="2" s="1"/>
  <c r="Q88" i="2"/>
  <c r="P88" i="2"/>
  <c r="N88" i="2"/>
  <c r="M88" i="2"/>
  <c r="K88" i="2"/>
  <c r="J88" i="2"/>
  <c r="I88" i="2"/>
  <c r="H88" i="2"/>
  <c r="AO88" i="2" s="1"/>
  <c r="G88" i="2"/>
  <c r="E88" i="2"/>
  <c r="D88" i="2"/>
  <c r="AK87" i="2"/>
  <c r="AH87" i="2"/>
  <c r="AB87" i="2"/>
  <c r="Y87" i="2"/>
  <c r="V87" i="2"/>
  <c r="S87" i="2"/>
  <c r="P87" i="2"/>
  <c r="M87" i="2"/>
  <c r="J87" i="2"/>
  <c r="G87" i="2"/>
  <c r="D87" i="2"/>
  <c r="AL86" i="2"/>
  <c r="AI86" i="2"/>
  <c r="AH86" i="2"/>
  <c r="AF86" i="2"/>
  <c r="AE86" i="2"/>
  <c r="AG86" i="2" s="1"/>
  <c r="AC86" i="2"/>
  <c r="AB86" i="2"/>
  <c r="AD86" i="2" s="1"/>
  <c r="Y86" i="2"/>
  <c r="V86" i="2"/>
  <c r="T86" i="2"/>
  <c r="Q86" i="2"/>
  <c r="P86" i="2"/>
  <c r="N86" i="2"/>
  <c r="M86" i="2"/>
  <c r="K86" i="2"/>
  <c r="J86" i="2"/>
  <c r="H86" i="2"/>
  <c r="G86" i="2"/>
  <c r="D86" i="2"/>
  <c r="AL85" i="2"/>
  <c r="AK85" i="2"/>
  <c r="AM85" i="2" s="1"/>
  <c r="AI85" i="2"/>
  <c r="AF85" i="2"/>
  <c r="AE85" i="2"/>
  <c r="AC85" i="2"/>
  <c r="AB85" i="2"/>
  <c r="AD85" i="2" s="1"/>
  <c r="Y85" i="2"/>
  <c r="V85" i="2"/>
  <c r="T85" i="2"/>
  <c r="S85" i="2"/>
  <c r="Q85" i="2"/>
  <c r="P85" i="2"/>
  <c r="N85" i="2"/>
  <c r="M85" i="2"/>
  <c r="O85" i="2" s="1"/>
  <c r="K85" i="2"/>
  <c r="J85" i="2"/>
  <c r="L85" i="2" s="1"/>
  <c r="H85" i="2"/>
  <c r="E85" i="2"/>
  <c r="D85" i="2"/>
  <c r="AK84" i="2"/>
  <c r="AH84" i="2"/>
  <c r="AE84" i="2"/>
  <c r="AB84" i="2"/>
  <c r="Y84" i="2"/>
  <c r="V84" i="2"/>
  <c r="T84" i="2"/>
  <c r="S84" i="2"/>
  <c r="U84" i="2" s="1"/>
  <c r="R84" i="2"/>
  <c r="Q84" i="2"/>
  <c r="P84" i="2"/>
  <c r="N84" i="2"/>
  <c r="K84" i="2"/>
  <c r="L84" i="2" s="1"/>
  <c r="J84" i="2"/>
  <c r="I84" i="2"/>
  <c r="H84" i="2"/>
  <c r="G84" i="2"/>
  <c r="E84" i="2"/>
  <c r="AH83" i="2"/>
  <c r="AE83" i="2"/>
  <c r="AB83" i="2"/>
  <c r="Y83" i="2"/>
  <c r="V83" i="2"/>
  <c r="T83" i="2"/>
  <c r="Q83" i="2"/>
  <c r="R83" i="2" s="1"/>
  <c r="P83" i="2"/>
  <c r="N83" i="2"/>
  <c r="K83" i="2"/>
  <c r="J83" i="2"/>
  <c r="L83" i="2" s="1"/>
  <c r="H83" i="2"/>
  <c r="G83" i="2"/>
  <c r="I83" i="2" s="1"/>
  <c r="E83" i="2"/>
  <c r="D83" i="2"/>
  <c r="F83" i="2" s="1"/>
  <c r="AK82" i="2"/>
  <c r="AH82" i="2"/>
  <c r="AE82" i="2"/>
  <c r="AB82" i="2"/>
  <c r="V82" i="2"/>
  <c r="T82" i="2"/>
  <c r="Q82" i="2"/>
  <c r="P82" i="2"/>
  <c r="N82" i="2"/>
  <c r="M82" i="2"/>
  <c r="O82" i="2" s="1"/>
  <c r="K82" i="2"/>
  <c r="J82" i="2"/>
  <c r="L82" i="2" s="1"/>
  <c r="H82" i="2"/>
  <c r="AO82" i="2" s="1"/>
  <c r="G82" i="2"/>
  <c r="E82" i="2"/>
  <c r="D82" i="2"/>
  <c r="F82" i="2" s="1"/>
  <c r="AK81" i="2"/>
  <c r="AH81" i="2"/>
  <c r="AB81" i="2"/>
  <c r="Y81" i="2"/>
  <c r="V81" i="2"/>
  <c r="S81" i="2"/>
  <c r="P81" i="2"/>
  <c r="M81" i="2"/>
  <c r="J81" i="2"/>
  <c r="G81" i="2"/>
  <c r="D81" i="2"/>
  <c r="AL80" i="2"/>
  <c r="AI80" i="2"/>
  <c r="AH80" i="2"/>
  <c r="AG80" i="2"/>
  <c r="AF80" i="2"/>
  <c r="AE80" i="2"/>
  <c r="AC80" i="2"/>
  <c r="AB80" i="2"/>
  <c r="AD80" i="2" s="1"/>
  <c r="Y80" i="2"/>
  <c r="V80" i="2"/>
  <c r="T80" i="2"/>
  <c r="S80" i="2"/>
  <c r="U80" i="2" s="1"/>
  <c r="Q80" i="2"/>
  <c r="P80" i="2"/>
  <c r="N80" i="2"/>
  <c r="M80" i="2"/>
  <c r="O80" i="2" s="1"/>
  <c r="K80" i="2"/>
  <c r="J80" i="2"/>
  <c r="L80" i="2" s="1"/>
  <c r="H80" i="2"/>
  <c r="G80" i="2"/>
  <c r="I80" i="2" s="1"/>
  <c r="E80" i="2"/>
  <c r="D80" i="2"/>
  <c r="F80" i="2" s="1"/>
  <c r="AL79" i="2"/>
  <c r="AK79" i="2"/>
  <c r="AM79" i="2" s="1"/>
  <c r="AI79" i="2"/>
  <c r="AF79" i="2"/>
  <c r="AE79" i="2"/>
  <c r="AG79" i="2" s="1"/>
  <c r="AC79" i="2"/>
  <c r="AB79" i="2"/>
  <c r="AD79" i="2" s="1"/>
  <c r="Y79" i="2"/>
  <c r="V79" i="2"/>
  <c r="T79" i="2"/>
  <c r="S79" i="2"/>
  <c r="R79" i="2"/>
  <c r="Q79" i="2"/>
  <c r="P79" i="2"/>
  <c r="N79" i="2"/>
  <c r="M79" i="2"/>
  <c r="K79" i="2"/>
  <c r="J79" i="2"/>
  <c r="L79" i="2" s="1"/>
  <c r="H79" i="2"/>
  <c r="E79" i="2"/>
  <c r="D79" i="2"/>
  <c r="F79" i="2" s="1"/>
  <c r="AK78" i="2"/>
  <c r="AH78" i="2"/>
  <c r="AB78" i="2"/>
  <c r="Y78" i="2"/>
  <c r="V78" i="2"/>
  <c r="T78" i="2"/>
  <c r="S78" i="2"/>
  <c r="U78" i="2" s="1"/>
  <c r="Q78" i="2"/>
  <c r="P78" i="2"/>
  <c r="R78" i="2" s="1"/>
  <c r="N78" i="2"/>
  <c r="K78" i="2"/>
  <c r="J78" i="2"/>
  <c r="L78" i="2" s="1"/>
  <c r="H78" i="2"/>
  <c r="E78" i="2"/>
  <c r="D78" i="2"/>
  <c r="F78" i="2" s="1"/>
  <c r="AL77" i="2"/>
  <c r="AK77" i="2"/>
  <c r="AI77" i="2"/>
  <c r="AH77" i="2"/>
  <c r="AJ77" i="2" s="1"/>
  <c r="AF77" i="2"/>
  <c r="AE77" i="2"/>
  <c r="AG77" i="2" s="1"/>
  <c r="AC77" i="2"/>
  <c r="AB77" i="2"/>
  <c r="Y77" i="2"/>
  <c r="V77" i="2"/>
  <c r="T77" i="2"/>
  <c r="Q77" i="2"/>
  <c r="P77" i="2"/>
  <c r="O77" i="2"/>
  <c r="N77" i="2"/>
  <c r="M77" i="2"/>
  <c r="K77" i="2"/>
  <c r="J77" i="2"/>
  <c r="L77" i="2" s="1"/>
  <c r="H77" i="2"/>
  <c r="G77" i="2"/>
  <c r="E77" i="2"/>
  <c r="D77" i="2"/>
  <c r="F77" i="2" s="1"/>
  <c r="AL76" i="2"/>
  <c r="AK76" i="2"/>
  <c r="AM76" i="2" s="1"/>
  <c r="AI76" i="2"/>
  <c r="AH76" i="2"/>
  <c r="AJ76" i="2" s="1"/>
  <c r="AF76" i="2"/>
  <c r="AE76" i="2"/>
  <c r="AG76" i="2" s="1"/>
  <c r="AC76" i="2"/>
  <c r="AB76" i="2"/>
  <c r="V76" i="2"/>
  <c r="T76" i="2"/>
  <c r="Q76" i="2"/>
  <c r="P76" i="2"/>
  <c r="R76" i="2" s="1"/>
  <c r="N76" i="2"/>
  <c r="M76" i="2"/>
  <c r="K76" i="2"/>
  <c r="J76" i="2"/>
  <c r="L76" i="2" s="1"/>
  <c r="I76" i="2"/>
  <c r="H76" i="2"/>
  <c r="G76" i="2"/>
  <c r="E76" i="2"/>
  <c r="D76" i="2"/>
  <c r="F76" i="2" s="1"/>
  <c r="AK75" i="2"/>
  <c r="AH75" i="2"/>
  <c r="AB75" i="2"/>
  <c r="Y75" i="2"/>
  <c r="V75" i="2"/>
  <c r="T75" i="2"/>
  <c r="S75" i="2"/>
  <c r="U75" i="2" s="1"/>
  <c r="R75" i="2"/>
  <c r="Q75" i="2"/>
  <c r="P75" i="2"/>
  <c r="N75" i="2"/>
  <c r="K75" i="2"/>
  <c r="J75" i="2"/>
  <c r="L75" i="2" s="1"/>
  <c r="H75" i="2"/>
  <c r="G75" i="2"/>
  <c r="I75" i="2" s="1"/>
  <c r="E75" i="2"/>
  <c r="D75" i="2"/>
  <c r="F75" i="2" s="1"/>
  <c r="AL74" i="2"/>
  <c r="AI74" i="2"/>
  <c r="AH74" i="2"/>
  <c r="AJ74" i="2" s="1"/>
  <c r="AF74" i="2"/>
  <c r="AC74" i="2"/>
  <c r="AB74" i="2"/>
  <c r="AD74" i="2" s="1"/>
  <c r="Y74" i="2"/>
  <c r="V74" i="2"/>
  <c r="T74" i="2"/>
  <c r="S74" i="2"/>
  <c r="U74" i="2" s="1"/>
  <c r="Q74" i="2"/>
  <c r="P74" i="2"/>
  <c r="R74" i="2" s="1"/>
  <c r="N74" i="2"/>
  <c r="M74" i="2"/>
  <c r="O74" i="2" s="1"/>
  <c r="K74" i="2"/>
  <c r="J74" i="2"/>
  <c r="L74" i="2" s="1"/>
  <c r="H74" i="2"/>
  <c r="G74" i="2"/>
  <c r="E74" i="2"/>
  <c r="D74" i="2"/>
  <c r="AL73" i="2"/>
  <c r="AK73" i="2"/>
  <c r="AM73" i="2" s="1"/>
  <c r="AI73" i="2"/>
  <c r="AH73" i="2"/>
  <c r="AJ73" i="2" s="1"/>
  <c r="AF73" i="2"/>
  <c r="AC73" i="2"/>
  <c r="AB73" i="2"/>
  <c r="AD73" i="2" s="1"/>
  <c r="Y73" i="2"/>
  <c r="V73" i="2"/>
  <c r="T73" i="2"/>
  <c r="S73" i="2"/>
  <c r="U73" i="2" s="1"/>
  <c r="Q73" i="2"/>
  <c r="P73" i="2"/>
  <c r="N73" i="2"/>
  <c r="M73" i="2"/>
  <c r="L73" i="2"/>
  <c r="K73" i="2"/>
  <c r="J73" i="2"/>
  <c r="H73" i="2"/>
  <c r="E73" i="2"/>
  <c r="D73" i="2"/>
  <c r="AL72" i="2"/>
  <c r="AK72" i="2"/>
  <c r="AI72" i="2"/>
  <c r="AH72" i="2"/>
  <c r="AF72" i="2"/>
  <c r="AE72" i="2"/>
  <c r="AC72" i="2"/>
  <c r="AB72" i="2"/>
  <c r="AD72" i="2" s="1"/>
  <c r="Y72" i="2"/>
  <c r="V72" i="2"/>
  <c r="T72" i="2"/>
  <c r="S72" i="2"/>
  <c r="U72" i="2" s="1"/>
  <c r="Q72" i="2"/>
  <c r="P72" i="2"/>
  <c r="R72" i="2" s="1"/>
  <c r="N72" i="2"/>
  <c r="K72" i="2"/>
  <c r="J72" i="2"/>
  <c r="L72" i="2" s="1"/>
  <c r="H72" i="2"/>
  <c r="E72" i="2"/>
  <c r="AH71" i="2"/>
  <c r="AE71" i="2"/>
  <c r="AB71" i="2"/>
  <c r="Y71" i="2"/>
  <c r="V71" i="2"/>
  <c r="T71" i="2"/>
  <c r="Q71" i="2"/>
  <c r="P71" i="2"/>
  <c r="R71" i="2" s="1"/>
  <c r="N71" i="2"/>
  <c r="K71" i="2"/>
  <c r="J71" i="2"/>
  <c r="L71" i="2" s="1"/>
  <c r="H71" i="2"/>
  <c r="G71" i="2"/>
  <c r="I71" i="2" s="1"/>
  <c r="E71" i="2"/>
  <c r="D71" i="2"/>
  <c r="AO70" i="2"/>
  <c r="AK70" i="2"/>
  <c r="AH70" i="2"/>
  <c r="AE70" i="2"/>
  <c r="AB70" i="2"/>
  <c r="V70" i="2"/>
  <c r="T70" i="2"/>
  <c r="Q70" i="2"/>
  <c r="P70" i="2"/>
  <c r="R70" i="2" s="1"/>
  <c r="N70" i="2"/>
  <c r="M70" i="2"/>
  <c r="O70" i="2" s="1"/>
  <c r="K70" i="2"/>
  <c r="J70" i="2"/>
  <c r="H70" i="2"/>
  <c r="E70" i="2"/>
  <c r="D70" i="2"/>
  <c r="AK69" i="2"/>
  <c r="AH69" i="2"/>
  <c r="AB69" i="2"/>
  <c r="Y69" i="2"/>
  <c r="V69" i="2"/>
  <c r="T69" i="2"/>
  <c r="S69" i="2"/>
  <c r="U69" i="2" s="1"/>
  <c r="Q69" i="2"/>
  <c r="P69" i="2"/>
  <c r="R69" i="2" s="1"/>
  <c r="N69" i="2"/>
  <c r="K69" i="2"/>
  <c r="J69" i="2"/>
  <c r="L69" i="2" s="1"/>
  <c r="H69" i="2"/>
  <c r="G69" i="2"/>
  <c r="I69" i="2" s="1"/>
  <c r="E69" i="2"/>
  <c r="D69" i="2"/>
  <c r="F69" i="2" s="1"/>
  <c r="AL68" i="2"/>
  <c r="AI68" i="2"/>
  <c r="AH68" i="2"/>
  <c r="AJ68" i="2" s="1"/>
  <c r="AF68" i="2"/>
  <c r="AC68" i="2"/>
  <c r="Y68" i="2"/>
  <c r="V68" i="2"/>
  <c r="T68" i="2"/>
  <c r="S68" i="2"/>
  <c r="U68" i="2" s="1"/>
  <c r="Q68" i="2"/>
  <c r="P68" i="2"/>
  <c r="R68" i="2" s="1"/>
  <c r="N68" i="2"/>
  <c r="M68" i="2"/>
  <c r="O68" i="2" s="1"/>
  <c r="K68" i="2"/>
  <c r="J68" i="2"/>
  <c r="H68" i="2"/>
  <c r="G68" i="2"/>
  <c r="I68" i="2" s="1"/>
  <c r="E68" i="2"/>
  <c r="D68" i="2"/>
  <c r="F68" i="2" s="1"/>
  <c r="AK67" i="2"/>
  <c r="AH67" i="2"/>
  <c r="AE67" i="2"/>
  <c r="AB67" i="2"/>
  <c r="Y67" i="2"/>
  <c r="V67" i="2"/>
  <c r="T67" i="2"/>
  <c r="S67" i="2"/>
  <c r="U67" i="2" s="1"/>
  <c r="Q67" i="2"/>
  <c r="P67" i="2"/>
  <c r="R67" i="2" s="1"/>
  <c r="N67" i="2"/>
  <c r="M67" i="2"/>
  <c r="O67" i="2" s="1"/>
  <c r="K67" i="2"/>
  <c r="J67" i="2"/>
  <c r="L67" i="2" s="1"/>
  <c r="H67" i="2"/>
  <c r="E67" i="2"/>
  <c r="D67" i="2"/>
  <c r="F67" i="2" s="1"/>
  <c r="AK66" i="2"/>
  <c r="AH66" i="2"/>
  <c r="AB66" i="2"/>
  <c r="Y66" i="2"/>
  <c r="V66" i="2"/>
  <c r="T66" i="2"/>
  <c r="S66" i="2"/>
  <c r="U66" i="2" s="1"/>
  <c r="Q66" i="2"/>
  <c r="P66" i="2"/>
  <c r="R66" i="2" s="1"/>
  <c r="N66" i="2"/>
  <c r="K66" i="2"/>
  <c r="J66" i="2"/>
  <c r="L66" i="2" s="1"/>
  <c r="H66" i="2"/>
  <c r="G66" i="2"/>
  <c r="I66" i="2" s="1"/>
  <c r="E66" i="2"/>
  <c r="D66" i="2"/>
  <c r="F66" i="2" s="1"/>
  <c r="AO65" i="2"/>
  <c r="AK65" i="2"/>
  <c r="AH65" i="2"/>
  <c r="AE65" i="2"/>
  <c r="AB65" i="2"/>
  <c r="Y65" i="2"/>
  <c r="V65" i="2"/>
  <c r="T65" i="2"/>
  <c r="Q65" i="2"/>
  <c r="P65" i="2"/>
  <c r="R65" i="2" s="1"/>
  <c r="N65" i="2"/>
  <c r="M65" i="2"/>
  <c r="K65" i="2"/>
  <c r="J65" i="2"/>
  <c r="L65" i="2" s="1"/>
  <c r="H65" i="2"/>
  <c r="G65" i="2"/>
  <c r="F65" i="2"/>
  <c r="E65" i="2"/>
  <c r="D65" i="2"/>
  <c r="AK64" i="2"/>
  <c r="AH64" i="2"/>
  <c r="AE64" i="2"/>
  <c r="AB64" i="2"/>
  <c r="V64" i="2"/>
  <c r="T64" i="2"/>
  <c r="S64" i="2"/>
  <c r="U64" i="2" s="1"/>
  <c r="Q64" i="2"/>
  <c r="P64" i="2"/>
  <c r="R64" i="2" s="1"/>
  <c r="N64" i="2"/>
  <c r="M64" i="2"/>
  <c r="K64" i="2"/>
  <c r="J64" i="2"/>
  <c r="L64" i="2" s="1"/>
  <c r="H64" i="2"/>
  <c r="AO64" i="2" s="1"/>
  <c r="G64" i="2"/>
  <c r="E64" i="2"/>
  <c r="D64" i="2"/>
  <c r="F64" i="2" s="1"/>
  <c r="AK63" i="2"/>
  <c r="AH63" i="2"/>
  <c r="AB63" i="2"/>
  <c r="Y63" i="2"/>
  <c r="P63" i="2"/>
  <c r="M63" i="2"/>
  <c r="J63" i="2"/>
  <c r="G63" i="2"/>
  <c r="D63" i="2"/>
  <c r="AO62" i="2"/>
  <c r="AH62" i="2"/>
  <c r="AE62" i="2"/>
  <c r="AB62" i="2"/>
  <c r="Y62" i="2"/>
  <c r="V62" i="2"/>
  <c r="T62" i="2"/>
  <c r="R62" i="2"/>
  <c r="Q62" i="2"/>
  <c r="P62" i="2"/>
  <c r="N62" i="2"/>
  <c r="M62" i="2"/>
  <c r="O62" i="2" s="1"/>
  <c r="L62" i="2"/>
  <c r="K62" i="2"/>
  <c r="J62" i="2"/>
  <c r="H62" i="2"/>
  <c r="G62" i="2"/>
  <c r="I62" i="2" s="1"/>
  <c r="E62" i="2"/>
  <c r="D62" i="2"/>
  <c r="AL61" i="2"/>
  <c r="AK61" i="2"/>
  <c r="AM61" i="2" s="1"/>
  <c r="AI61" i="2"/>
  <c r="AH61" i="2"/>
  <c r="AJ61" i="2" s="1"/>
  <c r="AF61" i="2"/>
  <c r="AE61" i="2"/>
  <c r="AC61" i="2"/>
  <c r="AD61" i="2" s="1"/>
  <c r="AB61" i="2"/>
  <c r="Y61" i="2"/>
  <c r="V61" i="2"/>
  <c r="T61" i="2"/>
  <c r="S61" i="2"/>
  <c r="U61" i="2" s="1"/>
  <c r="Q61" i="2"/>
  <c r="P61" i="2"/>
  <c r="R61" i="2" s="1"/>
  <c r="N61" i="2"/>
  <c r="M61" i="2"/>
  <c r="O61" i="2" s="1"/>
  <c r="K61" i="2"/>
  <c r="J61" i="2"/>
  <c r="H61" i="2"/>
  <c r="E61" i="2"/>
  <c r="D61" i="2"/>
  <c r="F61" i="2" s="1"/>
  <c r="AL60" i="2"/>
  <c r="AK60" i="2"/>
  <c r="AM60" i="2" s="1"/>
  <c r="AI60" i="2"/>
  <c r="AH60" i="2"/>
  <c r="AJ60" i="2" s="1"/>
  <c r="AF60" i="2"/>
  <c r="AE60" i="2"/>
  <c r="AG60" i="2" s="1"/>
  <c r="AC60" i="2"/>
  <c r="AB60" i="2"/>
  <c r="AD60" i="2" s="1"/>
  <c r="Y60" i="2"/>
  <c r="V60" i="2"/>
  <c r="T60" i="2"/>
  <c r="S60" i="2"/>
  <c r="U60" i="2" s="1"/>
  <c r="Q60" i="2"/>
  <c r="P60" i="2"/>
  <c r="R60" i="2" s="1"/>
  <c r="N60" i="2"/>
  <c r="K60" i="2"/>
  <c r="J60" i="2"/>
  <c r="L60" i="2" s="1"/>
  <c r="H60" i="2"/>
  <c r="G60" i="2"/>
  <c r="I60" i="2" s="1"/>
  <c r="E60" i="2"/>
  <c r="D60" i="2"/>
  <c r="F60" i="2" s="1"/>
  <c r="AL59" i="2"/>
  <c r="AI59" i="2"/>
  <c r="AH59" i="2"/>
  <c r="AJ59" i="2" s="1"/>
  <c r="AF59" i="2"/>
  <c r="AE59" i="2"/>
  <c r="AG59" i="2" s="1"/>
  <c r="AC59" i="2"/>
  <c r="AB59" i="2"/>
  <c r="AD59" i="2" s="1"/>
  <c r="Y59" i="2"/>
  <c r="V59" i="2"/>
  <c r="T59" i="2"/>
  <c r="Q59" i="2"/>
  <c r="P59" i="2"/>
  <c r="R59" i="2" s="1"/>
  <c r="N59" i="2"/>
  <c r="K59" i="2"/>
  <c r="J59" i="2"/>
  <c r="L59" i="2" s="1"/>
  <c r="H59" i="2"/>
  <c r="G59" i="2"/>
  <c r="I59" i="2" s="1"/>
  <c r="E59" i="2"/>
  <c r="D59" i="2"/>
  <c r="AL58" i="2"/>
  <c r="AK58" i="2"/>
  <c r="AM58" i="2" s="1"/>
  <c r="AI58" i="2"/>
  <c r="AH58" i="2"/>
  <c r="AJ58" i="2" s="1"/>
  <c r="AF58" i="2"/>
  <c r="AE58" i="2"/>
  <c r="AG58" i="2" s="1"/>
  <c r="AC58" i="2"/>
  <c r="AB58" i="2"/>
  <c r="AD58" i="2" s="1"/>
  <c r="V58" i="2"/>
  <c r="T58" i="2"/>
  <c r="S58" i="2"/>
  <c r="U58" i="2" s="1"/>
  <c r="Q58" i="2"/>
  <c r="P58" i="2"/>
  <c r="R58" i="2" s="1"/>
  <c r="N58" i="2"/>
  <c r="M58" i="2"/>
  <c r="K58" i="2"/>
  <c r="J58" i="2"/>
  <c r="L58" i="2" s="1"/>
  <c r="H58" i="2"/>
  <c r="G58" i="2"/>
  <c r="I58" i="2" s="1"/>
  <c r="E58" i="2"/>
  <c r="D58" i="2"/>
  <c r="F58" i="2" s="1"/>
  <c r="AK57" i="2"/>
  <c r="AH57" i="2"/>
  <c r="AB57" i="2"/>
  <c r="Y57" i="2"/>
  <c r="V57" i="2"/>
  <c r="T57" i="2"/>
  <c r="Q57" i="2"/>
  <c r="P57" i="2"/>
  <c r="R57" i="2" s="1"/>
  <c r="N57" i="2"/>
  <c r="K57" i="2"/>
  <c r="J57" i="2"/>
  <c r="H57" i="2"/>
  <c r="G57" i="2"/>
  <c r="I57" i="2" s="1"/>
  <c r="E57" i="2"/>
  <c r="D57" i="2"/>
  <c r="AO56" i="2"/>
  <c r="AH56" i="2"/>
  <c r="AB56" i="2"/>
  <c r="Y56" i="2"/>
  <c r="V56" i="2"/>
  <c r="T56" i="2"/>
  <c r="S56" i="2"/>
  <c r="U56" i="2" s="1"/>
  <c r="Q56" i="2"/>
  <c r="P56" i="2"/>
  <c r="R56" i="2" s="1"/>
  <c r="N56" i="2"/>
  <c r="O56" i="2" s="1"/>
  <c r="M56" i="2"/>
  <c r="K56" i="2"/>
  <c r="J56" i="2"/>
  <c r="L56" i="2" s="1"/>
  <c r="H56" i="2"/>
  <c r="G56" i="2"/>
  <c r="I56" i="2" s="1"/>
  <c r="E56" i="2"/>
  <c r="F56" i="2" s="1"/>
  <c r="D56" i="2"/>
  <c r="AK55" i="2"/>
  <c r="AH55" i="2"/>
  <c r="AE55" i="2"/>
  <c r="AB55" i="2"/>
  <c r="Y55" i="2"/>
  <c r="V55" i="2"/>
  <c r="T55" i="2"/>
  <c r="S55" i="2"/>
  <c r="U55" i="2" s="1"/>
  <c r="Q55" i="2"/>
  <c r="P55" i="2"/>
  <c r="N55" i="2"/>
  <c r="M55" i="2"/>
  <c r="K55" i="2"/>
  <c r="J55" i="2"/>
  <c r="L55" i="2" s="1"/>
  <c r="H55" i="2"/>
  <c r="AO55" i="2" s="1"/>
  <c r="E55" i="2"/>
  <c r="D55" i="2"/>
  <c r="F55" i="2" s="1"/>
  <c r="AL54" i="2"/>
  <c r="AI54" i="2"/>
  <c r="AH54" i="2"/>
  <c r="AF54" i="2"/>
  <c r="AC54" i="2"/>
  <c r="AB54" i="2"/>
  <c r="AD54" i="2" s="1"/>
  <c r="Y54" i="2"/>
  <c r="V54" i="2"/>
  <c r="T54" i="2"/>
  <c r="U54" i="2" s="1"/>
  <c r="S54" i="2"/>
  <c r="Q54" i="2"/>
  <c r="P54" i="2"/>
  <c r="R54" i="2" s="1"/>
  <c r="N54" i="2"/>
  <c r="K54" i="2"/>
  <c r="J54" i="2"/>
  <c r="L54" i="2" s="1"/>
  <c r="H54" i="2"/>
  <c r="G54" i="2"/>
  <c r="I54" i="2" s="1"/>
  <c r="E54" i="2"/>
  <c r="D54" i="2"/>
  <c r="F54" i="2" s="1"/>
  <c r="AL53" i="2"/>
  <c r="AK53" i="2"/>
  <c r="AI53" i="2"/>
  <c r="AH53" i="2"/>
  <c r="AJ53" i="2" s="1"/>
  <c r="AF53" i="2"/>
  <c r="AE53" i="2"/>
  <c r="AG53" i="2" s="1"/>
  <c r="AC53" i="2"/>
  <c r="AB53" i="2"/>
  <c r="AD53" i="2" s="1"/>
  <c r="Y53" i="2"/>
  <c r="V53" i="2"/>
  <c r="T53" i="2"/>
  <c r="Q53" i="2"/>
  <c r="P53" i="2"/>
  <c r="R53" i="2" s="1"/>
  <c r="N53" i="2"/>
  <c r="K53" i="2"/>
  <c r="J53" i="2"/>
  <c r="H53" i="2"/>
  <c r="G53" i="2"/>
  <c r="I53" i="2" s="1"/>
  <c r="E53" i="2"/>
  <c r="D53" i="2"/>
  <c r="F53" i="2" s="1"/>
  <c r="AM52" i="2"/>
  <c r="AL52" i="2"/>
  <c r="AK52" i="2"/>
  <c r="AI52" i="2"/>
  <c r="AH52" i="2"/>
  <c r="AJ52" i="2" s="1"/>
  <c r="AF52" i="2"/>
  <c r="AE52" i="2"/>
  <c r="AG52" i="2" s="1"/>
  <c r="AC52" i="2"/>
  <c r="AB52" i="2"/>
  <c r="AD52" i="2" s="1"/>
  <c r="V52" i="2"/>
  <c r="T52" i="2"/>
  <c r="S52" i="2"/>
  <c r="U52" i="2" s="1"/>
  <c r="Q52" i="2"/>
  <c r="P52" i="2"/>
  <c r="R52" i="2" s="1"/>
  <c r="N52" i="2"/>
  <c r="K52" i="2"/>
  <c r="J52" i="2"/>
  <c r="L52" i="2" s="1"/>
  <c r="H52" i="2"/>
  <c r="AO52" i="2" s="1"/>
  <c r="G52" i="2"/>
  <c r="I52" i="2" s="1"/>
  <c r="E52" i="2"/>
  <c r="F52" i="2" s="1"/>
  <c r="D52" i="2"/>
  <c r="AM51" i="2"/>
  <c r="AL51" i="2"/>
  <c r="AK51" i="2"/>
  <c r="AI51" i="2"/>
  <c r="AJ51" i="2" s="1"/>
  <c r="AH51" i="2"/>
  <c r="AF51" i="2"/>
  <c r="AC51" i="2"/>
  <c r="AB51" i="2"/>
  <c r="AD51" i="2" s="1"/>
  <c r="Y51" i="2"/>
  <c r="V51" i="2"/>
  <c r="T51" i="2"/>
  <c r="S51" i="2"/>
  <c r="Q51" i="2"/>
  <c r="P51" i="2"/>
  <c r="R51" i="2" s="1"/>
  <c r="N51" i="2"/>
  <c r="K51" i="2"/>
  <c r="J51" i="2"/>
  <c r="H51" i="2"/>
  <c r="G51" i="2"/>
  <c r="I51" i="2" s="1"/>
  <c r="E51" i="2"/>
  <c r="D51" i="2"/>
  <c r="AH50" i="2"/>
  <c r="AE50" i="2"/>
  <c r="AB50" i="2"/>
  <c r="Y50" i="2"/>
  <c r="V50" i="2"/>
  <c r="T50" i="2"/>
  <c r="Q50" i="2"/>
  <c r="P50" i="2"/>
  <c r="R50" i="2" s="1"/>
  <c r="N50" i="2"/>
  <c r="M50" i="2"/>
  <c r="L50" i="2"/>
  <c r="K50" i="2"/>
  <c r="J50" i="2"/>
  <c r="I50" i="2"/>
  <c r="H50" i="2"/>
  <c r="G50" i="2"/>
  <c r="E50" i="2"/>
  <c r="D50" i="2"/>
  <c r="F50" i="2" s="1"/>
  <c r="AL49" i="2"/>
  <c r="AK49" i="2"/>
  <c r="AI49" i="2"/>
  <c r="AH49" i="2"/>
  <c r="AJ49" i="2" s="1"/>
  <c r="AF49" i="2"/>
  <c r="AE49" i="2"/>
  <c r="AC49" i="2"/>
  <c r="AB49" i="2"/>
  <c r="AD49" i="2" s="1"/>
  <c r="Y49" i="2"/>
  <c r="V49" i="2"/>
  <c r="T49" i="2"/>
  <c r="S49" i="2"/>
  <c r="U49" i="2" s="1"/>
  <c r="Q49" i="2"/>
  <c r="P49" i="2"/>
  <c r="R49" i="2" s="1"/>
  <c r="N49" i="2"/>
  <c r="M49" i="2"/>
  <c r="O49" i="2" s="1"/>
  <c r="K49" i="2"/>
  <c r="L49" i="2" s="1"/>
  <c r="J49" i="2"/>
  <c r="H49" i="2"/>
  <c r="F49" i="2"/>
  <c r="E49" i="2"/>
  <c r="D49" i="2"/>
  <c r="AH48" i="2"/>
  <c r="AE48" i="2"/>
  <c r="AB48" i="2"/>
  <c r="Y48" i="2"/>
  <c r="V48" i="2"/>
  <c r="T48" i="2"/>
  <c r="S48" i="2"/>
  <c r="U48" i="2" s="1"/>
  <c r="Q48" i="2"/>
  <c r="P48" i="2"/>
  <c r="R48" i="2" s="1"/>
  <c r="N48" i="2"/>
  <c r="K48" i="2"/>
  <c r="J48" i="2"/>
  <c r="H48" i="2"/>
  <c r="G48" i="2"/>
  <c r="I48" i="2" s="1"/>
  <c r="E48" i="2"/>
  <c r="D48" i="2"/>
  <c r="F48" i="2" s="1"/>
  <c r="AK47" i="2"/>
  <c r="AH47" i="2"/>
  <c r="AE47" i="2"/>
  <c r="AB47" i="2"/>
  <c r="Y47" i="2"/>
  <c r="V47" i="2"/>
  <c r="P47" i="2"/>
  <c r="J47" i="2"/>
  <c r="G47" i="2"/>
  <c r="D47" i="2"/>
  <c r="F47" i="2" s="1"/>
  <c r="AK46" i="2"/>
  <c r="AH46" i="2"/>
  <c r="AE46" i="2"/>
  <c r="AB46" i="2"/>
  <c r="V46" i="2"/>
  <c r="T46" i="2"/>
  <c r="S46" i="2"/>
  <c r="Q46" i="2"/>
  <c r="P46" i="2"/>
  <c r="N46" i="2"/>
  <c r="M46" i="2"/>
  <c r="O46" i="2" s="1"/>
  <c r="K46" i="2"/>
  <c r="J46" i="2"/>
  <c r="L46" i="2" s="1"/>
  <c r="H46" i="2"/>
  <c r="G46" i="2"/>
  <c r="E46" i="2"/>
  <c r="D46" i="2"/>
  <c r="F46" i="2" s="1"/>
  <c r="AK45" i="2"/>
  <c r="AH45" i="2"/>
  <c r="AB45" i="2"/>
  <c r="V45" i="2"/>
  <c r="S45" i="2"/>
  <c r="U45" i="2" s="1"/>
  <c r="P45" i="2"/>
  <c r="R45" i="2" s="1"/>
  <c r="M45" i="2"/>
  <c r="J45" i="2"/>
  <c r="G45" i="2"/>
  <c r="D45" i="2"/>
  <c r="AH44" i="2"/>
  <c r="AE44" i="2"/>
  <c r="AB44" i="2"/>
  <c r="V44" i="2"/>
  <c r="T44" i="2"/>
  <c r="S44" i="2"/>
  <c r="U44" i="2" s="1"/>
  <c r="Q44" i="2"/>
  <c r="P44" i="2"/>
  <c r="R44" i="2" s="1"/>
  <c r="N44" i="2"/>
  <c r="O44" i="2" s="1"/>
  <c r="M44" i="2"/>
  <c r="K44" i="2"/>
  <c r="J44" i="2"/>
  <c r="L44" i="2" s="1"/>
  <c r="H44" i="2"/>
  <c r="AO44" i="2" s="1"/>
  <c r="G44" i="2"/>
  <c r="E44" i="2"/>
  <c r="D44" i="2"/>
  <c r="F44" i="2" s="1"/>
  <c r="AL43" i="2"/>
  <c r="AK43" i="2"/>
  <c r="AM43" i="2" s="1"/>
  <c r="AI43" i="2"/>
  <c r="AH43" i="2"/>
  <c r="AJ43" i="2" s="1"/>
  <c r="AF43" i="2"/>
  <c r="AE43" i="2"/>
  <c r="AG43" i="2" s="1"/>
  <c r="AC43" i="2"/>
  <c r="AB43" i="2"/>
  <c r="AD43" i="2" s="1"/>
  <c r="V43" i="2"/>
  <c r="T43" i="2"/>
  <c r="S43" i="2"/>
  <c r="Q43" i="2"/>
  <c r="P43" i="2"/>
  <c r="M43" i="2"/>
  <c r="J43" i="2"/>
  <c r="E43" i="2"/>
  <c r="D43" i="2"/>
  <c r="F43" i="2" s="1"/>
  <c r="AK42" i="2"/>
  <c r="AH42" i="2"/>
  <c r="AB42" i="2"/>
  <c r="Y42" i="2"/>
  <c r="V42" i="2"/>
  <c r="S42" i="2"/>
  <c r="P42" i="2"/>
  <c r="J42" i="2"/>
  <c r="G42" i="2"/>
  <c r="D42" i="2"/>
  <c r="AK41" i="2"/>
  <c r="AH41" i="2"/>
  <c r="AE41" i="2"/>
  <c r="AB41" i="2"/>
  <c r="Y41" i="2"/>
  <c r="V41" i="2"/>
  <c r="T41" i="2"/>
  <c r="R41" i="2"/>
  <c r="Q41" i="2"/>
  <c r="P41" i="2"/>
  <c r="N41" i="2"/>
  <c r="M41" i="2"/>
  <c r="O41" i="2" s="1"/>
  <c r="K41" i="2"/>
  <c r="J41" i="2"/>
  <c r="L41" i="2" s="1"/>
  <c r="H41" i="2"/>
  <c r="F41" i="2"/>
  <c r="E41" i="2"/>
  <c r="D41" i="2"/>
  <c r="AO41" i="2" s="1"/>
  <c r="AL40" i="2"/>
  <c r="AK40" i="2"/>
  <c r="AM40" i="2" s="1"/>
  <c r="AI40" i="2"/>
  <c r="AH40" i="2"/>
  <c r="AF40" i="2"/>
  <c r="AE40" i="2"/>
  <c r="AG40" i="2" s="1"/>
  <c r="AC40" i="2"/>
  <c r="AB40" i="2"/>
  <c r="AD40" i="2" s="1"/>
  <c r="V40" i="2"/>
  <c r="T40" i="2"/>
  <c r="S40" i="2"/>
  <c r="U40" i="2" s="1"/>
  <c r="Q40" i="2"/>
  <c r="P40" i="2"/>
  <c r="R40" i="2" s="1"/>
  <c r="N40" i="2"/>
  <c r="M40" i="2"/>
  <c r="O40" i="2" s="1"/>
  <c r="K40" i="2"/>
  <c r="J40" i="2"/>
  <c r="L40" i="2" s="1"/>
  <c r="H40" i="2"/>
  <c r="G40" i="2"/>
  <c r="I40" i="2" s="1"/>
  <c r="E40" i="2"/>
  <c r="D40" i="2"/>
  <c r="AO40" i="2" s="1"/>
  <c r="AL39" i="2"/>
  <c r="AK39" i="2"/>
  <c r="AM39" i="2" s="1"/>
  <c r="AI39" i="2"/>
  <c r="AH39" i="2"/>
  <c r="AJ39" i="2" s="1"/>
  <c r="AF39" i="2"/>
  <c r="AD39" i="2"/>
  <c r="AC39" i="2"/>
  <c r="AB39" i="2"/>
  <c r="Y39" i="2"/>
  <c r="V39" i="2"/>
  <c r="T39" i="2"/>
  <c r="S39" i="2"/>
  <c r="U39" i="2" s="1"/>
  <c r="Q39" i="2"/>
  <c r="P39" i="2"/>
  <c r="R39" i="2" s="1"/>
  <c r="N39" i="2"/>
  <c r="K39" i="2"/>
  <c r="J39" i="2"/>
  <c r="H39" i="2"/>
  <c r="G39" i="2"/>
  <c r="I39" i="2" s="1"/>
  <c r="E39" i="2"/>
  <c r="D39" i="2"/>
  <c r="F39" i="2" s="1"/>
  <c r="AL38" i="2"/>
  <c r="AI38" i="2"/>
  <c r="AH38" i="2"/>
  <c r="AJ38" i="2" s="1"/>
  <c r="AF38" i="2"/>
  <c r="AC38" i="2"/>
  <c r="AB38" i="2"/>
  <c r="Y38" i="2"/>
  <c r="V38" i="2"/>
  <c r="T38" i="2"/>
  <c r="S38" i="2"/>
  <c r="U38" i="2" s="1"/>
  <c r="Q38" i="2"/>
  <c r="P38" i="2"/>
  <c r="R38" i="2" s="1"/>
  <c r="M38" i="2"/>
  <c r="L38" i="2"/>
  <c r="K38" i="2"/>
  <c r="J38" i="2"/>
  <c r="H38" i="2"/>
  <c r="G38" i="2"/>
  <c r="I38" i="2" s="1"/>
  <c r="E38" i="2"/>
  <c r="D38" i="2"/>
  <c r="F38" i="2" s="1"/>
  <c r="AL37" i="2"/>
  <c r="AK37" i="2"/>
  <c r="AM37" i="2" s="1"/>
  <c r="AI37" i="2"/>
  <c r="AJ37" i="2" s="1"/>
  <c r="AH37" i="2"/>
  <c r="AF37" i="2"/>
  <c r="AC37" i="2"/>
  <c r="AB37" i="2"/>
  <c r="AD37" i="2" s="1"/>
  <c r="Y37" i="2"/>
  <c r="V37" i="2"/>
  <c r="T37" i="2"/>
  <c r="S37" i="2"/>
  <c r="U37" i="2" s="1"/>
  <c r="Q37" i="2"/>
  <c r="P37" i="2"/>
  <c r="R37" i="2" s="1"/>
  <c r="M37" i="2"/>
  <c r="K37" i="2"/>
  <c r="J37" i="2"/>
  <c r="L37" i="2" s="1"/>
  <c r="H37" i="2"/>
  <c r="E37" i="2"/>
  <c r="D37" i="2"/>
  <c r="F37" i="2" s="1"/>
  <c r="AL36" i="2"/>
  <c r="AK36" i="2"/>
  <c r="AM36" i="2" s="1"/>
  <c r="AI36" i="2"/>
  <c r="AH36" i="2"/>
  <c r="AJ36" i="2" s="1"/>
  <c r="AF36" i="2"/>
  <c r="AE36" i="2"/>
  <c r="AG36" i="2" s="1"/>
  <c r="AD36" i="2"/>
  <c r="AC36" i="2"/>
  <c r="AB36" i="2"/>
  <c r="Y36" i="2"/>
  <c r="V36" i="2"/>
  <c r="T36" i="2"/>
  <c r="S36" i="2"/>
  <c r="U36" i="2" s="1"/>
  <c r="Q36" i="2"/>
  <c r="P36" i="2"/>
  <c r="R36" i="2" s="1"/>
  <c r="N36" i="2"/>
  <c r="K36" i="2"/>
  <c r="J36" i="2"/>
  <c r="L36" i="2" s="1"/>
  <c r="H36" i="2"/>
  <c r="E36" i="2"/>
  <c r="D36" i="2"/>
  <c r="F36" i="2" s="1"/>
  <c r="AL35" i="2"/>
  <c r="AK35" i="2"/>
  <c r="AM35" i="2" s="1"/>
  <c r="AI35" i="2"/>
  <c r="AH35" i="2"/>
  <c r="AJ35" i="2" s="1"/>
  <c r="AF35" i="2"/>
  <c r="AE35" i="2"/>
  <c r="AG35" i="2" s="1"/>
  <c r="AC35" i="2"/>
  <c r="AB35" i="2"/>
  <c r="AD35" i="2" s="1"/>
  <c r="Y35" i="2"/>
  <c r="V35" i="2"/>
  <c r="T35" i="2"/>
  <c r="Q35" i="2"/>
  <c r="P35" i="2"/>
  <c r="R35" i="2" s="1"/>
  <c r="O35" i="2"/>
  <c r="N35" i="2"/>
  <c r="M35" i="2"/>
  <c r="K35" i="2"/>
  <c r="J35" i="2"/>
  <c r="L35" i="2" s="1"/>
  <c r="H35" i="2"/>
  <c r="E35" i="2"/>
  <c r="D35" i="2"/>
  <c r="F35" i="2" s="1"/>
  <c r="AL34" i="2"/>
  <c r="AK34" i="2"/>
  <c r="AM34" i="2" s="1"/>
  <c r="AI34" i="2"/>
  <c r="AH34" i="2"/>
  <c r="AJ34" i="2" s="1"/>
  <c r="AF34" i="2"/>
  <c r="AE34" i="2"/>
  <c r="AG34" i="2" s="1"/>
  <c r="AC34" i="2"/>
  <c r="AB34" i="2"/>
  <c r="AD34" i="2" s="1"/>
  <c r="V34" i="2"/>
  <c r="T34" i="2"/>
  <c r="Q34" i="2"/>
  <c r="R34" i="2" s="1"/>
  <c r="P34" i="2"/>
  <c r="N34" i="2"/>
  <c r="M34" i="2"/>
  <c r="O34" i="2" s="1"/>
  <c r="K34" i="2"/>
  <c r="J34" i="2"/>
  <c r="L34" i="2" s="1"/>
  <c r="H34" i="2"/>
  <c r="AO34" i="2" s="1"/>
  <c r="G34" i="2"/>
  <c r="I34" i="2" s="1"/>
  <c r="E34" i="2"/>
  <c r="D34" i="2"/>
  <c r="F34" i="2" s="1"/>
  <c r="AL33" i="2"/>
  <c r="AK33" i="2"/>
  <c r="AM33" i="2" s="1"/>
  <c r="AI33" i="2"/>
  <c r="AH33" i="2"/>
  <c r="AJ33" i="2" s="1"/>
  <c r="AF33" i="2"/>
  <c r="AC33" i="2"/>
  <c r="AB33" i="2"/>
  <c r="Y33" i="2"/>
  <c r="V33" i="2"/>
  <c r="T33" i="2"/>
  <c r="Q33" i="2"/>
  <c r="P33" i="2"/>
  <c r="R33" i="2" s="1"/>
  <c r="N33" i="2"/>
  <c r="M33" i="2"/>
  <c r="O33" i="2" s="1"/>
  <c r="K33" i="2"/>
  <c r="J33" i="2"/>
  <c r="L33" i="2" s="1"/>
  <c r="I33" i="2"/>
  <c r="H33" i="2"/>
  <c r="G33" i="2"/>
  <c r="E33" i="2"/>
  <c r="F33" i="2" s="1"/>
  <c r="D33" i="2"/>
  <c r="AI32" i="2"/>
  <c r="AJ32" i="2" s="1"/>
  <c r="AH32" i="2"/>
  <c r="AE32" i="2"/>
  <c r="AB32" i="2"/>
  <c r="Y32" i="2"/>
  <c r="V32" i="2"/>
  <c r="S32" i="2"/>
  <c r="P32" i="2"/>
  <c r="M32" i="2"/>
  <c r="K32" i="2"/>
  <c r="J32" i="2"/>
  <c r="G32" i="2"/>
  <c r="D32" i="2"/>
  <c r="AK31" i="2"/>
  <c r="AH31" i="2"/>
  <c r="AJ31" i="2" s="1"/>
  <c r="AE31" i="2"/>
  <c r="AB31" i="2"/>
  <c r="V31" i="2"/>
  <c r="S31" i="2"/>
  <c r="P31" i="2"/>
  <c r="M31" i="2"/>
  <c r="J31" i="2"/>
  <c r="D31" i="2"/>
  <c r="AK30" i="2"/>
  <c r="AH30" i="2"/>
  <c r="AE30" i="2"/>
  <c r="AB30" i="2"/>
  <c r="Y30" i="2"/>
  <c r="V30" i="2"/>
  <c r="S30" i="2"/>
  <c r="P30" i="2"/>
  <c r="J30" i="2"/>
  <c r="D30" i="2"/>
  <c r="AO29" i="2"/>
  <c r="AL29" i="2"/>
  <c r="AK29" i="2"/>
  <c r="AM29" i="2" s="1"/>
  <c r="AI29" i="2"/>
  <c r="AH29" i="2"/>
  <c r="AJ29" i="2" s="1"/>
  <c r="AF29" i="2"/>
  <c r="AG29" i="2" s="1"/>
  <c r="AE29" i="2"/>
  <c r="AC29" i="2"/>
  <c r="AB29" i="2"/>
  <c r="AD29" i="2" s="1"/>
  <c r="Y29" i="2"/>
  <c r="V29" i="2"/>
  <c r="T29" i="2"/>
  <c r="Q29" i="2"/>
  <c r="P29" i="2"/>
  <c r="R29" i="2" s="1"/>
  <c r="N29" i="2"/>
  <c r="M29" i="2"/>
  <c r="O29" i="2" s="1"/>
  <c r="K29" i="2"/>
  <c r="J29" i="2"/>
  <c r="L29" i="2" s="1"/>
  <c r="H29" i="2"/>
  <c r="G29" i="2"/>
  <c r="I29" i="2" s="1"/>
  <c r="F29" i="2"/>
  <c r="E29" i="2"/>
  <c r="D29" i="2"/>
  <c r="AL28" i="2"/>
  <c r="AK28" i="2"/>
  <c r="AI28" i="2"/>
  <c r="AH28" i="2"/>
  <c r="AJ28" i="2" s="1"/>
  <c r="AF28" i="2"/>
  <c r="AE28" i="2"/>
  <c r="AG28" i="2" s="1"/>
  <c r="AC28" i="2"/>
  <c r="AB28" i="2"/>
  <c r="AD28" i="2" s="1"/>
  <c r="V28" i="2"/>
  <c r="T28" i="2"/>
  <c r="Q28" i="2"/>
  <c r="P28" i="2"/>
  <c r="R28" i="2" s="1"/>
  <c r="N28" i="2"/>
  <c r="M28" i="2"/>
  <c r="O28" i="2" s="1"/>
  <c r="K28" i="2"/>
  <c r="J28" i="2"/>
  <c r="L28" i="2" s="1"/>
  <c r="H28" i="2"/>
  <c r="G28" i="2"/>
  <c r="I28" i="2" s="1"/>
  <c r="F28" i="2"/>
  <c r="E28" i="2"/>
  <c r="D28" i="2"/>
  <c r="AL27" i="2"/>
  <c r="AK27" i="2"/>
  <c r="AI27" i="2"/>
  <c r="AH27" i="2"/>
  <c r="AJ27" i="2" s="1"/>
  <c r="AF27" i="2"/>
  <c r="AC27" i="2"/>
  <c r="AB27" i="2"/>
  <c r="AD27" i="2" s="1"/>
  <c r="V27" i="2"/>
  <c r="T27" i="2"/>
  <c r="S27" i="2"/>
  <c r="U27" i="2" s="1"/>
  <c r="Q27" i="2"/>
  <c r="P27" i="2"/>
  <c r="N27" i="2"/>
  <c r="M27" i="2"/>
  <c r="O27" i="2" s="1"/>
  <c r="K27" i="2"/>
  <c r="J27" i="2"/>
  <c r="I27" i="2"/>
  <c r="H27" i="2"/>
  <c r="G27" i="2"/>
  <c r="E27" i="2"/>
  <c r="D27" i="2"/>
  <c r="F27" i="2" s="1"/>
  <c r="AL26" i="2"/>
  <c r="AI26" i="2"/>
  <c r="AH26" i="2"/>
  <c r="AJ26" i="2" s="1"/>
  <c r="AF26" i="2"/>
  <c r="AE26" i="2"/>
  <c r="AG26" i="2" s="1"/>
  <c r="AC26" i="2"/>
  <c r="AB26" i="2"/>
  <c r="AD26" i="2" s="1"/>
  <c r="Y26" i="2"/>
  <c r="V26" i="2"/>
  <c r="T26" i="2"/>
  <c r="S26" i="2"/>
  <c r="U26" i="2" s="1"/>
  <c r="Q26" i="2"/>
  <c r="R26" i="2" s="1"/>
  <c r="P26" i="2"/>
  <c r="N26" i="2"/>
  <c r="M26" i="2"/>
  <c r="K26" i="2"/>
  <c r="J26" i="2"/>
  <c r="L26" i="2" s="1"/>
  <c r="H26" i="2"/>
  <c r="G26" i="2"/>
  <c r="I26" i="2" s="1"/>
  <c r="E26" i="2"/>
  <c r="D26" i="2"/>
  <c r="F26" i="2" s="1"/>
  <c r="AL25" i="2"/>
  <c r="AK25" i="2"/>
  <c r="AI25" i="2"/>
  <c r="AH25" i="2"/>
  <c r="AF25" i="2"/>
  <c r="AE25" i="2"/>
  <c r="AG25" i="2" s="1"/>
  <c r="AC25" i="2"/>
  <c r="AD25" i="2" s="1"/>
  <c r="AB25" i="2"/>
  <c r="Y25" i="2"/>
  <c r="V25" i="2"/>
  <c r="T25" i="2"/>
  <c r="S25" i="2"/>
  <c r="Q25" i="2"/>
  <c r="P25" i="2"/>
  <c r="R25" i="2" s="1"/>
  <c r="N25" i="2"/>
  <c r="M25" i="2"/>
  <c r="O25" i="2" s="1"/>
  <c r="K25" i="2"/>
  <c r="J25" i="2"/>
  <c r="L25" i="2" s="1"/>
  <c r="H25" i="2"/>
  <c r="E25" i="2"/>
  <c r="D25" i="2"/>
  <c r="F25" i="2" s="1"/>
  <c r="AK24" i="2"/>
  <c r="AM24" i="2" s="1"/>
  <c r="AH24" i="2"/>
  <c r="AE24" i="2"/>
  <c r="AB24" i="2"/>
  <c r="Y24" i="2"/>
  <c r="V24" i="2"/>
  <c r="S24" i="2"/>
  <c r="Q24" i="2"/>
  <c r="P24" i="2"/>
  <c r="R24" i="2" s="1"/>
  <c r="J24" i="2"/>
  <c r="G24" i="2"/>
  <c r="D24" i="2"/>
  <c r="AK23" i="2"/>
  <c r="AH23" i="2"/>
  <c r="AE23" i="2"/>
  <c r="AB23" i="2"/>
  <c r="Y23" i="2"/>
  <c r="V23" i="2"/>
  <c r="P23" i="2"/>
  <c r="M23" i="2"/>
  <c r="K23" i="2"/>
  <c r="J23" i="2"/>
  <c r="G23" i="2"/>
  <c r="D23" i="2"/>
  <c r="AL22" i="2"/>
  <c r="AK22" i="2"/>
  <c r="AM22" i="2" s="1"/>
  <c r="AI22" i="2"/>
  <c r="AH22" i="2"/>
  <c r="AJ22" i="2" s="1"/>
  <c r="AF22" i="2"/>
  <c r="AE22" i="2"/>
  <c r="AG22" i="2" s="1"/>
  <c r="AC22" i="2"/>
  <c r="AB22" i="2"/>
  <c r="AD22" i="2" s="1"/>
  <c r="V22" i="2"/>
  <c r="T22" i="2"/>
  <c r="Q22" i="2"/>
  <c r="P22" i="2"/>
  <c r="R22" i="2" s="1"/>
  <c r="N22" i="2"/>
  <c r="K22" i="2"/>
  <c r="J22" i="2"/>
  <c r="L22" i="2" s="1"/>
  <c r="H22" i="2"/>
  <c r="G22" i="2"/>
  <c r="I22" i="2" s="1"/>
  <c r="E22" i="2"/>
  <c r="D22" i="2"/>
  <c r="F22" i="2" s="1"/>
  <c r="AL21" i="2"/>
  <c r="AK21" i="2"/>
  <c r="AM21" i="2" s="1"/>
  <c r="AI21" i="2"/>
  <c r="AH21" i="2"/>
  <c r="AJ21" i="2" s="1"/>
  <c r="AF21" i="2"/>
  <c r="AC21" i="2"/>
  <c r="AB21" i="2"/>
  <c r="AD21" i="2" s="1"/>
  <c r="Y21" i="2"/>
  <c r="V21" i="2"/>
  <c r="U21" i="2"/>
  <c r="T21" i="2"/>
  <c r="S21" i="2"/>
  <c r="Q21" i="2"/>
  <c r="P21" i="2"/>
  <c r="N21" i="2"/>
  <c r="M21" i="2"/>
  <c r="O21" i="2" s="1"/>
  <c r="K21" i="2"/>
  <c r="J21" i="2"/>
  <c r="L21" i="2" s="1"/>
  <c r="H21" i="2"/>
  <c r="G21" i="2"/>
  <c r="I21" i="2" s="1"/>
  <c r="E21" i="2"/>
  <c r="D21" i="2"/>
  <c r="AL20" i="2"/>
  <c r="AI20" i="2"/>
  <c r="AH20" i="2"/>
  <c r="AJ20" i="2" s="1"/>
  <c r="AF20" i="2"/>
  <c r="AE20" i="2"/>
  <c r="AG20" i="2" s="1"/>
  <c r="AC20" i="2"/>
  <c r="AB20" i="2"/>
  <c r="AD20" i="2" s="1"/>
  <c r="V20" i="2"/>
  <c r="T20" i="2"/>
  <c r="S20" i="2"/>
  <c r="U20" i="2" s="1"/>
  <c r="Q20" i="2"/>
  <c r="P20" i="2"/>
  <c r="R20" i="2" s="1"/>
  <c r="N20" i="2"/>
  <c r="M20" i="2"/>
  <c r="O20" i="2" s="1"/>
  <c r="K20" i="2"/>
  <c r="J20" i="2"/>
  <c r="L20" i="2" s="1"/>
  <c r="H20" i="2"/>
  <c r="G20" i="2"/>
  <c r="I20" i="2" s="1"/>
  <c r="E20" i="2"/>
  <c r="D20" i="2"/>
  <c r="F20" i="2" s="1"/>
  <c r="AK19" i="2"/>
  <c r="AH19" i="2"/>
  <c r="AE19" i="2"/>
  <c r="AB19" i="2"/>
  <c r="Y19" i="2"/>
  <c r="V19" i="2"/>
  <c r="S19" i="2"/>
  <c r="P19" i="2"/>
  <c r="M19" i="2"/>
  <c r="J19" i="2"/>
  <c r="H19" i="2"/>
  <c r="D19" i="2"/>
  <c r="AL18" i="2"/>
  <c r="AK18" i="2"/>
  <c r="AM18" i="2" s="1"/>
  <c r="AI18" i="2"/>
  <c r="AH18" i="2"/>
  <c r="AJ18" i="2" s="1"/>
  <c r="AF18" i="2"/>
  <c r="AE18" i="2"/>
  <c r="AG18" i="2" s="1"/>
  <c r="AC18" i="2"/>
  <c r="AB18" i="2"/>
  <c r="AD18" i="2" s="1"/>
  <c r="Y18" i="2"/>
  <c r="V18" i="2"/>
  <c r="T18" i="2"/>
  <c r="Q18" i="2"/>
  <c r="P18" i="2"/>
  <c r="R18" i="2" s="1"/>
  <c r="N18" i="2"/>
  <c r="M18" i="2"/>
  <c r="O18" i="2" s="1"/>
  <c r="K18" i="2"/>
  <c r="J18" i="2"/>
  <c r="L18" i="2" s="1"/>
  <c r="H18" i="2"/>
  <c r="G18" i="2"/>
  <c r="I18" i="2" s="1"/>
  <c r="E18" i="2"/>
  <c r="D18" i="2"/>
  <c r="F18" i="2" s="1"/>
  <c r="AL17" i="2"/>
  <c r="AK17" i="2"/>
  <c r="AM17" i="2" s="1"/>
  <c r="AI17" i="2"/>
  <c r="AH17" i="2"/>
  <c r="AJ17" i="2" s="1"/>
  <c r="AF17" i="2"/>
  <c r="AE17" i="2"/>
  <c r="AG17" i="2" s="1"/>
  <c r="AC17" i="2"/>
  <c r="AB17" i="2"/>
  <c r="AD17" i="2" s="1"/>
  <c r="V17" i="2"/>
  <c r="T17" i="2"/>
  <c r="Q17" i="2"/>
  <c r="P17" i="2"/>
  <c r="R17" i="2" s="1"/>
  <c r="N17" i="2"/>
  <c r="M17" i="2"/>
  <c r="O17" i="2" s="1"/>
  <c r="K17" i="2"/>
  <c r="J17" i="2"/>
  <c r="H17" i="2"/>
  <c r="AO17" i="2" s="1"/>
  <c r="E17" i="2"/>
  <c r="D17" i="2"/>
  <c r="F17" i="2" s="1"/>
  <c r="AL16" i="2"/>
  <c r="AK16" i="2"/>
  <c r="AI16" i="2"/>
  <c r="AH16" i="2"/>
  <c r="AF16" i="2"/>
  <c r="AC16" i="2"/>
  <c r="AB16" i="2"/>
  <c r="AD16" i="2" s="1"/>
  <c r="Y16" i="2"/>
  <c r="V16" i="2"/>
  <c r="T16" i="2"/>
  <c r="S16" i="2"/>
  <c r="U16" i="2" s="1"/>
  <c r="Q16" i="2"/>
  <c r="P16" i="2"/>
  <c r="R16" i="2" s="1"/>
  <c r="N16" i="2"/>
  <c r="K16" i="2"/>
  <c r="J16" i="2"/>
  <c r="L16" i="2" s="1"/>
  <c r="H16" i="2"/>
  <c r="G16" i="2"/>
  <c r="E16" i="2"/>
  <c r="D16" i="2"/>
  <c r="F16" i="2" s="1"/>
  <c r="AL15" i="2"/>
  <c r="AI15" i="2"/>
  <c r="AH15" i="2"/>
  <c r="AJ15" i="2" s="1"/>
  <c r="AF15" i="2"/>
  <c r="AC15" i="2"/>
  <c r="AB15" i="2"/>
  <c r="AD15" i="2" s="1"/>
  <c r="Y15" i="2"/>
  <c r="V15" i="2"/>
  <c r="T15" i="2"/>
  <c r="S15" i="2"/>
  <c r="Q15" i="2"/>
  <c r="P15" i="2"/>
  <c r="N15" i="2"/>
  <c r="M15" i="2"/>
  <c r="O15" i="2" s="1"/>
  <c r="K15" i="2"/>
  <c r="J15" i="2"/>
  <c r="H15" i="2"/>
  <c r="G15" i="2"/>
  <c r="I15" i="2" s="1"/>
  <c r="E15" i="2"/>
  <c r="D15" i="2"/>
  <c r="F15" i="2" s="1"/>
  <c r="AL14" i="2"/>
  <c r="AK14" i="2"/>
  <c r="AI14" i="2"/>
  <c r="AH14" i="2"/>
  <c r="AJ14" i="2" s="1"/>
  <c r="AF14" i="2"/>
  <c r="AE14" i="2"/>
  <c r="AC14" i="2"/>
  <c r="AB14" i="2"/>
  <c r="V14" i="2"/>
  <c r="T14" i="2"/>
  <c r="S14" i="2"/>
  <c r="U14" i="2" s="1"/>
  <c r="Q14" i="2"/>
  <c r="P14" i="2"/>
  <c r="R14" i="2" s="1"/>
  <c r="N14" i="2"/>
  <c r="M14" i="2"/>
  <c r="O14" i="2" s="1"/>
  <c r="K14" i="2"/>
  <c r="J14" i="2"/>
  <c r="L14" i="2" s="1"/>
  <c r="H14" i="2"/>
  <c r="E14" i="2"/>
  <c r="D14" i="2"/>
  <c r="AL13" i="2"/>
  <c r="AK13" i="2"/>
  <c r="AM13" i="2" s="1"/>
  <c r="AI13" i="2"/>
  <c r="AH13" i="2"/>
  <c r="AJ13" i="2" s="1"/>
  <c r="AF13" i="2"/>
  <c r="AC13" i="2"/>
  <c r="AB13" i="2"/>
  <c r="AD13" i="2" s="1"/>
  <c r="Y13" i="2"/>
  <c r="V13" i="2"/>
  <c r="T13" i="2"/>
  <c r="S13" i="2"/>
  <c r="U13" i="2" s="1"/>
  <c r="Q13" i="2"/>
  <c r="P13" i="2"/>
  <c r="N13" i="2"/>
  <c r="K13" i="2"/>
  <c r="J13" i="2"/>
  <c r="L13" i="2" s="1"/>
  <c r="H13" i="2"/>
  <c r="G13" i="2"/>
  <c r="I13" i="2" s="1"/>
  <c r="E13" i="2"/>
  <c r="D13" i="2"/>
  <c r="AL12" i="2"/>
  <c r="AI12" i="2"/>
  <c r="AH12" i="2"/>
  <c r="AJ12" i="2" s="1"/>
  <c r="AF12" i="2"/>
  <c r="AE12" i="2"/>
  <c r="AC12" i="2"/>
  <c r="AB12" i="2"/>
  <c r="AD12" i="2" s="1"/>
  <c r="Z12" i="2"/>
  <c r="Y12" i="2"/>
  <c r="V12" i="2"/>
  <c r="T12" i="2"/>
  <c r="Q12" i="2"/>
  <c r="P12" i="2"/>
  <c r="R12" i="2" s="1"/>
  <c r="N12" i="2"/>
  <c r="M12" i="2"/>
  <c r="O12" i="2" s="1"/>
  <c r="L12" i="2"/>
  <c r="K12" i="2"/>
  <c r="J12" i="2"/>
  <c r="H12" i="2"/>
  <c r="G12" i="2"/>
  <c r="I12" i="2" s="1"/>
  <c r="E12" i="2"/>
  <c r="D12" i="2"/>
  <c r="F12" i="2" s="1"/>
  <c r="AL11" i="2"/>
  <c r="AK11" i="2"/>
  <c r="AM11" i="2" s="1"/>
  <c r="AI11" i="2"/>
  <c r="AH11" i="2"/>
  <c r="AJ11" i="2" s="1"/>
  <c r="AG11" i="2"/>
  <c r="AF11" i="2"/>
  <c r="AE11" i="2"/>
  <c r="AC11" i="2"/>
  <c r="AB11" i="2"/>
  <c r="AD11" i="2" s="1"/>
  <c r="V11" i="2"/>
  <c r="T11" i="2"/>
  <c r="Q11" i="2"/>
  <c r="P11" i="2"/>
  <c r="R11" i="2" s="1"/>
  <c r="N11" i="2"/>
  <c r="O11" i="2" s="1"/>
  <c r="M11" i="2"/>
  <c r="K11" i="2"/>
  <c r="J11" i="2"/>
  <c r="H11" i="2"/>
  <c r="F11" i="2"/>
  <c r="E11" i="2"/>
  <c r="D11" i="2"/>
  <c r="AL10" i="2"/>
  <c r="AK10" i="2"/>
  <c r="AM10" i="2" s="1"/>
  <c r="AI10" i="2"/>
  <c r="AH10" i="2"/>
  <c r="AJ10" i="2" s="1"/>
  <c r="AF10" i="2"/>
  <c r="AD10" i="2"/>
  <c r="AC10" i="2"/>
  <c r="AB10" i="2"/>
  <c r="Y10" i="2"/>
  <c r="V10" i="2"/>
  <c r="T10" i="2"/>
  <c r="S10" i="2"/>
  <c r="U10" i="2" s="1"/>
  <c r="Q10" i="2"/>
  <c r="R10" i="2" s="1"/>
  <c r="P10" i="2"/>
  <c r="N10" i="2"/>
  <c r="M10" i="2"/>
  <c r="O10" i="2" s="1"/>
  <c r="K10" i="2"/>
  <c r="J10" i="2"/>
  <c r="L10" i="2" s="1"/>
  <c r="H10" i="2"/>
  <c r="G10" i="2"/>
  <c r="I10" i="2" s="1"/>
  <c r="E10" i="2"/>
  <c r="D10" i="2"/>
  <c r="F10" i="2" s="1"/>
  <c r="AL9" i="2"/>
  <c r="AI9" i="2"/>
  <c r="AJ9" i="2" s="1"/>
  <c r="AH9" i="2"/>
  <c r="AF9" i="2"/>
  <c r="AC9" i="2"/>
  <c r="AB9" i="2"/>
  <c r="AD9" i="2" s="1"/>
  <c r="Y9" i="2"/>
  <c r="V9" i="2"/>
  <c r="T9" i="2"/>
  <c r="Q9" i="2"/>
  <c r="P9" i="2"/>
  <c r="N9" i="2"/>
  <c r="O9" i="2" s="1"/>
  <c r="M9" i="2"/>
  <c r="K9" i="2"/>
  <c r="J9" i="2"/>
  <c r="L9" i="2" s="1"/>
  <c r="I9" i="2"/>
  <c r="H9" i="2"/>
  <c r="G9" i="2"/>
  <c r="E9" i="2"/>
  <c r="D9" i="2"/>
  <c r="F9" i="2" s="1"/>
  <c r="AL8" i="2"/>
  <c r="AK8" i="2"/>
  <c r="AI8" i="2"/>
  <c r="AH8" i="2"/>
  <c r="AJ8" i="2" s="1"/>
  <c r="AF8" i="2"/>
  <c r="AC8" i="2"/>
  <c r="AB8" i="2"/>
  <c r="AD8" i="2" s="1"/>
  <c r="Y8" i="2"/>
  <c r="V8" i="2"/>
  <c r="T8" i="2"/>
  <c r="U8" i="2" s="1"/>
  <c r="S8" i="2"/>
  <c r="Q8" i="2"/>
  <c r="P8" i="2"/>
  <c r="R8" i="2" s="1"/>
  <c r="N8" i="2"/>
  <c r="M8" i="2"/>
  <c r="K8" i="2"/>
  <c r="J8" i="2"/>
  <c r="L8" i="2" s="1"/>
  <c r="H8" i="2"/>
  <c r="E8" i="2"/>
  <c r="D8" i="2"/>
  <c r="F8" i="2" s="1"/>
  <c r="AK7" i="2"/>
  <c r="AH7" i="2"/>
  <c r="AB7" i="2"/>
  <c r="Y7" i="2"/>
  <c r="V7" i="2"/>
  <c r="T7" i="2"/>
  <c r="S7" i="2"/>
  <c r="U7" i="2" s="1"/>
  <c r="P7" i="2"/>
  <c r="R7" i="2" s="1"/>
  <c r="J7" i="2"/>
  <c r="G7" i="2"/>
  <c r="D7" i="2"/>
  <c r="N133" i="1"/>
  <c r="M133" i="1"/>
  <c r="L133" i="1"/>
  <c r="Q133" i="1" s="1"/>
  <c r="K133" i="1"/>
  <c r="J133" i="1"/>
  <c r="I133" i="1"/>
  <c r="D133" i="1"/>
  <c r="D131" i="1" s="1"/>
  <c r="N132" i="1"/>
  <c r="M132" i="1"/>
  <c r="L132" i="1"/>
  <c r="K132" i="1"/>
  <c r="J132" i="1"/>
  <c r="I132" i="1"/>
  <c r="S132" i="1" s="1"/>
  <c r="F132" i="1"/>
  <c r="D132" i="1"/>
  <c r="E132" i="1" s="1"/>
  <c r="N131" i="1"/>
  <c r="M131" i="1"/>
  <c r="L131" i="1"/>
  <c r="K131" i="1"/>
  <c r="J131" i="1"/>
  <c r="I131" i="1"/>
  <c r="C131" i="1"/>
  <c r="N129" i="1"/>
  <c r="M129" i="1"/>
  <c r="L129" i="1"/>
  <c r="K129" i="1"/>
  <c r="J129" i="1"/>
  <c r="I129" i="1"/>
  <c r="D129" i="1"/>
  <c r="E129" i="1" s="1"/>
  <c r="N128" i="1"/>
  <c r="M128" i="1"/>
  <c r="L128" i="1"/>
  <c r="Q128" i="1" s="1"/>
  <c r="K128" i="1"/>
  <c r="J128" i="1"/>
  <c r="I128" i="1"/>
  <c r="E128" i="1"/>
  <c r="F128" i="1" s="1"/>
  <c r="D128" i="1"/>
  <c r="N127" i="1"/>
  <c r="Q127" i="1" s="1"/>
  <c r="M127" i="1"/>
  <c r="L127" i="1"/>
  <c r="K127" i="1"/>
  <c r="J127" i="1"/>
  <c r="I127" i="1"/>
  <c r="D127" i="1"/>
  <c r="C127" i="1"/>
  <c r="R126" i="1"/>
  <c r="Q126" i="1"/>
  <c r="P126" i="1"/>
  <c r="N125" i="1"/>
  <c r="M125" i="1"/>
  <c r="L125" i="1"/>
  <c r="K125" i="1"/>
  <c r="J125" i="1"/>
  <c r="I125" i="1"/>
  <c r="C125" i="1"/>
  <c r="Q124" i="1"/>
  <c r="R124" i="1" s="1"/>
  <c r="P124" i="1"/>
  <c r="J124" i="1"/>
  <c r="I124" i="1"/>
  <c r="N123" i="1"/>
  <c r="M123" i="1"/>
  <c r="Q123" i="1" s="1"/>
  <c r="L123" i="1"/>
  <c r="K123" i="1"/>
  <c r="J123" i="1"/>
  <c r="I123" i="1"/>
  <c r="D123" i="1"/>
  <c r="Q122" i="1"/>
  <c r="R122" i="1" s="1"/>
  <c r="P122" i="1"/>
  <c r="P120" i="1"/>
  <c r="N120" i="1"/>
  <c r="M120" i="1"/>
  <c r="L120" i="1"/>
  <c r="K120" i="1"/>
  <c r="J120" i="1"/>
  <c r="I120" i="1"/>
  <c r="P119" i="1"/>
  <c r="N119" i="1"/>
  <c r="M119" i="1"/>
  <c r="L119" i="1"/>
  <c r="K119" i="1"/>
  <c r="J119" i="1"/>
  <c r="I119" i="1"/>
  <c r="Q118" i="1"/>
  <c r="R118" i="1" s="1"/>
  <c r="P118" i="1"/>
  <c r="P116" i="1"/>
  <c r="J116" i="1"/>
  <c r="I116" i="1"/>
  <c r="P115" i="1"/>
  <c r="J115" i="1"/>
  <c r="I115" i="1"/>
  <c r="Q115" i="1" s="1"/>
  <c r="R115" i="1" s="1"/>
  <c r="Q114" i="1"/>
  <c r="R114" i="1" s="1"/>
  <c r="P114" i="1"/>
  <c r="P112" i="1"/>
  <c r="N112" i="1"/>
  <c r="M112" i="1"/>
  <c r="L112" i="1"/>
  <c r="K112" i="1"/>
  <c r="J112" i="1"/>
  <c r="I112" i="1"/>
  <c r="Q111" i="1"/>
  <c r="R111" i="1" s="1"/>
  <c r="P111" i="1"/>
  <c r="P109" i="1"/>
  <c r="N109" i="1"/>
  <c r="M109" i="1"/>
  <c r="L109" i="1"/>
  <c r="K109" i="1"/>
  <c r="J109" i="1"/>
  <c r="I109" i="1"/>
  <c r="Q109" i="1" s="1"/>
  <c r="R109" i="1" s="1"/>
  <c r="P108" i="1"/>
  <c r="N108" i="1"/>
  <c r="M108" i="1"/>
  <c r="L108" i="1"/>
  <c r="K108" i="1"/>
  <c r="J108" i="1"/>
  <c r="I108" i="1"/>
  <c r="Q108" i="1" s="1"/>
  <c r="R108" i="1" s="1"/>
  <c r="Q107" i="1"/>
  <c r="R107" i="1" s="1"/>
  <c r="P107" i="1"/>
  <c r="N101" i="1"/>
  <c r="AL104" i="2" s="1"/>
  <c r="M101" i="1"/>
  <c r="AI104" i="2" s="1"/>
  <c r="L101" i="1"/>
  <c r="AF104" i="2" s="1"/>
  <c r="K101" i="1"/>
  <c r="AC104" i="2" s="1"/>
  <c r="J101" i="1"/>
  <c r="Z104" i="2" s="1"/>
  <c r="I101" i="1"/>
  <c r="W104" i="2" s="1"/>
  <c r="P100" i="1"/>
  <c r="J100" i="1"/>
  <c r="Z103" i="2" s="1"/>
  <c r="I100" i="1"/>
  <c r="W103" i="2" s="1"/>
  <c r="J99" i="1"/>
  <c r="Z102" i="2" s="1"/>
  <c r="I99" i="1"/>
  <c r="H99" i="1"/>
  <c r="G99" i="1"/>
  <c r="Q102" i="2" s="1"/>
  <c r="F99" i="1"/>
  <c r="N102" i="2" s="1"/>
  <c r="E99" i="1"/>
  <c r="K102" i="2" s="1"/>
  <c r="D99" i="1"/>
  <c r="H102" i="2" s="1"/>
  <c r="C99" i="1"/>
  <c r="E102" i="2" s="1"/>
  <c r="Q98" i="1"/>
  <c r="R98" i="1" s="1"/>
  <c r="P98" i="1"/>
  <c r="N97" i="1"/>
  <c r="M97" i="1"/>
  <c r="AI100" i="2" s="1"/>
  <c r="L97" i="1"/>
  <c r="AF100" i="2" s="1"/>
  <c r="AG100" i="2" s="1"/>
  <c r="K97" i="1"/>
  <c r="AC100" i="2" s="1"/>
  <c r="J97" i="1"/>
  <c r="Z100" i="2" s="1"/>
  <c r="I97" i="1"/>
  <c r="W100" i="2" s="1"/>
  <c r="P96" i="1"/>
  <c r="N96" i="1"/>
  <c r="AL99" i="2" s="1"/>
  <c r="M96" i="1"/>
  <c r="AI99" i="2" s="1"/>
  <c r="L96" i="1"/>
  <c r="AF99" i="2" s="1"/>
  <c r="K96" i="1"/>
  <c r="AC99" i="2" s="1"/>
  <c r="J96" i="1"/>
  <c r="Z99" i="2" s="1"/>
  <c r="I96" i="1"/>
  <c r="W99" i="2" s="1"/>
  <c r="P95" i="1"/>
  <c r="N95" i="1"/>
  <c r="M95" i="1"/>
  <c r="AI98" i="2" s="1"/>
  <c r="L95" i="1"/>
  <c r="AF98" i="2" s="1"/>
  <c r="K95" i="1"/>
  <c r="AC98" i="2" s="1"/>
  <c r="J95" i="1"/>
  <c r="Z98" i="2" s="1"/>
  <c r="I95" i="1"/>
  <c r="W98" i="2" s="1"/>
  <c r="P94" i="1"/>
  <c r="N94" i="1"/>
  <c r="AL97" i="2" s="1"/>
  <c r="M94" i="1"/>
  <c r="AI97" i="2" s="1"/>
  <c r="L94" i="1"/>
  <c r="AF97" i="2" s="1"/>
  <c r="K94" i="1"/>
  <c r="J94" i="1"/>
  <c r="Z97" i="2" s="1"/>
  <c r="I94" i="1"/>
  <c r="W97" i="2" s="1"/>
  <c r="X97" i="2" s="1"/>
  <c r="N93" i="1"/>
  <c r="AL96" i="2" s="1"/>
  <c r="M93" i="1"/>
  <c r="AI96" i="2" s="1"/>
  <c r="L93" i="1"/>
  <c r="AF96" i="2" s="1"/>
  <c r="AG96" i="2" s="1"/>
  <c r="K93" i="1"/>
  <c r="AC96" i="2" s="1"/>
  <c r="J93" i="1"/>
  <c r="Z96" i="2" s="1"/>
  <c r="I93" i="1"/>
  <c r="Q92" i="1"/>
  <c r="R92" i="1" s="1"/>
  <c r="P92" i="1"/>
  <c r="P91" i="1"/>
  <c r="N91" i="1"/>
  <c r="M91" i="1"/>
  <c r="AI94" i="2" s="1"/>
  <c r="L91" i="1"/>
  <c r="AF94" i="2" s="1"/>
  <c r="K91" i="1"/>
  <c r="AC94" i="2" s="1"/>
  <c r="J91" i="1"/>
  <c r="Z94" i="2" s="1"/>
  <c r="AA94" i="2" s="1"/>
  <c r="I91" i="1"/>
  <c r="W94" i="2" s="1"/>
  <c r="E91" i="1"/>
  <c r="K94" i="2" s="1"/>
  <c r="D91" i="1"/>
  <c r="H94" i="2" s="1"/>
  <c r="AO94" i="2" s="1"/>
  <c r="C91" i="1"/>
  <c r="E94" i="2" s="1"/>
  <c r="N90" i="1"/>
  <c r="M90" i="1"/>
  <c r="AI93" i="2" s="1"/>
  <c r="L90" i="1"/>
  <c r="AF93" i="2" s="1"/>
  <c r="K90" i="1"/>
  <c r="AC93" i="2" s="1"/>
  <c r="J90" i="1"/>
  <c r="Z93" i="2" s="1"/>
  <c r="I90" i="1"/>
  <c r="W93" i="2" s="1"/>
  <c r="P89" i="1"/>
  <c r="N89" i="1"/>
  <c r="AL92" i="2" s="1"/>
  <c r="M89" i="1"/>
  <c r="AI92" i="2" s="1"/>
  <c r="L89" i="1"/>
  <c r="AF92" i="2" s="1"/>
  <c r="K89" i="1"/>
  <c r="AC92" i="2" s="1"/>
  <c r="J89" i="1"/>
  <c r="Z92" i="2" s="1"/>
  <c r="I89" i="1"/>
  <c r="W92" i="2" s="1"/>
  <c r="P88" i="1"/>
  <c r="N88" i="1"/>
  <c r="M88" i="1"/>
  <c r="AI91" i="2" s="1"/>
  <c r="L88" i="1"/>
  <c r="AF91" i="2" s="1"/>
  <c r="K88" i="1"/>
  <c r="AC91" i="2" s="1"/>
  <c r="J88" i="1"/>
  <c r="Z91" i="2" s="1"/>
  <c r="I88" i="1"/>
  <c r="W91" i="2" s="1"/>
  <c r="N87" i="1"/>
  <c r="AL90" i="2" s="1"/>
  <c r="M87" i="1"/>
  <c r="AI90" i="2" s="1"/>
  <c r="L87" i="1"/>
  <c r="AF90" i="2" s="1"/>
  <c r="K87" i="1"/>
  <c r="J87" i="1"/>
  <c r="Z90" i="2" s="1"/>
  <c r="I87" i="1"/>
  <c r="W90" i="2" s="1"/>
  <c r="P86" i="1"/>
  <c r="J86" i="1"/>
  <c r="I86" i="1"/>
  <c r="W89" i="2" s="1"/>
  <c r="X89" i="2" s="1"/>
  <c r="E86" i="1"/>
  <c r="K89" i="2" s="1"/>
  <c r="L89" i="2" s="1"/>
  <c r="D86" i="1"/>
  <c r="H89" i="2" s="1"/>
  <c r="C86" i="1"/>
  <c r="E89" i="2" s="1"/>
  <c r="P85" i="1"/>
  <c r="N85" i="1"/>
  <c r="AL88" i="2" s="1"/>
  <c r="M85" i="1"/>
  <c r="AI88" i="2" s="1"/>
  <c r="L85" i="1"/>
  <c r="AF88" i="2" s="1"/>
  <c r="K85" i="1"/>
  <c r="AC88" i="2" s="1"/>
  <c r="J85" i="1"/>
  <c r="I85" i="1"/>
  <c r="W88" i="2" s="1"/>
  <c r="N84" i="1"/>
  <c r="AL87" i="2" s="1"/>
  <c r="M84" i="1"/>
  <c r="AI87" i="2" s="1"/>
  <c r="L84" i="1"/>
  <c r="AF87" i="2" s="1"/>
  <c r="K84" i="1"/>
  <c r="AC87" i="2" s="1"/>
  <c r="AD87" i="2" s="1"/>
  <c r="J84" i="1"/>
  <c r="Z87" i="2" s="1"/>
  <c r="I84" i="1"/>
  <c r="W87" i="2" s="1"/>
  <c r="H84" i="1"/>
  <c r="T87" i="2" s="1"/>
  <c r="G84" i="1"/>
  <c r="Q87" i="2" s="1"/>
  <c r="F84" i="1"/>
  <c r="N87" i="2" s="1"/>
  <c r="E84" i="1"/>
  <c r="K87" i="2" s="1"/>
  <c r="D84" i="1"/>
  <c r="H87" i="2" s="1"/>
  <c r="C84" i="1"/>
  <c r="E87" i="2" s="1"/>
  <c r="F87" i="2" s="1"/>
  <c r="P83" i="1"/>
  <c r="J83" i="1"/>
  <c r="Z86" i="2" s="1"/>
  <c r="AA86" i="2" s="1"/>
  <c r="I83" i="1"/>
  <c r="W86" i="2" s="1"/>
  <c r="C83" i="1"/>
  <c r="E86" i="2" s="1"/>
  <c r="Q82" i="1"/>
  <c r="R82" i="1" s="1"/>
  <c r="P82" i="1"/>
  <c r="J82" i="1"/>
  <c r="Z85" i="2" s="1"/>
  <c r="I82" i="1"/>
  <c r="W85" i="2" s="1"/>
  <c r="P81" i="1"/>
  <c r="N81" i="1"/>
  <c r="AL84" i="2" s="1"/>
  <c r="M81" i="1"/>
  <c r="AI84" i="2" s="1"/>
  <c r="L81" i="1"/>
  <c r="AF84" i="2" s="1"/>
  <c r="K81" i="1"/>
  <c r="AC84" i="2" s="1"/>
  <c r="AD84" i="2" s="1"/>
  <c r="J81" i="1"/>
  <c r="Z84" i="2" s="1"/>
  <c r="I81" i="1"/>
  <c r="P80" i="1"/>
  <c r="N80" i="1"/>
  <c r="AL83" i="2" s="1"/>
  <c r="M80" i="1"/>
  <c r="AI83" i="2" s="1"/>
  <c r="L80" i="1"/>
  <c r="AF83" i="2" s="1"/>
  <c r="AG83" i="2" s="1"/>
  <c r="K80" i="1"/>
  <c r="AC83" i="2" s="1"/>
  <c r="J80" i="1"/>
  <c r="Z83" i="2" s="1"/>
  <c r="I80" i="1"/>
  <c r="W83" i="2" s="1"/>
  <c r="Q79" i="1"/>
  <c r="P79" i="1"/>
  <c r="N79" i="1"/>
  <c r="AL82" i="2" s="1"/>
  <c r="AM82" i="2" s="1"/>
  <c r="M79" i="1"/>
  <c r="AI82" i="2" s="1"/>
  <c r="L79" i="1"/>
  <c r="AF82" i="2" s="1"/>
  <c r="K79" i="1"/>
  <c r="AC82" i="2" s="1"/>
  <c r="J79" i="1"/>
  <c r="Z82" i="2" s="1"/>
  <c r="I79" i="1"/>
  <c r="W82" i="2" s="1"/>
  <c r="N78" i="1"/>
  <c r="AL81" i="2" s="1"/>
  <c r="M78" i="1"/>
  <c r="AI81" i="2" s="1"/>
  <c r="AJ81" i="2" s="1"/>
  <c r="L78" i="1"/>
  <c r="K78" i="1"/>
  <c r="AC81" i="2" s="1"/>
  <c r="J78" i="1"/>
  <c r="Z81" i="2" s="1"/>
  <c r="AA81" i="2" s="1"/>
  <c r="I78" i="1"/>
  <c r="W81" i="2" s="1"/>
  <c r="X81" i="2" s="1"/>
  <c r="H78" i="1"/>
  <c r="T81" i="2" s="1"/>
  <c r="G78" i="1"/>
  <c r="Q81" i="2" s="1"/>
  <c r="F78" i="1"/>
  <c r="N81" i="2" s="1"/>
  <c r="E78" i="1"/>
  <c r="K81" i="2" s="1"/>
  <c r="L81" i="2" s="1"/>
  <c r="D78" i="1"/>
  <c r="H81" i="2" s="1"/>
  <c r="Q77" i="1"/>
  <c r="R77" i="1" s="1"/>
  <c r="P77" i="1"/>
  <c r="J77" i="1"/>
  <c r="Z80" i="2" s="1"/>
  <c r="I77" i="1"/>
  <c r="W80" i="2" s="1"/>
  <c r="P76" i="1"/>
  <c r="J76" i="1"/>
  <c r="Z79" i="2" s="1"/>
  <c r="I76" i="1"/>
  <c r="W79" i="2" s="1"/>
  <c r="P75" i="1"/>
  <c r="N75" i="1"/>
  <c r="AL78" i="2" s="1"/>
  <c r="M75" i="1"/>
  <c r="AI78" i="2" s="1"/>
  <c r="L75" i="1"/>
  <c r="AF78" i="2" s="1"/>
  <c r="K75" i="1"/>
  <c r="AC78" i="2" s="1"/>
  <c r="J75" i="1"/>
  <c r="Z78" i="2" s="1"/>
  <c r="I75" i="1"/>
  <c r="W78" i="2" s="1"/>
  <c r="P74" i="1"/>
  <c r="J74" i="1"/>
  <c r="Z77" i="2" s="1"/>
  <c r="I74" i="1"/>
  <c r="W77" i="2" s="1"/>
  <c r="X77" i="2" s="1"/>
  <c r="P73" i="1"/>
  <c r="J73" i="1"/>
  <c r="Z76" i="2" s="1"/>
  <c r="I73" i="1"/>
  <c r="W76" i="2" s="1"/>
  <c r="P72" i="1"/>
  <c r="N72" i="1"/>
  <c r="AL75" i="2" s="1"/>
  <c r="M72" i="1"/>
  <c r="AI75" i="2" s="1"/>
  <c r="L72" i="1"/>
  <c r="AF75" i="2" s="1"/>
  <c r="K72" i="1"/>
  <c r="AC75" i="2" s="1"/>
  <c r="AD75" i="2" s="1"/>
  <c r="J72" i="1"/>
  <c r="Z75" i="2" s="1"/>
  <c r="I72" i="1"/>
  <c r="P71" i="1"/>
  <c r="J71" i="1"/>
  <c r="Z74" i="2" s="1"/>
  <c r="I71" i="1"/>
  <c r="W74" i="2" s="1"/>
  <c r="P70" i="1"/>
  <c r="J70" i="1"/>
  <c r="Z73" i="2" s="1"/>
  <c r="I70" i="1"/>
  <c r="W73" i="2" s="1"/>
  <c r="Q69" i="1"/>
  <c r="P69" i="1"/>
  <c r="J69" i="1"/>
  <c r="Z72" i="2" s="1"/>
  <c r="I69" i="1"/>
  <c r="W72" i="2" s="1"/>
  <c r="P68" i="1"/>
  <c r="N68" i="1"/>
  <c r="AL71" i="2" s="1"/>
  <c r="M68" i="1"/>
  <c r="AI71" i="2" s="1"/>
  <c r="L68" i="1"/>
  <c r="AF71" i="2" s="1"/>
  <c r="K68" i="1"/>
  <c r="AC71" i="2" s="1"/>
  <c r="J68" i="1"/>
  <c r="Z71" i="2" s="1"/>
  <c r="I68" i="1"/>
  <c r="P67" i="1"/>
  <c r="N67" i="1"/>
  <c r="AL70" i="2" s="1"/>
  <c r="M67" i="1"/>
  <c r="AI70" i="2" s="1"/>
  <c r="L67" i="1"/>
  <c r="AF70" i="2" s="1"/>
  <c r="K67" i="1"/>
  <c r="AC70" i="2" s="1"/>
  <c r="AD70" i="2" s="1"/>
  <c r="J67" i="1"/>
  <c r="Z70" i="2" s="1"/>
  <c r="I67" i="1"/>
  <c r="W70" i="2" s="1"/>
  <c r="P66" i="1"/>
  <c r="N66" i="1"/>
  <c r="M66" i="1"/>
  <c r="AI69" i="2" s="1"/>
  <c r="L66" i="1"/>
  <c r="AF69" i="2" s="1"/>
  <c r="K66" i="1"/>
  <c r="AC69" i="2" s="1"/>
  <c r="J66" i="1"/>
  <c r="Z69" i="2" s="1"/>
  <c r="AA69" i="2" s="1"/>
  <c r="I66" i="1"/>
  <c r="W69" i="2" s="1"/>
  <c r="Q65" i="1"/>
  <c r="R65" i="1" s="1"/>
  <c r="P65" i="1"/>
  <c r="J65" i="1"/>
  <c r="Z68" i="2" s="1"/>
  <c r="I65" i="1"/>
  <c r="W68" i="2" s="1"/>
  <c r="X68" i="2" s="1"/>
  <c r="P64" i="1"/>
  <c r="N64" i="1"/>
  <c r="AL67" i="2" s="1"/>
  <c r="M64" i="1"/>
  <c r="AI67" i="2" s="1"/>
  <c r="L64" i="1"/>
  <c r="AF67" i="2" s="1"/>
  <c r="K64" i="1"/>
  <c r="AC67" i="2" s="1"/>
  <c r="J64" i="1"/>
  <c r="Z67" i="2" s="1"/>
  <c r="I64" i="1"/>
  <c r="W67" i="2" s="1"/>
  <c r="X67" i="2" s="1"/>
  <c r="P63" i="1"/>
  <c r="N63" i="1"/>
  <c r="AL66" i="2" s="1"/>
  <c r="M63" i="1"/>
  <c r="AI66" i="2" s="1"/>
  <c r="L63" i="1"/>
  <c r="AF66" i="2" s="1"/>
  <c r="K63" i="1"/>
  <c r="AC66" i="2" s="1"/>
  <c r="J63" i="1"/>
  <c r="Z66" i="2" s="1"/>
  <c r="I63" i="1"/>
  <c r="W66" i="2" s="1"/>
  <c r="P62" i="1"/>
  <c r="N62" i="1"/>
  <c r="AL65" i="2" s="1"/>
  <c r="AM65" i="2" s="1"/>
  <c r="M62" i="1"/>
  <c r="AI65" i="2" s="1"/>
  <c r="L62" i="1"/>
  <c r="AF65" i="2" s="1"/>
  <c r="K62" i="1"/>
  <c r="AC65" i="2" s="1"/>
  <c r="J62" i="1"/>
  <c r="I62" i="1"/>
  <c r="W65" i="2" s="1"/>
  <c r="P61" i="1"/>
  <c r="N61" i="1"/>
  <c r="AL64" i="2" s="1"/>
  <c r="AM64" i="2" s="1"/>
  <c r="M61" i="1"/>
  <c r="AI64" i="2" s="1"/>
  <c r="AJ64" i="2" s="1"/>
  <c r="L61" i="1"/>
  <c r="AF64" i="2" s="1"/>
  <c r="K61" i="1"/>
  <c r="AC64" i="2" s="1"/>
  <c r="J61" i="1"/>
  <c r="Z64" i="2" s="1"/>
  <c r="I61" i="1"/>
  <c r="W64" i="2" s="1"/>
  <c r="N60" i="1"/>
  <c r="AL63" i="2" s="1"/>
  <c r="M60" i="1"/>
  <c r="AI63" i="2" s="1"/>
  <c r="L60" i="1"/>
  <c r="AF63" i="2" s="1"/>
  <c r="K60" i="1"/>
  <c r="AC63" i="2" s="1"/>
  <c r="J60" i="1"/>
  <c r="Z63" i="2" s="1"/>
  <c r="AA63" i="2" s="1"/>
  <c r="I60" i="1"/>
  <c r="W63" i="2" s="1"/>
  <c r="H60" i="1"/>
  <c r="T63" i="2" s="1"/>
  <c r="G60" i="1"/>
  <c r="Q63" i="2" s="1"/>
  <c r="F60" i="1"/>
  <c r="N63" i="2" s="1"/>
  <c r="E60" i="1"/>
  <c r="K63" i="2" s="1"/>
  <c r="L63" i="2" s="1"/>
  <c r="D60" i="1"/>
  <c r="H63" i="2" s="1"/>
  <c r="C60" i="1"/>
  <c r="E63" i="2" s="1"/>
  <c r="P59" i="1"/>
  <c r="N59" i="1"/>
  <c r="AL62" i="2" s="1"/>
  <c r="M59" i="1"/>
  <c r="AI62" i="2" s="1"/>
  <c r="AJ62" i="2" s="1"/>
  <c r="L59" i="1"/>
  <c r="AF62" i="2" s="1"/>
  <c r="K59" i="1"/>
  <c r="AC62" i="2" s="1"/>
  <c r="J59" i="1"/>
  <c r="Z62" i="2" s="1"/>
  <c r="I59" i="1"/>
  <c r="W62" i="2" s="1"/>
  <c r="X62" i="2" s="1"/>
  <c r="P58" i="1"/>
  <c r="J58" i="1"/>
  <c r="Z61" i="2" s="1"/>
  <c r="AA61" i="2" s="1"/>
  <c r="I58" i="1"/>
  <c r="W61" i="2" s="1"/>
  <c r="P57" i="1"/>
  <c r="J57" i="1"/>
  <c r="Z60" i="2" s="1"/>
  <c r="I57" i="1"/>
  <c r="W60" i="2" s="1"/>
  <c r="P56" i="1"/>
  <c r="J56" i="1"/>
  <c r="I56" i="1"/>
  <c r="W59" i="2" s="1"/>
  <c r="P55" i="1"/>
  <c r="J55" i="1"/>
  <c r="Z58" i="2" s="1"/>
  <c r="I55" i="1"/>
  <c r="W58" i="2" s="1"/>
  <c r="P54" i="1"/>
  <c r="N54" i="1"/>
  <c r="AL57" i="2" s="1"/>
  <c r="M54" i="1"/>
  <c r="AI57" i="2" s="1"/>
  <c r="L54" i="1"/>
  <c r="AF57" i="2" s="1"/>
  <c r="K54" i="1"/>
  <c r="AC57" i="2" s="1"/>
  <c r="J54" i="1"/>
  <c r="Z57" i="2" s="1"/>
  <c r="I54" i="1"/>
  <c r="W57" i="2" s="1"/>
  <c r="P53" i="1"/>
  <c r="N53" i="1"/>
  <c r="AL56" i="2" s="1"/>
  <c r="M53" i="1"/>
  <c r="AI56" i="2" s="1"/>
  <c r="L53" i="1"/>
  <c r="AF56" i="2" s="1"/>
  <c r="K53" i="1"/>
  <c r="AC56" i="2" s="1"/>
  <c r="AD56" i="2" s="1"/>
  <c r="J53" i="1"/>
  <c r="Z56" i="2" s="1"/>
  <c r="I53" i="1"/>
  <c r="P52" i="1"/>
  <c r="N52" i="1"/>
  <c r="AL55" i="2" s="1"/>
  <c r="AM55" i="2" s="1"/>
  <c r="M52" i="1"/>
  <c r="AI55" i="2" s="1"/>
  <c r="L52" i="1"/>
  <c r="AF55" i="2" s="1"/>
  <c r="K52" i="1"/>
  <c r="AC55" i="2" s="1"/>
  <c r="J52" i="1"/>
  <c r="Z55" i="2" s="1"/>
  <c r="I52" i="1"/>
  <c r="W55" i="2" s="1"/>
  <c r="X55" i="2" s="1"/>
  <c r="P51" i="1"/>
  <c r="J51" i="1"/>
  <c r="Z54" i="2" s="1"/>
  <c r="I51" i="1"/>
  <c r="W54" i="2" s="1"/>
  <c r="X54" i="2" s="1"/>
  <c r="P50" i="1"/>
  <c r="J50" i="1"/>
  <c r="Z53" i="2" s="1"/>
  <c r="I50" i="1"/>
  <c r="W53" i="2" s="1"/>
  <c r="P49" i="1"/>
  <c r="J49" i="1"/>
  <c r="Z52" i="2" s="1"/>
  <c r="I49" i="1"/>
  <c r="P48" i="1"/>
  <c r="J48" i="1"/>
  <c r="Z51" i="2" s="1"/>
  <c r="I48" i="1"/>
  <c r="W51" i="2" s="1"/>
  <c r="P47" i="1"/>
  <c r="N47" i="1"/>
  <c r="AL50" i="2" s="1"/>
  <c r="M47" i="1"/>
  <c r="AI50" i="2" s="1"/>
  <c r="L47" i="1"/>
  <c r="AF50" i="2" s="1"/>
  <c r="AG50" i="2" s="1"/>
  <c r="K47" i="1"/>
  <c r="J47" i="1"/>
  <c r="Z50" i="2" s="1"/>
  <c r="I47" i="1"/>
  <c r="W50" i="2" s="1"/>
  <c r="P46" i="1"/>
  <c r="J46" i="1"/>
  <c r="Z49" i="2" s="1"/>
  <c r="I46" i="1"/>
  <c r="W49" i="2" s="1"/>
  <c r="X49" i="2" s="1"/>
  <c r="P45" i="1"/>
  <c r="N45" i="1"/>
  <c r="AL48" i="2" s="1"/>
  <c r="M45" i="1"/>
  <c r="AI48" i="2" s="1"/>
  <c r="L45" i="1"/>
  <c r="AF48" i="2" s="1"/>
  <c r="K45" i="1"/>
  <c r="AC48" i="2" s="1"/>
  <c r="J45" i="1"/>
  <c r="Z48" i="2" s="1"/>
  <c r="AA48" i="2" s="1"/>
  <c r="I45" i="1"/>
  <c r="W48" i="2" s="1"/>
  <c r="N44" i="1"/>
  <c r="AL47" i="2" s="1"/>
  <c r="M44" i="1"/>
  <c r="AI47" i="2" s="1"/>
  <c r="L44" i="1"/>
  <c r="AF47" i="2" s="1"/>
  <c r="K44" i="1"/>
  <c r="AC47" i="2" s="1"/>
  <c r="J44" i="1"/>
  <c r="I44" i="1"/>
  <c r="W47" i="2" s="1"/>
  <c r="X47" i="2" s="1"/>
  <c r="H44" i="1"/>
  <c r="T47" i="2" s="1"/>
  <c r="G44" i="1"/>
  <c r="Q47" i="2" s="1"/>
  <c r="R47" i="2" s="1"/>
  <c r="C44" i="1"/>
  <c r="E47" i="2" s="1"/>
  <c r="P43" i="1"/>
  <c r="N43" i="1"/>
  <c r="AL46" i="2" s="1"/>
  <c r="M43" i="1"/>
  <c r="AI46" i="2" s="1"/>
  <c r="L43" i="1"/>
  <c r="AF46" i="2" s="1"/>
  <c r="AG46" i="2" s="1"/>
  <c r="K43" i="1"/>
  <c r="AC46" i="2" s="1"/>
  <c r="J43" i="1"/>
  <c r="Z46" i="2" s="1"/>
  <c r="I43" i="1"/>
  <c r="W46" i="2" s="1"/>
  <c r="N42" i="1"/>
  <c r="AL45" i="2" s="1"/>
  <c r="M42" i="1"/>
  <c r="AI45" i="2" s="1"/>
  <c r="AJ45" i="2" s="1"/>
  <c r="L42" i="1"/>
  <c r="AF45" i="2" s="1"/>
  <c r="K42" i="1"/>
  <c r="AC45" i="2" s="1"/>
  <c r="AD45" i="2" s="1"/>
  <c r="J42" i="1"/>
  <c r="I42" i="1"/>
  <c r="W45" i="2" s="1"/>
  <c r="H42" i="1"/>
  <c r="T45" i="2" s="1"/>
  <c r="G42" i="1"/>
  <c r="Q45" i="2" s="1"/>
  <c r="C42" i="1"/>
  <c r="E45" i="2" s="1"/>
  <c r="F45" i="2" s="1"/>
  <c r="P41" i="1"/>
  <c r="N41" i="1"/>
  <c r="AL44" i="2" s="1"/>
  <c r="M41" i="1"/>
  <c r="AI44" i="2" s="1"/>
  <c r="L41" i="1"/>
  <c r="AF44" i="2" s="1"/>
  <c r="AG44" i="2" s="1"/>
  <c r="K41" i="1"/>
  <c r="AC44" i="2" s="1"/>
  <c r="J41" i="1"/>
  <c r="Z44" i="2" s="1"/>
  <c r="I41" i="1"/>
  <c r="W44" i="2" s="1"/>
  <c r="J40" i="1"/>
  <c r="Z43" i="2" s="1"/>
  <c r="I40" i="1"/>
  <c r="W43" i="2" s="1"/>
  <c r="F40" i="1"/>
  <c r="F44" i="1" s="1"/>
  <c r="N47" i="2" s="1"/>
  <c r="E40" i="1"/>
  <c r="D40" i="1"/>
  <c r="N39" i="1"/>
  <c r="AL42" i="2" s="1"/>
  <c r="M39" i="1"/>
  <c r="AI42" i="2" s="1"/>
  <c r="L39" i="1"/>
  <c r="AF42" i="2" s="1"/>
  <c r="K39" i="1"/>
  <c r="AC42" i="2" s="1"/>
  <c r="J39" i="1"/>
  <c r="Z42" i="2" s="1"/>
  <c r="I39" i="1"/>
  <c r="W42" i="2" s="1"/>
  <c r="H39" i="1"/>
  <c r="T42" i="2" s="1"/>
  <c r="U42" i="2" s="1"/>
  <c r="G39" i="1"/>
  <c r="Q42" i="2" s="1"/>
  <c r="P38" i="1"/>
  <c r="N38" i="1"/>
  <c r="AL41" i="2" s="1"/>
  <c r="M38" i="1"/>
  <c r="AI41" i="2" s="1"/>
  <c r="L38" i="1"/>
  <c r="AF41" i="2" s="1"/>
  <c r="AG41" i="2" s="1"/>
  <c r="K38" i="1"/>
  <c r="AC41" i="2" s="1"/>
  <c r="J38" i="1"/>
  <c r="Z41" i="2" s="1"/>
  <c r="I38" i="1"/>
  <c r="J37" i="1"/>
  <c r="Z40" i="2" s="1"/>
  <c r="I37" i="1"/>
  <c r="W40" i="2" s="1"/>
  <c r="P36" i="1"/>
  <c r="J36" i="1"/>
  <c r="Z39" i="2" s="1"/>
  <c r="I36" i="1"/>
  <c r="W39" i="2" s="1"/>
  <c r="X39" i="2" s="1"/>
  <c r="P35" i="1"/>
  <c r="J35" i="1"/>
  <c r="Z38" i="2" s="1"/>
  <c r="I35" i="1"/>
  <c r="F35" i="1"/>
  <c r="N38" i="2" s="1"/>
  <c r="J34" i="1"/>
  <c r="Z37" i="2" s="1"/>
  <c r="I34" i="1"/>
  <c r="W37" i="2" s="1"/>
  <c r="F34" i="1"/>
  <c r="N37" i="2" s="1"/>
  <c r="P33" i="1"/>
  <c r="J33" i="1"/>
  <c r="Z36" i="2" s="1"/>
  <c r="I33" i="1"/>
  <c r="P32" i="1"/>
  <c r="J32" i="1"/>
  <c r="Z35" i="2" s="1"/>
  <c r="AA35" i="2" s="1"/>
  <c r="I32" i="1"/>
  <c r="W35" i="2" s="1"/>
  <c r="X35" i="2" s="1"/>
  <c r="J31" i="1"/>
  <c r="Z34" i="2" s="1"/>
  <c r="I31" i="1"/>
  <c r="W34" i="2" s="1"/>
  <c r="X34" i="2" s="1"/>
  <c r="P30" i="1"/>
  <c r="J30" i="1"/>
  <c r="Z33" i="2" s="1"/>
  <c r="I30" i="1"/>
  <c r="N29" i="1"/>
  <c r="AL32" i="2" s="1"/>
  <c r="M29" i="1"/>
  <c r="L29" i="1"/>
  <c r="AF32" i="2" s="1"/>
  <c r="K29" i="1"/>
  <c r="AC32" i="2" s="1"/>
  <c r="AD32" i="2" s="1"/>
  <c r="J29" i="1"/>
  <c r="Z32" i="2" s="1"/>
  <c r="I29" i="1"/>
  <c r="H29" i="1"/>
  <c r="T32" i="2" s="1"/>
  <c r="G29" i="1"/>
  <c r="F29" i="1"/>
  <c r="E29" i="1"/>
  <c r="D29" i="1"/>
  <c r="H32" i="2" s="1"/>
  <c r="C29" i="1"/>
  <c r="E32" i="2" s="1"/>
  <c r="N28" i="1"/>
  <c r="AL31" i="2" s="1"/>
  <c r="AM31" i="2" s="1"/>
  <c r="M28" i="1"/>
  <c r="AI31" i="2" s="1"/>
  <c r="L28" i="1"/>
  <c r="AF31" i="2" s="1"/>
  <c r="K28" i="1"/>
  <c r="AC31" i="2" s="1"/>
  <c r="J28" i="1"/>
  <c r="Z31" i="2" s="1"/>
  <c r="I28" i="1"/>
  <c r="N27" i="1"/>
  <c r="AL30" i="2" s="1"/>
  <c r="M27" i="1"/>
  <c r="AI30" i="2" s="1"/>
  <c r="L27" i="1"/>
  <c r="AF30" i="2" s="1"/>
  <c r="K27" i="1"/>
  <c r="AC30" i="2" s="1"/>
  <c r="J27" i="1"/>
  <c r="Z30" i="2" s="1"/>
  <c r="I27" i="1"/>
  <c r="W30" i="2" s="1"/>
  <c r="Q26" i="1"/>
  <c r="P26" i="1"/>
  <c r="J26" i="1"/>
  <c r="Z29" i="2" s="1"/>
  <c r="AA29" i="2" s="1"/>
  <c r="I26" i="1"/>
  <c r="W29" i="2" s="1"/>
  <c r="P25" i="1"/>
  <c r="J25" i="1"/>
  <c r="Z28" i="2" s="1"/>
  <c r="I25" i="1"/>
  <c r="W28" i="2" s="1"/>
  <c r="P24" i="1"/>
  <c r="J24" i="1"/>
  <c r="Z27" i="2" s="1"/>
  <c r="I24" i="1"/>
  <c r="P23" i="1"/>
  <c r="J23" i="1"/>
  <c r="Z26" i="2" s="1"/>
  <c r="I23" i="1"/>
  <c r="W26" i="2" s="1"/>
  <c r="Q22" i="1"/>
  <c r="R22" i="1" s="1"/>
  <c r="P22" i="1"/>
  <c r="J22" i="1"/>
  <c r="Z25" i="2" s="1"/>
  <c r="I22" i="1"/>
  <c r="W25" i="2" s="1"/>
  <c r="N21" i="1"/>
  <c r="AL24" i="2" s="1"/>
  <c r="M21" i="1"/>
  <c r="AI24" i="2" s="1"/>
  <c r="AJ24" i="2" s="1"/>
  <c r="L21" i="1"/>
  <c r="AF24" i="2" s="1"/>
  <c r="K21" i="1"/>
  <c r="AC24" i="2" s="1"/>
  <c r="J21" i="1"/>
  <c r="Z24" i="2" s="1"/>
  <c r="I21" i="1"/>
  <c r="W24" i="2" s="1"/>
  <c r="H21" i="1"/>
  <c r="T24" i="2" s="1"/>
  <c r="G21" i="1"/>
  <c r="F21" i="1"/>
  <c r="N24" i="2" s="1"/>
  <c r="E21" i="1"/>
  <c r="K24" i="2" s="1"/>
  <c r="D21" i="1"/>
  <c r="H24" i="2" s="1"/>
  <c r="C21" i="1"/>
  <c r="P21" i="1" s="1"/>
  <c r="N20" i="1"/>
  <c r="AL23" i="2" s="1"/>
  <c r="M20" i="1"/>
  <c r="AI23" i="2" s="1"/>
  <c r="L20" i="1"/>
  <c r="AF23" i="2" s="1"/>
  <c r="K20" i="1"/>
  <c r="AC23" i="2" s="1"/>
  <c r="J20" i="1"/>
  <c r="Z23" i="2" s="1"/>
  <c r="I20" i="1"/>
  <c r="Q20" i="1" s="1"/>
  <c r="H20" i="1"/>
  <c r="G20" i="1"/>
  <c r="P19" i="1"/>
  <c r="J19" i="1"/>
  <c r="Z22" i="2" s="1"/>
  <c r="I19" i="1"/>
  <c r="W22" i="2" s="1"/>
  <c r="Q18" i="1"/>
  <c r="P18" i="1"/>
  <c r="J18" i="1"/>
  <c r="Z21" i="2" s="1"/>
  <c r="I18" i="1"/>
  <c r="W21" i="2" s="1"/>
  <c r="P17" i="1"/>
  <c r="J17" i="1"/>
  <c r="Z20" i="2" s="1"/>
  <c r="I17" i="1"/>
  <c r="Q17" i="1" s="1"/>
  <c r="R17" i="1" s="1"/>
  <c r="N16" i="1"/>
  <c r="AL19" i="2" s="1"/>
  <c r="AM19" i="2" s="1"/>
  <c r="M16" i="1"/>
  <c r="AI19" i="2" s="1"/>
  <c r="L16" i="1"/>
  <c r="AF19" i="2" s="1"/>
  <c r="K16" i="1"/>
  <c r="AC19" i="2" s="1"/>
  <c r="J16" i="1"/>
  <c r="Z19" i="2" s="1"/>
  <c r="I16" i="1"/>
  <c r="W19" i="2" s="1"/>
  <c r="H16" i="1"/>
  <c r="T19" i="2" s="1"/>
  <c r="G16" i="1"/>
  <c r="Q19" i="2" s="1"/>
  <c r="F16" i="1"/>
  <c r="F20" i="1" s="1"/>
  <c r="E16" i="1"/>
  <c r="K19" i="2" s="1"/>
  <c r="D16" i="1"/>
  <c r="D20" i="1" s="1"/>
  <c r="C16" i="1"/>
  <c r="E19" i="2" s="1"/>
  <c r="P15" i="1"/>
  <c r="J15" i="1"/>
  <c r="Z18" i="2" s="1"/>
  <c r="I15" i="1"/>
  <c r="W18" i="2" s="1"/>
  <c r="X18" i="2" s="1"/>
  <c r="P14" i="1"/>
  <c r="J14" i="1"/>
  <c r="Z17" i="2" s="1"/>
  <c r="I14" i="1"/>
  <c r="W17" i="2" s="1"/>
  <c r="P13" i="1"/>
  <c r="J13" i="1"/>
  <c r="I13" i="1"/>
  <c r="W16" i="2" s="1"/>
  <c r="P12" i="1"/>
  <c r="J12" i="1"/>
  <c r="Z15" i="2" s="1"/>
  <c r="AA15" i="2" s="1"/>
  <c r="I12" i="1"/>
  <c r="P11" i="1"/>
  <c r="J11" i="1"/>
  <c r="Z14" i="2" s="1"/>
  <c r="I11" i="1"/>
  <c r="P10" i="1"/>
  <c r="J10" i="1"/>
  <c r="Z13" i="2" s="1"/>
  <c r="I10" i="1"/>
  <c r="Q9" i="1"/>
  <c r="R9" i="1" s="1"/>
  <c r="P9" i="1"/>
  <c r="J9" i="1"/>
  <c r="I9" i="1"/>
  <c r="W12" i="2" s="1"/>
  <c r="X12" i="2" s="1"/>
  <c r="Q8" i="1"/>
  <c r="R8" i="1" s="1"/>
  <c r="P8" i="1"/>
  <c r="J8" i="1"/>
  <c r="Z11" i="2" s="1"/>
  <c r="I8" i="1"/>
  <c r="W11" i="2" s="1"/>
  <c r="P7" i="1"/>
  <c r="J7" i="1"/>
  <c r="Z10" i="2" s="1"/>
  <c r="I7" i="1"/>
  <c r="Q7" i="1" s="1"/>
  <c r="R7" i="1" s="1"/>
  <c r="P6" i="1"/>
  <c r="J6" i="1"/>
  <c r="Z9" i="2" s="1"/>
  <c r="I6" i="1"/>
  <c r="P5" i="1"/>
  <c r="J5" i="1"/>
  <c r="Z8" i="2" s="1"/>
  <c r="I5" i="1"/>
  <c r="W8" i="2" s="1"/>
  <c r="N4" i="1"/>
  <c r="AL7" i="2" s="1"/>
  <c r="AM7" i="2" s="1"/>
  <c r="M4" i="1"/>
  <c r="AI7" i="2" s="1"/>
  <c r="L4" i="1"/>
  <c r="AF7" i="2" s="1"/>
  <c r="K4" i="1"/>
  <c r="J4" i="1"/>
  <c r="Z7" i="2" s="1"/>
  <c r="I4" i="1"/>
  <c r="W7" i="2" s="1"/>
  <c r="H4" i="1"/>
  <c r="G4" i="1"/>
  <c r="Q7" i="2" s="1"/>
  <c r="F4" i="1"/>
  <c r="N7" i="2" s="1"/>
  <c r="E4" i="1"/>
  <c r="E20" i="1" s="1"/>
  <c r="D4" i="1"/>
  <c r="H7" i="2" s="1"/>
  <c r="C4" i="1"/>
  <c r="E7" i="2" s="1"/>
  <c r="AM56" i="2" l="1"/>
  <c r="F32" i="2"/>
  <c r="Q48" i="1"/>
  <c r="R48" i="1" s="1"/>
  <c r="AA55" i="2"/>
  <c r="AO21" i="2"/>
  <c r="AM28" i="2"/>
  <c r="AO66" i="2"/>
  <c r="Q5" i="1"/>
  <c r="R5" i="1" s="1"/>
  <c r="Q23" i="1"/>
  <c r="R23" i="1" s="1"/>
  <c r="X72" i="2"/>
  <c r="X80" i="2"/>
  <c r="Q125" i="1"/>
  <c r="AM27" i="2"/>
  <c r="L39" i="2"/>
  <c r="O52" i="2"/>
  <c r="U62" i="2"/>
  <c r="AA40" i="2"/>
  <c r="AJ47" i="2"/>
  <c r="Q74" i="1"/>
  <c r="R74" i="1" s="1"/>
  <c r="Q112" i="1"/>
  <c r="R112" i="1" s="1"/>
  <c r="S133" i="1"/>
  <c r="AD24" i="2"/>
  <c r="AD44" i="2"/>
  <c r="AO60" i="2"/>
  <c r="AJ85" i="2"/>
  <c r="AG93" i="2"/>
  <c r="AA9" i="2"/>
  <c r="Q120" i="1"/>
  <c r="R120" i="1" s="1"/>
  <c r="AJ23" i="2"/>
  <c r="O51" i="2"/>
  <c r="AM32" i="2"/>
  <c r="Q10" i="1"/>
  <c r="R10" i="1" s="1"/>
  <c r="Q116" i="1"/>
  <c r="R116" i="1" s="1"/>
  <c r="Q129" i="1"/>
  <c r="U46" i="2"/>
  <c r="O64" i="2"/>
  <c r="AO78" i="2"/>
  <c r="R103" i="2"/>
  <c r="Q21" i="1"/>
  <c r="R21" i="1" s="1"/>
  <c r="Q60" i="1"/>
  <c r="AA19" i="2"/>
  <c r="Q29" i="1"/>
  <c r="AJ50" i="2"/>
  <c r="Q101" i="1"/>
  <c r="Q132" i="1"/>
  <c r="I65" i="2"/>
  <c r="AJ72" i="2"/>
  <c r="U85" i="2"/>
  <c r="AG7" i="2"/>
  <c r="AA31" i="2"/>
  <c r="AG48" i="2"/>
  <c r="AA56" i="2"/>
  <c r="AO67" i="2"/>
  <c r="AO76" i="2"/>
  <c r="Q32" i="1"/>
  <c r="R32" i="1" s="1"/>
  <c r="Q58" i="1"/>
  <c r="R58" i="1" s="1"/>
  <c r="O63" i="2"/>
  <c r="Q70" i="1"/>
  <c r="R70" i="1" s="1"/>
  <c r="AA102" i="2"/>
  <c r="Q119" i="1"/>
  <c r="R119" i="1" s="1"/>
  <c r="X8" i="2"/>
  <c r="X22" i="2"/>
  <c r="AD30" i="2"/>
  <c r="AG31" i="2"/>
  <c r="AG49" i="2"/>
  <c r="AM72" i="2"/>
  <c r="AA44" i="2"/>
  <c r="AM48" i="2"/>
  <c r="AO20" i="2"/>
  <c r="F7" i="2"/>
  <c r="Q12" i="1"/>
  <c r="R12" i="1" s="1"/>
  <c r="Q15" i="1"/>
  <c r="R15" i="1" s="1"/>
  <c r="X26" i="2"/>
  <c r="AA42" i="2"/>
  <c r="Q51" i="1"/>
  <c r="U63" i="2"/>
  <c r="Q64" i="1"/>
  <c r="R64" i="1" s="1"/>
  <c r="Q73" i="1"/>
  <c r="R73" i="1" s="1"/>
  <c r="Q131" i="1"/>
  <c r="AO16" i="2"/>
  <c r="X21" i="2"/>
  <c r="AO27" i="2"/>
  <c r="AO69" i="2"/>
  <c r="W14" i="2"/>
  <c r="X14" i="2" s="1"/>
  <c r="Q11" i="1"/>
  <c r="R11" i="1" s="1"/>
  <c r="AO24" i="2"/>
  <c r="K43" i="2"/>
  <c r="L43" i="2" s="1"/>
  <c r="E44" i="1"/>
  <c r="K47" i="2" s="1"/>
  <c r="L47" i="2" s="1"/>
  <c r="E42" i="1"/>
  <c r="K45" i="2" s="1"/>
  <c r="L45" i="2" s="1"/>
  <c r="AC50" i="2"/>
  <c r="AD50" i="2" s="1"/>
  <c r="Q47" i="1"/>
  <c r="R47" i="1" s="1"/>
  <c r="AF81" i="2"/>
  <c r="AG81" i="2" s="1"/>
  <c r="Q78" i="1"/>
  <c r="AL94" i="2"/>
  <c r="AM94" i="2" s="1"/>
  <c r="Q91" i="1"/>
  <c r="R91" i="1" s="1"/>
  <c r="T102" i="2"/>
  <c r="P99" i="1"/>
  <c r="P123" i="1"/>
  <c r="D125" i="1"/>
  <c r="E123" i="1" s="1"/>
  <c r="E125" i="1" s="1"/>
  <c r="F123" i="1" s="1"/>
  <c r="F125" i="1" s="1"/>
  <c r="G123" i="1" s="1"/>
  <c r="G125" i="1" s="1"/>
  <c r="H123" i="1" s="1"/>
  <c r="H125" i="1" s="1"/>
  <c r="P125" i="1"/>
  <c r="AP11" i="2"/>
  <c r="AM23" i="2"/>
  <c r="I85" i="2"/>
  <c r="AO85" i="2"/>
  <c r="AR96" i="2"/>
  <c r="AR57" i="2"/>
  <c r="AS32" i="2"/>
  <c r="W27" i="2"/>
  <c r="X27" i="2" s="1"/>
  <c r="Q24" i="1"/>
  <c r="R24" i="1" s="1"/>
  <c r="W52" i="2"/>
  <c r="X52" i="2" s="1"/>
  <c r="Q49" i="1"/>
  <c r="R49" i="1" s="1"/>
  <c r="Z89" i="2"/>
  <c r="Q86" i="1"/>
  <c r="R86" i="1" s="1"/>
  <c r="G128" i="1"/>
  <c r="AA7" i="2"/>
  <c r="AC7" i="2"/>
  <c r="AS97" i="2" s="1"/>
  <c r="Q4" i="1"/>
  <c r="R4" i="1" s="1"/>
  <c r="N32" i="2"/>
  <c r="O32" i="2" s="1"/>
  <c r="R79" i="1"/>
  <c r="AL91" i="2"/>
  <c r="AM91" i="2" s="1"/>
  <c r="Q88" i="1"/>
  <c r="R88" i="1" s="1"/>
  <c r="R18" i="1"/>
  <c r="Q32" i="2"/>
  <c r="R32" i="2" s="1"/>
  <c r="G28" i="1"/>
  <c r="Q31" i="2" s="1"/>
  <c r="R31" i="2" s="1"/>
  <c r="W38" i="2"/>
  <c r="X38" i="2" s="1"/>
  <c r="Q35" i="1"/>
  <c r="R35" i="1" s="1"/>
  <c r="H43" i="2"/>
  <c r="I43" i="2" s="1"/>
  <c r="D44" i="1"/>
  <c r="H47" i="2" s="1"/>
  <c r="AO47" i="2" s="1"/>
  <c r="D42" i="1"/>
  <c r="H45" i="2" s="1"/>
  <c r="P40" i="1"/>
  <c r="Z65" i="2"/>
  <c r="Q62" i="1"/>
  <c r="R62" i="1" s="1"/>
  <c r="W75" i="2"/>
  <c r="Q72" i="1"/>
  <c r="R72" i="1" s="1"/>
  <c r="Z88" i="2"/>
  <c r="AA88" i="2" s="1"/>
  <c r="Q85" i="1"/>
  <c r="R85" i="1" s="1"/>
  <c r="AL98" i="2"/>
  <c r="AM98" i="2" s="1"/>
  <c r="Q95" i="1"/>
  <c r="R95" i="1" s="1"/>
  <c r="W31" i="2"/>
  <c r="Q28" i="1"/>
  <c r="AC90" i="2"/>
  <c r="AD90" i="2" s="1"/>
  <c r="Q87" i="1"/>
  <c r="AC97" i="2"/>
  <c r="Q94" i="1"/>
  <c r="R94" i="1" s="1"/>
  <c r="W102" i="2"/>
  <c r="X102" i="2" s="1"/>
  <c r="Q99" i="1"/>
  <c r="R99" i="1" s="1"/>
  <c r="Z59" i="2"/>
  <c r="Q56" i="1"/>
  <c r="R56" i="1" s="1"/>
  <c r="W56" i="2"/>
  <c r="Q53" i="1"/>
  <c r="R53" i="1" s="1"/>
  <c r="AO63" i="2"/>
  <c r="R69" i="1"/>
  <c r="AL93" i="2"/>
  <c r="AM93" i="2" s="1"/>
  <c r="Q90" i="1"/>
  <c r="AA10" i="2"/>
  <c r="AO15" i="2"/>
  <c r="AO18" i="2"/>
  <c r="Z45" i="2"/>
  <c r="Q42" i="1"/>
  <c r="AL100" i="2"/>
  <c r="Q97" i="1"/>
  <c r="I7" i="2"/>
  <c r="F27" i="1"/>
  <c r="N23" i="2"/>
  <c r="O23" i="2" s="1"/>
  <c r="O103" i="2"/>
  <c r="AO103" i="2"/>
  <c r="AP84" i="2"/>
  <c r="AP67" i="2"/>
  <c r="AQ67" i="2" s="1"/>
  <c r="AP95" i="2"/>
  <c r="AP57" i="2"/>
  <c r="AP43" i="2"/>
  <c r="AP50" i="2"/>
  <c r="AP29" i="2"/>
  <c r="AP37" i="2"/>
  <c r="Q23" i="2"/>
  <c r="G27" i="1"/>
  <c r="E27" i="1"/>
  <c r="T23" i="2"/>
  <c r="H27" i="1"/>
  <c r="W36" i="2"/>
  <c r="X36" i="2" s="1"/>
  <c r="Q33" i="1"/>
  <c r="R33" i="1" s="1"/>
  <c r="W71" i="2"/>
  <c r="X71" i="2" s="1"/>
  <c r="Q68" i="1"/>
  <c r="R68" i="1" s="1"/>
  <c r="F129" i="1"/>
  <c r="G129" i="1" s="1"/>
  <c r="H129" i="1" s="1"/>
  <c r="P129" i="1"/>
  <c r="R129" i="1" s="1"/>
  <c r="AO10" i="2"/>
  <c r="AO11" i="2"/>
  <c r="AO12" i="2"/>
  <c r="AO14" i="2"/>
  <c r="AO19" i="2"/>
  <c r="AG30" i="2"/>
  <c r="U23" i="2"/>
  <c r="W96" i="2"/>
  <c r="Q93" i="1"/>
  <c r="G132" i="1"/>
  <c r="U102" i="2"/>
  <c r="W9" i="2"/>
  <c r="X9" i="2" s="1"/>
  <c r="Q6" i="1"/>
  <c r="R6" i="1" s="1"/>
  <c r="H23" i="2"/>
  <c r="AO23" i="2" s="1"/>
  <c r="D27" i="1"/>
  <c r="R26" i="1"/>
  <c r="R51" i="1"/>
  <c r="AL69" i="2"/>
  <c r="AM69" i="2" s="1"/>
  <c r="Q66" i="1"/>
  <c r="R66" i="1" s="1"/>
  <c r="W84" i="2"/>
  <c r="X84" i="2" s="1"/>
  <c r="Q81" i="1"/>
  <c r="R81" i="1" s="1"/>
  <c r="AO8" i="2"/>
  <c r="AO32" i="2"/>
  <c r="Z16" i="2"/>
  <c r="AA16" i="2" s="1"/>
  <c r="Q13" i="1"/>
  <c r="R13" i="1" s="1"/>
  <c r="W33" i="2"/>
  <c r="X33" i="2" s="1"/>
  <c r="Q30" i="1"/>
  <c r="R30" i="1" s="1"/>
  <c r="W41" i="2"/>
  <c r="Q38" i="1"/>
  <c r="R38" i="1" s="1"/>
  <c r="Z47" i="2"/>
  <c r="AA47" i="2" s="1"/>
  <c r="Q44" i="1"/>
  <c r="R123" i="1"/>
  <c r="E131" i="1"/>
  <c r="AA23" i="2"/>
  <c r="P16" i="1"/>
  <c r="E133" i="1"/>
  <c r="AJ7" i="2"/>
  <c r="W15" i="2"/>
  <c r="X15" i="2" s="1"/>
  <c r="L19" i="2"/>
  <c r="AA21" i="2"/>
  <c r="O38" i="2"/>
  <c r="AO49" i="2"/>
  <c r="Q16" i="1"/>
  <c r="Q41" i="1"/>
  <c r="R41" i="1" s="1"/>
  <c r="Q43" i="1"/>
  <c r="R43" i="1" s="1"/>
  <c r="Q45" i="1"/>
  <c r="R45" i="1" s="1"/>
  <c r="Q63" i="1"/>
  <c r="R63" i="1" s="1"/>
  <c r="Q75" i="1"/>
  <c r="R75" i="1" s="1"/>
  <c r="C78" i="1"/>
  <c r="E127" i="1"/>
  <c r="X7" i="2"/>
  <c r="AD19" i="2"/>
  <c r="U24" i="2"/>
  <c r="U32" i="2"/>
  <c r="P4" i="1"/>
  <c r="Q27" i="1"/>
  <c r="Q54" i="1"/>
  <c r="R54" i="1" s="1"/>
  <c r="AO81" i="2"/>
  <c r="AG12" i="2"/>
  <c r="R13" i="2"/>
  <c r="F14" i="2"/>
  <c r="AM14" i="2"/>
  <c r="L15" i="2"/>
  <c r="AG19" i="2"/>
  <c r="R23" i="2"/>
  <c r="X24" i="2"/>
  <c r="U25" i="2"/>
  <c r="AM25" i="2"/>
  <c r="AA27" i="2"/>
  <c r="U28" i="2"/>
  <c r="AJ30" i="2"/>
  <c r="R42" i="2"/>
  <c r="AG62" i="2"/>
  <c r="AO37" i="2"/>
  <c r="K7" i="2"/>
  <c r="AP8" i="2" s="1"/>
  <c r="AP9" i="2"/>
  <c r="W10" i="2"/>
  <c r="X10" i="2" s="1"/>
  <c r="N19" i="2"/>
  <c r="O19" i="2" s="1"/>
  <c r="AA24" i="2"/>
  <c r="W32" i="2"/>
  <c r="X32" i="2" s="1"/>
  <c r="X37" i="2"/>
  <c r="Q19" i="1"/>
  <c r="R19" i="1" s="1"/>
  <c r="Q40" i="1"/>
  <c r="R40" i="1" s="1"/>
  <c r="Q83" i="1"/>
  <c r="R83" i="1" s="1"/>
  <c r="AA18" i="2"/>
  <c r="AJ19" i="2"/>
  <c r="W20" i="2"/>
  <c r="X20" i="2" s="1"/>
  <c r="W23" i="2"/>
  <c r="X23" i="2" s="1"/>
  <c r="X25" i="2"/>
  <c r="X28" i="2"/>
  <c r="AM45" i="2"/>
  <c r="Q14" i="1"/>
  <c r="R14" i="1" s="1"/>
  <c r="Q57" i="1"/>
  <c r="R57" i="1" s="1"/>
  <c r="R9" i="2"/>
  <c r="F13" i="2"/>
  <c r="AA14" i="2"/>
  <c r="AJ16" i="2"/>
  <c r="R19" i="2"/>
  <c r="AA20" i="2"/>
  <c r="AO22" i="2"/>
  <c r="E24" i="2"/>
  <c r="F24" i="2" s="1"/>
  <c r="L27" i="2"/>
  <c r="AO28" i="2"/>
  <c r="X31" i="2"/>
  <c r="AA32" i="2"/>
  <c r="AJ41" i="2"/>
  <c r="N43" i="2"/>
  <c r="O43" i="2" s="1"/>
  <c r="AJ48" i="2"/>
  <c r="AG67" i="2"/>
  <c r="C20" i="1"/>
  <c r="Q25" i="1"/>
  <c r="R25" i="1" s="1"/>
  <c r="P34" i="1"/>
  <c r="Q36" i="1"/>
  <c r="R36" i="1" s="1"/>
  <c r="F42" i="1"/>
  <c r="Q46" i="1"/>
  <c r="R46" i="1" s="1"/>
  <c r="Q50" i="1"/>
  <c r="R50" i="1" s="1"/>
  <c r="Q76" i="1"/>
  <c r="R76" i="1" s="1"/>
  <c r="P84" i="1"/>
  <c r="AO102" i="2"/>
  <c r="X11" i="2"/>
  <c r="X17" i="2"/>
  <c r="U19" i="2"/>
  <c r="R21" i="2"/>
  <c r="AA25" i="2"/>
  <c r="P29" i="1"/>
  <c r="R29" i="1" s="1"/>
  <c r="Q34" i="1"/>
  <c r="R34" i="1" s="1"/>
  <c r="C39" i="1"/>
  <c r="Q55" i="1"/>
  <c r="R55" i="1" s="1"/>
  <c r="Q59" i="1"/>
  <c r="R59" i="1" s="1"/>
  <c r="Q61" i="1"/>
  <c r="R61" i="1" s="1"/>
  <c r="AO87" i="2"/>
  <c r="Q84" i="1"/>
  <c r="AO89" i="2"/>
  <c r="Q100" i="1"/>
  <c r="R100" i="1" s="1"/>
  <c r="AM8" i="2"/>
  <c r="L11" i="2"/>
  <c r="AM12" i="2"/>
  <c r="AD14" i="2"/>
  <c r="R15" i="2"/>
  <c r="AM16" i="2"/>
  <c r="I24" i="2"/>
  <c r="AA38" i="2"/>
  <c r="I89" i="2"/>
  <c r="Q39" i="1"/>
  <c r="Q52" i="1"/>
  <c r="R52" i="1" s="1"/>
  <c r="Q80" i="1"/>
  <c r="R80" i="1" s="1"/>
  <c r="AA8" i="2"/>
  <c r="AO13" i="2"/>
  <c r="W13" i="2"/>
  <c r="X13" i="2" s="1"/>
  <c r="X16" i="2"/>
  <c r="X19" i="2"/>
  <c r="AD23" i="2"/>
  <c r="L24" i="2"/>
  <c r="AD31" i="2"/>
  <c r="AA33" i="2"/>
  <c r="AO39" i="2"/>
  <c r="AD47" i="2"/>
  <c r="H28" i="1"/>
  <c r="T31" i="2" s="1"/>
  <c r="U31" i="2" s="1"/>
  <c r="P60" i="1"/>
  <c r="R60" i="1" s="1"/>
  <c r="Q67" i="1"/>
  <c r="R67" i="1" s="1"/>
  <c r="Q71" i="1"/>
  <c r="R71" i="1" s="1"/>
  <c r="Q89" i="1"/>
  <c r="R89" i="1" s="1"/>
  <c r="Q96" i="1"/>
  <c r="R96" i="1" s="1"/>
  <c r="O8" i="2"/>
  <c r="AO9" i="2"/>
  <c r="AA12" i="2"/>
  <c r="AA13" i="2"/>
  <c r="AG14" i="2"/>
  <c r="U15" i="2"/>
  <c r="I16" i="2"/>
  <c r="L17" i="2"/>
  <c r="F19" i="2"/>
  <c r="F21" i="2"/>
  <c r="L23" i="2"/>
  <c r="AG23" i="2"/>
  <c r="AO26" i="2"/>
  <c r="X30" i="2"/>
  <c r="L32" i="2"/>
  <c r="AO33" i="2"/>
  <c r="AD33" i="2"/>
  <c r="AM42" i="2"/>
  <c r="AG24" i="2"/>
  <c r="AA39" i="2"/>
  <c r="X41" i="2"/>
  <c r="X43" i="2"/>
  <c r="X45" i="2"/>
  <c r="AJ67" i="2"/>
  <c r="AO25" i="2"/>
  <c r="AM30" i="2"/>
  <c r="AO35" i="2"/>
  <c r="I46" i="2"/>
  <c r="AO46" i="2"/>
  <c r="AD46" i="2"/>
  <c r="R27" i="2"/>
  <c r="AA30" i="2"/>
  <c r="F40" i="2"/>
  <c r="AA51" i="2"/>
  <c r="AO36" i="2"/>
  <c r="AD41" i="2"/>
  <c r="AD42" i="2"/>
  <c r="AA49" i="2"/>
  <c r="AO53" i="2"/>
  <c r="AA26" i="2"/>
  <c r="AA36" i="2"/>
  <c r="AO38" i="2"/>
  <c r="X44" i="2"/>
  <c r="AM46" i="2"/>
  <c r="X63" i="2"/>
  <c r="AA79" i="2"/>
  <c r="O26" i="2"/>
  <c r="X29" i="2"/>
  <c r="AG32" i="2"/>
  <c r="AG42" i="2"/>
  <c r="I44" i="2"/>
  <c r="AO57" i="2"/>
  <c r="F57" i="2"/>
  <c r="X57" i="2"/>
  <c r="AJ25" i="2"/>
  <c r="I32" i="2"/>
  <c r="R43" i="2"/>
  <c r="AG47" i="2"/>
  <c r="AD57" i="2"/>
  <c r="AD65" i="2"/>
  <c r="X69" i="2"/>
  <c r="AJ44" i="2"/>
  <c r="I45" i="2"/>
  <c r="I47" i="2"/>
  <c r="F63" i="2"/>
  <c r="AA66" i="2"/>
  <c r="X85" i="2"/>
  <c r="AM41" i="2"/>
  <c r="U43" i="2"/>
  <c r="AA45" i="2"/>
  <c r="X50" i="2"/>
  <c r="AO54" i="2"/>
  <c r="AD38" i="2"/>
  <c r="AA41" i="2"/>
  <c r="AJ42" i="2"/>
  <c r="R46" i="2"/>
  <c r="AJ46" i="2"/>
  <c r="X48" i="2"/>
  <c r="AO48" i="2"/>
  <c r="AO50" i="2"/>
  <c r="X51" i="2"/>
  <c r="L57" i="2"/>
  <c r="AG66" i="2"/>
  <c r="X42" i="2"/>
  <c r="O47" i="2"/>
  <c r="AD55" i="2"/>
  <c r="AG56" i="2"/>
  <c r="AG65" i="2"/>
  <c r="AM66" i="2"/>
  <c r="AJ69" i="2"/>
  <c r="AM96" i="2"/>
  <c r="X60" i="2"/>
  <c r="AG71" i="2"/>
  <c r="AO86" i="2"/>
  <c r="O86" i="2"/>
  <c r="AA37" i="2"/>
  <c r="AJ40" i="2"/>
  <c r="AA43" i="2"/>
  <c r="X46" i="2"/>
  <c r="L48" i="2"/>
  <c r="AD48" i="2"/>
  <c r="L51" i="2"/>
  <c r="AJ54" i="2"/>
  <c r="AJ55" i="2"/>
  <c r="X58" i="2"/>
  <c r="X59" i="2"/>
  <c r="AA60" i="2"/>
  <c r="X64" i="2"/>
  <c r="L68" i="2"/>
  <c r="AO68" i="2"/>
  <c r="F84" i="2"/>
  <c r="AO84" i="2"/>
  <c r="O37" i="2"/>
  <c r="X40" i="2"/>
  <c r="AM47" i="2"/>
  <c r="O55" i="2"/>
  <c r="AD62" i="2"/>
  <c r="AO51" i="2"/>
  <c r="X56" i="2"/>
  <c r="X76" i="2"/>
  <c r="AA50" i="2"/>
  <c r="X53" i="2"/>
  <c r="AM53" i="2"/>
  <c r="AM54" i="2"/>
  <c r="AJ57" i="2"/>
  <c r="F59" i="2"/>
  <c r="AJ63" i="2"/>
  <c r="X73" i="2"/>
  <c r="AO61" i="2"/>
  <c r="AM63" i="2"/>
  <c r="AD64" i="2"/>
  <c r="AD78" i="2"/>
  <c r="O50" i="2"/>
  <c r="L53" i="2"/>
  <c r="AA53" i="2"/>
  <c r="AA54" i="2"/>
  <c r="AM57" i="2"/>
  <c r="O58" i="2"/>
  <c r="L61" i="2"/>
  <c r="X65" i="2"/>
  <c r="AA67" i="2"/>
  <c r="AA68" i="2"/>
  <c r="F71" i="2"/>
  <c r="AO71" i="2"/>
  <c r="AO59" i="2"/>
  <c r="AA59" i="2"/>
  <c r="F62" i="2"/>
  <c r="AA65" i="2"/>
  <c r="F70" i="2"/>
  <c r="AD81" i="2"/>
  <c r="AJ84" i="2"/>
  <c r="X86" i="2"/>
  <c r="AG61" i="2"/>
  <c r="AD66" i="2"/>
  <c r="AO72" i="2"/>
  <c r="AM81" i="2"/>
  <c r="AD83" i="2"/>
  <c r="R87" i="2"/>
  <c r="AG88" i="2"/>
  <c r="AA62" i="2"/>
  <c r="I63" i="2"/>
  <c r="AM67" i="2"/>
  <c r="AG70" i="2"/>
  <c r="AJ71" i="2"/>
  <c r="AO73" i="2"/>
  <c r="AO79" i="2"/>
  <c r="U79" i="2"/>
  <c r="AM49" i="2"/>
  <c r="F51" i="2"/>
  <c r="U51" i="2"/>
  <c r="R55" i="2"/>
  <c r="AG55" i="2"/>
  <c r="AJ56" i="2"/>
  <c r="AA57" i="2"/>
  <c r="AO58" i="2"/>
  <c r="O65" i="2"/>
  <c r="AD69" i="2"/>
  <c r="AM71" i="2"/>
  <c r="X66" i="2"/>
  <c r="O73" i="2"/>
  <c r="AM75" i="2"/>
  <c r="I77" i="2"/>
  <c r="AA77" i="2"/>
  <c r="U81" i="2"/>
  <c r="AA72" i="2"/>
  <c r="AO74" i="2"/>
  <c r="AA74" i="2"/>
  <c r="AO77" i="2"/>
  <c r="AA78" i="2"/>
  <c r="AJ80" i="2"/>
  <c r="AA83" i="2"/>
  <c r="AG84" i="2"/>
  <c r="X96" i="2"/>
  <c r="AG104" i="2"/>
  <c r="AJ70" i="2"/>
  <c r="AG78" i="2"/>
  <c r="AA90" i="2"/>
  <c r="AD67" i="2"/>
  <c r="X75" i="2"/>
  <c r="AD82" i="2"/>
  <c r="AJ83" i="2"/>
  <c r="X61" i="2"/>
  <c r="AG64" i="2"/>
  <c r="U70" i="2"/>
  <c r="AM70" i="2"/>
  <c r="AA71" i="2"/>
  <c r="AG72" i="2"/>
  <c r="F73" i="2"/>
  <c r="AG74" i="2"/>
  <c r="AO75" i="2"/>
  <c r="AJ78" i="2"/>
  <c r="AG82" i="2"/>
  <c r="AJ93" i="2"/>
  <c r="I64" i="2"/>
  <c r="X70" i="2"/>
  <c r="AD71" i="2"/>
  <c r="AA73" i="2"/>
  <c r="R77" i="2"/>
  <c r="AM77" i="2"/>
  <c r="AM78" i="2"/>
  <c r="AA80" i="2"/>
  <c r="I81" i="2"/>
  <c r="AJ87" i="2"/>
  <c r="AM90" i="2"/>
  <c r="AD63" i="2"/>
  <c r="AJ66" i="2"/>
  <c r="AO80" i="2"/>
  <c r="R82" i="2"/>
  <c r="R63" i="2"/>
  <c r="AJ65" i="2"/>
  <c r="L70" i="2"/>
  <c r="F74" i="2"/>
  <c r="O81" i="2"/>
  <c r="AJ98" i="2"/>
  <c r="AJ100" i="2"/>
  <c r="F136" i="3"/>
  <c r="E135" i="3"/>
  <c r="AJ79" i="2"/>
  <c r="AA85" i="2"/>
  <c r="AD88" i="2"/>
  <c r="X103" i="2"/>
  <c r="AJ75" i="2"/>
  <c r="X79" i="2"/>
  <c r="AG90" i="2"/>
  <c r="AD91" i="2"/>
  <c r="I74" i="2"/>
  <c r="X74" i="2"/>
  <c r="I78" i="2"/>
  <c r="X78" i="2"/>
  <c r="AM84" i="2"/>
  <c r="AJ88" i="2"/>
  <c r="AJ90" i="2"/>
  <c r="I94" i="2"/>
  <c r="X99" i="2"/>
  <c r="AM88" i="2"/>
  <c r="AJ91" i="2"/>
  <c r="O92" i="2"/>
  <c r="AA97" i="2"/>
  <c r="AA99" i="2"/>
  <c r="AG102" i="2"/>
  <c r="O79" i="2"/>
  <c r="AJ82" i="2"/>
  <c r="AM83" i="2"/>
  <c r="AG92" i="2"/>
  <c r="AD96" i="2"/>
  <c r="I98" i="2"/>
  <c r="AO98" i="2"/>
  <c r="AA98" i="2"/>
  <c r="AO99" i="2"/>
  <c r="AD99" i="2"/>
  <c r="I102" i="2"/>
  <c r="AA75" i="2"/>
  <c r="X87" i="2"/>
  <c r="AD97" i="2"/>
  <c r="AG99" i="2"/>
  <c r="X100" i="2"/>
  <c r="R81" i="2"/>
  <c r="AO83" i="2"/>
  <c r="X83" i="2"/>
  <c r="AA87" i="2"/>
  <c r="F88" i="2"/>
  <c r="AM89" i="2"/>
  <c r="AD100" i="2"/>
  <c r="O102" i="2"/>
  <c r="AA104" i="2"/>
  <c r="R73" i="2"/>
  <c r="AG73" i="2"/>
  <c r="O75" i="2"/>
  <c r="O76" i="2"/>
  <c r="AD76" i="2"/>
  <c r="AD77" i="2"/>
  <c r="R80" i="2"/>
  <c r="I82" i="2"/>
  <c r="X82" i="2"/>
  <c r="F89" i="2"/>
  <c r="F91" i="2"/>
  <c r="AM92" i="2"/>
  <c r="AJ96" i="2"/>
  <c r="AJ97" i="2"/>
  <c r="AM99" i="2"/>
  <c r="AM102" i="2"/>
  <c r="L94" i="2"/>
  <c r="AD94" i="2"/>
  <c r="AJ104" i="2"/>
  <c r="R86" i="2"/>
  <c r="U87" i="2"/>
  <c r="X88" i="2"/>
  <c r="AA89" i="2"/>
  <c r="AG91" i="2"/>
  <c r="AJ92" i="2"/>
  <c r="U95" i="2"/>
  <c r="AA96" i="2"/>
  <c r="AG97" i="2"/>
  <c r="F98" i="2"/>
  <c r="AM100" i="2"/>
  <c r="AA101" i="2"/>
  <c r="R102" i="2"/>
  <c r="AA103" i="2"/>
  <c r="R85" i="2"/>
  <c r="AG85" i="2"/>
  <c r="AJ86" i="2"/>
  <c r="AM87" i="2"/>
  <c r="F92" i="2"/>
  <c r="AG94" i="2"/>
  <c r="R97" i="2"/>
  <c r="X98" i="2"/>
  <c r="L103" i="2"/>
  <c r="AM104" i="2"/>
  <c r="F85" i="2"/>
  <c r="F86" i="2"/>
  <c r="I87" i="2"/>
  <c r="L88" i="2"/>
  <c r="O89" i="2"/>
  <c r="U91" i="2"/>
  <c r="X92" i="2"/>
  <c r="AA93" i="2"/>
  <c r="R94" i="2"/>
  <c r="AJ94" i="2"/>
  <c r="I95" i="2"/>
  <c r="O101" i="2"/>
  <c r="AM97" i="2"/>
  <c r="AJ99" i="2"/>
  <c r="F102" i="2"/>
  <c r="X104" i="2"/>
  <c r="AA84" i="2"/>
  <c r="I86" i="2"/>
  <c r="L87" i="2"/>
  <c r="O88" i="2"/>
  <c r="R89" i="2"/>
  <c r="X91" i="2"/>
  <c r="AA92" i="2"/>
  <c r="AD93" i="2"/>
  <c r="U94" i="2"/>
  <c r="L95" i="2"/>
  <c r="AD98" i="2"/>
  <c r="R101" i="2"/>
  <c r="L86" i="2"/>
  <c r="O87" i="2"/>
  <c r="R88" i="2"/>
  <c r="U89" i="2"/>
  <c r="X90" i="2"/>
  <c r="AA91" i="2"/>
  <c r="AD92" i="2"/>
  <c r="F94" i="2"/>
  <c r="X94" i="2"/>
  <c r="AG98" i="2"/>
  <c r="AD102" i="2"/>
  <c r="AO101" i="2"/>
  <c r="F101" i="2"/>
  <c r="L102" i="2"/>
  <c r="U103" i="2"/>
  <c r="AD104" i="2"/>
  <c r="AR33" i="2" l="1"/>
  <c r="AS99" i="2"/>
  <c r="AR41" i="2"/>
  <c r="AT41" i="2" s="1"/>
  <c r="AR100" i="2"/>
  <c r="AT100" i="2" s="1"/>
  <c r="AR50" i="2"/>
  <c r="AT50" i="2" s="1"/>
  <c r="AS101" i="2"/>
  <c r="AR71" i="2"/>
  <c r="AR97" i="2"/>
  <c r="AS55" i="2"/>
  <c r="AS8" i="2"/>
  <c r="AV8" i="2" s="1"/>
  <c r="AS81" i="2"/>
  <c r="R125" i="1"/>
  <c r="AS18" i="2"/>
  <c r="AR86" i="2"/>
  <c r="AU86" i="2" s="1"/>
  <c r="AS10" i="2"/>
  <c r="AS88" i="2"/>
  <c r="AS53" i="2"/>
  <c r="AS68" i="2"/>
  <c r="AU71" i="2"/>
  <c r="AQ36" i="2"/>
  <c r="AQ9" i="2"/>
  <c r="R16" i="1"/>
  <c r="AP16" i="2"/>
  <c r="AP19" i="2"/>
  <c r="AP40" i="2"/>
  <c r="AP56" i="2"/>
  <c r="AP98" i="2"/>
  <c r="AP63" i="2"/>
  <c r="AP76" i="2"/>
  <c r="AP91" i="2"/>
  <c r="AQ63" i="2"/>
  <c r="AR11" i="2"/>
  <c r="AS16" i="2"/>
  <c r="AR55" i="2"/>
  <c r="AS17" i="2"/>
  <c r="AR27" i="2"/>
  <c r="AR10" i="2"/>
  <c r="AS33" i="2"/>
  <c r="AT33" i="2" s="1"/>
  <c r="AS41" i="2"/>
  <c r="AR59" i="2"/>
  <c r="AS60" i="2"/>
  <c r="AR52" i="2"/>
  <c r="AS59" i="2"/>
  <c r="AR87" i="2"/>
  <c r="AS73" i="2"/>
  <c r="AS90" i="2"/>
  <c r="AS98" i="2"/>
  <c r="AR102" i="2"/>
  <c r="AV29" i="2"/>
  <c r="AP64" i="2"/>
  <c r="AP58" i="2"/>
  <c r="AR54" i="2"/>
  <c r="AR104" i="2"/>
  <c r="AQ26" i="2"/>
  <c r="AQ29" i="2"/>
  <c r="N45" i="2"/>
  <c r="O45" i="2" s="1"/>
  <c r="F39" i="1"/>
  <c r="P44" i="1"/>
  <c r="R44" i="1" s="1"/>
  <c r="AQ8" i="2"/>
  <c r="AP18" i="2"/>
  <c r="AP59" i="2"/>
  <c r="AV59" i="2" s="1"/>
  <c r="AP60" i="2"/>
  <c r="AP78" i="2"/>
  <c r="AP77" i="2"/>
  <c r="AP97" i="2"/>
  <c r="AS35" i="2"/>
  <c r="AR24" i="2"/>
  <c r="AS14" i="2"/>
  <c r="AS40" i="2"/>
  <c r="AS29" i="2"/>
  <c r="AR14" i="2"/>
  <c r="AR40" i="2"/>
  <c r="AS46" i="2"/>
  <c r="AR69" i="2"/>
  <c r="AS58" i="2"/>
  <c r="AR56" i="2"/>
  <c r="AR70" i="2"/>
  <c r="AR95" i="2"/>
  <c r="AR75" i="2"/>
  <c r="AS96" i="2"/>
  <c r="AT96" i="2" s="1"/>
  <c r="AS100" i="2"/>
  <c r="AP49" i="2"/>
  <c r="AR13" i="2"/>
  <c r="AQ83" i="2"/>
  <c r="AQ54" i="2"/>
  <c r="P42" i="1"/>
  <c r="AP20" i="2"/>
  <c r="AP27" i="2"/>
  <c r="AP36" i="2"/>
  <c r="AP69" i="2"/>
  <c r="AP62" i="2"/>
  <c r="AP87" i="2"/>
  <c r="AP83" i="2"/>
  <c r="AP99" i="2"/>
  <c r="AV99" i="2" s="1"/>
  <c r="AS42" i="2"/>
  <c r="AS28" i="2"/>
  <c r="AR20" i="2"/>
  <c r="AS24" i="2"/>
  <c r="AS47" i="2"/>
  <c r="AR18" i="2"/>
  <c r="AS51" i="2"/>
  <c r="AS65" i="2"/>
  <c r="AR82" i="2"/>
  <c r="AR61" i="2"/>
  <c r="AR60" i="2"/>
  <c r="AR63" i="2"/>
  <c r="AS72" i="2"/>
  <c r="AS78" i="2"/>
  <c r="AR101" i="2"/>
  <c r="AS76" i="2"/>
  <c r="E39" i="1"/>
  <c r="AQ98" i="2"/>
  <c r="AQ37" i="2"/>
  <c r="AR19" i="2"/>
  <c r="AO7" i="2"/>
  <c r="AQ7" i="2" s="1"/>
  <c r="AP25" i="2"/>
  <c r="AP38" i="2"/>
  <c r="AP51" i="2"/>
  <c r="AP65" i="2"/>
  <c r="AP61" i="2"/>
  <c r="AP101" i="2"/>
  <c r="R42" i="1"/>
  <c r="F127" i="1"/>
  <c r="AR8" i="2"/>
  <c r="AR15" i="2"/>
  <c r="AR26" i="2"/>
  <c r="AS31" i="2"/>
  <c r="AR49" i="2"/>
  <c r="AR22" i="2"/>
  <c r="AS63" i="2"/>
  <c r="AR72" i="2"/>
  <c r="AS85" i="2"/>
  <c r="AS57" i="2"/>
  <c r="AT57" i="2" s="1"/>
  <c r="AR62" i="2"/>
  <c r="AS70" i="2"/>
  <c r="AR79" i="2"/>
  <c r="AR74" i="2"/>
  <c r="AR77" i="2"/>
  <c r="AS80" i="2"/>
  <c r="AQ85" i="2"/>
  <c r="AQ33" i="2"/>
  <c r="AU57" i="2"/>
  <c r="AQ32" i="2"/>
  <c r="AP47" i="2"/>
  <c r="AV47" i="2" s="1"/>
  <c r="AP71" i="2"/>
  <c r="AS12" i="2"/>
  <c r="AR38" i="2"/>
  <c r="AR45" i="2"/>
  <c r="AS44" i="2"/>
  <c r="AS56" i="2"/>
  <c r="AS45" i="2"/>
  <c r="AR92" i="2"/>
  <c r="I23" i="2"/>
  <c r="AQ22" i="2"/>
  <c r="T30" i="2"/>
  <c r="U30" i="2" s="1"/>
  <c r="H87" i="1"/>
  <c r="AP14" i="2"/>
  <c r="AV14" i="2" s="1"/>
  <c r="AP32" i="2"/>
  <c r="AV32" i="2" s="1"/>
  <c r="AP41" i="2"/>
  <c r="AP52" i="2"/>
  <c r="AP68" i="2"/>
  <c r="AV68" i="2" s="1"/>
  <c r="AP82" i="2"/>
  <c r="AP103" i="2"/>
  <c r="AD7" i="2"/>
  <c r="H128" i="1"/>
  <c r="G127" i="1"/>
  <c r="AS11" i="2"/>
  <c r="AV11" i="2" s="1"/>
  <c r="AS22" i="2"/>
  <c r="AR39" i="2"/>
  <c r="AS37" i="2"/>
  <c r="AV37" i="2" s="1"/>
  <c r="AR23" i="2"/>
  <c r="AR30" i="2"/>
  <c r="AR36" i="2"/>
  <c r="AR43" i="2"/>
  <c r="AR46" i="2"/>
  <c r="AR66" i="2"/>
  <c r="AS64" i="2"/>
  <c r="AR99" i="2"/>
  <c r="AR80" i="2"/>
  <c r="AS75" i="2"/>
  <c r="AR81" i="2"/>
  <c r="AS83" i="2"/>
  <c r="N30" i="2"/>
  <c r="O30" i="2" s="1"/>
  <c r="AP72" i="2"/>
  <c r="AS30" i="2"/>
  <c r="AS104" i="2"/>
  <c r="AQ72" i="2"/>
  <c r="AQ84" i="2"/>
  <c r="AQ50" i="2"/>
  <c r="R84" i="1"/>
  <c r="E23" i="2"/>
  <c r="F23" i="2" s="1"/>
  <c r="P20" i="1"/>
  <c r="R20" i="1" s="1"/>
  <c r="C27" i="1"/>
  <c r="H132" i="1"/>
  <c r="AQ14" i="2"/>
  <c r="AP7" i="2"/>
  <c r="AP22" i="2"/>
  <c r="AP35" i="2"/>
  <c r="AV35" i="2" s="1"/>
  <c r="AP53" i="2"/>
  <c r="AP80" i="2"/>
  <c r="AP81" i="2"/>
  <c r="AV81" i="2" s="1"/>
  <c r="AP89" i="2"/>
  <c r="AQ89" i="2" s="1"/>
  <c r="AQ18" i="2"/>
  <c r="AR12" i="2"/>
  <c r="AR37" i="2"/>
  <c r="AR7" i="2"/>
  <c r="AS39" i="2"/>
  <c r="AS27" i="2"/>
  <c r="AR34" i="2"/>
  <c r="AS38" i="2"/>
  <c r="AR47" i="2"/>
  <c r="AS50" i="2"/>
  <c r="AV50" i="2" s="1"/>
  <c r="AS67" i="2"/>
  <c r="AR65" i="2"/>
  <c r="AS102" i="2"/>
  <c r="AR84" i="2"/>
  <c r="AR76" i="2"/>
  <c r="AR89" i="2"/>
  <c r="AS87" i="2"/>
  <c r="AU33" i="2"/>
  <c r="AQ101" i="2"/>
  <c r="AQ95" i="2"/>
  <c r="AQ74" i="2"/>
  <c r="AQ79" i="2"/>
  <c r="E81" i="2"/>
  <c r="F81" i="2" s="1"/>
  <c r="P78" i="1"/>
  <c r="K30" i="2"/>
  <c r="L30" i="2" s="1"/>
  <c r="AP26" i="2"/>
  <c r="AP66" i="2"/>
  <c r="AP54" i="2"/>
  <c r="AP94" i="2"/>
  <c r="AP73" i="2"/>
  <c r="AV73" i="2" s="1"/>
  <c r="AP75" i="2"/>
  <c r="AQ103" i="2"/>
  <c r="AP21" i="2"/>
  <c r="AR16" i="2"/>
  <c r="AR9" i="2"/>
  <c r="AR17" i="2"/>
  <c r="AR48" i="2"/>
  <c r="AS23" i="2"/>
  <c r="AR35" i="2"/>
  <c r="AS48" i="2"/>
  <c r="AS74" i="2"/>
  <c r="AR51" i="2"/>
  <c r="AS69" i="2"/>
  <c r="AS71" i="2"/>
  <c r="AT71" i="2" s="1"/>
  <c r="AS103" i="2"/>
  <c r="AR73" i="2"/>
  <c r="AS77" i="2"/>
  <c r="AR103" i="2"/>
  <c r="AS92" i="2"/>
  <c r="E42" i="2"/>
  <c r="F42" i="2" s="1"/>
  <c r="C28" i="1"/>
  <c r="AT97" i="2"/>
  <c r="AU97" i="2"/>
  <c r="AQ57" i="2"/>
  <c r="AP15" i="2"/>
  <c r="AV15" i="2" s="1"/>
  <c r="AP86" i="2"/>
  <c r="AQ58" i="2"/>
  <c r="AQ73" i="2"/>
  <c r="AQ46" i="2"/>
  <c r="L7" i="2"/>
  <c r="AQ11" i="2"/>
  <c r="Q30" i="2"/>
  <c r="R30" i="2" s="1"/>
  <c r="G87" i="1"/>
  <c r="AP10" i="2"/>
  <c r="AP34" i="2"/>
  <c r="AP46" i="2"/>
  <c r="AP55" i="2"/>
  <c r="AP85" i="2"/>
  <c r="AV85" i="2" s="1"/>
  <c r="AP88" i="2"/>
  <c r="AP79" i="2"/>
  <c r="AS13" i="2"/>
  <c r="AS21" i="2"/>
  <c r="AS15" i="2"/>
  <c r="AS26" i="2"/>
  <c r="AS20" i="2"/>
  <c r="AR25" i="2"/>
  <c r="AR28" i="2"/>
  <c r="AR58" i="2"/>
  <c r="AS61" i="2"/>
  <c r="AS52" i="2"/>
  <c r="AR64" i="2"/>
  <c r="AS86" i="2"/>
  <c r="AT86" i="2" s="1"/>
  <c r="AR85" i="2"/>
  <c r="AR78" i="2"/>
  <c r="AR83" i="2"/>
  <c r="AR88" i="2"/>
  <c r="AS95" i="2"/>
  <c r="AV95" i="2" s="1"/>
  <c r="AQ80" i="2"/>
  <c r="AQ68" i="2"/>
  <c r="AQ13" i="2"/>
  <c r="AQ102" i="2"/>
  <c r="AQ81" i="2"/>
  <c r="AP17" i="2"/>
  <c r="AP33" i="2"/>
  <c r="AV33" i="2" s="1"/>
  <c r="AP39" i="2"/>
  <c r="AV39" i="2" s="1"/>
  <c r="AP44" i="2"/>
  <c r="AP70" i="2"/>
  <c r="AP74" i="2"/>
  <c r="AV74" i="2" s="1"/>
  <c r="AP92" i="2"/>
  <c r="AP12" i="2"/>
  <c r="D39" i="1"/>
  <c r="AS19" i="2"/>
  <c r="AR31" i="2"/>
  <c r="AS34" i="2"/>
  <c r="AR29" i="2"/>
  <c r="AR32" i="2"/>
  <c r="AS62" i="2"/>
  <c r="AS36" i="2"/>
  <c r="AS91" i="2"/>
  <c r="AR53" i="2"/>
  <c r="AS66" i="2"/>
  <c r="AS89" i="2"/>
  <c r="AR94" i="2"/>
  <c r="AS79" i="2"/>
  <c r="AR91" i="2"/>
  <c r="AR93" i="2"/>
  <c r="AS93" i="2"/>
  <c r="R78" i="1"/>
  <c r="AR42" i="2"/>
  <c r="H30" i="2"/>
  <c r="AV67" i="2"/>
  <c r="G136" i="3"/>
  <c r="F135" i="3"/>
  <c r="AQ61" i="2"/>
  <c r="AQ35" i="2"/>
  <c r="F133" i="1"/>
  <c r="AP24" i="2"/>
  <c r="AV24" i="2" s="1"/>
  <c r="AP13" i="2"/>
  <c r="AP28" i="2"/>
  <c r="AP48" i="2"/>
  <c r="AP102" i="2"/>
  <c r="AO43" i="2"/>
  <c r="AQ43" i="2" s="1"/>
  <c r="AR21" i="2"/>
  <c r="AS9" i="2"/>
  <c r="AV9" i="2" s="1"/>
  <c r="AS7" i="2"/>
  <c r="AS43" i="2"/>
  <c r="AV43" i="2" s="1"/>
  <c r="AS25" i="2"/>
  <c r="AR67" i="2"/>
  <c r="AR44" i="2"/>
  <c r="AS49" i="2"/>
  <c r="AS54" i="2"/>
  <c r="AR68" i="2"/>
  <c r="AS94" i="2"/>
  <c r="AS82" i="2"/>
  <c r="AS84" i="2"/>
  <c r="AV84" i="2" s="1"/>
  <c r="AR90" i="2"/>
  <c r="AR98" i="2"/>
  <c r="AV12" i="2" l="1"/>
  <c r="AV10" i="2"/>
  <c r="AU50" i="2"/>
  <c r="AV53" i="2"/>
  <c r="AV38" i="2"/>
  <c r="AV83" i="2"/>
  <c r="AV25" i="2"/>
  <c r="AV87" i="2"/>
  <c r="AU41" i="2"/>
  <c r="AV22" i="2"/>
  <c r="AV101" i="2"/>
  <c r="AV51" i="2"/>
  <c r="AV48" i="2"/>
  <c r="AV57" i="2"/>
  <c r="AV77" i="2"/>
  <c r="AV18" i="2"/>
  <c r="AV75" i="2"/>
  <c r="AT91" i="2"/>
  <c r="AU91" i="2"/>
  <c r="AV94" i="2"/>
  <c r="AQ94" i="2"/>
  <c r="AT89" i="2"/>
  <c r="AU89" i="2"/>
  <c r="AU80" i="2"/>
  <c r="AT80" i="2"/>
  <c r="AV65" i="2"/>
  <c r="AQ65" i="2"/>
  <c r="AT10" i="2"/>
  <c r="AU10" i="2"/>
  <c r="AU37" i="2"/>
  <c r="AW37" i="2" s="1"/>
  <c r="AT37" i="2"/>
  <c r="AT49" i="2"/>
  <c r="AU49" i="2"/>
  <c r="AW49" i="2" s="1"/>
  <c r="AV19" i="2"/>
  <c r="H42" i="2"/>
  <c r="D28" i="1"/>
  <c r="AU17" i="2"/>
  <c r="AW17" i="2" s="1"/>
  <c r="AT17" i="2"/>
  <c r="AT12" i="2"/>
  <c r="AU12" i="2"/>
  <c r="AW12" i="2" s="1"/>
  <c r="AT13" i="2"/>
  <c r="AU13" i="2"/>
  <c r="AV49" i="2"/>
  <c r="AV28" i="2"/>
  <c r="AV92" i="2"/>
  <c r="AQ92" i="2"/>
  <c r="AU58" i="2"/>
  <c r="AT58" i="2"/>
  <c r="AV55" i="2"/>
  <c r="AQ55" i="2"/>
  <c r="AV86" i="2"/>
  <c r="AW86" i="2" s="1"/>
  <c r="AT73" i="2"/>
  <c r="AU73" i="2"/>
  <c r="AW73" i="2" s="1"/>
  <c r="AT16" i="2"/>
  <c r="AU16" i="2"/>
  <c r="AV26" i="2"/>
  <c r="AT65" i="2"/>
  <c r="AU65" i="2"/>
  <c r="C87" i="1"/>
  <c r="E30" i="2"/>
  <c r="P27" i="1"/>
  <c r="R27" i="1" s="1"/>
  <c r="AQ25" i="2"/>
  <c r="AT46" i="2"/>
  <c r="AU46" i="2"/>
  <c r="AW46" i="2" s="1"/>
  <c r="AV71" i="2"/>
  <c r="AT74" i="2"/>
  <c r="AU74" i="2"/>
  <c r="AW74" i="2" s="1"/>
  <c r="AU15" i="2"/>
  <c r="AW15" i="2" s="1"/>
  <c r="AT15" i="2"/>
  <c r="AU61" i="2"/>
  <c r="AT61" i="2"/>
  <c r="AT14" i="2"/>
  <c r="AU14" i="2"/>
  <c r="AW14" i="2" s="1"/>
  <c r="AP45" i="2"/>
  <c r="AV45" i="2" s="1"/>
  <c r="AQ99" i="2"/>
  <c r="AT69" i="2"/>
  <c r="AU69" i="2"/>
  <c r="AU84" i="2"/>
  <c r="AW84" i="2" s="1"/>
  <c r="AT84" i="2"/>
  <c r="AU67" i="2"/>
  <c r="AW67" i="2" s="1"/>
  <c r="AT67" i="2"/>
  <c r="AU9" i="2"/>
  <c r="AW9" i="2" s="1"/>
  <c r="AT9" i="2"/>
  <c r="AV13" i="2"/>
  <c r="AU53" i="2"/>
  <c r="AT53" i="2"/>
  <c r="AT28" i="2"/>
  <c r="AU28" i="2"/>
  <c r="AV46" i="2"/>
  <c r="AO45" i="2"/>
  <c r="AV89" i="2"/>
  <c r="AU43" i="2"/>
  <c r="AW43" i="2" s="1"/>
  <c r="AT43" i="2"/>
  <c r="AV103" i="2"/>
  <c r="AU79" i="2"/>
  <c r="AT79" i="2"/>
  <c r="AU8" i="2"/>
  <c r="AW8" i="2" s="1"/>
  <c r="AT8" i="2"/>
  <c r="AU19" i="2"/>
  <c r="AT19" i="2"/>
  <c r="AU82" i="2"/>
  <c r="AT82" i="2"/>
  <c r="AV62" i="2"/>
  <c r="AQ62" i="2"/>
  <c r="AQ51" i="2"/>
  <c r="AP23" i="2"/>
  <c r="AT104" i="2"/>
  <c r="AT87" i="2"/>
  <c r="AU87" i="2"/>
  <c r="AW87" i="2" s="1"/>
  <c r="AU11" i="2"/>
  <c r="AW11" i="2" s="1"/>
  <c r="AT11" i="2"/>
  <c r="AU48" i="2"/>
  <c r="AW48" i="2" s="1"/>
  <c r="AT48" i="2"/>
  <c r="AU27" i="2"/>
  <c r="AT27" i="2"/>
  <c r="P132" i="1"/>
  <c r="R132" i="1" s="1"/>
  <c r="AU38" i="2"/>
  <c r="AW38" i="2" s="1"/>
  <c r="AT38" i="2"/>
  <c r="AT63" i="2"/>
  <c r="AU63" i="2"/>
  <c r="AW63" i="2" s="1"/>
  <c r="AT77" i="2"/>
  <c r="AU77" i="2"/>
  <c r="AW77" i="2" s="1"/>
  <c r="AT55" i="2"/>
  <c r="AU55" i="2"/>
  <c r="AT98" i="2"/>
  <c r="AU98" i="2"/>
  <c r="AO30" i="2"/>
  <c r="I30" i="2"/>
  <c r="AV70" i="2"/>
  <c r="AQ70" i="2"/>
  <c r="AT25" i="2"/>
  <c r="AU25" i="2"/>
  <c r="AW25" i="2" s="1"/>
  <c r="AV34" i="2"/>
  <c r="AQ34" i="2"/>
  <c r="AW50" i="2"/>
  <c r="AT36" i="2"/>
  <c r="AU36" i="2"/>
  <c r="AV82" i="2"/>
  <c r="AQ82" i="2"/>
  <c r="AQ59" i="2"/>
  <c r="AV69" i="2"/>
  <c r="AQ69" i="2"/>
  <c r="AU54" i="2"/>
  <c r="AT54" i="2"/>
  <c r="AT94" i="2"/>
  <c r="AU94" i="2"/>
  <c r="AV66" i="2"/>
  <c r="AQ66" i="2"/>
  <c r="H127" i="1"/>
  <c r="P127" i="1" s="1"/>
  <c r="R127" i="1" s="1"/>
  <c r="P128" i="1"/>
  <c r="R128" i="1" s="1"/>
  <c r="AV60" i="2"/>
  <c r="AQ60" i="2"/>
  <c r="AP42" i="2"/>
  <c r="AV42" i="2" s="1"/>
  <c r="AQ38" i="2"/>
  <c r="AT90" i="2"/>
  <c r="AV44" i="2"/>
  <c r="AQ44" i="2"/>
  <c r="AV21" i="2"/>
  <c r="AQ21" i="2"/>
  <c r="AQ12" i="2"/>
  <c r="AU47" i="2"/>
  <c r="AW47" i="2" s="1"/>
  <c r="AT47" i="2"/>
  <c r="AV80" i="2"/>
  <c r="AT30" i="2"/>
  <c r="AQ77" i="2"/>
  <c r="AT62" i="2"/>
  <c r="AU62" i="2"/>
  <c r="AW62" i="2" s="1"/>
  <c r="AQ75" i="2"/>
  <c r="AV36" i="2"/>
  <c r="AV58" i="2"/>
  <c r="AT52" i="2"/>
  <c r="AU52" i="2"/>
  <c r="AW52" i="2" s="1"/>
  <c r="AV91" i="2"/>
  <c r="AQ91" i="2"/>
  <c r="AQ86" i="2"/>
  <c r="AV79" i="2"/>
  <c r="AV78" i="2"/>
  <c r="AQ78" i="2"/>
  <c r="AU44" i="2"/>
  <c r="AT44" i="2"/>
  <c r="AV16" i="2"/>
  <c r="AQ16" i="2"/>
  <c r="AU21" i="2"/>
  <c r="AT21" i="2"/>
  <c r="G133" i="1"/>
  <c r="F131" i="1"/>
  <c r="AT42" i="2"/>
  <c r="AT88" i="2"/>
  <c r="AU88" i="2"/>
  <c r="Q90" i="2"/>
  <c r="R90" i="2" s="1"/>
  <c r="G90" i="1"/>
  <c r="AT51" i="2"/>
  <c r="AU51" i="2"/>
  <c r="AW51" i="2" s="1"/>
  <c r="AQ15" i="2"/>
  <c r="AW33" i="2"/>
  <c r="AQ53" i="2"/>
  <c r="AQ24" i="2"/>
  <c r="AU23" i="2"/>
  <c r="AT23" i="2"/>
  <c r="AV52" i="2"/>
  <c r="AQ52" i="2"/>
  <c r="AW57" i="2"/>
  <c r="AT18" i="2"/>
  <c r="AU18" i="2"/>
  <c r="AW18" i="2" s="1"/>
  <c r="AV27" i="2"/>
  <c r="AQ27" i="2"/>
  <c r="AU75" i="2"/>
  <c r="AW75" i="2" s="1"/>
  <c r="AT75" i="2"/>
  <c r="AT24" i="2"/>
  <c r="AU24" i="2"/>
  <c r="AW24" i="2" s="1"/>
  <c r="AQ49" i="2"/>
  <c r="AV64" i="2"/>
  <c r="AQ64" i="2"/>
  <c r="AV76" i="2"/>
  <c r="AQ76" i="2"/>
  <c r="AT64" i="2"/>
  <c r="AU64" i="2"/>
  <c r="AW64" i="2" s="1"/>
  <c r="AT99" i="2"/>
  <c r="AU99" i="2"/>
  <c r="AW99" i="2" s="1"/>
  <c r="AT102" i="2"/>
  <c r="AU102" i="2"/>
  <c r="AW102" i="2" s="1"/>
  <c r="AV88" i="2"/>
  <c r="AQ88" i="2"/>
  <c r="AV72" i="2"/>
  <c r="AT32" i="2"/>
  <c r="AU32" i="2"/>
  <c r="AW32" i="2" s="1"/>
  <c r="AU83" i="2"/>
  <c r="AW83" i="2" s="1"/>
  <c r="AT83" i="2"/>
  <c r="AU34" i="2"/>
  <c r="AW34" i="2" s="1"/>
  <c r="AT34" i="2"/>
  <c r="AV41" i="2"/>
  <c r="AW41" i="2" s="1"/>
  <c r="AQ41" i="2"/>
  <c r="AT92" i="2"/>
  <c r="AU92" i="2"/>
  <c r="AW92" i="2" s="1"/>
  <c r="K42" i="2"/>
  <c r="L42" i="2" s="1"/>
  <c r="E28" i="1"/>
  <c r="AV20" i="2"/>
  <c r="AQ20" i="2"/>
  <c r="AT95" i="2"/>
  <c r="AU95" i="2"/>
  <c r="AW95" i="2" s="1"/>
  <c r="AT59" i="2"/>
  <c r="AU59" i="2"/>
  <c r="AW59" i="2" s="1"/>
  <c r="AV63" i="2"/>
  <c r="AW71" i="2"/>
  <c r="AU29" i="2"/>
  <c r="AW29" i="2" s="1"/>
  <c r="AT29" i="2"/>
  <c r="AV17" i="2"/>
  <c r="AQ17" i="2"/>
  <c r="AU78" i="2"/>
  <c r="AW78" i="2" s="1"/>
  <c r="AT78" i="2"/>
  <c r="E31" i="2"/>
  <c r="P28" i="1"/>
  <c r="R28" i="1" s="1"/>
  <c r="AQ87" i="2"/>
  <c r="AT81" i="2"/>
  <c r="AU81" i="2"/>
  <c r="AW81" i="2" s="1"/>
  <c r="AT39" i="2"/>
  <c r="AU39" i="2"/>
  <c r="AW39" i="2" s="1"/>
  <c r="AU72" i="2"/>
  <c r="AT72" i="2"/>
  <c r="AT70" i="2"/>
  <c r="AU70" i="2"/>
  <c r="AQ28" i="2"/>
  <c r="AV98" i="2"/>
  <c r="AQ39" i="2"/>
  <c r="H136" i="3"/>
  <c r="G135" i="3"/>
  <c r="AT31" i="2"/>
  <c r="AU7" i="2"/>
  <c r="AT7" i="2"/>
  <c r="T90" i="2"/>
  <c r="U90" i="2" s="1"/>
  <c r="H90" i="1"/>
  <c r="AT22" i="2"/>
  <c r="AU22" i="2"/>
  <c r="AW22" i="2" s="1"/>
  <c r="AV40" i="2"/>
  <c r="AQ40" i="2"/>
  <c r="AV54" i="2"/>
  <c r="AU76" i="2"/>
  <c r="AW76" i="2" s="1"/>
  <c r="AT76" i="2"/>
  <c r="AT45" i="2"/>
  <c r="AU45" i="2"/>
  <c r="AU103" i="2"/>
  <c r="AT103" i="2"/>
  <c r="AQ19" i="2"/>
  <c r="AT66" i="2"/>
  <c r="AU66" i="2"/>
  <c r="AW66" i="2" s="1"/>
  <c r="AU26" i="2"/>
  <c r="AW26" i="2" s="1"/>
  <c r="AT26" i="2"/>
  <c r="AT60" i="2"/>
  <c r="AU60" i="2"/>
  <c r="AW60" i="2" s="1"/>
  <c r="AU40" i="2"/>
  <c r="AT40" i="2"/>
  <c r="AT68" i="2"/>
  <c r="AU68" i="2"/>
  <c r="AW68" i="2" s="1"/>
  <c r="AV102" i="2"/>
  <c r="AT93" i="2"/>
  <c r="AQ10" i="2"/>
  <c r="AT85" i="2"/>
  <c r="AU85" i="2"/>
  <c r="AW85" i="2" s="1"/>
  <c r="AQ47" i="2"/>
  <c r="P39" i="1"/>
  <c r="R39" i="1" s="1"/>
  <c r="AT35" i="2"/>
  <c r="AU35" i="2"/>
  <c r="AW35" i="2" s="1"/>
  <c r="AQ48" i="2"/>
  <c r="AV7" i="2"/>
  <c r="AQ71" i="2"/>
  <c r="AV61" i="2"/>
  <c r="AT101" i="2"/>
  <c r="AU101" i="2"/>
  <c r="AW101" i="2" s="1"/>
  <c r="AT20" i="2"/>
  <c r="AU20" i="2"/>
  <c r="AW20" i="2" s="1"/>
  <c r="AT56" i="2"/>
  <c r="AU56" i="2"/>
  <c r="AW56" i="2" s="1"/>
  <c r="AV97" i="2"/>
  <c r="AW97" i="2" s="1"/>
  <c r="AQ97" i="2"/>
  <c r="N42" i="2"/>
  <c r="O42" i="2" s="1"/>
  <c r="F28" i="1"/>
  <c r="AV56" i="2"/>
  <c r="AQ56" i="2"/>
  <c r="AW7" i="2" l="1"/>
  <c r="AW21" i="2"/>
  <c r="AW40" i="2"/>
  <c r="AW10" i="2"/>
  <c r="AW44" i="2"/>
  <c r="AW53" i="2"/>
  <c r="AW54" i="2"/>
  <c r="AW79" i="2"/>
  <c r="AW89" i="2"/>
  <c r="AW61" i="2"/>
  <c r="I136" i="3"/>
  <c r="H135" i="3"/>
  <c r="F30" i="2"/>
  <c r="AP30" i="2"/>
  <c r="AV30" i="2" s="1"/>
  <c r="H31" i="2"/>
  <c r="D87" i="1"/>
  <c r="AW80" i="2"/>
  <c r="P131" i="1"/>
  <c r="R131" i="1" s="1"/>
  <c r="AV23" i="2"/>
  <c r="AQ23" i="2"/>
  <c r="E90" i="2"/>
  <c r="P87" i="1"/>
  <c r="R87" i="1" s="1"/>
  <c r="C90" i="1"/>
  <c r="AW58" i="2"/>
  <c r="AO42" i="2"/>
  <c r="I42" i="2"/>
  <c r="H133" i="1"/>
  <c r="H131" i="1" s="1"/>
  <c r="G131" i="1"/>
  <c r="AQ30" i="2"/>
  <c r="F31" i="2"/>
  <c r="Q93" i="2"/>
  <c r="R93" i="2" s="1"/>
  <c r="G93" i="1"/>
  <c r="AW98" i="2"/>
  <c r="AW70" i="2"/>
  <c r="AW36" i="2"/>
  <c r="AW27" i="2"/>
  <c r="T93" i="2"/>
  <c r="U93" i="2" s="1"/>
  <c r="H93" i="1"/>
  <c r="AW88" i="2"/>
  <c r="AW55" i="2"/>
  <c r="AQ45" i="2"/>
  <c r="AW16" i="2"/>
  <c r="AW91" i="2"/>
  <c r="AW65" i="2"/>
  <c r="N31" i="2"/>
  <c r="O31" i="2" s="1"/>
  <c r="F87" i="1"/>
  <c r="K31" i="2"/>
  <c r="L31" i="2" s="1"/>
  <c r="E87" i="1"/>
  <c r="AW82" i="2"/>
  <c r="AW69" i="2"/>
  <c r="AW13" i="2"/>
  <c r="AW103" i="2"/>
  <c r="AW72" i="2"/>
  <c r="AW94" i="2"/>
  <c r="AW28" i="2"/>
  <c r="AW45" i="2"/>
  <c r="AW23" i="2"/>
  <c r="AU30" i="2"/>
  <c r="AW19" i="2"/>
  <c r="P133" i="1"/>
  <c r="R133" i="1" s="1"/>
  <c r="AW30" i="2" l="1"/>
  <c r="F90" i="2"/>
  <c r="T96" i="2"/>
  <c r="U96" i="2" s="1"/>
  <c r="H97" i="1"/>
  <c r="N90" i="2"/>
  <c r="O90" i="2" s="1"/>
  <c r="F90" i="1"/>
  <c r="H90" i="2"/>
  <c r="D90" i="1"/>
  <c r="Q96" i="2"/>
  <c r="R96" i="2" s="1"/>
  <c r="G97" i="1"/>
  <c r="AO31" i="2"/>
  <c r="I31" i="2"/>
  <c r="AQ42" i="2"/>
  <c r="AU42" i="2"/>
  <c r="AW42" i="2" s="1"/>
  <c r="K90" i="2"/>
  <c r="L90" i="2" s="1"/>
  <c r="E90" i="1"/>
  <c r="AP31" i="2"/>
  <c r="AV31" i="2" s="1"/>
  <c r="E93" i="2"/>
  <c r="C93" i="1"/>
  <c r="P90" i="1"/>
  <c r="R90" i="1" s="1"/>
  <c r="J136" i="3"/>
  <c r="I135" i="3"/>
  <c r="H93" i="2" l="1"/>
  <c r="D93" i="1"/>
  <c r="Q100" i="2"/>
  <c r="R100" i="2" s="1"/>
  <c r="G136" i="1"/>
  <c r="G101" i="1"/>
  <c r="Q104" i="2" s="1"/>
  <c r="R104" i="2" s="1"/>
  <c r="E96" i="2"/>
  <c r="C97" i="1"/>
  <c r="AO90" i="2"/>
  <c r="I90" i="2"/>
  <c r="F93" i="2"/>
  <c r="AP93" i="2"/>
  <c r="AV93" i="2" s="1"/>
  <c r="N93" i="2"/>
  <c r="O93" i="2" s="1"/>
  <c r="F93" i="1"/>
  <c r="AQ31" i="2"/>
  <c r="AU31" i="2"/>
  <c r="AW31" i="2" s="1"/>
  <c r="K136" i="3"/>
  <c r="J135" i="3"/>
  <c r="K93" i="2"/>
  <c r="L93" i="2" s="1"/>
  <c r="E93" i="1"/>
  <c r="P93" i="1" s="1"/>
  <c r="R93" i="1" s="1"/>
  <c r="T100" i="2"/>
  <c r="U100" i="2" s="1"/>
  <c r="H136" i="1"/>
  <c r="H101" i="1"/>
  <c r="T104" i="2" s="1"/>
  <c r="U104" i="2" s="1"/>
  <c r="AP90" i="2"/>
  <c r="AV90" i="2" s="1"/>
  <c r="E100" i="2" l="1"/>
  <c r="C136" i="1"/>
  <c r="C101" i="1"/>
  <c r="F96" i="2"/>
  <c r="K96" i="2"/>
  <c r="L96" i="2" s="1"/>
  <c r="E97" i="1"/>
  <c r="L136" i="3"/>
  <c r="K135" i="3"/>
  <c r="AQ90" i="2"/>
  <c r="AU90" i="2"/>
  <c r="AW90" i="2" s="1"/>
  <c r="N96" i="2"/>
  <c r="O96" i="2" s="1"/>
  <c r="F97" i="1"/>
  <c r="H96" i="2"/>
  <c r="D97" i="1"/>
  <c r="AO93" i="2"/>
  <c r="I93" i="2"/>
  <c r="H100" i="2" l="1"/>
  <c r="D136" i="1"/>
  <c r="D101" i="1"/>
  <c r="H104" i="2" s="1"/>
  <c r="E104" i="2"/>
  <c r="M136" i="3"/>
  <c r="L135" i="3"/>
  <c r="AP96" i="2"/>
  <c r="AV96" i="2" s="1"/>
  <c r="AO96" i="2"/>
  <c r="I96" i="2"/>
  <c r="P97" i="1"/>
  <c r="R97" i="1" s="1"/>
  <c r="K100" i="2"/>
  <c r="L100" i="2" s="1"/>
  <c r="E136" i="1"/>
  <c r="E101" i="1"/>
  <c r="K104" i="2" s="1"/>
  <c r="L104" i="2" s="1"/>
  <c r="AQ93" i="2"/>
  <c r="AU93" i="2"/>
  <c r="AW93" i="2" s="1"/>
  <c r="N100" i="2"/>
  <c r="O100" i="2" s="1"/>
  <c r="F136" i="1"/>
  <c r="F101" i="1"/>
  <c r="N104" i="2" s="1"/>
  <c r="O104" i="2" s="1"/>
  <c r="H137" i="1"/>
  <c r="F100" i="2"/>
  <c r="AP100" i="2" l="1"/>
  <c r="AV100" i="2" s="1"/>
  <c r="N136" i="3"/>
  <c r="M135" i="3"/>
  <c r="AQ96" i="2"/>
  <c r="AU96" i="2"/>
  <c r="AW96" i="2" s="1"/>
  <c r="P101" i="1"/>
  <c r="R101" i="1" s="1"/>
  <c r="F104" i="2"/>
  <c r="AP104" i="2"/>
  <c r="AV104" i="2" s="1"/>
  <c r="AO104" i="2"/>
  <c r="I104" i="2"/>
  <c r="I100" i="2"/>
  <c r="AO100" i="2"/>
  <c r="AQ100" i="2" l="1"/>
  <c r="AU100" i="2"/>
  <c r="AW100" i="2" s="1"/>
  <c r="AQ104" i="2"/>
  <c r="AU104" i="2"/>
  <c r="AW104" i="2" s="1"/>
  <c r="N135" i="3"/>
  <c r="O136" i="3"/>
  <c r="O1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" authorId="0" shapeId="0" xr:uid="{00000000-0006-0000-0200-000004000000}">
      <text>
        <r>
          <rPr>
            <sz val="10"/>
            <color rgb="FF000000"/>
            <rFont val="Arial"/>
            <scheme val="minor"/>
          </rPr>
          <t xml:space="preserve">Conafor 1.551,34 - Taxa de parcelamento paga por eles </t>
        </r>
      </text>
    </comment>
    <comment ref="J9" authorId="0" shapeId="0" xr:uid="{00000000-0006-0000-0200-000002000000}">
      <text>
        <r>
          <rPr>
            <sz val="10"/>
            <color rgb="FF000000"/>
            <rFont val="Arial"/>
            <scheme val="minor"/>
          </rPr>
          <t xml:space="preserve">-2.294,50 = taxas absorvidas dos eventos Vibe boa, BBQ Três Rios e Samba Vip que serão devolvidas aos produtores devido acordo comercial problemas no painel </t>
        </r>
      </text>
    </comment>
    <comment ref="F37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729,37 - Cashback Vitor Cardoso 2024
</t>
        </r>
      </text>
    </comment>
    <comment ref="E74" authorId="0" shapeId="0" xr:uid="{00000000-0006-0000-0200-000006000000}">
      <text>
        <r>
          <rPr>
            <sz val="10"/>
            <color rgb="FF000000"/>
            <rFont val="Arial"/>
            <scheme val="minor"/>
          </rPr>
          <t>Valor proporcional ao ano, diferença incluir em janeiro de 2026, Pipe e Huggy</t>
        </r>
      </text>
    </comment>
    <comment ref="E89" authorId="0" shapeId="0" xr:uid="{00000000-0006-0000-0200-000007000000}">
      <text>
        <r>
          <rPr>
            <sz val="10"/>
            <color rgb="FF000000"/>
            <rFont val="Arial"/>
            <scheme val="minor"/>
          </rPr>
          <t>Starlink - devolvido em cashback (VIVA GO)</t>
        </r>
      </text>
    </comment>
    <comment ref="I89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3454,18 = Rest. Tributos Rec. Fed. VR REFERENTE A RESTITUIÇÃO DO SALÁRIO MATERNIDADE 
</t>
        </r>
      </text>
    </comment>
    <comment ref="O89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Aparelhos celulares comprados devolvidos em Cashback - VIVA GO
</t>
        </r>
      </text>
    </comment>
  </commentList>
</comments>
</file>

<file path=xl/sharedStrings.xml><?xml version="1.0" encoding="utf-8"?>
<sst xmlns="http://schemas.openxmlformats.org/spreadsheetml/2006/main" count="431" uniqueCount="139">
  <si>
    <t xml:space="preserve">Demonstrativos Financeiros - 2026
Consolidado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</si>
  <si>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</si>
  <si>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</si>
  <si>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</si>
  <si>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</si>
  <si>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</si>
  <si>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</si>
  <si>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</si>
  <si>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</si>
  <si>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</si>
  <si>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</si>
  <si>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</si>
  <si>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Demonstrativos Financeiros - 2025
Consolidado </t>
  </si>
  <si>
    <t>DEZEMBRO</t>
  </si>
  <si>
    <t xml:space="preserve">1 SEM </t>
  </si>
  <si>
    <t>2 SEM</t>
  </si>
  <si>
    <t>DRE (R$)</t>
  </si>
  <si>
    <t>Receita Operacional Bruta</t>
  </si>
  <si>
    <r>
      <rPr>
        <b/>
        <sz val="11"/>
        <color rgb="FFFFFFFF"/>
        <rFont val="Mulish"/>
      </rPr>
      <t xml:space="preserve">Demonstrativos Financeiros - 2026
</t>
    </r>
    <r>
      <rPr>
        <b/>
        <sz val="8"/>
        <color rgb="FFFFFFFF"/>
        <rFont val="Mulish"/>
      </rPr>
      <t>Consolidado</t>
    </r>
  </si>
  <si>
    <t>Receita com Taxa de Vendas Online - Formaturas</t>
  </si>
  <si>
    <t>Receita com Taxa de Parcelamento Online - Formaturas</t>
  </si>
  <si>
    <t>Receita com Taxa de Vendas Online - Eventos em Geral</t>
  </si>
  <si>
    <t>Receita com Taxa de Parcelamento Online - Eventos em Geral</t>
  </si>
  <si>
    <t>Receita com Taxa de Cartão</t>
  </si>
  <si>
    <t>Receita com Taxa de Administração</t>
  </si>
  <si>
    <t>Orçado</t>
  </si>
  <si>
    <t>Realizado</t>
  </si>
  <si>
    <t>%</t>
  </si>
  <si>
    <t>Receita com Taxa de Processamento</t>
  </si>
  <si>
    <t>Receita com Taxas de Antecipação</t>
  </si>
  <si>
    <t>Receita com Locação de Equipamentos</t>
  </si>
  <si>
    <t>Receita com Licença de Uso</t>
  </si>
  <si>
    <t>Receita com Vendas de QR Codes</t>
  </si>
  <si>
    <t>Receita - Comissão Paytime</t>
  </si>
  <si>
    <t>Deduções de Receita</t>
  </si>
  <si>
    <t>Devoluções de Compra de Serviços (Chargeback)</t>
  </si>
  <si>
    <t>Devoluções de Compra (Estornos)</t>
  </si>
  <si>
    <t>Simples Nacional (DAS)</t>
  </si>
  <si>
    <t>Receita Operacional Liquida</t>
  </si>
  <si>
    <t>Custos com os Serviços Prestados</t>
  </si>
  <si>
    <t>Compras de Materia Prima</t>
  </si>
  <si>
    <t>Custo com Gateway de Pagamento</t>
  </si>
  <si>
    <t>Serviço de Mão de Obra Eventos / Suporte</t>
  </si>
  <si>
    <t>Royalties</t>
  </si>
  <si>
    <t>Compra de Serviços</t>
  </si>
  <si>
    <t>Lucro Operacional Bruto</t>
  </si>
  <si>
    <t>Despesas Operacionais</t>
  </si>
  <si>
    <t>Despesas de Vendas e Marketing</t>
  </si>
  <si>
    <t>Comissões de Vendas - Comercial</t>
  </si>
  <si>
    <t>Marketing</t>
  </si>
  <si>
    <t>Despesas de Viagens</t>
  </si>
  <si>
    <t>Cashback - Afiliados</t>
  </si>
  <si>
    <t>Cashback - Produtores</t>
  </si>
  <si>
    <t>Cashback - Franquias</t>
  </si>
  <si>
    <t>Bonificações</t>
  </si>
  <si>
    <t>Despesas com Pessoal</t>
  </si>
  <si>
    <t>Salários</t>
  </si>
  <si>
    <t>Contratados Pessoa Jurídicas</t>
  </si>
  <si>
    <t>Férias</t>
  </si>
  <si>
    <t>Rescisões</t>
  </si>
  <si>
    <t>13º Salário</t>
  </si>
  <si>
    <t>INSS</t>
  </si>
  <si>
    <t>FGTS</t>
  </si>
  <si>
    <t>IRRF</t>
  </si>
  <si>
    <t>Assistência Médica</t>
  </si>
  <si>
    <t>Refeições</t>
  </si>
  <si>
    <t>Vale Refeição</t>
  </si>
  <si>
    <t>Vale Transporte / Mobilidade</t>
  </si>
  <si>
    <t>Seguro de Vida</t>
  </si>
  <si>
    <t>Outros Benefícios</t>
  </si>
  <si>
    <t>Benefícios - Geral</t>
  </si>
  <si>
    <t>Pró Labore Sócios</t>
  </si>
  <si>
    <t>Outros ( Contribuição Sindical - PCMO, Exames...)</t>
  </si>
  <si>
    <t>Capacitação e Treinamentos</t>
  </si>
  <si>
    <t>Endomarketing</t>
  </si>
  <si>
    <t>Bônus</t>
  </si>
  <si>
    <t>Despesas Administrativas</t>
  </si>
  <si>
    <t>Aluguel</t>
  </si>
  <si>
    <t>Condomínio</t>
  </si>
  <si>
    <t>Água e Esgoto</t>
  </si>
  <si>
    <t>Energia Elétrica</t>
  </si>
  <si>
    <t>Telefonia</t>
  </si>
  <si>
    <t>Manutenção de Imobilizado</t>
  </si>
  <si>
    <t>Seguros</t>
  </si>
  <si>
    <t>IPTU</t>
  </si>
  <si>
    <t>Contabilidade</t>
  </si>
  <si>
    <t>Assessoria Administrativa</t>
  </si>
  <si>
    <t>Advogados</t>
  </si>
  <si>
    <t>Segurança</t>
  </si>
  <si>
    <t>Softwares, Sistemas e Servidores</t>
  </si>
  <si>
    <t>Fretes e Transportes em Geral</t>
  </si>
  <si>
    <t>Outras Despesas Administrativas</t>
  </si>
  <si>
    <t>Associações de classe</t>
  </si>
  <si>
    <t>Material Limpeza / Escritório / Mercado / Padaria</t>
  </si>
  <si>
    <t>Despesas Financeiras / Bancos</t>
  </si>
  <si>
    <t>Despesa com antecipação de Saldo - 2025</t>
  </si>
  <si>
    <t>Juros sobre Empréstimos</t>
  </si>
  <si>
    <t>Multas</t>
  </si>
  <si>
    <t>IOF</t>
  </si>
  <si>
    <t>Tarifas Bancárias</t>
  </si>
  <si>
    <t>Receita Financeira</t>
  </si>
  <si>
    <t>Dividendos Recebidos</t>
  </si>
  <si>
    <t>Rendimentos de Aplicações</t>
  </si>
  <si>
    <t>Lucro ou Prejuízo Operacional</t>
  </si>
  <si>
    <t>Receitas Não Operacionais</t>
  </si>
  <si>
    <t>Despesas Não Operacionais</t>
  </si>
  <si>
    <t>Resultado do Exercicio Antes IR e CS</t>
  </si>
  <si>
    <t>Comissões de Performance - CS</t>
  </si>
  <si>
    <t>IRPJ</t>
  </si>
  <si>
    <t xml:space="preserve">Contribuição Social </t>
  </si>
  <si>
    <t>Resultado Após IR e CS</t>
  </si>
  <si>
    <t>Participações</t>
  </si>
  <si>
    <t>Empregados</t>
  </si>
  <si>
    <t>Administradores</t>
  </si>
  <si>
    <t>Lucro Prejuízo do Exercicio</t>
  </si>
  <si>
    <t>Investimentos</t>
  </si>
  <si>
    <t>Eletrônicos/Eletrodomésticos</t>
  </si>
  <si>
    <t>Resultado Pós Investimento</t>
  </si>
  <si>
    <t>-</t>
  </si>
  <si>
    <t>Empréstimos</t>
  </si>
  <si>
    <t>Empréstimos Bancários</t>
  </si>
  <si>
    <t>Pagamento de Empréstimos</t>
  </si>
  <si>
    <t>Cashback - Franqueadora Viva</t>
  </si>
  <si>
    <t>Pagamento de dividendos - 2025</t>
  </si>
  <si>
    <t>V Company</t>
  </si>
  <si>
    <t>Zine</t>
  </si>
  <si>
    <t>Aportes</t>
  </si>
  <si>
    <t>FLUXO DE CAIXA</t>
  </si>
  <si>
    <t>Saldo Inicial de Caixa</t>
  </si>
  <si>
    <t>Caixa Gerado/Consumido</t>
  </si>
  <si>
    <t>Caixa Final</t>
  </si>
  <si>
    <t>APORTES ACUMULADOS</t>
  </si>
  <si>
    <t>DIVIDENDOS ACUMULADOS - a partir de 2023</t>
  </si>
  <si>
    <t>Despesa com antecipação de Saldo - 2026</t>
  </si>
  <si>
    <t>Compras de Matéria Prima</t>
  </si>
  <si>
    <t>Resultados para dividendos V Company</t>
  </si>
  <si>
    <t>Cashback - Franqueadora</t>
  </si>
  <si>
    <t>Associações de Classe</t>
  </si>
  <si>
    <t>Contribuição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</si>
</sst>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64" formatCode="0.0%"/>
    <numFmt numFmtId="165" formatCode="#,##0;\(#,##0\)"/>
    <numFmt numFmtId="166" formatCode="_-* #,##0_-;\-* #,##0_-;_-* &quot;-&quot;_-;_-@"/>
    <numFmt numFmtId="167" formatCode="_(* #,##0_);_(* \(#,##0\);_(* &quot;-&quot;??_);_(@_)"/>
    <numFmt numFmtId="168" formatCode="_(* #,##0.00_);_(* \(#,##0.00\);_(* &quot;-&quot;??.00_);_(@_)"/>
    <numFmt numFmtId="169" formatCode="_([$R$ -416]* #,##0.00_);_([$R$ -416]* \(#,##0.00\);_([$R$ -416]* &quot;-&quot;??_);_(@_)"/>
    <numFmt numFmtId="170" formatCode="[$R$ -416]#,##0.00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Mulish"/>
    </font>
    <font>
      <sz val="10"/>
      <color theme="1"/>
      <name val="Mulish"/>
    </font>
    <font>
      <sz val="10"/>
      <color theme="1"/>
      <name val="Arial"/>
    </font>
    <font>
      <b/>
      <sz val="10"/>
      <color rgb="FFFFFFFF"/>
      <name val="Mulish"/>
    </font>
    <font>
      <b/>
      <sz val="10"/>
      <color rgb="FFFFFFFF"/>
      <name val="Arial"/>
    </font>
    <font>
      <b/>
      <sz val="11"/>
      <color rgb="FFFFFFFF"/>
      <name val="Mulish"/>
    </font>
    <font>
      <sz val="10"/>
      <name val="Arial"/>
    </font>
    <font>
      <b/>
      <i/>
      <sz val="8"/>
      <color theme="1"/>
      <name val="Mulish"/>
    </font>
    <font>
      <sz val="8"/>
      <color rgb="FFFFFFFF"/>
      <name val="Mulish"/>
    </font>
    <font>
      <b/>
      <sz val="11"/>
      <color theme="1"/>
      <name val="Mulish"/>
    </font>
    <font>
      <b/>
      <u/>
      <sz val="10"/>
      <color rgb="FF1155CC"/>
      <name val="Mulish"/>
    </font>
    <font>
      <i/>
      <sz val="8"/>
      <color theme="1"/>
      <name val="Mulish"/>
    </font>
    <font>
      <b/>
      <sz val="10"/>
      <color rgb="FF111111"/>
      <name val="Mulish"/>
    </font>
    <font>
      <b/>
      <sz val="10"/>
      <color rgb="FF111111"/>
      <name val="Arial"/>
    </font>
    <font>
      <b/>
      <sz val="10"/>
      <color theme="1"/>
      <name val="Arial"/>
    </font>
    <font>
      <b/>
      <sz val="10"/>
      <color rgb="FF000000"/>
      <name val="Mulish"/>
    </font>
    <font>
      <sz val="10"/>
      <color theme="1"/>
      <name val="Calibri"/>
    </font>
    <font>
      <b/>
      <sz val="9"/>
      <color rgb="FF111111"/>
      <name val="Arial"/>
    </font>
    <font>
      <b/>
      <sz val="9"/>
      <color theme="1"/>
      <name val="Arial"/>
    </font>
    <font>
      <sz val="11"/>
      <color theme="1"/>
      <name val="Mulish"/>
    </font>
    <font>
      <b/>
      <sz val="8"/>
      <color rgb="FFFFFFFF"/>
      <name val="Mulish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782D7D"/>
        <bgColor rgb="FF782D7D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/>
    <xf numFmtId="3" fontId="2" fillId="2" borderId="1" xfId="0" applyNumberFormat="1" applyFont="1" applyFill="1" applyBorder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/>
    <xf numFmtId="4" fontId="3" fillId="0" borderId="0" xfId="0" applyNumberFormat="1" applyFont="1" applyAlignment="1"/>
    <xf numFmtId="3" fontId="2" fillId="2" borderId="1" xfId="0" applyNumberFormat="1" applyFont="1" applyFill="1" applyBorder="1" applyAlignment="1"/>
    <xf numFmtId="4" fontId="4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164" fontId="4" fillId="0" borderId="0" xfId="0" applyNumberFormat="1" applyFont="1"/>
    <xf numFmtId="165" fontId="2" fillId="0" borderId="0" xfId="0" applyNumberFormat="1" applyFont="1" applyAlignment="1">
      <alignment horizontal="right"/>
    </xf>
    <xf numFmtId="0" fontId="5" fillId="3" borderId="2" xfId="0" applyFont="1" applyFill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2" fillId="2" borderId="1" xfId="0" applyFont="1" applyFill="1" applyBorder="1"/>
    <xf numFmtId="166" fontId="3" fillId="2" borderId="1" xfId="0" applyNumberFormat="1" applyFont="1" applyFill="1" applyBorder="1"/>
    <xf numFmtId="10" fontId="4" fillId="0" borderId="0" xfId="0" applyNumberFormat="1" applyFont="1" applyAlignment="1">
      <alignment horizontal="center" vertical="center"/>
    </xf>
    <xf numFmtId="0" fontId="3" fillId="0" borderId="0" xfId="0" applyFont="1" applyAlignment="1"/>
    <xf numFmtId="166" fontId="3" fillId="0" borderId="0" xfId="0" applyNumberFormat="1" applyFont="1"/>
    <xf numFmtId="165" fontId="3" fillId="0" borderId="0" xfId="0" applyNumberFormat="1" applyFont="1" applyAlignment="1">
      <alignment horizontal="right"/>
    </xf>
    <xf numFmtId="166" fontId="3" fillId="5" borderId="1" xfId="0" applyNumberFormat="1" applyFont="1" applyFill="1" applyBorder="1"/>
    <xf numFmtId="3" fontId="6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center"/>
    </xf>
    <xf numFmtId="0" fontId="7" fillId="3" borderId="2" xfId="0" applyFont="1" applyFill="1" applyBorder="1" applyAlignment="1">
      <alignment horizontal="left" vertical="center" wrapText="1"/>
    </xf>
    <xf numFmtId="167" fontId="3" fillId="0" borderId="0" xfId="0" applyNumberFormat="1" applyFont="1" applyAlignment="1">
      <alignment horizontal="right"/>
    </xf>
    <xf numFmtId="167" fontId="3" fillId="0" borderId="0" xfId="0" applyNumberFormat="1" applyFont="1"/>
    <xf numFmtId="167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168" fontId="4" fillId="0" borderId="0" xfId="0" applyNumberFormat="1" applyFont="1"/>
    <xf numFmtId="3" fontId="2" fillId="0" borderId="0" xfId="0" applyNumberFormat="1" applyFont="1" applyAlignment="1">
      <alignment horizontal="right"/>
    </xf>
    <xf numFmtId="4" fontId="4" fillId="0" borderId="0" xfId="0" applyNumberFormat="1" applyFont="1"/>
    <xf numFmtId="3" fontId="5" fillId="3" borderId="0" xfId="0" applyNumberFormat="1" applyFont="1" applyFill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0" fontId="11" fillId="2" borderId="1" xfId="0" applyFont="1" applyFill="1" applyBorder="1" applyAlignment="1">
      <alignment horizontal="left" vertical="center"/>
    </xf>
    <xf numFmtId="166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167" fontId="3" fillId="6" borderId="0" xfId="0" applyNumberFormat="1" applyFont="1" applyFill="1" applyAlignment="1">
      <alignment horizontal="right"/>
    </xf>
    <xf numFmtId="166" fontId="11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67" fontId="3" fillId="6" borderId="0" xfId="0" applyNumberFormat="1" applyFont="1" applyFill="1" applyAlignment="1">
      <alignment horizontal="right"/>
    </xf>
    <xf numFmtId="164" fontId="11" fillId="5" borderId="0" xfId="0" applyNumberFormat="1" applyFont="1" applyFill="1" applyAlignment="1">
      <alignment horizontal="center" vertical="center"/>
    </xf>
    <xf numFmtId="167" fontId="3" fillId="6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164" fontId="2" fillId="0" borderId="0" xfId="0" applyNumberFormat="1" applyFont="1" applyAlignment="1">
      <alignment horizontal="center" vertical="center"/>
    </xf>
    <xf numFmtId="0" fontId="12" fillId="0" borderId="0" xfId="0" applyFont="1" applyAlignment="1"/>
    <xf numFmtId="167" fontId="3" fillId="0" borderId="0" xfId="0" applyNumberFormat="1" applyFont="1" applyAlignment="1"/>
    <xf numFmtId="167" fontId="3" fillId="4" borderId="0" xfId="0" applyNumberFormat="1" applyFont="1" applyFill="1" applyAlignment="1">
      <alignment horizontal="right"/>
    </xf>
    <xf numFmtId="10" fontId="13" fillId="0" borderId="0" xfId="0" applyNumberFormat="1" applyFont="1" applyAlignment="1">
      <alignment horizontal="center"/>
    </xf>
    <xf numFmtId="0" fontId="2" fillId="5" borderId="1" xfId="0" applyFont="1" applyFill="1" applyBorder="1" applyAlignment="1"/>
    <xf numFmtId="167" fontId="2" fillId="5" borderId="1" xfId="0" applyNumberFormat="1" applyFon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right"/>
    </xf>
    <xf numFmtId="167" fontId="2" fillId="5" borderId="1" xfId="0" applyNumberFormat="1" applyFont="1" applyFill="1" applyBorder="1" applyAlignment="1">
      <alignment horizontal="center"/>
    </xf>
    <xf numFmtId="0" fontId="14" fillId="0" borderId="0" xfId="0" applyFont="1" applyAlignment="1">
      <alignment wrapText="1"/>
    </xf>
    <xf numFmtId="10" fontId="4" fillId="0" borderId="0" xfId="0" applyNumberFormat="1" applyFont="1"/>
    <xf numFmtId="167" fontId="3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70" fontId="4" fillId="0" borderId="0" xfId="0" applyNumberFormat="1" applyFont="1"/>
    <xf numFmtId="165" fontId="15" fillId="0" borderId="0" xfId="0" applyNumberFormat="1" applyFont="1" applyAlignment="1">
      <alignment horizontal="right" wrapText="1"/>
    </xf>
    <xf numFmtId="167" fontId="3" fillId="4" borderId="0" xfId="0" applyNumberFormat="1" applyFont="1" applyFill="1" applyAlignment="1">
      <alignment horizontal="center"/>
    </xf>
    <xf numFmtId="0" fontId="4" fillId="7" borderId="0" xfId="0" applyFont="1" applyFill="1"/>
    <xf numFmtId="0" fontId="2" fillId="7" borderId="0" xfId="0" applyFont="1" applyFill="1" applyAlignment="1"/>
    <xf numFmtId="167" fontId="2" fillId="7" borderId="0" xfId="0" applyNumberFormat="1" applyFont="1" applyFill="1" applyAlignment="1">
      <alignment horizontal="right"/>
    </xf>
    <xf numFmtId="167" fontId="2" fillId="7" borderId="0" xfId="0" applyNumberFormat="1" applyFont="1" applyFill="1" applyAlignment="1">
      <alignment horizontal="center"/>
    </xf>
    <xf numFmtId="0" fontId="16" fillId="7" borderId="0" xfId="0" applyFont="1" applyFill="1" applyAlignment="1"/>
    <xf numFmtId="165" fontId="16" fillId="7" borderId="0" xfId="0" applyNumberFormat="1" applyFont="1" applyFill="1" applyAlignment="1">
      <alignment horizontal="right"/>
    </xf>
    <xf numFmtId="167" fontId="4" fillId="0" borderId="0" xfId="0" applyNumberFormat="1" applyFont="1"/>
    <xf numFmtId="167" fontId="3" fillId="4" borderId="0" xfId="0" applyNumberFormat="1" applyFont="1" applyFill="1" applyAlignment="1">
      <alignment horizontal="righ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17" fillId="0" borderId="0" xfId="0" applyFont="1" applyAlignment="1"/>
    <xf numFmtId="168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/>
    <xf numFmtId="167" fontId="3" fillId="0" borderId="0" xfId="0" applyNumberFormat="1" applyFont="1" applyAlignment="1"/>
    <xf numFmtId="167" fontId="3" fillId="5" borderId="1" xfId="0" applyNumberFormat="1" applyFont="1" applyFill="1" applyBorder="1"/>
    <xf numFmtId="0" fontId="2" fillId="5" borderId="1" xfId="0" applyFont="1" applyFill="1" applyBorder="1" applyAlignment="1"/>
    <xf numFmtId="167" fontId="3" fillId="5" borderId="6" xfId="0" applyNumberFormat="1" applyFont="1" applyFill="1" applyBorder="1"/>
    <xf numFmtId="167" fontId="3" fillId="0" borderId="0" xfId="0" applyNumberFormat="1" applyFont="1" applyAlignment="1">
      <alignment horizontal="right"/>
    </xf>
    <xf numFmtId="41" fontId="3" fillId="0" borderId="0" xfId="0" applyNumberFormat="1" applyFont="1" applyAlignment="1"/>
    <xf numFmtId="167" fontId="3" fillId="0" borderId="0" xfId="0" applyNumberFormat="1" applyFont="1" applyAlignment="1">
      <alignment horizontal="right"/>
    </xf>
    <xf numFmtId="165" fontId="4" fillId="0" borderId="0" xfId="0" applyNumberFormat="1" applyFont="1" applyAlignment="1"/>
    <xf numFmtId="0" fontId="4" fillId="5" borderId="1" xfId="0" applyFont="1" applyFill="1" applyBorder="1" applyAlignment="1"/>
    <xf numFmtId="167" fontId="4" fillId="5" borderId="1" xfId="0" applyNumberFormat="1" applyFont="1" applyFill="1" applyBorder="1"/>
    <xf numFmtId="0" fontId="13" fillId="0" borderId="0" xfId="0" applyFont="1" applyAlignment="1">
      <alignment horizontal="center"/>
    </xf>
    <xf numFmtId="0" fontId="18" fillId="0" borderId="0" xfId="0" applyFont="1" applyAlignment="1"/>
    <xf numFmtId="0" fontId="3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3" fontId="4" fillId="0" borderId="0" xfId="0" applyNumberFormat="1" applyFont="1"/>
    <xf numFmtId="167" fontId="2" fillId="0" borderId="0" xfId="0" applyNumberFormat="1" applyFont="1"/>
    <xf numFmtId="10" fontId="1" fillId="0" borderId="0" xfId="0" applyNumberFormat="1" applyFont="1"/>
    <xf numFmtId="0" fontId="2" fillId="5" borderId="1" xfId="0" applyFont="1" applyFill="1" applyBorder="1" applyAlignment="1">
      <alignment horizontal="left" vertical="center"/>
    </xf>
    <xf numFmtId="167" fontId="2" fillId="5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67" fontId="3" fillId="4" borderId="0" xfId="0" applyNumberFormat="1" applyFont="1" applyFill="1" applyAlignment="1">
      <alignment horizontal="right"/>
    </xf>
    <xf numFmtId="9" fontId="3" fillId="0" borderId="0" xfId="0" applyNumberFormat="1" applyFont="1" applyAlignment="1"/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67" fontId="2" fillId="2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67" fontId="3" fillId="4" borderId="0" xfId="0" applyNumberFormat="1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4" fontId="5" fillId="3" borderId="3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3" fontId="5" fillId="3" borderId="3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DRE 2025 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ORÇADO X REALIZADO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DRE 2026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P3:R4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DRE 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AO6:AX6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ORÇADO X REALIZAD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Q6:S6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DRE 2025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cs.google.com/spreadsheets/d/1M8PjJ7-Mxne2Xy5i3Q3fSE5wSDwmFQ6s5aUv2777Fx0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spreadsheets/d/1M8PjJ7-Mxne2Xy5i3Q3fSE5wSDwmFQ6s5aUv2777Fx0/edit?usp=shari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outlineLevelRow="1"/>
  <cols>
    <col min="1" max="1" width="1.85546875" customWidth="1"/>
    <col min="2" max="2" width="48.42578125" customWidth="1"/>
    <col min="3" max="11" width="10.5703125" customWidth="1"/>
    <col min="12" max="14" width="11.140625" customWidth="1"/>
    <col min="15" max="15" width="1.42578125" customWidth="1"/>
    <col min="16" max="16" width="10.5703125" customWidth="1"/>
    <col min="17" max="18" width="11.5703125" customWidth="1"/>
    <col min="19" max="19" width="6.5703125" customWidth="1"/>
  </cols>
  <sheetData>
    <row r="1" spans="1:26" ht="7.5" customHeight="1">
      <c r="B1" s="4"/>
      <c r="C1" s="4"/>
      <c r="D1" s="4"/>
      <c r="E1" s="4"/>
      <c r="F1" s="4"/>
      <c r="G1" s="4"/>
      <c r="H1" s="4"/>
      <c r="I1" s="4"/>
      <c r="J1" s="4"/>
      <c r="K1" s="10"/>
      <c r="L1" s="10"/>
      <c r="M1" s="10"/>
      <c r="N1" s="10"/>
      <c r="O1" s="4"/>
      <c r="P1" s="4"/>
      <c r="Q1" s="4"/>
      <c r="R1" s="4"/>
    </row>
    <row r="2" spans="1:26" ht="40.5" customHeight="1">
      <c r="A2" s="14"/>
      <c r="B2" s="17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13</v>
      </c>
      <c r="O2" s="20"/>
      <c r="P2" s="19" t="s">
        <v>14</v>
      </c>
      <c r="Q2" s="19" t="s">
        <v>15</v>
      </c>
      <c r="R2" s="21">
        <v>2025</v>
      </c>
      <c r="S2" s="14"/>
      <c r="T2" s="14"/>
      <c r="U2" s="14"/>
      <c r="V2" s="14"/>
      <c r="W2" s="14"/>
      <c r="X2" s="14"/>
      <c r="Y2" s="14"/>
      <c r="Z2" s="14"/>
    </row>
    <row r="3" spans="1:26" ht="12.75">
      <c r="B3" s="23" t="s">
        <v>16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7"/>
      <c r="P3" s="29"/>
      <c r="Q3" s="29"/>
      <c r="R3" s="29"/>
    </row>
    <row r="4" spans="1:26" ht="12.75">
      <c r="B4" s="13" t="s">
        <v>17</v>
      </c>
      <c r="C4" s="31">
        <f t="shared" ref="C4:H4" si="0">SUM(C5:C15)</f>
        <v>276257.97000000003</v>
      </c>
      <c r="D4" s="31">
        <f t="shared" si="0"/>
        <v>302537.98000000004</v>
      </c>
      <c r="E4" s="31">
        <f t="shared" si="0"/>
        <v>297990.92000000004</v>
      </c>
      <c r="F4" s="31">
        <f t="shared" si="0"/>
        <v>235626.88</v>
      </c>
      <c r="G4" s="31">
        <f t="shared" si="0"/>
        <v>242586.46</v>
      </c>
      <c r="H4" s="31">
        <f t="shared" si="0"/>
        <v>283604.11000000004</v>
      </c>
      <c r="I4" s="31">
        <f ca="1">IFERROR(__xludf.DUMMYFUNCTION("importrange(""1QxQzD8FYlG3qLn8OXtKW9gfO6pUDR-FCSW3X-_jPPGQ"",""'DRE 2026'!I4:N133"")"),305701.16)</f>
        <v>305701.15999999997</v>
      </c>
      <c r="J4" s="31">
        <f ca="1">IFERROR(__xludf.DUMMYFUNCTION("""COMPUTED_VALUE"""),414516.74)</f>
        <v>414516.74</v>
      </c>
      <c r="K4" s="31">
        <f ca="1">IFERROR(__xludf.DUMMYFUNCTION("""COMPUTED_VALUE"""),0)</f>
        <v>0</v>
      </c>
      <c r="L4" s="31">
        <f ca="1">IFERROR(__xludf.DUMMYFUNCTION("""COMPUTED_VALUE"""),0)</f>
        <v>0</v>
      </c>
      <c r="M4" s="31">
        <f ca="1">IFERROR(__xludf.DUMMYFUNCTION("""COMPUTED_VALUE"""),0)</f>
        <v>0</v>
      </c>
      <c r="N4" s="31">
        <f ca="1">IFERROR(__xludf.DUMMYFUNCTION("""COMPUTED_VALUE"""),0)</f>
        <v>0</v>
      </c>
      <c r="O4" s="31"/>
      <c r="P4" s="31">
        <f t="shared" ref="P4:P30" si="1">C4+D4+E4+F4+G4+H4</f>
        <v>1638604.32</v>
      </c>
      <c r="Q4" s="31">
        <f t="shared" ref="Q4:Q30" ca="1" si="2">I4+J4+K4+L4+M4+N4</f>
        <v>720217.89999999991</v>
      </c>
      <c r="R4" s="32">
        <f t="shared" ref="R4:R30" ca="1" si="3">Q4+P4</f>
        <v>2358822.2199999997</v>
      </c>
    </row>
    <row r="5" spans="1:26" ht="12.75" outlineLevel="1">
      <c r="B5" s="26" t="s">
        <v>19</v>
      </c>
      <c r="C5" s="34">
        <v>110204.65</v>
      </c>
      <c r="D5" s="34">
        <v>125561.86</v>
      </c>
      <c r="E5" s="34">
        <v>101436.85</v>
      </c>
      <c r="F5" s="34">
        <v>64504.04</v>
      </c>
      <c r="G5" s="34">
        <v>62018.63</v>
      </c>
      <c r="H5" s="34">
        <v>85436.05</v>
      </c>
      <c r="I5" s="34">
        <f ca="1">IFERROR(__xludf.DUMMYFUNCTION("""COMPUTED_VALUE"""),92571.47)</f>
        <v>92571.47</v>
      </c>
      <c r="J5" s="34">
        <f ca="1">IFERROR(__xludf.DUMMYFUNCTION("""COMPUTED_VALUE"""),146550.37)</f>
        <v>146550.37</v>
      </c>
      <c r="K5" s="34"/>
      <c r="L5" s="34"/>
      <c r="M5" s="34"/>
      <c r="N5" s="34"/>
      <c r="O5" s="35"/>
      <c r="P5" s="36">
        <f t="shared" si="1"/>
        <v>549162.07999999996</v>
      </c>
      <c r="Q5" s="36">
        <f t="shared" ca="1" si="2"/>
        <v>239121.84</v>
      </c>
      <c r="R5" s="37">
        <f t="shared" ca="1" si="3"/>
        <v>788283.91999999993</v>
      </c>
    </row>
    <row r="6" spans="1:26" ht="12.75" outlineLevel="1">
      <c r="B6" s="26" t="s">
        <v>20</v>
      </c>
      <c r="C6" s="34">
        <v>80333.42</v>
      </c>
      <c r="D6" s="34">
        <v>81422.179999999993</v>
      </c>
      <c r="E6" s="34">
        <v>72656.14</v>
      </c>
      <c r="F6" s="34">
        <v>39955.32</v>
      </c>
      <c r="G6" s="34">
        <v>42199.76</v>
      </c>
      <c r="H6" s="34">
        <v>57866.42</v>
      </c>
      <c r="I6" s="34">
        <f ca="1">IFERROR(__xludf.DUMMYFUNCTION("""COMPUTED_VALUE"""),66241.41)</f>
        <v>66241.41</v>
      </c>
      <c r="J6" s="34">
        <f ca="1">IFERROR(__xludf.DUMMYFUNCTION("""COMPUTED_VALUE"""),100191.14)</f>
        <v>100191.14</v>
      </c>
      <c r="K6" s="34"/>
      <c r="L6" s="34"/>
      <c r="M6" s="34"/>
      <c r="N6" s="34"/>
      <c r="O6" s="35"/>
      <c r="P6" s="36">
        <f t="shared" si="1"/>
        <v>374433.24</v>
      </c>
      <c r="Q6" s="36">
        <f t="shared" ca="1" si="2"/>
        <v>166432.54999999999</v>
      </c>
      <c r="R6" s="37">
        <f t="shared" ca="1" si="3"/>
        <v>540865.79</v>
      </c>
    </row>
    <row r="7" spans="1:26" ht="12.75" outlineLevel="1">
      <c r="B7" s="26" t="s">
        <v>21</v>
      </c>
      <c r="C7" s="34">
        <v>63839.69</v>
      </c>
      <c r="D7" s="34">
        <v>62635.199999999997</v>
      </c>
      <c r="E7" s="34">
        <v>88391.41</v>
      </c>
      <c r="F7" s="34">
        <v>92904.639999999999</v>
      </c>
      <c r="G7" s="34">
        <v>101577.49</v>
      </c>
      <c r="H7" s="34">
        <v>93967.24</v>
      </c>
      <c r="I7" s="34">
        <f ca="1">IFERROR(__xludf.DUMMYFUNCTION("""COMPUTED_VALUE"""),103254.14)</f>
        <v>103254.14</v>
      </c>
      <c r="J7" s="34">
        <f ca="1">IFERROR(__xludf.DUMMYFUNCTION("""COMPUTED_VALUE"""),121923.04)</f>
        <v>121923.04</v>
      </c>
      <c r="K7" s="34"/>
      <c r="L7" s="34"/>
      <c r="M7" s="34"/>
      <c r="N7" s="34"/>
      <c r="O7" s="35"/>
      <c r="P7" s="36">
        <f t="shared" si="1"/>
        <v>503315.67</v>
      </c>
      <c r="Q7" s="36">
        <f t="shared" ca="1" si="2"/>
        <v>225177.18</v>
      </c>
      <c r="R7" s="37">
        <f t="shared" ca="1" si="3"/>
        <v>728492.85</v>
      </c>
    </row>
    <row r="8" spans="1:26" ht="12.75" outlineLevel="1">
      <c r="B8" s="26" t="s">
        <v>22</v>
      </c>
      <c r="C8" s="34">
        <v>13800.06</v>
      </c>
      <c r="D8" s="34">
        <v>21745.759999999998</v>
      </c>
      <c r="E8" s="34">
        <v>25291.26</v>
      </c>
      <c r="F8" s="34">
        <v>27044.99</v>
      </c>
      <c r="G8" s="34">
        <v>22268.77</v>
      </c>
      <c r="H8" s="34">
        <v>29541.43</v>
      </c>
      <c r="I8" s="34">
        <f ca="1">IFERROR(__xludf.DUMMYFUNCTION("""COMPUTED_VALUE"""),28964.19)</f>
        <v>28964.19</v>
      </c>
      <c r="J8" s="34">
        <f ca="1">IFERROR(__xludf.DUMMYFUNCTION("""COMPUTED_VALUE"""),31761.79)</f>
        <v>31761.79</v>
      </c>
      <c r="K8" s="34"/>
      <c r="L8" s="34"/>
      <c r="M8" s="34"/>
      <c r="N8" s="34"/>
      <c r="O8" s="35"/>
      <c r="P8" s="36">
        <f t="shared" si="1"/>
        <v>139692.27000000002</v>
      </c>
      <c r="Q8" s="36">
        <f t="shared" ca="1" si="2"/>
        <v>60725.979999999996</v>
      </c>
      <c r="R8" s="37">
        <f t="shared" ca="1" si="3"/>
        <v>200418.25</v>
      </c>
    </row>
    <row r="9" spans="1:26" ht="12.75" outlineLevel="1">
      <c r="B9" s="26" t="s">
        <v>23</v>
      </c>
      <c r="C9" s="34">
        <v>2006</v>
      </c>
      <c r="D9" s="34">
        <v>3700</v>
      </c>
      <c r="E9" s="34">
        <v>2166</v>
      </c>
      <c r="F9" s="34">
        <v>2562</v>
      </c>
      <c r="G9" s="34">
        <v>4442</v>
      </c>
      <c r="H9" s="34">
        <v>2643</v>
      </c>
      <c r="I9" s="34">
        <f ca="1">IFERROR(__xludf.DUMMYFUNCTION("""COMPUTED_VALUE"""),878)</f>
        <v>878</v>
      </c>
      <c r="J9" s="34">
        <f ca="1">IFERROR(__xludf.DUMMYFUNCTION("""COMPUTED_VALUE"""),2504)</f>
        <v>2504</v>
      </c>
      <c r="K9" s="34"/>
      <c r="L9" s="34"/>
      <c r="M9" s="34"/>
      <c r="N9" s="34"/>
      <c r="O9" s="35"/>
      <c r="P9" s="36">
        <f t="shared" si="1"/>
        <v>17519</v>
      </c>
      <c r="Q9" s="36">
        <f t="shared" ca="1" si="2"/>
        <v>3382</v>
      </c>
      <c r="R9" s="37">
        <f t="shared" ca="1" si="3"/>
        <v>20901</v>
      </c>
    </row>
    <row r="10" spans="1:26" ht="12.75" outlineLevel="1">
      <c r="B10" s="26" t="s">
        <v>24</v>
      </c>
      <c r="C10" s="34">
        <v>1098.25</v>
      </c>
      <c r="D10" s="34">
        <v>1452</v>
      </c>
      <c r="E10" s="34">
        <v>1823.7</v>
      </c>
      <c r="F10" s="34">
        <v>1539.7</v>
      </c>
      <c r="G10" s="34">
        <v>1894.79</v>
      </c>
      <c r="H10" s="34">
        <v>3814.95</v>
      </c>
      <c r="I10" s="34">
        <f ca="1">IFERROR(__xludf.DUMMYFUNCTION("""COMPUTED_VALUE"""),1167.6)</f>
        <v>1167.5999999999999</v>
      </c>
      <c r="J10" s="34">
        <f ca="1">IFERROR(__xludf.DUMMYFUNCTION("""COMPUTED_VALUE"""),2062.4)</f>
        <v>2062.4</v>
      </c>
      <c r="K10" s="34"/>
      <c r="L10" s="34"/>
      <c r="M10" s="34"/>
      <c r="N10" s="34"/>
      <c r="O10" s="35"/>
      <c r="P10" s="36">
        <f t="shared" si="1"/>
        <v>11623.39</v>
      </c>
      <c r="Q10" s="36">
        <f t="shared" ca="1" si="2"/>
        <v>3230</v>
      </c>
      <c r="R10" s="37">
        <f t="shared" ca="1" si="3"/>
        <v>14853.39</v>
      </c>
    </row>
    <row r="11" spans="1:26" ht="12.75" outlineLevel="1">
      <c r="B11" s="48" t="s">
        <v>28</v>
      </c>
      <c r="C11" s="49">
        <v>4875.8999999999996</v>
      </c>
      <c r="D11" s="49">
        <v>5461.52</v>
      </c>
      <c r="E11" s="49">
        <v>5920.56</v>
      </c>
      <c r="F11" s="49">
        <v>6831.19</v>
      </c>
      <c r="G11" s="49">
        <v>7684</v>
      </c>
      <c r="H11" s="49">
        <v>10060.02</v>
      </c>
      <c r="I11" s="34">
        <f ca="1">IFERROR(__xludf.DUMMYFUNCTION("""COMPUTED_VALUE"""),11539.62)</f>
        <v>11539.62</v>
      </c>
      <c r="J11" s="34">
        <f ca="1">IFERROR(__xludf.DUMMYFUNCTION("""COMPUTED_VALUE"""),9314)</f>
        <v>9314</v>
      </c>
      <c r="K11" s="34"/>
      <c r="L11" s="34"/>
      <c r="M11" s="34"/>
      <c r="N11" s="34"/>
      <c r="O11" s="35"/>
      <c r="P11" s="36">
        <f t="shared" si="1"/>
        <v>40833.19</v>
      </c>
      <c r="Q11" s="36">
        <f t="shared" ca="1" si="2"/>
        <v>20853.620000000003</v>
      </c>
      <c r="R11" s="37">
        <f t="shared" ca="1" si="3"/>
        <v>61686.810000000005</v>
      </c>
    </row>
    <row r="12" spans="1:26" ht="12.75" outlineLevel="1">
      <c r="B12" s="26" t="s">
        <v>29</v>
      </c>
      <c r="C12" s="34">
        <v>0</v>
      </c>
      <c r="D12" s="34">
        <v>319.45999999999998</v>
      </c>
      <c r="E12" s="34">
        <v>0</v>
      </c>
      <c r="F12" s="34">
        <v>0</v>
      </c>
      <c r="G12" s="34">
        <v>327.02</v>
      </c>
      <c r="H12" s="34">
        <v>0</v>
      </c>
      <c r="I12" s="34">
        <f ca="1">IFERROR(__xludf.DUMMYFUNCTION("""COMPUTED_VALUE"""),949.73)</f>
        <v>949.73</v>
      </c>
      <c r="J12" s="34">
        <f ca="1">IFERROR(__xludf.DUMMYFUNCTION("""COMPUTED_VALUE"""),0)</f>
        <v>0</v>
      </c>
      <c r="K12" s="34"/>
      <c r="L12" s="34"/>
      <c r="M12" s="34"/>
      <c r="N12" s="34"/>
      <c r="O12" s="35"/>
      <c r="P12" s="36">
        <f t="shared" si="1"/>
        <v>646.48</v>
      </c>
      <c r="Q12" s="36">
        <f t="shared" ca="1" si="2"/>
        <v>949.73</v>
      </c>
      <c r="R12" s="37">
        <f t="shared" ca="1" si="3"/>
        <v>1596.21</v>
      </c>
    </row>
    <row r="13" spans="1:26" ht="12.75" outlineLevel="1">
      <c r="B13" s="26" t="s">
        <v>30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f ca="1">IFERROR(__xludf.DUMMYFUNCTION("""COMPUTED_VALUE"""),0)</f>
        <v>0</v>
      </c>
      <c r="J13" s="34">
        <f ca="1">IFERROR(__xludf.DUMMYFUNCTION("""COMPUTED_VALUE"""),0)</f>
        <v>0</v>
      </c>
      <c r="K13" s="34"/>
      <c r="L13" s="34"/>
      <c r="M13" s="34"/>
      <c r="N13" s="34"/>
      <c r="O13" s="35"/>
      <c r="P13" s="36">
        <f t="shared" si="1"/>
        <v>0</v>
      </c>
      <c r="Q13" s="36">
        <f t="shared" ca="1" si="2"/>
        <v>0</v>
      </c>
      <c r="R13" s="37">
        <f t="shared" ca="1" si="3"/>
        <v>0</v>
      </c>
    </row>
    <row r="14" spans="1:26" ht="12.75" outlineLevel="1">
      <c r="B14" s="26" t="s">
        <v>31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f ca="1">IFERROR(__xludf.DUMMYFUNCTION("""COMPUTED_VALUE"""),0)</f>
        <v>0</v>
      </c>
      <c r="J14" s="34">
        <f ca="1">IFERROR(__xludf.DUMMYFUNCTION("""COMPUTED_VALUE"""),0)</f>
        <v>0</v>
      </c>
      <c r="K14" s="34"/>
      <c r="L14" s="34"/>
      <c r="M14" s="34"/>
      <c r="N14" s="34"/>
      <c r="O14" s="35"/>
      <c r="P14" s="36">
        <f t="shared" si="1"/>
        <v>0</v>
      </c>
      <c r="Q14" s="36">
        <f t="shared" ca="1" si="2"/>
        <v>0</v>
      </c>
      <c r="R14" s="37">
        <f t="shared" ca="1" si="3"/>
        <v>0</v>
      </c>
    </row>
    <row r="15" spans="1:26" ht="12.75" outlineLevel="1">
      <c r="B15" s="58" t="s">
        <v>32</v>
      </c>
      <c r="C15" s="34">
        <v>100</v>
      </c>
      <c r="D15" s="34">
        <v>240</v>
      </c>
      <c r="E15" s="34">
        <v>305</v>
      </c>
      <c r="F15" s="34">
        <v>285</v>
      </c>
      <c r="G15" s="34">
        <v>174</v>
      </c>
      <c r="H15" s="34">
        <v>275</v>
      </c>
      <c r="I15" s="34">
        <f ca="1">IFERROR(__xludf.DUMMYFUNCTION("""COMPUTED_VALUE"""),135)</f>
        <v>135</v>
      </c>
      <c r="J15" s="34">
        <f ca="1">IFERROR(__xludf.DUMMYFUNCTION("""COMPUTED_VALUE"""),210)</f>
        <v>210</v>
      </c>
      <c r="K15" s="34"/>
      <c r="L15" s="34"/>
      <c r="M15" s="34"/>
      <c r="N15" s="34"/>
      <c r="O15" s="35"/>
      <c r="P15" s="36">
        <f t="shared" si="1"/>
        <v>1379</v>
      </c>
      <c r="Q15" s="36">
        <f t="shared" ca="1" si="2"/>
        <v>345</v>
      </c>
      <c r="R15" s="37">
        <f t="shared" ca="1" si="3"/>
        <v>1724</v>
      </c>
    </row>
    <row r="16" spans="1:26" ht="12.75">
      <c r="B16" s="13" t="s">
        <v>34</v>
      </c>
      <c r="C16" s="31">
        <f t="shared" ref="C16:H16" si="4">SUM(C17:C19)</f>
        <v>-40017.799999999996</v>
      </c>
      <c r="D16" s="31">
        <f t="shared" si="4"/>
        <v>-39398.19</v>
      </c>
      <c r="E16" s="31">
        <f t="shared" si="4"/>
        <v>-27355.42</v>
      </c>
      <c r="F16" s="31">
        <f t="shared" si="4"/>
        <v>-36236.729999999996</v>
      </c>
      <c r="G16" s="31">
        <f t="shared" si="4"/>
        <v>-28528.100000000002</v>
      </c>
      <c r="H16" s="31">
        <f t="shared" si="4"/>
        <v>-39028.04</v>
      </c>
      <c r="I16" s="31">
        <f ca="1">IFERROR(__xludf.DUMMYFUNCTION("""COMPUTED_VALUE"""),-43587.67)</f>
        <v>-43587.67</v>
      </c>
      <c r="J16" s="31">
        <f ca="1">IFERROR(__xludf.DUMMYFUNCTION("""COMPUTED_VALUE"""),-28063.11)</f>
        <v>-28063.11</v>
      </c>
      <c r="K16" s="31">
        <f ca="1">IFERROR(__xludf.DUMMYFUNCTION("""COMPUTED_VALUE"""),0)</f>
        <v>0</v>
      </c>
      <c r="L16" s="31">
        <f ca="1">IFERROR(__xludf.DUMMYFUNCTION("""COMPUTED_VALUE"""),0)</f>
        <v>0</v>
      </c>
      <c r="M16" s="31">
        <f ca="1">IFERROR(__xludf.DUMMYFUNCTION("""COMPUTED_VALUE"""),0)</f>
        <v>0</v>
      </c>
      <c r="N16" s="31">
        <f ca="1">IFERROR(__xludf.DUMMYFUNCTION("""COMPUTED_VALUE"""),0)</f>
        <v>0</v>
      </c>
      <c r="O16" s="35"/>
      <c r="P16" s="31">
        <f t="shared" si="1"/>
        <v>-210564.28</v>
      </c>
      <c r="Q16" s="31">
        <f t="shared" ca="1" si="2"/>
        <v>-71650.78</v>
      </c>
      <c r="R16" s="32">
        <f t="shared" ca="1" si="3"/>
        <v>-282215.06</v>
      </c>
    </row>
    <row r="17" spans="2:18" ht="12.75" outlineLevel="1">
      <c r="B17" s="61" t="s">
        <v>35</v>
      </c>
      <c r="C17" s="34">
        <v>-3999.96</v>
      </c>
      <c r="D17" s="34">
        <v>-6683.42</v>
      </c>
      <c r="E17" s="34">
        <v>-3125.48</v>
      </c>
      <c r="F17" s="34">
        <v>-6677</v>
      </c>
      <c r="G17" s="34">
        <v>-4985.4399999999996</v>
      </c>
      <c r="H17" s="34">
        <v>-5484.14</v>
      </c>
      <c r="I17" s="34">
        <f ca="1">IFERROR(__xludf.DUMMYFUNCTION("""COMPUTED_VALUE"""),-14612.15)</f>
        <v>-14612.15</v>
      </c>
      <c r="J17" s="34">
        <f ca="1">IFERROR(__xludf.DUMMYFUNCTION("""COMPUTED_VALUE"""),-19866.11)</f>
        <v>-19866.11</v>
      </c>
      <c r="K17" s="34"/>
      <c r="L17" s="34"/>
      <c r="M17" s="34"/>
      <c r="N17" s="62"/>
      <c r="O17" s="35"/>
      <c r="P17" s="36">
        <f t="shared" si="1"/>
        <v>-30955.439999999999</v>
      </c>
      <c r="Q17" s="36">
        <f t="shared" ca="1" si="2"/>
        <v>-34478.26</v>
      </c>
      <c r="R17" s="37">
        <f t="shared" ca="1" si="3"/>
        <v>-65433.7</v>
      </c>
    </row>
    <row r="18" spans="2:18" ht="12.75" outlineLevel="1">
      <c r="B18" s="26" t="s">
        <v>36</v>
      </c>
      <c r="C18" s="34">
        <v>-315</v>
      </c>
      <c r="D18" s="34">
        <v>0</v>
      </c>
      <c r="E18" s="34">
        <v>0</v>
      </c>
      <c r="F18" s="34">
        <v>0</v>
      </c>
      <c r="G18" s="34">
        <v>-368.6</v>
      </c>
      <c r="H18" s="34">
        <v>0</v>
      </c>
      <c r="I18" s="34">
        <f ca="1">IFERROR(__xludf.DUMMYFUNCTION("""COMPUTED_VALUE"""),-380)</f>
        <v>-380</v>
      </c>
      <c r="J18" s="34">
        <f ca="1">IFERROR(__xludf.DUMMYFUNCTION("""COMPUTED_VALUE"""),0)</f>
        <v>0</v>
      </c>
      <c r="K18" s="34"/>
      <c r="L18" s="34"/>
      <c r="M18" s="34"/>
      <c r="N18" s="34"/>
      <c r="O18" s="35"/>
      <c r="P18" s="31">
        <f t="shared" si="1"/>
        <v>-683.6</v>
      </c>
      <c r="Q18" s="36">
        <f t="shared" ca="1" si="2"/>
        <v>-380</v>
      </c>
      <c r="R18" s="37">
        <f t="shared" ca="1" si="3"/>
        <v>-1063.5999999999999</v>
      </c>
    </row>
    <row r="19" spans="2:18" ht="12.75" outlineLevel="1">
      <c r="B19" s="26" t="s">
        <v>37</v>
      </c>
      <c r="C19" s="63">
        <v>-35702.839999999997</v>
      </c>
      <c r="D19" s="63">
        <v>-32714.77</v>
      </c>
      <c r="E19" s="63">
        <v>-24229.94</v>
      </c>
      <c r="F19" s="63">
        <v>-29559.73</v>
      </c>
      <c r="G19" s="63">
        <v>-23174.06</v>
      </c>
      <c r="H19" s="34">
        <v>-33543.9</v>
      </c>
      <c r="I19" s="34">
        <f ca="1">IFERROR(__xludf.DUMMYFUNCTION("""COMPUTED_VALUE"""),-28595.52)</f>
        <v>-28595.52</v>
      </c>
      <c r="J19" s="34">
        <f ca="1">IFERROR(__xludf.DUMMYFUNCTION("""COMPUTED_VALUE"""),-8197)</f>
        <v>-8197</v>
      </c>
      <c r="K19" s="34"/>
      <c r="L19" s="34"/>
      <c r="M19" s="63"/>
      <c r="N19" s="62"/>
      <c r="O19" s="35"/>
      <c r="P19" s="31">
        <f t="shared" si="1"/>
        <v>-178925.24</v>
      </c>
      <c r="Q19" s="31">
        <f t="shared" ca="1" si="2"/>
        <v>-36792.520000000004</v>
      </c>
      <c r="R19" s="32">
        <f t="shared" ca="1" si="3"/>
        <v>-215717.76000000001</v>
      </c>
    </row>
    <row r="20" spans="2:18" ht="12.75">
      <c r="B20" s="65" t="s">
        <v>38</v>
      </c>
      <c r="C20" s="66">
        <f t="shared" ref="C20:H20" si="5">C16+C4</f>
        <v>236240.17000000004</v>
      </c>
      <c r="D20" s="66">
        <f t="shared" si="5"/>
        <v>263139.79000000004</v>
      </c>
      <c r="E20" s="66">
        <f t="shared" si="5"/>
        <v>270635.50000000006</v>
      </c>
      <c r="F20" s="66">
        <f t="shared" si="5"/>
        <v>199390.15000000002</v>
      </c>
      <c r="G20" s="66">
        <f t="shared" si="5"/>
        <v>214058.36</v>
      </c>
      <c r="H20" s="66">
        <f t="shared" si="5"/>
        <v>244576.07000000004</v>
      </c>
      <c r="I20" s="66">
        <f ca="1">IFERROR(__xludf.DUMMYFUNCTION("""COMPUTED_VALUE"""),262113.49)</f>
        <v>262113.49</v>
      </c>
      <c r="J20" s="66">
        <f ca="1">IFERROR(__xludf.DUMMYFUNCTION("""COMPUTED_VALUE"""),386453.63)</f>
        <v>386453.63</v>
      </c>
      <c r="K20" s="66">
        <f ca="1">IFERROR(__xludf.DUMMYFUNCTION("""COMPUTED_VALUE"""),0)</f>
        <v>0</v>
      </c>
      <c r="L20" s="66">
        <f ca="1">IFERROR(__xludf.DUMMYFUNCTION("""COMPUTED_VALUE"""),0)</f>
        <v>0</v>
      </c>
      <c r="M20" s="66">
        <f ca="1">IFERROR(__xludf.DUMMYFUNCTION("""COMPUTED_VALUE"""),0)</f>
        <v>0</v>
      </c>
      <c r="N20" s="66">
        <f ca="1">IFERROR(__xludf.DUMMYFUNCTION("""COMPUTED_VALUE"""),0)</f>
        <v>0</v>
      </c>
      <c r="O20" s="35"/>
      <c r="P20" s="66">
        <f t="shared" si="1"/>
        <v>1428040.0400000003</v>
      </c>
      <c r="Q20" s="66">
        <f t="shared" ca="1" si="2"/>
        <v>648567.12</v>
      </c>
      <c r="R20" s="68">
        <f t="shared" ca="1" si="3"/>
        <v>2076607.1600000001</v>
      </c>
    </row>
    <row r="21" spans="2:18" ht="12.75">
      <c r="B21" s="69" t="s">
        <v>39</v>
      </c>
      <c r="C21" s="31">
        <f t="shared" ref="C21:H21" si="6">SUM(C22:C26)</f>
        <v>-65505.120000000003</v>
      </c>
      <c r="D21" s="31">
        <f t="shared" si="6"/>
        <v>-73305.13</v>
      </c>
      <c r="E21" s="31">
        <f t="shared" si="6"/>
        <v>-69757.14</v>
      </c>
      <c r="F21" s="31">
        <f t="shared" si="6"/>
        <v>-56260.369999999995</v>
      </c>
      <c r="G21" s="31">
        <f t="shared" si="6"/>
        <v>-54369.770000000004</v>
      </c>
      <c r="H21" s="31">
        <f t="shared" si="6"/>
        <v>-73768.209999999992</v>
      </c>
      <c r="I21" s="31">
        <f ca="1">IFERROR(__xludf.DUMMYFUNCTION("""COMPUTED_VALUE"""),-76154.4899999999)</f>
        <v>-76154.489999999903</v>
      </c>
      <c r="J21" s="31">
        <f ca="1">IFERROR(__xludf.DUMMYFUNCTION("""COMPUTED_VALUE"""),-110740.75)</f>
        <v>-110740.75</v>
      </c>
      <c r="K21" s="31">
        <f ca="1">IFERROR(__xludf.DUMMYFUNCTION("""COMPUTED_VALUE"""),0)</f>
        <v>0</v>
      </c>
      <c r="L21" s="31">
        <f ca="1">IFERROR(__xludf.DUMMYFUNCTION("""COMPUTED_VALUE"""),0)</f>
        <v>0</v>
      </c>
      <c r="M21" s="31">
        <f ca="1">IFERROR(__xludf.DUMMYFUNCTION("""COMPUTED_VALUE"""),0)</f>
        <v>0</v>
      </c>
      <c r="N21" s="31">
        <f ca="1">IFERROR(__xludf.DUMMYFUNCTION("""COMPUTED_VALUE"""),0)</f>
        <v>0</v>
      </c>
      <c r="O21" s="35"/>
      <c r="P21" s="31">
        <f t="shared" si="1"/>
        <v>-392965.74</v>
      </c>
      <c r="Q21" s="31">
        <f t="shared" ca="1" si="2"/>
        <v>-186895.2399999999</v>
      </c>
      <c r="R21" s="32">
        <f t="shared" ca="1" si="3"/>
        <v>-579860.97999999986</v>
      </c>
    </row>
    <row r="22" spans="2:18" ht="12.75" outlineLevel="1">
      <c r="B22" s="26" t="s">
        <v>40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-3925</v>
      </c>
      <c r="I22" s="34">
        <f ca="1">IFERROR(__xludf.DUMMYFUNCTION("""COMPUTED_VALUE"""),0)</f>
        <v>0</v>
      </c>
      <c r="J22" s="71">
        <f ca="1">IFERROR(__xludf.DUMMYFUNCTION("""COMPUTED_VALUE"""),-4207.6)</f>
        <v>-4207.6000000000004</v>
      </c>
      <c r="K22" s="34"/>
      <c r="L22" s="34"/>
      <c r="M22" s="34"/>
      <c r="N22" s="34"/>
      <c r="O22" s="35"/>
      <c r="P22" s="35">
        <f t="shared" si="1"/>
        <v>-3925</v>
      </c>
      <c r="Q22" s="35">
        <f t="shared" ca="1" si="2"/>
        <v>-4207.6000000000004</v>
      </c>
      <c r="R22" s="37">
        <f t="shared" ca="1" si="3"/>
        <v>-8132.6</v>
      </c>
    </row>
    <row r="23" spans="2:18" ht="12.75" outlineLevel="1">
      <c r="B23" s="26" t="s">
        <v>41</v>
      </c>
      <c r="C23" s="34">
        <v>-43699.12</v>
      </c>
      <c r="D23" s="34">
        <v>-50149.13</v>
      </c>
      <c r="E23" s="34">
        <v>-45278.14</v>
      </c>
      <c r="F23" s="34">
        <v>-32563.37</v>
      </c>
      <c r="G23" s="34">
        <v>-32399.77</v>
      </c>
      <c r="H23" s="34">
        <v>-46697.21</v>
      </c>
      <c r="I23" s="34">
        <f ca="1">IFERROR(__xludf.DUMMYFUNCTION("""COMPUTED_VALUE"""),-50637.49)</f>
        <v>-50637.49</v>
      </c>
      <c r="J23" s="37">
        <f ca="1">IFERROR(__xludf.DUMMYFUNCTION("""COMPUTED_VALUE"""),-77538.64)</f>
        <v>-77538.64</v>
      </c>
      <c r="K23" s="71"/>
      <c r="L23" s="71"/>
      <c r="M23" s="71"/>
      <c r="N23" s="62"/>
      <c r="O23" s="35"/>
      <c r="P23" s="36">
        <f t="shared" si="1"/>
        <v>-250786.74</v>
      </c>
      <c r="Q23" s="36">
        <f t="shared" ca="1" si="2"/>
        <v>-128176.13</v>
      </c>
      <c r="R23" s="37">
        <f t="shared" ca="1" si="3"/>
        <v>-378962.87</v>
      </c>
    </row>
    <row r="24" spans="2:18" ht="12.75" outlineLevel="1">
      <c r="B24" s="26" t="s">
        <v>42</v>
      </c>
      <c r="C24" s="34">
        <v>-2300</v>
      </c>
      <c r="D24" s="34">
        <v>-2150</v>
      </c>
      <c r="E24" s="34">
        <v>-2600</v>
      </c>
      <c r="F24" s="34">
        <v>-4800</v>
      </c>
      <c r="G24" s="34">
        <v>-1800</v>
      </c>
      <c r="H24" s="34">
        <v>-1800</v>
      </c>
      <c r="I24" s="34">
        <f ca="1">IFERROR(__xludf.DUMMYFUNCTION("""COMPUTED_VALUE"""),-1750)</f>
        <v>-1750</v>
      </c>
      <c r="J24" s="71">
        <f ca="1">IFERROR(__xludf.DUMMYFUNCTION("""COMPUTED_VALUE"""),-3600)</f>
        <v>-3600</v>
      </c>
      <c r="K24" s="71"/>
      <c r="L24" s="71"/>
      <c r="M24" s="71"/>
      <c r="N24" s="62"/>
      <c r="O24" s="35"/>
      <c r="P24" s="36">
        <f t="shared" si="1"/>
        <v>-15450</v>
      </c>
      <c r="Q24" s="36">
        <f t="shared" ca="1" si="2"/>
        <v>-5350</v>
      </c>
      <c r="R24" s="37">
        <f t="shared" ca="1" si="3"/>
        <v>-20800</v>
      </c>
    </row>
    <row r="25" spans="2:18" ht="12.75" outlineLevel="1">
      <c r="B25" s="26" t="s">
        <v>43</v>
      </c>
      <c r="C25" s="63">
        <v>-19506</v>
      </c>
      <c r="D25" s="34">
        <v>-21006</v>
      </c>
      <c r="E25" s="34">
        <v>-21879</v>
      </c>
      <c r="F25" s="34">
        <v>-18897</v>
      </c>
      <c r="G25" s="34">
        <v>-20170</v>
      </c>
      <c r="H25" s="34">
        <v>-21346</v>
      </c>
      <c r="I25" s="34">
        <f ca="1">IFERROR(__xludf.DUMMYFUNCTION("""COMPUTED_VALUE"""),-23767)</f>
        <v>-23767</v>
      </c>
      <c r="J25" s="71">
        <f ca="1">IFERROR(__xludf.DUMMYFUNCTION("""COMPUTED_VALUE"""),-25394.51)</f>
        <v>-25394.51</v>
      </c>
      <c r="K25" s="75"/>
      <c r="L25" s="71"/>
      <c r="M25" s="71"/>
      <c r="N25" s="62"/>
      <c r="O25" s="35"/>
      <c r="P25" s="36">
        <f t="shared" si="1"/>
        <v>-122804</v>
      </c>
      <c r="Q25" s="36">
        <f t="shared" ca="1" si="2"/>
        <v>-49161.509999999995</v>
      </c>
      <c r="R25" s="37">
        <f t="shared" ca="1" si="3"/>
        <v>-171965.51</v>
      </c>
    </row>
    <row r="26" spans="2:18" ht="12.75" outlineLevel="1">
      <c r="B26" s="26" t="s">
        <v>44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f ca="1">IFERROR(__xludf.DUMMYFUNCTION("""COMPUTED_VALUE"""),0)</f>
        <v>0</v>
      </c>
      <c r="J26" s="34">
        <f ca="1">IFERROR(__xludf.DUMMYFUNCTION("""COMPUTED_VALUE"""),0)</f>
        <v>0</v>
      </c>
      <c r="K26" s="34"/>
      <c r="L26" s="34"/>
      <c r="M26" s="34"/>
      <c r="N26" s="34"/>
      <c r="O26" s="35"/>
      <c r="P26" s="36">
        <f t="shared" si="1"/>
        <v>0</v>
      </c>
      <c r="Q26" s="36">
        <f t="shared" ca="1" si="2"/>
        <v>0</v>
      </c>
      <c r="R26" s="37">
        <f t="shared" ca="1" si="3"/>
        <v>0</v>
      </c>
    </row>
    <row r="27" spans="2:18" ht="12.75">
      <c r="B27" s="65" t="s">
        <v>45</v>
      </c>
      <c r="C27" s="66">
        <f t="shared" ref="C27:H27" si="7">C20+C21</f>
        <v>170735.05000000005</v>
      </c>
      <c r="D27" s="66">
        <f t="shared" si="7"/>
        <v>189834.66000000003</v>
      </c>
      <c r="E27" s="66">
        <f t="shared" si="7"/>
        <v>200878.36000000004</v>
      </c>
      <c r="F27" s="66">
        <f t="shared" si="7"/>
        <v>143129.78000000003</v>
      </c>
      <c r="G27" s="66">
        <f t="shared" si="7"/>
        <v>159688.58999999997</v>
      </c>
      <c r="H27" s="66">
        <f t="shared" si="7"/>
        <v>170807.86000000004</v>
      </c>
      <c r="I27" s="66">
        <f ca="1">IFERROR(__xludf.DUMMYFUNCTION("""COMPUTED_VALUE"""),185959)</f>
        <v>185959</v>
      </c>
      <c r="J27" s="66">
        <f ca="1">IFERROR(__xludf.DUMMYFUNCTION("""COMPUTED_VALUE"""),275712.88)</f>
        <v>275712.88</v>
      </c>
      <c r="K27" s="66">
        <f ca="1">IFERROR(__xludf.DUMMYFUNCTION("""COMPUTED_VALUE"""),0)</f>
        <v>0</v>
      </c>
      <c r="L27" s="66">
        <f ca="1">IFERROR(__xludf.DUMMYFUNCTION("""COMPUTED_VALUE"""),0)</f>
        <v>0</v>
      </c>
      <c r="M27" s="66">
        <f ca="1">IFERROR(__xludf.DUMMYFUNCTION("""COMPUTED_VALUE"""),0)</f>
        <v>0</v>
      </c>
      <c r="N27" s="66">
        <f ca="1">IFERROR(__xludf.DUMMYFUNCTION("""COMPUTED_VALUE"""),0)</f>
        <v>0</v>
      </c>
      <c r="O27" s="35"/>
      <c r="P27" s="66">
        <f t="shared" si="1"/>
        <v>1035074.3</v>
      </c>
      <c r="Q27" s="66">
        <f t="shared" ca="1" si="2"/>
        <v>461671.88</v>
      </c>
      <c r="R27" s="68">
        <f t="shared" ca="1" si="3"/>
        <v>1496746.1800000002</v>
      </c>
    </row>
    <row r="28" spans="2:18" ht="12.75">
      <c r="B28" s="77" t="s">
        <v>46</v>
      </c>
      <c r="C28" s="78">
        <f t="shared" ref="C28:H28" si="8">C29+C39+C60+C78</f>
        <v>-112856.77306169999</v>
      </c>
      <c r="D28" s="78">
        <f t="shared" si="8"/>
        <v>-116364.79071340001</v>
      </c>
      <c r="E28" s="78">
        <f t="shared" si="8"/>
        <v>-94723.738183199996</v>
      </c>
      <c r="F28" s="78">
        <f t="shared" si="8"/>
        <v>-127896.34572530001</v>
      </c>
      <c r="G28" s="78">
        <f t="shared" si="8"/>
        <v>-87178.468221100004</v>
      </c>
      <c r="H28" s="78">
        <f t="shared" si="8"/>
        <v>-79811.647224700006</v>
      </c>
      <c r="I28" s="78">
        <f ca="1">IFERROR(__xludf.DUMMYFUNCTION("""COMPUTED_VALUE"""),-133299.7567664)</f>
        <v>-133299.75676640001</v>
      </c>
      <c r="J28" s="78">
        <f ca="1">IFERROR(__xludf.DUMMYFUNCTION("""COMPUTED_VALUE"""),-121493.3609235)</f>
        <v>-121493.3609235</v>
      </c>
      <c r="K28" s="78">
        <f ca="1">IFERROR(__xludf.DUMMYFUNCTION("""COMPUTED_VALUE"""),0)</f>
        <v>0</v>
      </c>
      <c r="L28" s="78">
        <f ca="1">IFERROR(__xludf.DUMMYFUNCTION("""COMPUTED_VALUE"""),0)</f>
        <v>0</v>
      </c>
      <c r="M28" s="78">
        <f ca="1">IFERROR(__xludf.DUMMYFUNCTION("""COMPUTED_VALUE"""),0)</f>
        <v>0</v>
      </c>
      <c r="N28" s="78">
        <f ca="1">IFERROR(__xludf.DUMMYFUNCTION("""COMPUTED_VALUE"""),0)</f>
        <v>0</v>
      </c>
      <c r="O28" s="35"/>
      <c r="P28" s="78">
        <f t="shared" si="1"/>
        <v>-618831.76312939997</v>
      </c>
      <c r="Q28" s="78">
        <f t="shared" ca="1" si="2"/>
        <v>-254793.11768990001</v>
      </c>
      <c r="R28" s="79">
        <f t="shared" ca="1" si="3"/>
        <v>-873624.88081929996</v>
      </c>
    </row>
    <row r="29" spans="2:18" ht="15" customHeight="1">
      <c r="B29" s="13" t="s">
        <v>47</v>
      </c>
      <c r="C29" s="31">
        <f t="shared" ref="C29:H29" si="9">SUM(C30:C38)</f>
        <v>-41486.490000000005</v>
      </c>
      <c r="D29" s="31">
        <f t="shared" si="9"/>
        <v>-44933.630000000005</v>
      </c>
      <c r="E29" s="31">
        <f t="shared" si="9"/>
        <v>-31323.43</v>
      </c>
      <c r="F29" s="31">
        <f t="shared" si="9"/>
        <v>-60289.29</v>
      </c>
      <c r="G29" s="31">
        <f t="shared" si="9"/>
        <v>-31299.56</v>
      </c>
      <c r="H29" s="31">
        <f t="shared" si="9"/>
        <v>-24522.11</v>
      </c>
      <c r="I29" s="31">
        <f ca="1">IFERROR(__xludf.DUMMYFUNCTION("""COMPUTED_VALUE"""),-44614.36)</f>
        <v>-44614.36</v>
      </c>
      <c r="J29" s="31">
        <f ca="1">IFERROR(__xludf.DUMMYFUNCTION("""COMPUTED_VALUE"""),-50519.15)</f>
        <v>-50519.15</v>
      </c>
      <c r="K29" s="31">
        <f ca="1">IFERROR(__xludf.DUMMYFUNCTION("""COMPUTED_VALUE"""),0)</f>
        <v>0</v>
      </c>
      <c r="L29" s="31">
        <f ca="1">IFERROR(__xludf.DUMMYFUNCTION("""COMPUTED_VALUE"""),0)</f>
        <v>0</v>
      </c>
      <c r="M29" s="31">
        <f ca="1">IFERROR(__xludf.DUMMYFUNCTION("""COMPUTED_VALUE"""),0)</f>
        <v>0</v>
      </c>
      <c r="N29" s="31">
        <f ca="1">IFERROR(__xludf.DUMMYFUNCTION("""COMPUTED_VALUE"""),0)</f>
        <v>0</v>
      </c>
      <c r="O29" s="35"/>
      <c r="P29" s="31">
        <f t="shared" si="1"/>
        <v>-233854.51</v>
      </c>
      <c r="Q29" s="31">
        <f t="shared" ca="1" si="2"/>
        <v>-95133.510000000009</v>
      </c>
      <c r="R29" s="32">
        <f t="shared" ca="1" si="3"/>
        <v>-328988.02</v>
      </c>
    </row>
    <row r="30" spans="2:18" ht="12.75" outlineLevel="1">
      <c r="B30" s="26" t="s">
        <v>48</v>
      </c>
      <c r="C30" s="34">
        <v>-1451.13</v>
      </c>
      <c r="D30" s="34">
        <v>-2288.75</v>
      </c>
      <c r="E30" s="34">
        <v>-1783.99</v>
      </c>
      <c r="F30" s="34">
        <v>-9302.58</v>
      </c>
      <c r="G30" s="34">
        <v>-2014.09</v>
      </c>
      <c r="H30" s="63">
        <v>-233.43</v>
      </c>
      <c r="I30" s="34">
        <f ca="1">IFERROR(__xludf.DUMMYFUNCTION("""COMPUTED_VALUE"""),-84.75)</f>
        <v>-84.75</v>
      </c>
      <c r="J30" s="71">
        <f ca="1">IFERROR(__xludf.DUMMYFUNCTION("""COMPUTED_VALUE"""),-390.18)</f>
        <v>-390.18</v>
      </c>
      <c r="K30" s="34"/>
      <c r="L30" s="34"/>
      <c r="M30" s="34"/>
      <c r="N30" s="34"/>
      <c r="O30" s="35"/>
      <c r="P30" s="36">
        <f t="shared" si="1"/>
        <v>-17073.97</v>
      </c>
      <c r="Q30" s="36">
        <f t="shared" ca="1" si="2"/>
        <v>-474.93</v>
      </c>
      <c r="R30" s="37">
        <f t="shared" ca="1" si="3"/>
        <v>-17548.900000000001</v>
      </c>
    </row>
    <row r="31" spans="2:18" ht="12.75" outlineLevel="1">
      <c r="B31" s="58" t="s">
        <v>107</v>
      </c>
      <c r="C31" s="49">
        <v>-8204.25</v>
      </c>
      <c r="D31" s="49">
        <v>0</v>
      </c>
      <c r="E31" s="49">
        <v>0</v>
      </c>
      <c r="F31" s="49">
        <v>-12208.85</v>
      </c>
      <c r="G31" s="49">
        <v>0</v>
      </c>
      <c r="H31" s="49">
        <v>0</v>
      </c>
      <c r="I31" s="34">
        <f ca="1">IFERROR(__xludf.DUMMYFUNCTION("""COMPUTED_VALUE"""),-3390.02)</f>
        <v>-3390.02</v>
      </c>
      <c r="J31" s="34">
        <f ca="1">IFERROR(__xludf.DUMMYFUNCTION("""COMPUTED_VALUE"""),0)</f>
        <v>0</v>
      </c>
      <c r="K31" s="34"/>
      <c r="L31" s="34"/>
      <c r="M31" s="34"/>
      <c r="N31" s="34"/>
      <c r="O31" s="35"/>
      <c r="P31" s="36"/>
      <c r="Q31" s="36"/>
      <c r="R31" s="37"/>
    </row>
    <row r="32" spans="2:18" ht="12.75" outlineLevel="1">
      <c r="B32" s="26" t="s">
        <v>49</v>
      </c>
      <c r="C32" s="34">
        <v>-15649</v>
      </c>
      <c r="D32" s="34">
        <v>-2000</v>
      </c>
      <c r="E32" s="34">
        <v>-2000</v>
      </c>
      <c r="F32" s="34">
        <v>-4719</v>
      </c>
      <c r="G32" s="34">
        <v>-12102.08</v>
      </c>
      <c r="H32" s="63">
        <v>-2752.3599999999997</v>
      </c>
      <c r="I32" s="34">
        <f ca="1">IFERROR(__xludf.DUMMYFUNCTION("""COMPUTED_VALUE"""),-3402.36)</f>
        <v>-3402.36</v>
      </c>
      <c r="J32" s="34">
        <f ca="1">IFERROR(__xludf.DUMMYFUNCTION("""COMPUTED_VALUE"""),-4629.67)</f>
        <v>-4629.67</v>
      </c>
      <c r="K32" s="34"/>
      <c r="L32" s="34"/>
      <c r="M32" s="34"/>
      <c r="N32" s="34"/>
      <c r="O32" s="35"/>
      <c r="P32" s="36">
        <f t="shared" ref="P32:P36" si="10">C32+D32+E32+F32+G32+H32</f>
        <v>-39222.44</v>
      </c>
      <c r="Q32" s="36">
        <f t="shared" ref="Q32:Q36" ca="1" si="11">I32+J32+K32+L32+M32+N32</f>
        <v>-8032.0300000000007</v>
      </c>
      <c r="R32" s="37">
        <f t="shared" ref="R32:R36" ca="1" si="12">Q32+P32</f>
        <v>-47254.47</v>
      </c>
    </row>
    <row r="33" spans="2:18" ht="12.75" outlineLevel="1">
      <c r="B33" s="26" t="s">
        <v>50</v>
      </c>
      <c r="C33" s="34">
        <v>0</v>
      </c>
      <c r="D33" s="34">
        <v>-5024.12</v>
      </c>
      <c r="E33" s="34">
        <v>-1124.9100000000001</v>
      </c>
      <c r="F33" s="34">
        <v>-3559.8</v>
      </c>
      <c r="G33" s="34">
        <v>-580.01</v>
      </c>
      <c r="H33" s="34">
        <v>-1466.5</v>
      </c>
      <c r="I33" s="34">
        <f ca="1">IFERROR(__xludf.DUMMYFUNCTION("""COMPUTED_VALUE"""),0)</f>
        <v>0</v>
      </c>
      <c r="J33" s="71">
        <f ca="1">IFERROR(__xludf.DUMMYFUNCTION("""COMPUTED_VALUE"""),0)</f>
        <v>0</v>
      </c>
      <c r="K33" s="34"/>
      <c r="L33" s="34"/>
      <c r="M33" s="34"/>
      <c r="N33" s="34"/>
      <c r="O33" s="35"/>
      <c r="P33" s="36">
        <f t="shared" si="10"/>
        <v>-11755.34</v>
      </c>
      <c r="Q33" s="36">
        <f t="shared" ca="1" si="11"/>
        <v>0</v>
      </c>
      <c r="R33" s="37">
        <f t="shared" ca="1" si="12"/>
        <v>-11755.34</v>
      </c>
    </row>
    <row r="34" spans="2:18" ht="12.75" outlineLevel="1">
      <c r="B34" s="26" t="s">
        <v>51</v>
      </c>
      <c r="C34" s="34">
        <v>-553.65</v>
      </c>
      <c r="D34" s="34">
        <v>-3109.05</v>
      </c>
      <c r="E34" s="34">
        <v>-3018.19</v>
      </c>
      <c r="F34" s="34">
        <f>-3230.07-342.55</f>
        <v>-3572.6200000000003</v>
      </c>
      <c r="G34" s="34">
        <v>-3821.33</v>
      </c>
      <c r="H34" s="34">
        <v>-1769.13</v>
      </c>
      <c r="I34" s="34">
        <f ca="1">IFERROR(__xludf.DUMMYFUNCTION("""COMPUTED_VALUE"""),-5015.91)</f>
        <v>-5015.91</v>
      </c>
      <c r="J34" s="34">
        <f ca="1">IFERROR(__xludf.DUMMYFUNCTION("""COMPUTED_VALUE"""),-1762.39)</f>
        <v>-1762.39</v>
      </c>
      <c r="K34" s="34"/>
      <c r="L34" s="34"/>
      <c r="M34" s="34"/>
      <c r="N34" s="34"/>
      <c r="O34" s="35"/>
      <c r="P34" s="36">
        <f t="shared" si="10"/>
        <v>-15843.970000000001</v>
      </c>
      <c r="Q34" s="36">
        <f t="shared" ca="1" si="11"/>
        <v>-6778.3</v>
      </c>
      <c r="R34" s="37">
        <f t="shared" ca="1" si="12"/>
        <v>-22622.27</v>
      </c>
    </row>
    <row r="35" spans="2:18" ht="12.75" outlineLevel="1">
      <c r="B35" s="26" t="s">
        <v>52</v>
      </c>
      <c r="C35" s="34">
        <v>-4571.17</v>
      </c>
      <c r="D35" s="34">
        <v>-21204.02</v>
      </c>
      <c r="E35" s="34">
        <v>-10487.02</v>
      </c>
      <c r="F35" s="34">
        <f>-10315.37-8464.81</f>
        <v>-18780.18</v>
      </c>
      <c r="G35" s="34">
        <v>-6501.84</v>
      </c>
      <c r="H35" s="34">
        <v>-7321.28</v>
      </c>
      <c r="I35" s="34">
        <f ca="1">IFERROR(__xludf.DUMMYFUNCTION("""COMPUTED_VALUE"""),-9750.44)</f>
        <v>-9750.44</v>
      </c>
      <c r="J35" s="34">
        <f ca="1">IFERROR(__xludf.DUMMYFUNCTION("""COMPUTED_VALUE"""),-13677.71)</f>
        <v>-13677.71</v>
      </c>
      <c r="K35" s="34"/>
      <c r="L35" s="34"/>
      <c r="M35" s="34"/>
      <c r="N35" s="34"/>
      <c r="O35" s="35"/>
      <c r="P35" s="36">
        <f t="shared" si="10"/>
        <v>-68865.510000000009</v>
      </c>
      <c r="Q35" s="36">
        <f t="shared" ca="1" si="11"/>
        <v>-23428.15</v>
      </c>
      <c r="R35" s="37">
        <f t="shared" ca="1" si="12"/>
        <v>-92293.66</v>
      </c>
    </row>
    <row r="36" spans="2:18" ht="12.75" outlineLevel="1">
      <c r="B36" s="26" t="s">
        <v>53</v>
      </c>
      <c r="C36" s="34">
        <v>-11057.29</v>
      </c>
      <c r="D36" s="34">
        <v>-11307.69</v>
      </c>
      <c r="E36" s="34">
        <v>-12909.32</v>
      </c>
      <c r="F36" s="34">
        <v>-8146.26</v>
      </c>
      <c r="G36" s="34">
        <v>-6280.21</v>
      </c>
      <c r="H36" s="63">
        <v>-10979.41</v>
      </c>
      <c r="I36" s="34">
        <f ca="1">IFERROR(__xludf.DUMMYFUNCTION("""COMPUTED_VALUE"""),-11485.44)</f>
        <v>-11485.44</v>
      </c>
      <c r="J36" s="34">
        <f ca="1">IFERROR(__xludf.DUMMYFUNCTION("""COMPUTED_VALUE"""),-15029.6)</f>
        <v>-15029.6</v>
      </c>
      <c r="K36" s="34"/>
      <c r="L36" s="34"/>
      <c r="M36" s="34"/>
      <c r="N36" s="34"/>
      <c r="O36" s="35"/>
      <c r="P36" s="36">
        <f t="shared" si="10"/>
        <v>-60680.180000000008</v>
      </c>
      <c r="Q36" s="36">
        <f t="shared" ca="1" si="11"/>
        <v>-26515.040000000001</v>
      </c>
      <c r="R36" s="37">
        <f t="shared" ca="1" si="12"/>
        <v>-87195.22</v>
      </c>
    </row>
    <row r="37" spans="2:18" ht="12.75" outlineLevel="1">
      <c r="B37" s="58" t="s">
        <v>122</v>
      </c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34">
        <f ca="1">IFERROR(__xludf.DUMMYFUNCTION("""COMPUTED_VALUE"""),-11485.44)</f>
        <v>-11485.44</v>
      </c>
      <c r="J37" s="34">
        <f ca="1">IFERROR(__xludf.DUMMYFUNCTION("""COMPUTED_VALUE"""),-15029.6)</f>
        <v>-15029.6</v>
      </c>
      <c r="K37" s="34"/>
      <c r="L37" s="34"/>
      <c r="M37" s="34"/>
      <c r="N37" s="34"/>
      <c r="O37" s="35"/>
      <c r="P37" s="36"/>
      <c r="Q37" s="36"/>
      <c r="R37" s="37"/>
    </row>
    <row r="38" spans="2:18" ht="12.75" outlineLevel="1">
      <c r="B38" s="26" t="s">
        <v>54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f ca="1">IFERROR(__xludf.DUMMYFUNCTION("""COMPUTED_VALUE"""),0)</f>
        <v>0</v>
      </c>
      <c r="J38" s="34">
        <f ca="1">IFERROR(__xludf.DUMMYFUNCTION("""COMPUTED_VALUE"""),0)</f>
        <v>0</v>
      </c>
      <c r="K38" s="34">
        <f ca="1">IFERROR(__xludf.DUMMYFUNCTION("""COMPUTED_VALUE"""),0)</f>
        <v>0</v>
      </c>
      <c r="L38" s="34">
        <f ca="1">IFERROR(__xludf.DUMMYFUNCTION("""COMPUTED_VALUE"""),0)</f>
        <v>0</v>
      </c>
      <c r="M38" s="34">
        <f ca="1">IFERROR(__xludf.DUMMYFUNCTION("""COMPUTED_VALUE"""),0)</f>
        <v>0</v>
      </c>
      <c r="N38" s="34">
        <f ca="1">IFERROR(__xludf.DUMMYFUNCTION("""COMPUTED_VALUE"""),0)</f>
        <v>0</v>
      </c>
      <c r="O38" s="35"/>
      <c r="P38" s="36">
        <f t="shared" ref="P38:P101" si="13">C38+D38+E38+F38+G38+H38</f>
        <v>0</v>
      </c>
      <c r="Q38" s="36">
        <f t="shared" ref="Q38:Q101" ca="1" si="14">I38+J38+K38+L38+M38+N38</f>
        <v>0</v>
      </c>
      <c r="R38" s="37">
        <f t="shared" ref="R38:R101" ca="1" si="15">Q38+P38</f>
        <v>0</v>
      </c>
    </row>
    <row r="39" spans="2:18" ht="12.75">
      <c r="B39" s="13" t="s">
        <v>55</v>
      </c>
      <c r="C39" s="31">
        <f t="shared" ref="C39:H39" si="16">SUM(C40:C59)</f>
        <v>-55626.043061700002</v>
      </c>
      <c r="D39" s="31">
        <f t="shared" si="16"/>
        <v>-46514.460713399996</v>
      </c>
      <c r="E39" s="31">
        <f t="shared" si="16"/>
        <v>-48975.558183199995</v>
      </c>
      <c r="F39" s="31">
        <f t="shared" si="16"/>
        <v>-56419.865725300006</v>
      </c>
      <c r="G39" s="31">
        <f t="shared" si="16"/>
        <v>-46331.018221100006</v>
      </c>
      <c r="H39" s="31">
        <f t="shared" si="16"/>
        <v>-44563.497224699997</v>
      </c>
      <c r="I39" s="31">
        <f ca="1">IFERROR(__xludf.DUMMYFUNCTION("""COMPUTED_VALUE"""),-76280.2267664)</f>
        <v>-76280.226766399996</v>
      </c>
      <c r="J39" s="31">
        <f ca="1">IFERROR(__xludf.DUMMYFUNCTION("""COMPUTED_VALUE"""),-57932.4209235)</f>
        <v>-57932.420923500002</v>
      </c>
      <c r="K39" s="31">
        <f ca="1">IFERROR(__xludf.DUMMYFUNCTION("""COMPUTED_VALUE"""),0)</f>
        <v>0</v>
      </c>
      <c r="L39" s="31">
        <f ca="1">IFERROR(__xludf.DUMMYFUNCTION("""COMPUTED_VALUE"""),0)</f>
        <v>0</v>
      </c>
      <c r="M39" s="31">
        <f ca="1">IFERROR(__xludf.DUMMYFUNCTION("""COMPUTED_VALUE"""),0)</f>
        <v>0</v>
      </c>
      <c r="N39" s="31">
        <f ca="1">IFERROR(__xludf.DUMMYFUNCTION("""COMPUTED_VALUE"""),0)</f>
        <v>0</v>
      </c>
      <c r="O39" s="35"/>
      <c r="P39" s="31">
        <f t="shared" si="13"/>
        <v>-298430.44312940002</v>
      </c>
      <c r="Q39" s="31">
        <f t="shared" ca="1" si="14"/>
        <v>-134212.64768990001</v>
      </c>
      <c r="R39" s="32">
        <f t="shared" ca="1" si="15"/>
        <v>-432643.09081930004</v>
      </c>
    </row>
    <row r="40" spans="2:18" ht="12.75" outlineLevel="1">
      <c r="B40" s="26" t="s">
        <v>56</v>
      </c>
      <c r="C40" s="100">
        <v>-25834.61</v>
      </c>
      <c r="D40" s="63">
        <f>-3999.62-27516.6</f>
        <v>-31516.219999999998</v>
      </c>
      <c r="E40" s="34">
        <f>-26958.56-5022</f>
        <v>-31980.560000000001</v>
      </c>
      <c r="F40" s="34">
        <f>-31033.49-6539</f>
        <v>-37572.490000000005</v>
      </c>
      <c r="G40" s="34">
        <v>-29802.63</v>
      </c>
      <c r="H40" s="34">
        <v>-29662.51</v>
      </c>
      <c r="I40" s="34">
        <f ca="1">IFERROR(__xludf.DUMMYFUNCTION("""COMPUTED_VALUE"""),-24281.12)</f>
        <v>-24281.119999999999</v>
      </c>
      <c r="J40" s="63">
        <f ca="1">IFERROR(__xludf.DUMMYFUNCTION("""COMPUTED_VALUE"""),-28152.55)</f>
        <v>-28152.55</v>
      </c>
      <c r="K40" s="34"/>
      <c r="L40" s="34"/>
      <c r="M40" s="34"/>
      <c r="N40" s="34"/>
      <c r="O40" s="35"/>
      <c r="P40" s="36">
        <f t="shared" si="13"/>
        <v>-186369.02000000002</v>
      </c>
      <c r="Q40" s="36">
        <f t="shared" ca="1" si="14"/>
        <v>-52433.67</v>
      </c>
      <c r="R40" s="37">
        <f t="shared" ca="1" si="15"/>
        <v>-238802.69</v>
      </c>
    </row>
    <row r="41" spans="2:18" ht="12.75" outlineLevel="1">
      <c r="B41" s="26" t="s">
        <v>57</v>
      </c>
      <c r="C41" s="102">
        <v>0</v>
      </c>
      <c r="D41" s="34">
        <v>0</v>
      </c>
      <c r="E41" s="34">
        <v>0</v>
      </c>
      <c r="F41" s="34">
        <v>0</v>
      </c>
      <c r="G41" s="36"/>
      <c r="H41" s="36"/>
      <c r="I41" s="36">
        <f ca="1">IFERROR(__xludf.DUMMYFUNCTION("""COMPUTED_VALUE"""),0)</f>
        <v>0</v>
      </c>
      <c r="J41" s="83">
        <f ca="1">IFERROR(__xludf.DUMMYFUNCTION("""COMPUTED_VALUE"""),0)</f>
        <v>0</v>
      </c>
      <c r="K41" s="36">
        <f ca="1">IFERROR(__xludf.DUMMYFUNCTION("""COMPUTED_VALUE"""),0)</f>
        <v>0</v>
      </c>
      <c r="L41" s="36">
        <f ca="1">IFERROR(__xludf.DUMMYFUNCTION("""COMPUTED_VALUE"""),0)</f>
        <v>0</v>
      </c>
      <c r="M41" s="36">
        <f ca="1">IFERROR(__xludf.DUMMYFUNCTION("""COMPUTED_VALUE"""),0)</f>
        <v>0</v>
      </c>
      <c r="N41" s="36">
        <f ca="1">IFERROR(__xludf.DUMMYFUNCTION("""COMPUTED_VALUE"""),0)</f>
        <v>0</v>
      </c>
      <c r="O41" s="35"/>
      <c r="P41" s="36">
        <f t="shared" si="13"/>
        <v>0</v>
      </c>
      <c r="Q41" s="35">
        <f t="shared" ca="1" si="14"/>
        <v>0</v>
      </c>
      <c r="R41" s="37">
        <f t="shared" ca="1" si="15"/>
        <v>0</v>
      </c>
    </row>
    <row r="42" spans="2:18" ht="12.75" outlineLevel="1">
      <c r="B42" s="26" t="s">
        <v>58</v>
      </c>
      <c r="C42" s="102">
        <f t="shared" ref="C42:H42" si="17">(((C40+C41)/12)*1.333)*1.08</f>
        <v>-3099.3781617000004</v>
      </c>
      <c r="D42" s="36">
        <f t="shared" si="17"/>
        <v>-3781.0009133999997</v>
      </c>
      <c r="E42" s="36">
        <f t="shared" si="17"/>
        <v>-3836.7077832000004</v>
      </c>
      <c r="F42" s="36">
        <f t="shared" si="17"/>
        <v>-4507.571625300001</v>
      </c>
      <c r="G42" s="36">
        <f t="shared" si="17"/>
        <v>-3575.4215211000005</v>
      </c>
      <c r="H42" s="36">
        <f t="shared" si="17"/>
        <v>-3558.6113246999998</v>
      </c>
      <c r="I42" s="36">
        <f ca="1">IFERROR(__xludf.DUMMYFUNCTION("""COMPUTED_VALUE"""),-2913.0059664)</f>
        <v>-2913.0059664</v>
      </c>
      <c r="J42" s="83">
        <f ca="1">IFERROR(__xludf.DUMMYFUNCTION("""COMPUTED_VALUE"""),-3377.4614235)</f>
        <v>-3377.4614234999999</v>
      </c>
      <c r="K42" s="36">
        <f ca="1">IFERROR(__xludf.DUMMYFUNCTION("""COMPUTED_VALUE"""),0)</f>
        <v>0</v>
      </c>
      <c r="L42" s="36">
        <f ca="1">IFERROR(__xludf.DUMMYFUNCTION("""COMPUTED_VALUE"""),0)</f>
        <v>0</v>
      </c>
      <c r="M42" s="36">
        <f ca="1">IFERROR(__xludf.DUMMYFUNCTION("""COMPUTED_VALUE"""),0)</f>
        <v>0</v>
      </c>
      <c r="N42" s="36">
        <f ca="1">IFERROR(__xludf.DUMMYFUNCTION("""COMPUTED_VALUE"""),0)</f>
        <v>0</v>
      </c>
      <c r="O42" s="35"/>
      <c r="P42" s="36">
        <f t="shared" si="13"/>
        <v>-22358.691329400001</v>
      </c>
      <c r="Q42" s="36">
        <f t="shared" ca="1" si="14"/>
        <v>-6290.4673898999999</v>
      </c>
      <c r="R42" s="37">
        <f t="shared" ca="1" si="15"/>
        <v>-28649.158719300001</v>
      </c>
    </row>
    <row r="43" spans="2:18" ht="12.75" outlineLevel="1">
      <c r="B43" s="26" t="s">
        <v>59</v>
      </c>
      <c r="C43" s="100">
        <v>-14954.85</v>
      </c>
      <c r="D43" s="34">
        <v>0</v>
      </c>
      <c r="E43" s="34">
        <v>0</v>
      </c>
      <c r="F43" s="34">
        <v>0</v>
      </c>
      <c r="G43" s="36"/>
      <c r="H43" s="36"/>
      <c r="I43" s="36">
        <f ca="1">IFERROR(__xludf.DUMMYFUNCTION("""COMPUTED_VALUE"""),-18008.73)</f>
        <v>-18008.73</v>
      </c>
      <c r="J43" s="83">
        <f ca="1">IFERROR(__xludf.DUMMYFUNCTION("""COMPUTED_VALUE"""),0)</f>
        <v>0</v>
      </c>
      <c r="K43" s="34">
        <f ca="1">IFERROR(__xludf.DUMMYFUNCTION("""COMPUTED_VALUE"""),0)</f>
        <v>0</v>
      </c>
      <c r="L43" s="36">
        <f ca="1">IFERROR(__xludf.DUMMYFUNCTION("""COMPUTED_VALUE"""),0)</f>
        <v>0</v>
      </c>
      <c r="M43" s="34">
        <f ca="1">IFERROR(__xludf.DUMMYFUNCTION("""COMPUTED_VALUE"""),0)</f>
        <v>0</v>
      </c>
      <c r="N43" s="36">
        <f ca="1">IFERROR(__xludf.DUMMYFUNCTION("""COMPUTED_VALUE"""),0)</f>
        <v>0</v>
      </c>
      <c r="O43" s="35"/>
      <c r="P43" s="36">
        <f t="shared" si="13"/>
        <v>-14954.85</v>
      </c>
      <c r="Q43" s="36">
        <f t="shared" ca="1" si="14"/>
        <v>-18008.73</v>
      </c>
      <c r="R43" s="37">
        <f t="shared" ca="1" si="15"/>
        <v>-32963.58</v>
      </c>
    </row>
    <row r="44" spans="2:18" ht="12.75" outlineLevel="1">
      <c r="B44" s="26" t="s">
        <v>60</v>
      </c>
      <c r="C44" s="102">
        <f t="shared" ref="C44:H44" si="18">(C40/12)*1.08</f>
        <v>-2325.1149</v>
      </c>
      <c r="D44" s="36">
        <f t="shared" si="18"/>
        <v>-2836.4598000000001</v>
      </c>
      <c r="E44" s="36">
        <f t="shared" si="18"/>
        <v>-2878.2504000000004</v>
      </c>
      <c r="F44" s="36">
        <f t="shared" si="18"/>
        <v>-3381.524100000001</v>
      </c>
      <c r="G44" s="36">
        <f t="shared" si="18"/>
        <v>-2682.2367000000004</v>
      </c>
      <c r="H44" s="36">
        <f t="shared" si="18"/>
        <v>-2669.6259</v>
      </c>
      <c r="I44" s="36">
        <f ca="1">IFERROR(__xludf.DUMMYFUNCTION("""COMPUTED_VALUE"""),-2185.3008)</f>
        <v>-2185.3008</v>
      </c>
      <c r="J44" s="83">
        <f ca="1">IFERROR(__xludf.DUMMYFUNCTION("""COMPUTED_VALUE"""),-2533.7295)</f>
        <v>-2533.7294999999999</v>
      </c>
      <c r="K44" s="36">
        <f ca="1">IFERROR(__xludf.DUMMYFUNCTION("""COMPUTED_VALUE"""),0)</f>
        <v>0</v>
      </c>
      <c r="L44" s="36">
        <f ca="1">IFERROR(__xludf.DUMMYFUNCTION("""COMPUTED_VALUE"""),0)</f>
        <v>0</v>
      </c>
      <c r="M44" s="36">
        <f ca="1">IFERROR(__xludf.DUMMYFUNCTION("""COMPUTED_VALUE"""),0)</f>
        <v>0</v>
      </c>
      <c r="N44" s="36">
        <f ca="1">IFERROR(__xludf.DUMMYFUNCTION("""COMPUTED_VALUE"""),0)</f>
        <v>0</v>
      </c>
      <c r="O44" s="35"/>
      <c r="P44" s="36">
        <f t="shared" si="13"/>
        <v>-16773.211800000001</v>
      </c>
      <c r="Q44" s="36">
        <f t="shared" ca="1" si="14"/>
        <v>-4719.0303000000004</v>
      </c>
      <c r="R44" s="37">
        <f t="shared" ca="1" si="15"/>
        <v>-21492.242100000003</v>
      </c>
    </row>
    <row r="45" spans="2:18" ht="12.75" outlineLevel="1">
      <c r="B45" s="26" t="s">
        <v>61</v>
      </c>
      <c r="C45" s="102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f ca="1">IFERROR(__xludf.DUMMYFUNCTION("""COMPUTED_VALUE"""),0)</f>
        <v>0</v>
      </c>
      <c r="J45" s="36">
        <f ca="1">IFERROR(__xludf.DUMMYFUNCTION("""COMPUTED_VALUE"""),0)</f>
        <v>0</v>
      </c>
      <c r="K45" s="36">
        <f ca="1">IFERROR(__xludf.DUMMYFUNCTION("""COMPUTED_VALUE"""),0)</f>
        <v>0</v>
      </c>
      <c r="L45" s="36">
        <f ca="1">IFERROR(__xludf.DUMMYFUNCTION("""COMPUTED_VALUE"""),0)</f>
        <v>0</v>
      </c>
      <c r="M45" s="36">
        <f ca="1">IFERROR(__xludf.DUMMYFUNCTION("""COMPUTED_VALUE"""),0)</f>
        <v>0</v>
      </c>
      <c r="N45" s="36">
        <f ca="1">IFERROR(__xludf.DUMMYFUNCTION("""COMPUTED_VALUE"""),0)</f>
        <v>0</v>
      </c>
      <c r="O45" s="35"/>
      <c r="P45" s="36">
        <f t="shared" si="13"/>
        <v>0</v>
      </c>
      <c r="Q45" s="36">
        <f t="shared" ca="1" si="14"/>
        <v>0</v>
      </c>
      <c r="R45" s="37">
        <f t="shared" ca="1" si="15"/>
        <v>0</v>
      </c>
    </row>
    <row r="46" spans="2:18" ht="12.75" outlineLevel="1">
      <c r="B46" s="26" t="s">
        <v>62</v>
      </c>
      <c r="C46" s="100">
        <v>-2200.44</v>
      </c>
      <c r="D46" s="63">
        <v>-2155.58</v>
      </c>
      <c r="E46" s="34">
        <v>-2170.46</v>
      </c>
      <c r="F46" s="34">
        <v>-3459.72</v>
      </c>
      <c r="G46" s="34">
        <v>-2507.98</v>
      </c>
      <c r="H46" s="34">
        <v>-2522.35</v>
      </c>
      <c r="I46" s="34">
        <f ca="1">IFERROR(__xludf.DUMMYFUNCTION("""COMPUTED_VALUE"""),-2584.56)</f>
        <v>-2584.56</v>
      </c>
      <c r="J46" s="63">
        <f ca="1">IFERROR(__xludf.DUMMYFUNCTION("""COMPUTED_VALUE"""),-2508.3)</f>
        <v>-2508.3000000000002</v>
      </c>
      <c r="K46" s="34"/>
      <c r="L46" s="34"/>
      <c r="M46" s="34"/>
      <c r="N46" s="34"/>
      <c r="O46" s="35"/>
      <c r="P46" s="36">
        <f t="shared" si="13"/>
        <v>-15016.53</v>
      </c>
      <c r="Q46" s="36">
        <f t="shared" ca="1" si="14"/>
        <v>-5092.8600000000006</v>
      </c>
      <c r="R46" s="37">
        <f t="shared" ca="1" si="15"/>
        <v>-20109.39</v>
      </c>
    </row>
    <row r="47" spans="2:18" ht="12.75" outlineLevel="1">
      <c r="B47" s="26" t="s">
        <v>63</v>
      </c>
      <c r="C47" s="102">
        <v>0</v>
      </c>
      <c r="D47" s="34">
        <v>0</v>
      </c>
      <c r="E47" s="34">
        <v>0</v>
      </c>
      <c r="F47" s="34">
        <v>0</v>
      </c>
      <c r="G47" s="36"/>
      <c r="H47" s="36"/>
      <c r="I47" s="36">
        <f ca="1">IFERROR(__xludf.DUMMYFUNCTION("""COMPUTED_VALUE"""),0)</f>
        <v>0</v>
      </c>
      <c r="J47" s="36">
        <f ca="1">IFERROR(__xludf.DUMMYFUNCTION("""COMPUTED_VALUE"""),0)</f>
        <v>0</v>
      </c>
      <c r="K47" s="36">
        <f ca="1">IFERROR(__xludf.DUMMYFUNCTION("""COMPUTED_VALUE"""),0)</f>
        <v>0</v>
      </c>
      <c r="L47" s="36">
        <f ca="1">IFERROR(__xludf.DUMMYFUNCTION("""COMPUTED_VALUE"""),0)</f>
        <v>0</v>
      </c>
      <c r="M47" s="36">
        <f ca="1">IFERROR(__xludf.DUMMYFUNCTION("""COMPUTED_VALUE"""),0)</f>
        <v>0</v>
      </c>
      <c r="N47" s="36">
        <f ca="1">IFERROR(__xludf.DUMMYFUNCTION("""COMPUTED_VALUE"""),0)</f>
        <v>0</v>
      </c>
      <c r="O47" s="35"/>
      <c r="P47" s="36">
        <f t="shared" si="13"/>
        <v>0</v>
      </c>
      <c r="Q47" s="36">
        <f t="shared" ca="1" si="14"/>
        <v>0</v>
      </c>
      <c r="R47" s="37">
        <f t="shared" ca="1" si="15"/>
        <v>0</v>
      </c>
    </row>
    <row r="48" spans="2:18" ht="12.75" outlineLevel="1">
      <c r="B48" s="26" t="s">
        <v>64</v>
      </c>
      <c r="C48" s="34">
        <v>-1530.51</v>
      </c>
      <c r="D48" s="34">
        <v>-1520.51</v>
      </c>
      <c r="E48" s="34">
        <v>-248.89</v>
      </c>
      <c r="F48" s="34">
        <v>-220.87</v>
      </c>
      <c r="G48" s="34">
        <v>-231.76</v>
      </c>
      <c r="H48" s="34"/>
      <c r="I48" s="34">
        <f ca="1">IFERROR(__xludf.DUMMYFUNCTION("""COMPUTED_VALUE"""),-695)</f>
        <v>-695</v>
      </c>
      <c r="J48" s="71">
        <f ca="1">IFERROR(__xludf.DUMMYFUNCTION("""COMPUTED_VALUE"""),-297.94)</f>
        <v>-297.94</v>
      </c>
      <c r="K48" s="71"/>
      <c r="L48" s="34"/>
      <c r="M48" s="34"/>
      <c r="N48" s="62"/>
      <c r="O48" s="35"/>
      <c r="P48" s="36">
        <f t="shared" si="13"/>
        <v>-3752.54</v>
      </c>
      <c r="Q48" s="36">
        <f t="shared" ca="1" si="14"/>
        <v>-992.94</v>
      </c>
      <c r="R48" s="37">
        <f t="shared" ca="1" si="15"/>
        <v>-4745.4799999999996</v>
      </c>
    </row>
    <row r="49" spans="2:18" ht="12.75" outlineLevel="1">
      <c r="B49" s="26" t="s">
        <v>65</v>
      </c>
      <c r="C49" s="34">
        <v>-33.799999999999997</v>
      </c>
      <c r="D49" s="34">
        <v>0</v>
      </c>
      <c r="E49" s="34">
        <v>0</v>
      </c>
      <c r="F49" s="34">
        <v>-18</v>
      </c>
      <c r="G49" s="34">
        <v>-88.9</v>
      </c>
      <c r="H49" s="63">
        <v>-34.9</v>
      </c>
      <c r="I49" s="34">
        <f ca="1">IFERROR(__xludf.DUMMYFUNCTION("""COMPUTED_VALUE"""),-34.9)</f>
        <v>-34.9</v>
      </c>
      <c r="J49" s="71">
        <f ca="1">IFERROR(__xludf.DUMMYFUNCTION("""COMPUTED_VALUE"""),-36)</f>
        <v>-36</v>
      </c>
      <c r="K49" s="34"/>
      <c r="L49" s="34"/>
      <c r="M49" s="34"/>
      <c r="N49" s="62"/>
      <c r="O49" s="35"/>
      <c r="P49" s="36">
        <f t="shared" si="13"/>
        <v>-175.6</v>
      </c>
      <c r="Q49" s="36">
        <f t="shared" ca="1" si="14"/>
        <v>-70.900000000000006</v>
      </c>
      <c r="R49" s="37">
        <f t="shared" ca="1" si="15"/>
        <v>-246.5</v>
      </c>
    </row>
    <row r="50" spans="2:18" ht="12.75" outlineLevel="1">
      <c r="B50" s="26" t="s">
        <v>66</v>
      </c>
      <c r="C50" s="34">
        <v>-4791.8500000000004</v>
      </c>
      <c r="D50" s="34">
        <v>-4299.2</v>
      </c>
      <c r="E50" s="34">
        <v>-4440.2</v>
      </c>
      <c r="F50" s="34">
        <v>-5485.5</v>
      </c>
      <c r="G50" s="34">
        <v>-5485.5</v>
      </c>
      <c r="H50" s="34">
        <v>-5485.5</v>
      </c>
      <c r="I50" s="34">
        <f ca="1">IFERROR(__xludf.DUMMYFUNCTION("""COMPUTED_VALUE"""),-5485.5)</f>
        <v>-5485.5</v>
      </c>
      <c r="J50" s="71">
        <f ca="1">IFERROR(__xludf.DUMMYFUNCTION("""COMPUTED_VALUE"""),-5158.47)</f>
        <v>-5158.47</v>
      </c>
      <c r="K50" s="34"/>
      <c r="L50" s="34"/>
      <c r="M50" s="34"/>
      <c r="N50" s="62"/>
      <c r="O50" s="35"/>
      <c r="P50" s="36">
        <f t="shared" si="13"/>
        <v>-29987.75</v>
      </c>
      <c r="Q50" s="36">
        <f t="shared" ca="1" si="14"/>
        <v>-10643.970000000001</v>
      </c>
      <c r="R50" s="37">
        <f t="shared" ca="1" si="15"/>
        <v>-40631.72</v>
      </c>
    </row>
    <row r="51" spans="2:18" ht="12.75" outlineLevel="1">
      <c r="B51" s="26" t="s">
        <v>67</v>
      </c>
      <c r="C51" s="34">
        <v>-487.5</v>
      </c>
      <c r="D51" s="34">
        <v>-345</v>
      </c>
      <c r="E51" s="34">
        <v>-435</v>
      </c>
      <c r="F51" s="34">
        <v>-375</v>
      </c>
      <c r="G51" s="34">
        <v>-375</v>
      </c>
      <c r="H51" s="34">
        <v>-405</v>
      </c>
      <c r="I51" s="34">
        <f ca="1">IFERROR(__xludf.DUMMYFUNCTION("""COMPUTED_VALUE"""),-390)</f>
        <v>-390</v>
      </c>
      <c r="J51" s="71">
        <f ca="1">IFERROR(__xludf.DUMMYFUNCTION("""COMPUTED_VALUE"""),-442.5)</f>
        <v>-442.5</v>
      </c>
      <c r="K51" s="34"/>
      <c r="L51" s="34"/>
      <c r="M51" s="34"/>
      <c r="N51" s="62"/>
      <c r="O51" s="35"/>
      <c r="P51" s="36">
        <f t="shared" si="13"/>
        <v>-2422.5</v>
      </c>
      <c r="Q51" s="36">
        <f t="shared" ca="1" si="14"/>
        <v>-832.5</v>
      </c>
      <c r="R51" s="37">
        <f t="shared" ca="1" si="15"/>
        <v>-3255</v>
      </c>
    </row>
    <row r="52" spans="2:18" ht="12.75" outlineLevel="1">
      <c r="B52" s="26" t="s">
        <v>68</v>
      </c>
      <c r="C52" s="102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f ca="1">IFERROR(__xludf.DUMMYFUNCTION("""COMPUTED_VALUE"""),0)</f>
        <v>0</v>
      </c>
      <c r="J52" s="34">
        <f ca="1">IFERROR(__xludf.DUMMYFUNCTION("""COMPUTED_VALUE"""),0)</f>
        <v>0</v>
      </c>
      <c r="K52" s="34">
        <f ca="1">IFERROR(__xludf.DUMMYFUNCTION("""COMPUTED_VALUE"""),0)</f>
        <v>0</v>
      </c>
      <c r="L52" s="34">
        <f ca="1">IFERROR(__xludf.DUMMYFUNCTION("""COMPUTED_VALUE"""),0)</f>
        <v>0</v>
      </c>
      <c r="M52" s="34">
        <f ca="1">IFERROR(__xludf.DUMMYFUNCTION("""COMPUTED_VALUE"""),0)</f>
        <v>0</v>
      </c>
      <c r="N52" s="62">
        <f ca="1">IFERROR(__xludf.DUMMYFUNCTION("""COMPUTED_VALUE"""),0)</f>
        <v>0</v>
      </c>
      <c r="O52" s="35"/>
      <c r="P52" s="36">
        <f t="shared" si="13"/>
        <v>0</v>
      </c>
      <c r="Q52" s="36">
        <f t="shared" ca="1" si="14"/>
        <v>0</v>
      </c>
      <c r="R52" s="37">
        <f t="shared" ca="1" si="15"/>
        <v>0</v>
      </c>
    </row>
    <row r="53" spans="2:18" ht="12.75" outlineLevel="1">
      <c r="B53" s="26" t="s">
        <v>69</v>
      </c>
      <c r="C53" s="102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f ca="1">IFERROR(__xludf.DUMMYFUNCTION("""COMPUTED_VALUE"""),0)</f>
        <v>0</v>
      </c>
      <c r="J53" s="34">
        <f ca="1">IFERROR(__xludf.DUMMYFUNCTION("""COMPUTED_VALUE"""),0)</f>
        <v>0</v>
      </c>
      <c r="K53" s="34">
        <f ca="1">IFERROR(__xludf.DUMMYFUNCTION("""COMPUTED_VALUE"""),0)</f>
        <v>0</v>
      </c>
      <c r="L53" s="34">
        <f ca="1">IFERROR(__xludf.DUMMYFUNCTION("""COMPUTED_VALUE"""),0)</f>
        <v>0</v>
      </c>
      <c r="M53" s="34">
        <f ca="1">IFERROR(__xludf.DUMMYFUNCTION("""COMPUTED_VALUE"""),0)</f>
        <v>0</v>
      </c>
      <c r="N53" s="34">
        <f ca="1">IFERROR(__xludf.DUMMYFUNCTION("""COMPUTED_VALUE"""),0)</f>
        <v>0</v>
      </c>
      <c r="O53" s="35"/>
      <c r="P53" s="36">
        <f t="shared" si="13"/>
        <v>0</v>
      </c>
      <c r="Q53" s="36">
        <f t="shared" ca="1" si="14"/>
        <v>0</v>
      </c>
      <c r="R53" s="37">
        <f t="shared" ca="1" si="15"/>
        <v>0</v>
      </c>
    </row>
    <row r="54" spans="2:18" ht="12.75" outlineLevel="1">
      <c r="B54" s="26" t="s">
        <v>70</v>
      </c>
      <c r="C54" s="102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f ca="1">IFERROR(__xludf.DUMMYFUNCTION("""COMPUTED_VALUE"""),0)</f>
        <v>0</v>
      </c>
      <c r="J54" s="34">
        <f ca="1">IFERROR(__xludf.DUMMYFUNCTION("""COMPUTED_VALUE"""),0)</f>
        <v>0</v>
      </c>
      <c r="K54" s="34">
        <f ca="1">IFERROR(__xludf.DUMMYFUNCTION("""COMPUTED_VALUE"""),0)</f>
        <v>0</v>
      </c>
      <c r="L54" s="34">
        <f ca="1">IFERROR(__xludf.DUMMYFUNCTION("""COMPUTED_VALUE"""),0)</f>
        <v>0</v>
      </c>
      <c r="M54" s="34">
        <f ca="1">IFERROR(__xludf.DUMMYFUNCTION("""COMPUTED_VALUE"""),0)</f>
        <v>0</v>
      </c>
      <c r="N54" s="34">
        <f ca="1">IFERROR(__xludf.DUMMYFUNCTION("""COMPUTED_VALUE"""),0)</f>
        <v>0</v>
      </c>
      <c r="O54" s="35"/>
      <c r="P54" s="36">
        <f t="shared" si="13"/>
        <v>0</v>
      </c>
      <c r="Q54" s="36">
        <f t="shared" ca="1" si="14"/>
        <v>0</v>
      </c>
      <c r="R54" s="37">
        <f t="shared" ca="1" si="15"/>
        <v>0</v>
      </c>
    </row>
    <row r="55" spans="2:18" ht="12.75" outlineLevel="1">
      <c r="B55" s="26" t="s">
        <v>71</v>
      </c>
      <c r="C55" s="100">
        <v>0</v>
      </c>
      <c r="D55" s="100">
        <v>0</v>
      </c>
      <c r="E55" s="100">
        <v>0</v>
      </c>
      <c r="F55" s="100">
        <v>0</v>
      </c>
      <c r="G55" s="34">
        <v>0</v>
      </c>
      <c r="H55" s="34">
        <v>0</v>
      </c>
      <c r="I55" s="34">
        <f ca="1">IFERROR(__xludf.DUMMYFUNCTION("""COMPUTED_VALUE"""),-15233.84)</f>
        <v>-15233.84</v>
      </c>
      <c r="J55" s="34">
        <f ca="1">IFERROR(__xludf.DUMMYFUNCTION("""COMPUTED_VALUE"""),-14876.73)</f>
        <v>-14876.73</v>
      </c>
      <c r="K55" s="34"/>
      <c r="L55" s="34"/>
      <c r="M55" s="34"/>
      <c r="N55" s="34"/>
      <c r="O55" s="35"/>
      <c r="P55" s="31">
        <f t="shared" si="13"/>
        <v>0</v>
      </c>
      <c r="Q55" s="36">
        <f t="shared" ca="1" si="14"/>
        <v>-30110.57</v>
      </c>
      <c r="R55" s="37">
        <f t="shared" ca="1" si="15"/>
        <v>-30110.57</v>
      </c>
    </row>
    <row r="56" spans="2:18" ht="12.75" outlineLevel="1">
      <c r="B56" s="26" t="s">
        <v>72</v>
      </c>
      <c r="C56" s="34">
        <v>-367.99</v>
      </c>
      <c r="D56" s="34">
        <v>-60.49</v>
      </c>
      <c r="E56" s="34">
        <v>-395.49</v>
      </c>
      <c r="F56" s="34">
        <v>-285.49</v>
      </c>
      <c r="G56" s="34">
        <v>-467.89</v>
      </c>
      <c r="H56" s="63">
        <v>-225</v>
      </c>
      <c r="I56" s="63">
        <f ca="1">IFERROR(__xludf.DUMMYFUNCTION("""COMPUTED_VALUE"""),-875.49)</f>
        <v>-875.49</v>
      </c>
      <c r="J56" s="63">
        <f ca="1">IFERROR(__xludf.DUMMYFUNCTION("""COMPUTED_VALUE"""),-450.49)</f>
        <v>-450.49</v>
      </c>
      <c r="K56" s="34"/>
      <c r="L56" s="34"/>
      <c r="M56" s="34"/>
      <c r="N56" s="62"/>
      <c r="O56" s="35"/>
      <c r="P56" s="36">
        <f t="shared" si="13"/>
        <v>-1802.35</v>
      </c>
      <c r="Q56" s="36">
        <f t="shared" ca="1" si="14"/>
        <v>-1325.98</v>
      </c>
      <c r="R56" s="37">
        <f t="shared" ca="1" si="15"/>
        <v>-3128.33</v>
      </c>
    </row>
    <row r="57" spans="2:18" ht="12.75" outlineLevel="1">
      <c r="B57" s="26" t="s">
        <v>73</v>
      </c>
      <c r="C57" s="102">
        <v>0</v>
      </c>
      <c r="D57" s="34">
        <v>0</v>
      </c>
      <c r="E57" s="34">
        <v>-2590</v>
      </c>
      <c r="F57" s="34">
        <v>0</v>
      </c>
      <c r="G57" s="34">
        <v>0</v>
      </c>
      <c r="H57" s="34">
        <v>0</v>
      </c>
      <c r="I57" s="34">
        <f ca="1">IFERROR(__xludf.DUMMYFUNCTION("""COMPUTED_VALUE"""),-3500)</f>
        <v>-3500</v>
      </c>
      <c r="J57" s="34">
        <f ca="1">IFERROR(__xludf.DUMMYFUNCTION("""COMPUTED_VALUE"""),0)</f>
        <v>0</v>
      </c>
      <c r="K57" s="34"/>
      <c r="L57" s="34"/>
      <c r="M57" s="34"/>
      <c r="N57" s="34"/>
      <c r="O57" s="35"/>
      <c r="P57" s="31">
        <f t="shared" si="13"/>
        <v>-2590</v>
      </c>
      <c r="Q57" s="36">
        <f t="shared" ca="1" si="14"/>
        <v>-3500</v>
      </c>
      <c r="R57" s="37">
        <f t="shared" ca="1" si="15"/>
        <v>-6090</v>
      </c>
    </row>
    <row r="58" spans="2:18" ht="12.75" outlineLevel="1">
      <c r="B58" s="26" t="s">
        <v>74</v>
      </c>
      <c r="C58" s="102">
        <v>0</v>
      </c>
      <c r="D58" s="34">
        <v>0</v>
      </c>
      <c r="E58" s="34">
        <v>0</v>
      </c>
      <c r="F58" s="34">
        <v>-1113.7</v>
      </c>
      <c r="G58" s="34">
        <v>-1113.7</v>
      </c>
      <c r="H58" s="34">
        <v>0</v>
      </c>
      <c r="I58" s="34">
        <f ca="1">IFERROR(__xludf.DUMMYFUNCTION("""COMPUTED_VALUE"""),-92.78)</f>
        <v>-92.78</v>
      </c>
      <c r="J58" s="71">
        <f ca="1">IFERROR(__xludf.DUMMYFUNCTION("""COMPUTED_VALUE"""),-98.25)</f>
        <v>-98.25</v>
      </c>
      <c r="K58" s="34"/>
      <c r="L58" s="34"/>
      <c r="M58" s="34"/>
      <c r="N58" s="62"/>
      <c r="O58" s="35"/>
      <c r="P58" s="36">
        <f t="shared" si="13"/>
        <v>-2227.4</v>
      </c>
      <c r="Q58" s="36">
        <f t="shared" ca="1" si="14"/>
        <v>-191.03</v>
      </c>
      <c r="R58" s="37">
        <f t="shared" ca="1" si="15"/>
        <v>-2418.4300000000003</v>
      </c>
    </row>
    <row r="59" spans="2:18" ht="12.75" outlineLevel="1">
      <c r="B59" s="26" t="s">
        <v>75</v>
      </c>
      <c r="C59" s="102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f ca="1">IFERROR(__xludf.DUMMYFUNCTION("""COMPUTED_VALUE"""),0)</f>
        <v>0</v>
      </c>
      <c r="J59" s="34">
        <f ca="1">IFERROR(__xludf.DUMMYFUNCTION("""COMPUTED_VALUE"""),0)</f>
        <v>0</v>
      </c>
      <c r="K59" s="34">
        <f ca="1">IFERROR(__xludf.DUMMYFUNCTION("""COMPUTED_VALUE"""),0)</f>
        <v>0</v>
      </c>
      <c r="L59" s="34">
        <f ca="1">IFERROR(__xludf.DUMMYFUNCTION("""COMPUTED_VALUE"""),0)</f>
        <v>0</v>
      </c>
      <c r="M59" s="34">
        <f ca="1">IFERROR(__xludf.DUMMYFUNCTION("""COMPUTED_VALUE"""),0)</f>
        <v>0</v>
      </c>
      <c r="N59" s="34">
        <f ca="1">IFERROR(__xludf.DUMMYFUNCTION("""COMPUTED_VALUE"""),0)</f>
        <v>0</v>
      </c>
      <c r="O59" s="35"/>
      <c r="P59" s="31">
        <f t="shared" si="13"/>
        <v>0</v>
      </c>
      <c r="Q59" s="36">
        <f t="shared" ca="1" si="14"/>
        <v>0</v>
      </c>
      <c r="R59" s="37">
        <f t="shared" ca="1" si="15"/>
        <v>0</v>
      </c>
    </row>
    <row r="60" spans="2:18" ht="12.75">
      <c r="B60" s="13" t="s">
        <v>76</v>
      </c>
      <c r="C60" s="31">
        <f t="shared" ref="C60:H60" si="19">SUM(C61:C77)</f>
        <v>-15591.48</v>
      </c>
      <c r="D60" s="31">
        <f t="shared" si="19"/>
        <v>-24449.71</v>
      </c>
      <c r="E60" s="31">
        <f t="shared" si="19"/>
        <v>-14341.55</v>
      </c>
      <c r="F60" s="31">
        <f t="shared" si="19"/>
        <v>-10993.5</v>
      </c>
      <c r="G60" s="31">
        <f t="shared" si="19"/>
        <v>-9384.1200000000008</v>
      </c>
      <c r="H60" s="31">
        <f t="shared" si="19"/>
        <v>-10563.94</v>
      </c>
      <c r="I60" s="31">
        <f ca="1">IFERROR(__xludf.DUMMYFUNCTION("""COMPUTED_VALUE"""),-12270.0699999999)</f>
        <v>-12270.0699999999</v>
      </c>
      <c r="J60" s="31">
        <f ca="1">IFERROR(__xludf.DUMMYFUNCTION("""COMPUTED_VALUE"""),-12764.93)</f>
        <v>-12764.93</v>
      </c>
      <c r="K60" s="31">
        <f ca="1">IFERROR(__xludf.DUMMYFUNCTION("""COMPUTED_VALUE"""),0)</f>
        <v>0</v>
      </c>
      <c r="L60" s="31">
        <f ca="1">IFERROR(__xludf.DUMMYFUNCTION("""COMPUTED_VALUE"""),0)</f>
        <v>0</v>
      </c>
      <c r="M60" s="31">
        <f ca="1">IFERROR(__xludf.DUMMYFUNCTION("""COMPUTED_VALUE"""),0)</f>
        <v>0</v>
      </c>
      <c r="N60" s="31">
        <f ca="1">IFERROR(__xludf.DUMMYFUNCTION("""COMPUTED_VALUE"""),0)</f>
        <v>0</v>
      </c>
      <c r="O60" s="35"/>
      <c r="P60" s="31">
        <f t="shared" si="13"/>
        <v>-85324.3</v>
      </c>
      <c r="Q60" s="31">
        <f t="shared" ca="1" si="14"/>
        <v>-25034.999999999898</v>
      </c>
      <c r="R60" s="32">
        <f t="shared" ca="1" si="15"/>
        <v>-110359.2999999999</v>
      </c>
    </row>
    <row r="61" spans="2:18" ht="12.75" outlineLevel="1">
      <c r="B61" s="26" t="s">
        <v>77</v>
      </c>
      <c r="C61" s="102">
        <v>0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f ca="1">IFERROR(__xludf.DUMMYFUNCTION("""COMPUTED_VALUE"""),0)</f>
        <v>0</v>
      </c>
      <c r="J61" s="34">
        <f ca="1">IFERROR(__xludf.DUMMYFUNCTION("""COMPUTED_VALUE"""),0)</f>
        <v>0</v>
      </c>
      <c r="K61" s="34">
        <f ca="1">IFERROR(__xludf.DUMMYFUNCTION("""COMPUTED_VALUE"""),0)</f>
        <v>0</v>
      </c>
      <c r="L61" s="34">
        <f ca="1">IFERROR(__xludf.DUMMYFUNCTION("""COMPUTED_VALUE"""),0)</f>
        <v>0</v>
      </c>
      <c r="M61" s="34">
        <f ca="1">IFERROR(__xludf.DUMMYFUNCTION("""COMPUTED_VALUE"""),0)</f>
        <v>0</v>
      </c>
      <c r="N61" s="34">
        <f ca="1">IFERROR(__xludf.DUMMYFUNCTION("""COMPUTED_VALUE"""),0)</f>
        <v>0</v>
      </c>
      <c r="O61" s="35"/>
      <c r="P61" s="36">
        <f t="shared" si="13"/>
        <v>0</v>
      </c>
      <c r="Q61" s="36">
        <f t="shared" ca="1" si="14"/>
        <v>0</v>
      </c>
      <c r="R61" s="37">
        <f t="shared" ca="1" si="15"/>
        <v>0</v>
      </c>
    </row>
    <row r="62" spans="2:18" ht="12.75" outlineLevel="1">
      <c r="B62" s="26" t="s">
        <v>78</v>
      </c>
      <c r="C62" s="102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f ca="1">IFERROR(__xludf.DUMMYFUNCTION("""COMPUTED_VALUE"""),0)</f>
        <v>0</v>
      </c>
      <c r="J62" s="34">
        <f ca="1">IFERROR(__xludf.DUMMYFUNCTION("""COMPUTED_VALUE"""),0)</f>
        <v>0</v>
      </c>
      <c r="K62" s="34">
        <f ca="1">IFERROR(__xludf.DUMMYFUNCTION("""COMPUTED_VALUE"""),0)</f>
        <v>0</v>
      </c>
      <c r="L62" s="34">
        <f ca="1">IFERROR(__xludf.DUMMYFUNCTION("""COMPUTED_VALUE"""),0)</f>
        <v>0</v>
      </c>
      <c r="M62" s="34">
        <f ca="1">IFERROR(__xludf.DUMMYFUNCTION("""COMPUTED_VALUE"""),0)</f>
        <v>0</v>
      </c>
      <c r="N62" s="34">
        <f ca="1">IFERROR(__xludf.DUMMYFUNCTION("""COMPUTED_VALUE"""),0)</f>
        <v>0</v>
      </c>
      <c r="O62" s="35"/>
      <c r="P62" s="36">
        <f t="shared" si="13"/>
        <v>0</v>
      </c>
      <c r="Q62" s="36">
        <f t="shared" ca="1" si="14"/>
        <v>0</v>
      </c>
      <c r="R62" s="37">
        <f t="shared" ca="1" si="15"/>
        <v>0</v>
      </c>
    </row>
    <row r="63" spans="2:18" ht="12.75" outlineLevel="1">
      <c r="B63" s="26" t="s">
        <v>79</v>
      </c>
      <c r="C63" s="102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f ca="1">IFERROR(__xludf.DUMMYFUNCTION("""COMPUTED_VALUE"""),0)</f>
        <v>0</v>
      </c>
      <c r="J63" s="34">
        <f ca="1">IFERROR(__xludf.DUMMYFUNCTION("""COMPUTED_VALUE"""),0)</f>
        <v>0</v>
      </c>
      <c r="K63" s="34">
        <f ca="1">IFERROR(__xludf.DUMMYFUNCTION("""COMPUTED_VALUE"""),0)</f>
        <v>0</v>
      </c>
      <c r="L63" s="34">
        <f ca="1">IFERROR(__xludf.DUMMYFUNCTION("""COMPUTED_VALUE"""),0)</f>
        <v>0</v>
      </c>
      <c r="M63" s="34">
        <f ca="1">IFERROR(__xludf.DUMMYFUNCTION("""COMPUTED_VALUE"""),0)</f>
        <v>0</v>
      </c>
      <c r="N63" s="34">
        <f ca="1">IFERROR(__xludf.DUMMYFUNCTION("""COMPUTED_VALUE"""),0)</f>
        <v>0</v>
      </c>
      <c r="O63" s="35"/>
      <c r="P63" s="36">
        <f t="shared" si="13"/>
        <v>0</v>
      </c>
      <c r="Q63" s="36">
        <f t="shared" ca="1" si="14"/>
        <v>0</v>
      </c>
      <c r="R63" s="37">
        <f t="shared" ca="1" si="15"/>
        <v>0</v>
      </c>
    </row>
    <row r="64" spans="2:18" ht="12.75" outlineLevel="1">
      <c r="B64" s="26" t="s">
        <v>80</v>
      </c>
      <c r="C64" s="102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f ca="1">IFERROR(__xludf.DUMMYFUNCTION("""COMPUTED_VALUE"""),0)</f>
        <v>0</v>
      </c>
      <c r="J64" s="34">
        <f ca="1">IFERROR(__xludf.DUMMYFUNCTION("""COMPUTED_VALUE"""),0)</f>
        <v>0</v>
      </c>
      <c r="K64" s="34">
        <f ca="1">IFERROR(__xludf.DUMMYFUNCTION("""COMPUTED_VALUE"""),0)</f>
        <v>0</v>
      </c>
      <c r="L64" s="34">
        <f ca="1">IFERROR(__xludf.DUMMYFUNCTION("""COMPUTED_VALUE"""),0)</f>
        <v>0</v>
      </c>
      <c r="M64" s="34">
        <f ca="1">IFERROR(__xludf.DUMMYFUNCTION("""COMPUTED_VALUE"""),0)</f>
        <v>0</v>
      </c>
      <c r="N64" s="34">
        <f ca="1">IFERROR(__xludf.DUMMYFUNCTION("""COMPUTED_VALUE"""),0)</f>
        <v>0</v>
      </c>
      <c r="O64" s="35"/>
      <c r="P64" s="36">
        <f t="shared" si="13"/>
        <v>0</v>
      </c>
      <c r="Q64" s="36">
        <f t="shared" ca="1" si="14"/>
        <v>0</v>
      </c>
      <c r="R64" s="37">
        <f t="shared" ca="1" si="15"/>
        <v>0</v>
      </c>
    </row>
    <row r="65" spans="2:18" ht="12.75" outlineLevel="1">
      <c r="B65" s="26" t="s">
        <v>81</v>
      </c>
      <c r="C65" s="34">
        <v>-449.83</v>
      </c>
      <c r="D65" s="34">
        <v>-459.83</v>
      </c>
      <c r="E65" s="34">
        <v>-391.83</v>
      </c>
      <c r="F65" s="34">
        <v>-540.87</v>
      </c>
      <c r="G65" s="34">
        <v>-405.83</v>
      </c>
      <c r="H65" s="34">
        <v>-435.83</v>
      </c>
      <c r="I65" s="34">
        <f ca="1">IFERROR(__xludf.DUMMYFUNCTION("""COMPUTED_VALUE"""),-455.82)</f>
        <v>-455.82</v>
      </c>
      <c r="J65" s="71">
        <f ca="1">IFERROR(__xludf.DUMMYFUNCTION("""COMPUTED_VALUE"""),-617.58)</f>
        <v>-617.58000000000004</v>
      </c>
      <c r="K65" s="34"/>
      <c r="L65" s="34"/>
      <c r="M65" s="34"/>
      <c r="N65" s="62"/>
      <c r="O65" s="35"/>
      <c r="P65" s="36">
        <f t="shared" si="13"/>
        <v>-2684.02</v>
      </c>
      <c r="Q65" s="36">
        <f t="shared" ca="1" si="14"/>
        <v>-1073.4000000000001</v>
      </c>
      <c r="R65" s="37">
        <f t="shared" ca="1" si="15"/>
        <v>-3757.42</v>
      </c>
    </row>
    <row r="66" spans="2:18" ht="12.75" outlineLevel="1">
      <c r="B66" s="26" t="s">
        <v>82</v>
      </c>
      <c r="C66" s="34">
        <v>-585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f ca="1">IFERROR(__xludf.DUMMYFUNCTION("""COMPUTED_VALUE"""),0)</f>
        <v>0</v>
      </c>
      <c r="J66" s="34">
        <f ca="1">IFERROR(__xludf.DUMMYFUNCTION("""COMPUTED_VALUE"""),0)</f>
        <v>0</v>
      </c>
      <c r="K66" s="34">
        <f ca="1">IFERROR(__xludf.DUMMYFUNCTION("""COMPUTED_VALUE"""),0)</f>
        <v>0</v>
      </c>
      <c r="L66" s="34">
        <f ca="1">IFERROR(__xludf.DUMMYFUNCTION("""COMPUTED_VALUE"""),0)</f>
        <v>0</v>
      </c>
      <c r="M66" s="34">
        <f ca="1">IFERROR(__xludf.DUMMYFUNCTION("""COMPUTED_VALUE"""),0)</f>
        <v>0</v>
      </c>
      <c r="N66" s="34">
        <f ca="1">IFERROR(__xludf.DUMMYFUNCTION("""COMPUTED_VALUE"""),0)</f>
        <v>0</v>
      </c>
      <c r="O66" s="35"/>
      <c r="P66" s="36">
        <f t="shared" si="13"/>
        <v>-585</v>
      </c>
      <c r="Q66" s="36">
        <f t="shared" ca="1" si="14"/>
        <v>0</v>
      </c>
      <c r="R66" s="37">
        <f t="shared" ca="1" si="15"/>
        <v>-585</v>
      </c>
    </row>
    <row r="67" spans="2:18" ht="12.75" outlineLevel="1">
      <c r="B67" s="26" t="s">
        <v>83</v>
      </c>
      <c r="C67" s="102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f ca="1">IFERROR(__xludf.DUMMYFUNCTION("""COMPUTED_VALUE"""),0)</f>
        <v>0</v>
      </c>
      <c r="J67" s="34">
        <f ca="1">IFERROR(__xludf.DUMMYFUNCTION("""COMPUTED_VALUE"""),0)</f>
        <v>0</v>
      </c>
      <c r="K67" s="34">
        <f ca="1">IFERROR(__xludf.DUMMYFUNCTION("""COMPUTED_VALUE"""),0)</f>
        <v>0</v>
      </c>
      <c r="L67" s="34">
        <f ca="1">IFERROR(__xludf.DUMMYFUNCTION("""COMPUTED_VALUE"""),0)</f>
        <v>0</v>
      </c>
      <c r="M67" s="34">
        <f ca="1">IFERROR(__xludf.DUMMYFUNCTION("""COMPUTED_VALUE"""),0)</f>
        <v>0</v>
      </c>
      <c r="N67" s="34">
        <f ca="1">IFERROR(__xludf.DUMMYFUNCTION("""COMPUTED_VALUE"""),0)</f>
        <v>0</v>
      </c>
      <c r="O67" s="35"/>
      <c r="P67" s="36">
        <f t="shared" si="13"/>
        <v>0</v>
      </c>
      <c r="Q67" s="36">
        <f t="shared" ca="1" si="14"/>
        <v>0</v>
      </c>
      <c r="R67" s="37">
        <f t="shared" ca="1" si="15"/>
        <v>0</v>
      </c>
    </row>
    <row r="68" spans="2:18" ht="12.75" outlineLevel="1">
      <c r="B68" s="26" t="s">
        <v>84</v>
      </c>
      <c r="C68" s="102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f ca="1">IFERROR(__xludf.DUMMYFUNCTION("""COMPUTED_VALUE"""),0)</f>
        <v>0</v>
      </c>
      <c r="J68" s="34">
        <f ca="1">IFERROR(__xludf.DUMMYFUNCTION("""COMPUTED_VALUE"""),0)</f>
        <v>0</v>
      </c>
      <c r="K68" s="34">
        <f ca="1">IFERROR(__xludf.DUMMYFUNCTION("""COMPUTED_VALUE"""),0)</f>
        <v>0</v>
      </c>
      <c r="L68" s="34">
        <f ca="1">IFERROR(__xludf.DUMMYFUNCTION("""COMPUTED_VALUE"""),0)</f>
        <v>0</v>
      </c>
      <c r="M68" s="34">
        <f ca="1">IFERROR(__xludf.DUMMYFUNCTION("""COMPUTED_VALUE"""),0)</f>
        <v>0</v>
      </c>
      <c r="N68" s="34">
        <f ca="1">IFERROR(__xludf.DUMMYFUNCTION("""COMPUTED_VALUE"""),0)</f>
        <v>0</v>
      </c>
      <c r="O68" s="35"/>
      <c r="P68" s="36">
        <f t="shared" si="13"/>
        <v>0</v>
      </c>
      <c r="Q68" s="36">
        <f t="shared" ca="1" si="14"/>
        <v>0</v>
      </c>
      <c r="R68" s="37">
        <f t="shared" ca="1" si="15"/>
        <v>0</v>
      </c>
    </row>
    <row r="69" spans="2:18" ht="12.75" outlineLevel="1">
      <c r="B69" s="26" t="s">
        <v>85</v>
      </c>
      <c r="C69" s="100">
        <v>-887</v>
      </c>
      <c r="D69" s="100">
        <v>-887</v>
      </c>
      <c r="E69" s="34">
        <v>-2437</v>
      </c>
      <c r="F69" s="100">
        <v>-887</v>
      </c>
      <c r="G69" s="100">
        <v>-887</v>
      </c>
      <c r="H69" s="34">
        <v>-2437</v>
      </c>
      <c r="I69" s="34">
        <f ca="1">IFERROR(__xludf.DUMMYFUNCTION("""COMPUTED_VALUE"""),-887)</f>
        <v>-887</v>
      </c>
      <c r="J69" s="34">
        <f ca="1">IFERROR(__xludf.DUMMYFUNCTION("""COMPUTED_VALUE"""),-887)</f>
        <v>-887</v>
      </c>
      <c r="K69" s="34"/>
      <c r="L69" s="34"/>
      <c r="M69" s="34"/>
      <c r="N69" s="34"/>
      <c r="O69" s="35"/>
      <c r="P69" s="36">
        <f t="shared" si="13"/>
        <v>-8422</v>
      </c>
      <c r="Q69" s="36">
        <f t="shared" ca="1" si="14"/>
        <v>-1774</v>
      </c>
      <c r="R69" s="37">
        <f t="shared" ca="1" si="15"/>
        <v>-10196</v>
      </c>
    </row>
    <row r="70" spans="2:18" ht="12.75" outlineLevel="1">
      <c r="B70" s="26" t="s">
        <v>86</v>
      </c>
      <c r="C70" s="34">
        <v>-3908.36</v>
      </c>
      <c r="D70" s="34">
        <v>-3720.63</v>
      </c>
      <c r="E70" s="34">
        <v>-2619.69</v>
      </c>
      <c r="F70" s="34">
        <v>-2619.69</v>
      </c>
      <c r="G70" s="34">
        <v>-2619.69</v>
      </c>
      <c r="H70" s="34">
        <v>-2619.69</v>
      </c>
      <c r="I70" s="34">
        <f ca="1">IFERROR(__xludf.DUMMYFUNCTION("""COMPUTED_VALUE"""),-4642.9)</f>
        <v>-4642.8999999999996</v>
      </c>
      <c r="J70" s="71">
        <f ca="1">IFERROR(__xludf.DUMMYFUNCTION("""COMPUTED_VALUE"""),-3541.96)</f>
        <v>-3541.96</v>
      </c>
      <c r="K70" s="71"/>
      <c r="L70" s="34"/>
      <c r="M70" s="71"/>
      <c r="N70" s="62"/>
      <c r="O70" s="36"/>
      <c r="P70" s="36">
        <f t="shared" si="13"/>
        <v>-18107.75</v>
      </c>
      <c r="Q70" s="36">
        <f t="shared" ca="1" si="14"/>
        <v>-8184.86</v>
      </c>
      <c r="R70" s="37">
        <f t="shared" ca="1" si="15"/>
        <v>-26292.61</v>
      </c>
    </row>
    <row r="71" spans="2:18" ht="12.75" outlineLevel="1">
      <c r="B71" s="26" t="s">
        <v>87</v>
      </c>
      <c r="C71" s="34">
        <v>-1621</v>
      </c>
      <c r="D71" s="34">
        <v>-1621</v>
      </c>
      <c r="E71" s="34">
        <v>-1621</v>
      </c>
      <c r="F71" s="34">
        <v>-1621</v>
      </c>
      <c r="G71" s="34">
        <v>-1621</v>
      </c>
      <c r="H71" s="34">
        <v>-1621</v>
      </c>
      <c r="I71" s="34">
        <f ca="1">IFERROR(__xludf.DUMMYFUNCTION("""COMPUTED_VALUE"""),-1621)</f>
        <v>-1621</v>
      </c>
      <c r="J71" s="34">
        <f ca="1">IFERROR(__xludf.DUMMYFUNCTION("""COMPUTED_VALUE"""),-1621)</f>
        <v>-1621</v>
      </c>
      <c r="K71" s="34"/>
      <c r="L71" s="34"/>
      <c r="M71" s="34"/>
      <c r="N71" s="34"/>
      <c r="O71" s="35"/>
      <c r="P71" s="36">
        <f t="shared" si="13"/>
        <v>-9726</v>
      </c>
      <c r="Q71" s="36">
        <f t="shared" ca="1" si="14"/>
        <v>-3242</v>
      </c>
      <c r="R71" s="37">
        <f t="shared" ca="1" si="15"/>
        <v>-12968</v>
      </c>
    </row>
    <row r="72" spans="2:18" ht="12.75" outlineLevel="1">
      <c r="B72" s="26" t="s">
        <v>88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f ca="1">IFERROR(__xludf.DUMMYFUNCTION("""COMPUTED_VALUE"""),0)</f>
        <v>0</v>
      </c>
      <c r="J72" s="34">
        <f ca="1">IFERROR(__xludf.DUMMYFUNCTION("""COMPUTED_VALUE"""),0)</f>
        <v>0</v>
      </c>
      <c r="K72" s="34">
        <f ca="1">IFERROR(__xludf.DUMMYFUNCTION("""COMPUTED_VALUE"""),0)</f>
        <v>0</v>
      </c>
      <c r="L72" s="34">
        <f ca="1">IFERROR(__xludf.DUMMYFUNCTION("""COMPUTED_VALUE"""),0)</f>
        <v>0</v>
      </c>
      <c r="M72" s="34">
        <f ca="1">IFERROR(__xludf.DUMMYFUNCTION("""COMPUTED_VALUE"""),0)</f>
        <v>0</v>
      </c>
      <c r="N72" s="34">
        <f ca="1">IFERROR(__xludf.DUMMYFUNCTION("""COMPUTED_VALUE"""),0)</f>
        <v>0</v>
      </c>
      <c r="O72" s="35"/>
      <c r="P72" s="36">
        <f t="shared" si="13"/>
        <v>0</v>
      </c>
      <c r="Q72" s="36">
        <f t="shared" ca="1" si="14"/>
        <v>0</v>
      </c>
      <c r="R72" s="37">
        <f t="shared" ca="1" si="15"/>
        <v>0</v>
      </c>
    </row>
    <row r="73" spans="2:18" ht="12.75" outlineLevel="1">
      <c r="B73" s="26" t="s">
        <v>89</v>
      </c>
      <c r="C73" s="34">
        <v>-6412.5</v>
      </c>
      <c r="D73" s="34">
        <v>-15014.82</v>
      </c>
      <c r="E73" s="34">
        <v>-5430.25</v>
      </c>
      <c r="F73" s="34">
        <v>-3562.18</v>
      </c>
      <c r="G73" s="34">
        <v>-1666.47</v>
      </c>
      <c r="H73" s="63">
        <v>-1696.03</v>
      </c>
      <c r="I73" s="34">
        <f ca="1">IFERROR(__xludf.DUMMYFUNCTION("""COMPUTED_VALUE"""),-2418.24)</f>
        <v>-2418.2399999999998</v>
      </c>
      <c r="J73" s="71">
        <f ca="1">IFERROR(__xludf.DUMMYFUNCTION("""COMPUTED_VALUE"""),-5483.23)</f>
        <v>-5483.23</v>
      </c>
      <c r="K73" s="34"/>
      <c r="L73" s="34"/>
      <c r="M73" s="34"/>
      <c r="N73" s="62"/>
      <c r="O73" s="35"/>
      <c r="P73" s="36">
        <f t="shared" si="13"/>
        <v>-33782.25</v>
      </c>
      <c r="Q73" s="36">
        <f t="shared" ca="1" si="14"/>
        <v>-7901.4699999999993</v>
      </c>
      <c r="R73" s="37">
        <f t="shared" ca="1" si="15"/>
        <v>-41683.72</v>
      </c>
    </row>
    <row r="74" spans="2:18" ht="12.75" outlineLevel="1">
      <c r="B74" s="26" t="s">
        <v>90</v>
      </c>
      <c r="C74" s="34">
        <v>-163.22</v>
      </c>
      <c r="D74" s="34">
        <v>-252.01</v>
      </c>
      <c r="E74" s="34">
        <v>-140.56</v>
      </c>
      <c r="F74" s="34">
        <v>-97.29</v>
      </c>
      <c r="G74" s="34">
        <v>-362.67</v>
      </c>
      <c r="H74" s="63">
        <v>-84.02</v>
      </c>
      <c r="I74" s="34">
        <f ca="1">IFERROR(__xludf.DUMMYFUNCTION("""COMPUTED_VALUE"""),-569.97)</f>
        <v>-569.97</v>
      </c>
      <c r="J74" s="71">
        <f ca="1">IFERROR(__xludf.DUMMYFUNCTION("""COMPUTED_VALUE"""),-313.69)</f>
        <v>-313.69</v>
      </c>
      <c r="K74" s="34"/>
      <c r="L74" s="34"/>
      <c r="M74" s="34"/>
      <c r="N74" s="62"/>
      <c r="O74" s="35"/>
      <c r="P74" s="36">
        <f t="shared" si="13"/>
        <v>-1099.77</v>
      </c>
      <c r="Q74" s="36">
        <f t="shared" ca="1" si="14"/>
        <v>-883.66000000000008</v>
      </c>
      <c r="R74" s="37">
        <f t="shared" ca="1" si="15"/>
        <v>-1983.43</v>
      </c>
    </row>
    <row r="75" spans="2:18" ht="12.75" outlineLevel="1">
      <c r="B75" s="26" t="s">
        <v>91</v>
      </c>
      <c r="C75" s="62">
        <v>0</v>
      </c>
      <c r="D75" s="34">
        <v>-816.29</v>
      </c>
      <c r="E75" s="34">
        <v>0</v>
      </c>
      <c r="F75" s="34">
        <v>0</v>
      </c>
      <c r="G75" s="34">
        <v>0</v>
      </c>
      <c r="H75" s="34">
        <v>0</v>
      </c>
      <c r="I75" s="34">
        <f ca="1">IFERROR(__xludf.DUMMYFUNCTION("""COMPUTED_VALUE"""),0)</f>
        <v>0</v>
      </c>
      <c r="J75" s="34">
        <f ca="1">IFERROR(__xludf.DUMMYFUNCTION("""COMPUTED_VALUE"""),0)</f>
        <v>0</v>
      </c>
      <c r="K75" s="34">
        <f ca="1">IFERROR(__xludf.DUMMYFUNCTION("""COMPUTED_VALUE"""),0)</f>
        <v>0</v>
      </c>
      <c r="L75" s="34">
        <f ca="1">IFERROR(__xludf.DUMMYFUNCTION("""COMPUTED_VALUE"""),0)</f>
        <v>0</v>
      </c>
      <c r="M75" s="34">
        <f ca="1">IFERROR(__xludf.DUMMYFUNCTION("""COMPUTED_VALUE"""),0)</f>
        <v>0</v>
      </c>
      <c r="N75" s="34">
        <f ca="1">IFERROR(__xludf.DUMMYFUNCTION("""COMPUTED_VALUE"""),0)</f>
        <v>0</v>
      </c>
      <c r="O75" s="35"/>
      <c r="P75" s="36">
        <f t="shared" si="13"/>
        <v>-816.29</v>
      </c>
      <c r="Q75" s="36">
        <f t="shared" ca="1" si="14"/>
        <v>0</v>
      </c>
      <c r="R75" s="37">
        <f t="shared" ca="1" si="15"/>
        <v>-816.29</v>
      </c>
    </row>
    <row r="76" spans="2:18" ht="12.75" outlineLevel="1">
      <c r="B76" s="26" t="s">
        <v>92</v>
      </c>
      <c r="C76" s="34">
        <v>-300.47000000000003</v>
      </c>
      <c r="D76" s="34">
        <v>-300.47000000000003</v>
      </c>
      <c r="E76" s="34">
        <v>-304.95999999999998</v>
      </c>
      <c r="F76" s="34">
        <v>-300.47000000000003</v>
      </c>
      <c r="G76" s="34">
        <v>-300.47000000000003</v>
      </c>
      <c r="H76" s="34">
        <v>-300.47000000000003</v>
      </c>
      <c r="I76" s="34">
        <f ca="1">IFERROR(__xludf.DUMMYFUNCTION("""COMPUTED_VALUE"""),-305.24)</f>
        <v>-305.24</v>
      </c>
      <c r="J76" s="71">
        <f ca="1">IFERROR(__xludf.DUMMYFUNCTION("""COMPUTED_VALUE"""),-300.47)</f>
        <v>-300.47000000000003</v>
      </c>
      <c r="K76" s="71"/>
      <c r="L76" s="34"/>
      <c r="M76" s="34"/>
      <c r="N76" s="34"/>
      <c r="O76" s="35"/>
      <c r="P76" s="36">
        <f t="shared" si="13"/>
        <v>-1807.3100000000002</v>
      </c>
      <c r="Q76" s="36">
        <f t="shared" ca="1" si="14"/>
        <v>-605.71</v>
      </c>
      <c r="R76" s="37">
        <f t="shared" ca="1" si="15"/>
        <v>-2413.0200000000004</v>
      </c>
    </row>
    <row r="77" spans="2:18" ht="12.75" outlineLevel="1">
      <c r="B77" s="26" t="s">
        <v>93</v>
      </c>
      <c r="C77" s="34">
        <v>-1264.0999999999999</v>
      </c>
      <c r="D77" s="34">
        <v>-1377.66</v>
      </c>
      <c r="E77" s="34">
        <v>-1396.26</v>
      </c>
      <c r="F77" s="34">
        <v>-1365</v>
      </c>
      <c r="G77" s="34">
        <v>-1520.99</v>
      </c>
      <c r="H77" s="34">
        <v>-1369.9</v>
      </c>
      <c r="I77" s="34">
        <f ca="1">IFERROR(__xludf.DUMMYFUNCTION("""COMPUTED_VALUE"""),-1369.9)</f>
        <v>-1369.9</v>
      </c>
      <c r="J77" s="71">
        <f ca="1">IFERROR(__xludf.DUMMYFUNCTION("""COMPUTED_VALUE"""),0)</f>
        <v>0</v>
      </c>
      <c r="K77" s="71"/>
      <c r="L77" s="71"/>
      <c r="M77" s="71"/>
      <c r="N77" s="71"/>
      <c r="O77" s="35"/>
      <c r="P77" s="36">
        <f t="shared" si="13"/>
        <v>-8293.91</v>
      </c>
      <c r="Q77" s="36">
        <f t="shared" ca="1" si="14"/>
        <v>-1369.9</v>
      </c>
      <c r="R77" s="37">
        <f t="shared" ca="1" si="15"/>
        <v>-9663.81</v>
      </c>
    </row>
    <row r="78" spans="2:18" ht="12.75">
      <c r="B78" s="90" t="s">
        <v>94</v>
      </c>
      <c r="C78" s="31">
        <f t="shared" ref="C78:H78" si="20">SUM(C79:C83)</f>
        <v>-152.76</v>
      </c>
      <c r="D78" s="31">
        <f t="shared" si="20"/>
        <v>-466.99</v>
      </c>
      <c r="E78" s="31">
        <f t="shared" si="20"/>
        <v>-83.2</v>
      </c>
      <c r="F78" s="31">
        <f t="shared" si="20"/>
        <v>-193.69</v>
      </c>
      <c r="G78" s="31">
        <f t="shared" si="20"/>
        <v>-163.77000000000001</v>
      </c>
      <c r="H78" s="31">
        <f t="shared" si="20"/>
        <v>-162.1</v>
      </c>
      <c r="I78" s="31">
        <f ca="1">IFERROR(__xludf.DUMMYFUNCTION("""COMPUTED_VALUE"""),-135.1)</f>
        <v>-135.1</v>
      </c>
      <c r="J78" s="31">
        <f ca="1">IFERROR(__xludf.DUMMYFUNCTION("""COMPUTED_VALUE"""),-276.86)</f>
        <v>-276.86</v>
      </c>
      <c r="K78" s="31">
        <f ca="1">IFERROR(__xludf.DUMMYFUNCTION("""COMPUTED_VALUE"""),0)</f>
        <v>0</v>
      </c>
      <c r="L78" s="31">
        <f ca="1">IFERROR(__xludf.DUMMYFUNCTION("""COMPUTED_VALUE"""),0)</f>
        <v>0</v>
      </c>
      <c r="M78" s="31">
        <f ca="1">IFERROR(__xludf.DUMMYFUNCTION("""COMPUTED_VALUE"""),0)</f>
        <v>0</v>
      </c>
      <c r="N78" s="31">
        <f ca="1">IFERROR(__xludf.DUMMYFUNCTION("""COMPUTED_VALUE"""),0)</f>
        <v>0</v>
      </c>
      <c r="O78" s="35"/>
      <c r="P78" s="31">
        <f t="shared" si="13"/>
        <v>-1222.51</v>
      </c>
      <c r="Q78" s="31">
        <f t="shared" ca="1" si="14"/>
        <v>-411.96000000000004</v>
      </c>
      <c r="R78" s="32">
        <f t="shared" ca="1" si="15"/>
        <v>-1634.47</v>
      </c>
    </row>
    <row r="79" spans="2:18" ht="12.75" outlineLevel="1">
      <c r="B79" s="58" t="s">
        <v>133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f ca="1">IFERROR(__xludf.DUMMYFUNCTION("""COMPUTED_VALUE"""),0)</f>
        <v>0</v>
      </c>
      <c r="J79" s="34">
        <f ca="1">IFERROR(__xludf.DUMMYFUNCTION("""COMPUTED_VALUE"""),0)</f>
        <v>0</v>
      </c>
      <c r="K79" s="34">
        <f ca="1">IFERROR(__xludf.DUMMYFUNCTION("""COMPUTED_VALUE"""),0)</f>
        <v>0</v>
      </c>
      <c r="L79" s="34">
        <f ca="1">IFERROR(__xludf.DUMMYFUNCTION("""COMPUTED_VALUE"""),0)</f>
        <v>0</v>
      </c>
      <c r="M79" s="34">
        <f ca="1">IFERROR(__xludf.DUMMYFUNCTION("""COMPUTED_VALUE"""),0)</f>
        <v>0</v>
      </c>
      <c r="N79" s="34">
        <f ca="1">IFERROR(__xludf.DUMMYFUNCTION("""COMPUTED_VALUE"""),0)</f>
        <v>0</v>
      </c>
      <c r="O79" s="35"/>
      <c r="P79" s="36">
        <f t="shared" si="13"/>
        <v>0</v>
      </c>
      <c r="Q79" s="36">
        <f t="shared" ca="1" si="14"/>
        <v>0</v>
      </c>
      <c r="R79" s="91">
        <f t="shared" ca="1" si="15"/>
        <v>0</v>
      </c>
    </row>
    <row r="80" spans="2:18" ht="12.75" outlineLevel="1">
      <c r="B80" s="26" t="s">
        <v>96</v>
      </c>
      <c r="C80" s="102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f ca="1">IFERROR(__xludf.DUMMYFUNCTION("""COMPUTED_VALUE"""),0)</f>
        <v>0</v>
      </c>
      <c r="J80" s="34">
        <f ca="1">IFERROR(__xludf.DUMMYFUNCTION("""COMPUTED_VALUE"""),0)</f>
        <v>0</v>
      </c>
      <c r="K80" s="34">
        <f ca="1">IFERROR(__xludf.DUMMYFUNCTION("""COMPUTED_VALUE"""),0)</f>
        <v>0</v>
      </c>
      <c r="L80" s="34">
        <f ca="1">IFERROR(__xludf.DUMMYFUNCTION("""COMPUTED_VALUE"""),0)</f>
        <v>0</v>
      </c>
      <c r="M80" s="34">
        <f ca="1">IFERROR(__xludf.DUMMYFUNCTION("""COMPUTED_VALUE"""),0)</f>
        <v>0</v>
      </c>
      <c r="N80" s="34">
        <f ca="1">IFERROR(__xludf.DUMMYFUNCTION("""COMPUTED_VALUE"""),0)</f>
        <v>0</v>
      </c>
      <c r="O80" s="36"/>
      <c r="P80" s="36">
        <f t="shared" si="13"/>
        <v>0</v>
      </c>
      <c r="Q80" s="36">
        <f t="shared" ca="1" si="14"/>
        <v>0</v>
      </c>
      <c r="R80" s="37">
        <f t="shared" ca="1" si="15"/>
        <v>0</v>
      </c>
    </row>
    <row r="81" spans="2:19" ht="12.75" outlineLevel="1">
      <c r="B81" s="26" t="s">
        <v>97</v>
      </c>
      <c r="C81" s="102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f ca="1">IFERROR(__xludf.DUMMYFUNCTION("""COMPUTED_VALUE"""),0)</f>
        <v>0</v>
      </c>
      <c r="J81" s="34">
        <f ca="1">IFERROR(__xludf.DUMMYFUNCTION("""COMPUTED_VALUE"""),0)</f>
        <v>0</v>
      </c>
      <c r="K81" s="34">
        <f ca="1">IFERROR(__xludf.DUMMYFUNCTION("""COMPUTED_VALUE"""),0)</f>
        <v>0</v>
      </c>
      <c r="L81" s="34">
        <f ca="1">IFERROR(__xludf.DUMMYFUNCTION("""COMPUTED_VALUE"""),0)</f>
        <v>0</v>
      </c>
      <c r="M81" s="34">
        <f ca="1">IFERROR(__xludf.DUMMYFUNCTION("""COMPUTED_VALUE"""),0)</f>
        <v>0</v>
      </c>
      <c r="N81" s="34">
        <f ca="1">IFERROR(__xludf.DUMMYFUNCTION("""COMPUTED_VALUE"""),0)</f>
        <v>0</v>
      </c>
      <c r="O81" s="36"/>
      <c r="P81" s="36">
        <f t="shared" si="13"/>
        <v>0</v>
      </c>
      <c r="Q81" s="36">
        <f t="shared" ca="1" si="14"/>
        <v>0</v>
      </c>
      <c r="R81" s="37">
        <f t="shared" ca="1" si="15"/>
        <v>0</v>
      </c>
    </row>
    <row r="82" spans="2:19" ht="16.5" customHeight="1" outlineLevel="1">
      <c r="B82" s="26" t="s">
        <v>98</v>
      </c>
      <c r="C82" s="34">
        <v>-1.36</v>
      </c>
      <c r="D82" s="34">
        <v>-329.22</v>
      </c>
      <c r="E82" s="34">
        <v>0</v>
      </c>
      <c r="F82" s="34">
        <v>-46.92</v>
      </c>
      <c r="G82" s="34">
        <v>-0.72</v>
      </c>
      <c r="H82" s="34">
        <v>-8.09</v>
      </c>
      <c r="I82" s="92">
        <f ca="1">IFERROR(__xludf.DUMMYFUNCTION("""COMPUTED_VALUE"""),-0.17)</f>
        <v>-0.17</v>
      </c>
      <c r="J82" s="34">
        <f ca="1">IFERROR(__xludf.DUMMYFUNCTION("""COMPUTED_VALUE"""),-98.81)</f>
        <v>-98.81</v>
      </c>
      <c r="K82" s="34"/>
      <c r="L82" s="34"/>
      <c r="M82" s="34"/>
      <c r="N82" s="34"/>
      <c r="O82" s="35"/>
      <c r="P82" s="35">
        <f t="shared" si="13"/>
        <v>-386.31000000000006</v>
      </c>
      <c r="Q82" s="35">
        <f t="shared" ca="1" si="14"/>
        <v>-98.98</v>
      </c>
      <c r="R82" s="37">
        <f t="shared" ca="1" si="15"/>
        <v>-485.29000000000008</v>
      </c>
    </row>
    <row r="83" spans="2:19" ht="12.75" outlineLevel="1">
      <c r="B83" s="26" t="s">
        <v>99</v>
      </c>
      <c r="C83" s="34">
        <f>-147.73-3.67</f>
        <v>-151.39999999999998</v>
      </c>
      <c r="D83" s="34">
        <v>-137.77000000000001</v>
      </c>
      <c r="E83" s="34">
        <v>-83.2</v>
      </c>
      <c r="F83" s="34">
        <v>-146.77000000000001</v>
      </c>
      <c r="G83" s="34">
        <v>-163.05000000000001</v>
      </c>
      <c r="H83" s="63">
        <v>-154.01</v>
      </c>
      <c r="I83" s="34">
        <f ca="1">IFERROR(__xludf.DUMMYFUNCTION("""COMPUTED_VALUE"""),-134.93)</f>
        <v>-134.93</v>
      </c>
      <c r="J83" s="71">
        <f ca="1">IFERROR(__xludf.DUMMYFUNCTION("""COMPUTED_VALUE"""),-178.05)</f>
        <v>-178.05</v>
      </c>
      <c r="K83" s="34"/>
      <c r="L83" s="34"/>
      <c r="M83" s="34"/>
      <c r="N83" s="62"/>
      <c r="O83" s="35"/>
      <c r="P83" s="36">
        <f t="shared" si="13"/>
        <v>-836.2</v>
      </c>
      <c r="Q83" s="36">
        <f t="shared" ca="1" si="14"/>
        <v>-312.98</v>
      </c>
      <c r="R83" s="37">
        <f t="shared" ca="1" si="15"/>
        <v>-1149.18</v>
      </c>
    </row>
    <row r="84" spans="2:19" ht="12.75">
      <c r="B84" s="13" t="s">
        <v>100</v>
      </c>
      <c r="C84" s="31">
        <f t="shared" ref="C84:H84" si="21">SUM(C85:C86)</f>
        <v>8341.4500000000007</v>
      </c>
      <c r="D84" s="31">
        <f t="shared" si="21"/>
        <v>2824.67</v>
      </c>
      <c r="E84" s="31">
        <f t="shared" si="21"/>
        <v>4494.84</v>
      </c>
      <c r="F84" s="31">
        <f t="shared" si="21"/>
        <v>871.29</v>
      </c>
      <c r="G84" s="31">
        <f t="shared" si="21"/>
        <v>294.24</v>
      </c>
      <c r="H84" s="31">
        <f t="shared" si="21"/>
        <v>31.08</v>
      </c>
      <c r="I84" s="31">
        <f ca="1">IFERROR(__xludf.DUMMYFUNCTION("""COMPUTED_VALUE"""),3673.66)</f>
        <v>3673.66</v>
      </c>
      <c r="J84" s="31">
        <f ca="1">IFERROR(__xludf.DUMMYFUNCTION("""COMPUTED_VALUE"""),476.16)</f>
        <v>476.16</v>
      </c>
      <c r="K84" s="31">
        <f ca="1">IFERROR(__xludf.DUMMYFUNCTION("""COMPUTED_VALUE"""),0)</f>
        <v>0</v>
      </c>
      <c r="L84" s="31">
        <f ca="1">IFERROR(__xludf.DUMMYFUNCTION("""COMPUTED_VALUE"""),0)</f>
        <v>0</v>
      </c>
      <c r="M84" s="31">
        <f ca="1">IFERROR(__xludf.DUMMYFUNCTION("""COMPUTED_VALUE"""),0)</f>
        <v>0</v>
      </c>
      <c r="N84" s="31">
        <f ca="1">IFERROR(__xludf.DUMMYFUNCTION("""COMPUTED_VALUE"""),0)</f>
        <v>0</v>
      </c>
      <c r="O84" s="111"/>
      <c r="P84" s="31">
        <f t="shared" si="13"/>
        <v>16857.570000000003</v>
      </c>
      <c r="Q84" s="31">
        <f t="shared" ca="1" si="14"/>
        <v>4149.82</v>
      </c>
      <c r="R84" s="32">
        <f t="shared" ca="1" si="15"/>
        <v>21007.390000000003</v>
      </c>
    </row>
    <row r="85" spans="2:19" ht="12.75" outlineLevel="1">
      <c r="B85" s="26" t="s">
        <v>101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f ca="1">IFERROR(__xludf.DUMMYFUNCTION("""COMPUTED_VALUE"""),0)</f>
        <v>0</v>
      </c>
      <c r="J85" s="34">
        <f ca="1">IFERROR(__xludf.DUMMYFUNCTION("""COMPUTED_VALUE"""),0)</f>
        <v>0</v>
      </c>
      <c r="K85" s="34">
        <f ca="1">IFERROR(__xludf.DUMMYFUNCTION("""COMPUTED_VALUE"""),0)</f>
        <v>0</v>
      </c>
      <c r="L85" s="34">
        <f ca="1">IFERROR(__xludf.DUMMYFUNCTION("""COMPUTED_VALUE"""),0)</f>
        <v>0</v>
      </c>
      <c r="M85" s="34">
        <f ca="1">IFERROR(__xludf.DUMMYFUNCTION("""COMPUTED_VALUE"""),0)</f>
        <v>0</v>
      </c>
      <c r="N85" s="34">
        <f ca="1">IFERROR(__xludf.DUMMYFUNCTION("""COMPUTED_VALUE"""),0)</f>
        <v>0</v>
      </c>
      <c r="O85" s="35"/>
      <c r="P85" s="36">
        <f t="shared" si="13"/>
        <v>0</v>
      </c>
      <c r="Q85" s="36">
        <f t="shared" ca="1" si="14"/>
        <v>0</v>
      </c>
      <c r="R85" s="37">
        <f t="shared" ca="1" si="15"/>
        <v>0</v>
      </c>
    </row>
    <row r="86" spans="2:19" ht="12.75" outlineLevel="1">
      <c r="B86" s="26" t="s">
        <v>102</v>
      </c>
      <c r="C86" s="34">
        <f>7999.26+342.19</f>
        <v>8341.4500000000007</v>
      </c>
      <c r="D86" s="63">
        <f>2439.29+ 385.38</f>
        <v>2824.67</v>
      </c>
      <c r="E86" s="34">
        <f>1042.62+ 3452.22</f>
        <v>4494.84</v>
      </c>
      <c r="F86" s="34">
        <v>871.29</v>
      </c>
      <c r="G86" s="34">
        <v>294.24</v>
      </c>
      <c r="H86" s="34">
        <v>31.08</v>
      </c>
      <c r="I86" s="34">
        <f ca="1">IFERROR(__xludf.DUMMYFUNCTION("""COMPUTED_VALUE"""),3673.66)</f>
        <v>3673.66</v>
      </c>
      <c r="J86" s="34">
        <f ca="1">IFERROR(__xludf.DUMMYFUNCTION("""COMPUTED_VALUE"""),476.16)</f>
        <v>476.16</v>
      </c>
      <c r="K86" s="92"/>
      <c r="L86" s="34"/>
      <c r="M86" s="34"/>
      <c r="N86" s="34"/>
      <c r="O86" s="35"/>
      <c r="P86" s="36">
        <f t="shared" si="13"/>
        <v>16857.570000000003</v>
      </c>
      <c r="Q86" s="36">
        <f t="shared" ca="1" si="14"/>
        <v>4149.82</v>
      </c>
      <c r="R86" s="37">
        <f t="shared" ca="1" si="15"/>
        <v>21007.390000000003</v>
      </c>
    </row>
    <row r="87" spans="2:19" ht="12.75">
      <c r="B87" s="65" t="s">
        <v>103</v>
      </c>
      <c r="C87" s="66">
        <f t="shared" ref="C87:H87" si="22">C27+C28+C84</f>
        <v>66219.726938300053</v>
      </c>
      <c r="D87" s="66">
        <f t="shared" si="22"/>
        <v>76294.539286600018</v>
      </c>
      <c r="E87" s="66">
        <f t="shared" si="22"/>
        <v>110649.46181680005</v>
      </c>
      <c r="F87" s="66">
        <f t="shared" si="22"/>
        <v>16104.72427470002</v>
      </c>
      <c r="G87" s="66">
        <f t="shared" si="22"/>
        <v>72804.361778899969</v>
      </c>
      <c r="H87" s="66">
        <f t="shared" si="22"/>
        <v>91027.29277530004</v>
      </c>
      <c r="I87" s="66">
        <f ca="1">IFERROR(__xludf.DUMMYFUNCTION("""COMPUTED_VALUE"""),56332.9032335999)</f>
        <v>56332.9032335999</v>
      </c>
      <c r="J87" s="66">
        <f ca="1">IFERROR(__xludf.DUMMYFUNCTION("""COMPUTED_VALUE"""),154695.679076499)</f>
        <v>154695.67907649899</v>
      </c>
      <c r="K87" s="66">
        <f ca="1">IFERROR(__xludf.DUMMYFUNCTION("""COMPUTED_VALUE"""),0)</f>
        <v>0</v>
      </c>
      <c r="L87" s="66">
        <f ca="1">IFERROR(__xludf.DUMMYFUNCTION("""COMPUTED_VALUE"""),0)</f>
        <v>0</v>
      </c>
      <c r="M87" s="66">
        <f ca="1">IFERROR(__xludf.DUMMYFUNCTION("""COMPUTED_VALUE"""),0)</f>
        <v>0</v>
      </c>
      <c r="N87" s="66">
        <f ca="1">IFERROR(__xludf.DUMMYFUNCTION("""COMPUTED_VALUE"""),0)</f>
        <v>0</v>
      </c>
      <c r="O87" s="35"/>
      <c r="P87" s="66">
        <f t="shared" si="13"/>
        <v>433100.1068706002</v>
      </c>
      <c r="Q87" s="66">
        <f t="shared" ca="1" si="14"/>
        <v>211028.58231009889</v>
      </c>
      <c r="R87" s="68">
        <f t="shared" ca="1" si="15"/>
        <v>644128.68918069906</v>
      </c>
      <c r="S87" s="112"/>
    </row>
    <row r="88" spans="2:19" ht="12.75" outlineLevel="1">
      <c r="B88" s="26" t="s">
        <v>104</v>
      </c>
      <c r="C88" s="102">
        <v>0</v>
      </c>
      <c r="D88" s="102">
        <v>0</v>
      </c>
      <c r="E88" s="102">
        <v>0</v>
      </c>
      <c r="F88" s="34">
        <v>0</v>
      </c>
      <c r="G88" s="100">
        <v>509.43</v>
      </c>
      <c r="H88" s="100">
        <v>476.73</v>
      </c>
      <c r="I88" s="102">
        <f ca="1">IFERROR(__xludf.DUMMYFUNCTION("""COMPUTED_VALUE"""),650.72)</f>
        <v>650.72</v>
      </c>
      <c r="J88" s="102">
        <f ca="1">IFERROR(__xludf.DUMMYFUNCTION("""COMPUTED_VALUE"""),906.01)</f>
        <v>906.01</v>
      </c>
      <c r="K88" s="102">
        <f ca="1">IFERROR(__xludf.DUMMYFUNCTION("""COMPUTED_VALUE"""),1147.25)</f>
        <v>1147.25</v>
      </c>
      <c r="L88" s="102">
        <f ca="1">IFERROR(__xludf.DUMMYFUNCTION("""COMPUTED_VALUE"""),0)</f>
        <v>0</v>
      </c>
      <c r="M88" s="102">
        <f ca="1">IFERROR(__xludf.DUMMYFUNCTION("""COMPUTED_VALUE"""),0)</f>
        <v>0</v>
      </c>
      <c r="N88" s="102">
        <f ca="1">IFERROR(__xludf.DUMMYFUNCTION("""COMPUTED_VALUE"""),0)</f>
        <v>0</v>
      </c>
      <c r="O88" s="35"/>
      <c r="P88" s="36">
        <f t="shared" si="13"/>
        <v>986.16000000000008</v>
      </c>
      <c r="Q88" s="36">
        <f t="shared" ca="1" si="14"/>
        <v>2703.98</v>
      </c>
      <c r="R88" s="37">
        <f t="shared" ca="1" si="15"/>
        <v>3690.1400000000003</v>
      </c>
    </row>
    <row r="89" spans="2:19" ht="12.75" outlineLevel="1">
      <c r="B89" s="26" t="s">
        <v>105</v>
      </c>
      <c r="C89" s="102">
        <v>0</v>
      </c>
      <c r="D89" s="102">
        <v>0</v>
      </c>
      <c r="E89" s="102">
        <v>0</v>
      </c>
      <c r="F89" s="34">
        <v>0</v>
      </c>
      <c r="G89" s="100">
        <v>0</v>
      </c>
      <c r="H89" s="102">
        <v>0</v>
      </c>
      <c r="I89" s="102">
        <f ca="1">IFERROR(__xludf.DUMMYFUNCTION("""COMPUTED_VALUE"""),0)</f>
        <v>0</v>
      </c>
      <c r="J89" s="102">
        <f ca="1">IFERROR(__xludf.DUMMYFUNCTION("""COMPUTED_VALUE"""),0)</f>
        <v>0</v>
      </c>
      <c r="K89" s="102">
        <f ca="1">IFERROR(__xludf.DUMMYFUNCTION("""COMPUTED_VALUE"""),0)</f>
        <v>0</v>
      </c>
      <c r="L89" s="102">
        <f ca="1">IFERROR(__xludf.DUMMYFUNCTION("""COMPUTED_VALUE"""),0)</f>
        <v>0</v>
      </c>
      <c r="M89" s="102">
        <f ca="1">IFERROR(__xludf.DUMMYFUNCTION("""COMPUTED_VALUE"""),0)</f>
        <v>0</v>
      </c>
      <c r="N89" s="102">
        <f ca="1">IFERROR(__xludf.DUMMYFUNCTION("""COMPUTED_VALUE"""),0)</f>
        <v>0</v>
      </c>
      <c r="O89" s="35"/>
      <c r="P89" s="36">
        <f t="shared" si="13"/>
        <v>0</v>
      </c>
      <c r="Q89" s="36">
        <f t="shared" ca="1" si="14"/>
        <v>0</v>
      </c>
      <c r="R89" s="37">
        <f t="shared" ca="1" si="15"/>
        <v>0</v>
      </c>
    </row>
    <row r="90" spans="2:19" ht="12.75">
      <c r="B90" s="65" t="s">
        <v>106</v>
      </c>
      <c r="C90" s="66">
        <f t="shared" ref="C90:H90" si="23">SUM(C87:C89)</f>
        <v>66219.726938300053</v>
      </c>
      <c r="D90" s="66">
        <f t="shared" si="23"/>
        <v>76294.539286600018</v>
      </c>
      <c r="E90" s="66">
        <f t="shared" si="23"/>
        <v>110649.46181680005</v>
      </c>
      <c r="F90" s="66">
        <f t="shared" si="23"/>
        <v>16104.72427470002</v>
      </c>
      <c r="G90" s="66">
        <f t="shared" si="23"/>
        <v>73313.791778899962</v>
      </c>
      <c r="H90" s="66">
        <f t="shared" si="23"/>
        <v>91504.022775300036</v>
      </c>
      <c r="I90" s="66">
        <f ca="1">IFERROR(__xludf.DUMMYFUNCTION("""COMPUTED_VALUE"""),56983.6232335999)</f>
        <v>56983.623233599901</v>
      </c>
      <c r="J90" s="66">
        <f ca="1">IFERROR(__xludf.DUMMYFUNCTION("""COMPUTED_VALUE"""),155601.689076499)</f>
        <v>155601.68907649899</v>
      </c>
      <c r="K90" s="66">
        <f ca="1">IFERROR(__xludf.DUMMYFUNCTION("""COMPUTED_VALUE"""),1147.25)</f>
        <v>1147.25</v>
      </c>
      <c r="L90" s="66">
        <f ca="1">IFERROR(__xludf.DUMMYFUNCTION("""COMPUTED_VALUE"""),0)</f>
        <v>0</v>
      </c>
      <c r="M90" s="66">
        <f ca="1">IFERROR(__xludf.DUMMYFUNCTION("""COMPUTED_VALUE"""),0)</f>
        <v>0</v>
      </c>
      <c r="N90" s="66">
        <f ca="1">IFERROR(__xludf.DUMMYFUNCTION("""COMPUTED_VALUE"""),0)</f>
        <v>0</v>
      </c>
      <c r="O90" s="35"/>
      <c r="P90" s="66">
        <f t="shared" si="13"/>
        <v>434086.26687060017</v>
      </c>
      <c r="Q90" s="66">
        <f t="shared" ca="1" si="14"/>
        <v>213732.5623100989</v>
      </c>
      <c r="R90" s="68">
        <f t="shared" ca="1" si="15"/>
        <v>647818.82918069907</v>
      </c>
    </row>
    <row r="91" spans="2:19" ht="12.75" outlineLevel="1">
      <c r="B91" s="26" t="s">
        <v>108</v>
      </c>
      <c r="C91" s="34">
        <f>-2409.27-64.61</f>
        <v>-2473.88</v>
      </c>
      <c r="D91" s="34">
        <f>-709.04-39.53</f>
        <v>-748.56999999999994</v>
      </c>
      <c r="E91" s="34">
        <f>- 1026.55-53.44</f>
        <v>-1079.99</v>
      </c>
      <c r="F91" s="34">
        <v>-343.01</v>
      </c>
      <c r="G91" s="34">
        <v>-191.18</v>
      </c>
      <c r="H91" s="34">
        <v>-19.29</v>
      </c>
      <c r="I91" s="34">
        <f ca="1">IFERROR(__xludf.DUMMYFUNCTION("""COMPUTED_VALUE"""),-6.33)</f>
        <v>-6.33</v>
      </c>
      <c r="J91" s="34">
        <f ca="1">IFERROR(__xludf.DUMMYFUNCTION("""COMPUTED_VALUE"""),-8.65)</f>
        <v>-8.65</v>
      </c>
      <c r="K91" s="34">
        <f ca="1">IFERROR(__xludf.DUMMYFUNCTION("""COMPUTED_VALUE"""),0)</f>
        <v>0</v>
      </c>
      <c r="L91" s="34">
        <f ca="1">IFERROR(__xludf.DUMMYFUNCTION("""COMPUTED_VALUE"""),0)</f>
        <v>0</v>
      </c>
      <c r="M91" s="34">
        <f ca="1">IFERROR(__xludf.DUMMYFUNCTION("""COMPUTED_VALUE"""),0)</f>
        <v>0</v>
      </c>
      <c r="N91" s="34">
        <f ca="1">IFERROR(__xludf.DUMMYFUNCTION("""COMPUTED_VALUE"""),0)</f>
        <v>0</v>
      </c>
      <c r="O91" s="35"/>
      <c r="P91" s="36">
        <f t="shared" si="13"/>
        <v>-4855.92</v>
      </c>
      <c r="Q91" s="36">
        <f t="shared" ca="1" si="14"/>
        <v>-14.98</v>
      </c>
      <c r="R91" s="37">
        <f t="shared" ca="1" si="15"/>
        <v>-4870.8999999999996</v>
      </c>
    </row>
    <row r="92" spans="2:19" ht="12.75" outlineLevel="1">
      <c r="B92" s="26" t="s">
        <v>109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/>
      <c r="J92" s="34"/>
      <c r="K92" s="34"/>
      <c r="L92" s="34"/>
      <c r="M92" s="34"/>
      <c r="N92" s="34"/>
      <c r="O92" s="35"/>
      <c r="P92" s="36">
        <f t="shared" si="13"/>
        <v>0</v>
      </c>
      <c r="Q92" s="36">
        <f t="shared" si="14"/>
        <v>0</v>
      </c>
      <c r="R92" s="37">
        <f t="shared" si="15"/>
        <v>0</v>
      </c>
    </row>
    <row r="93" spans="2:19" ht="12.75">
      <c r="B93" s="65" t="s">
        <v>110</v>
      </c>
      <c r="C93" s="66">
        <f t="shared" ref="C93:H93" si="24">SUM(C90:C92)</f>
        <v>63745.846938300056</v>
      </c>
      <c r="D93" s="66">
        <f t="shared" si="24"/>
        <v>75545.969286600011</v>
      </c>
      <c r="E93" s="66">
        <f t="shared" si="24"/>
        <v>109569.47181680004</v>
      </c>
      <c r="F93" s="66">
        <f t="shared" si="24"/>
        <v>15761.71427470002</v>
      </c>
      <c r="G93" s="66">
        <f t="shared" si="24"/>
        <v>73122.611778899969</v>
      </c>
      <c r="H93" s="66">
        <f t="shared" si="24"/>
        <v>91484.732775300043</v>
      </c>
      <c r="I93" s="66">
        <f ca="1">IFERROR(__xludf.DUMMYFUNCTION("""COMPUTED_VALUE"""),56977.2932335999)</f>
        <v>56977.293233599899</v>
      </c>
      <c r="J93" s="66">
        <f ca="1">IFERROR(__xludf.DUMMYFUNCTION("""COMPUTED_VALUE"""),155593.0390765)</f>
        <v>155593.03907649999</v>
      </c>
      <c r="K93" s="66">
        <f ca="1">IFERROR(__xludf.DUMMYFUNCTION("""COMPUTED_VALUE"""),1147.25)</f>
        <v>1147.25</v>
      </c>
      <c r="L93" s="66">
        <f ca="1">IFERROR(__xludf.DUMMYFUNCTION("""COMPUTED_VALUE"""),0)</f>
        <v>0</v>
      </c>
      <c r="M93" s="66">
        <f ca="1">IFERROR(__xludf.DUMMYFUNCTION("""COMPUTED_VALUE"""),0)</f>
        <v>0</v>
      </c>
      <c r="N93" s="66">
        <f ca="1">IFERROR(__xludf.DUMMYFUNCTION("""COMPUTED_VALUE"""),0)</f>
        <v>0</v>
      </c>
      <c r="O93" s="35"/>
      <c r="P93" s="66">
        <f t="shared" si="13"/>
        <v>429230.34687060013</v>
      </c>
      <c r="Q93" s="66">
        <f t="shared" ca="1" si="14"/>
        <v>213717.58231009988</v>
      </c>
      <c r="R93" s="68">
        <f t="shared" ca="1" si="15"/>
        <v>642947.92918069998</v>
      </c>
    </row>
    <row r="94" spans="2:19" ht="12.75" outlineLevel="1">
      <c r="B94" s="26" t="s">
        <v>111</v>
      </c>
      <c r="C94" s="102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f ca="1">IFERROR(__xludf.DUMMYFUNCTION("""COMPUTED_VALUE"""),0)</f>
        <v>0</v>
      </c>
      <c r="J94" s="34">
        <f ca="1">IFERROR(__xludf.DUMMYFUNCTION("""COMPUTED_VALUE"""),0)</f>
        <v>0</v>
      </c>
      <c r="K94" s="34">
        <f ca="1">IFERROR(__xludf.DUMMYFUNCTION("""COMPUTED_VALUE"""),0)</f>
        <v>0</v>
      </c>
      <c r="L94" s="34">
        <f ca="1">IFERROR(__xludf.DUMMYFUNCTION("""COMPUTED_VALUE"""),0)</f>
        <v>0</v>
      </c>
      <c r="M94" s="34">
        <f ca="1">IFERROR(__xludf.DUMMYFUNCTION("""COMPUTED_VALUE"""),0)</f>
        <v>0</v>
      </c>
      <c r="N94" s="34">
        <f ca="1">IFERROR(__xludf.DUMMYFUNCTION("""COMPUTED_VALUE"""),0)</f>
        <v>0</v>
      </c>
      <c r="O94" s="35"/>
      <c r="P94" s="36">
        <f t="shared" si="13"/>
        <v>0</v>
      </c>
      <c r="Q94" s="36">
        <f t="shared" ca="1" si="14"/>
        <v>0</v>
      </c>
      <c r="R94" s="37">
        <f t="shared" ca="1" si="15"/>
        <v>0</v>
      </c>
    </row>
    <row r="95" spans="2:19" ht="12.75" outlineLevel="1">
      <c r="B95" s="26" t="s">
        <v>112</v>
      </c>
      <c r="C95" s="34">
        <v>-20124.999969</v>
      </c>
      <c r="D95" s="34">
        <v>-750</v>
      </c>
      <c r="E95" s="34">
        <v>0</v>
      </c>
      <c r="F95" s="34">
        <v>0</v>
      </c>
      <c r="G95" s="34">
        <v>0</v>
      </c>
      <c r="H95" s="34">
        <v>0</v>
      </c>
      <c r="I95" s="34">
        <f ca="1">IFERROR(__xludf.DUMMYFUNCTION("""COMPUTED_VALUE"""),0)</f>
        <v>0</v>
      </c>
      <c r="J95" s="34">
        <f ca="1">IFERROR(__xludf.DUMMYFUNCTION("""COMPUTED_VALUE"""),-12600)</f>
        <v>-12600</v>
      </c>
      <c r="K95" s="34">
        <f ca="1">IFERROR(__xludf.DUMMYFUNCTION("""COMPUTED_VALUE"""),0)</f>
        <v>0</v>
      </c>
      <c r="L95" s="34">
        <f ca="1">IFERROR(__xludf.DUMMYFUNCTION("""COMPUTED_VALUE"""),0)</f>
        <v>0</v>
      </c>
      <c r="M95" s="34">
        <f ca="1">IFERROR(__xludf.DUMMYFUNCTION("""COMPUTED_VALUE"""),0)</f>
        <v>0</v>
      </c>
      <c r="N95" s="34">
        <f ca="1">IFERROR(__xludf.DUMMYFUNCTION("""COMPUTED_VALUE"""),0)</f>
        <v>0</v>
      </c>
      <c r="O95" s="35"/>
      <c r="P95" s="36">
        <f t="shared" si="13"/>
        <v>-20874.999969</v>
      </c>
      <c r="Q95" s="36">
        <f t="shared" ca="1" si="14"/>
        <v>-12600</v>
      </c>
      <c r="R95" s="37">
        <f t="shared" ca="1" si="15"/>
        <v>-33474.999968999997</v>
      </c>
    </row>
    <row r="96" spans="2:19" ht="12.75" outlineLevel="1">
      <c r="B96" s="26" t="s">
        <v>113</v>
      </c>
      <c r="C96" s="102">
        <v>0</v>
      </c>
      <c r="D96" s="34">
        <v>0</v>
      </c>
      <c r="E96" s="34">
        <v>0</v>
      </c>
      <c r="F96" s="34">
        <v>0</v>
      </c>
      <c r="G96" s="34">
        <v>0</v>
      </c>
      <c r="H96" s="34">
        <v>0</v>
      </c>
      <c r="I96" s="34">
        <f ca="1">IFERROR(__xludf.DUMMYFUNCTION("""COMPUTED_VALUE"""),0)</f>
        <v>0</v>
      </c>
      <c r="J96" s="34">
        <f ca="1">IFERROR(__xludf.DUMMYFUNCTION("""COMPUTED_VALUE"""),0)</f>
        <v>0</v>
      </c>
      <c r="K96" s="34">
        <f ca="1">IFERROR(__xludf.DUMMYFUNCTION("""COMPUTED_VALUE"""),0)</f>
        <v>0</v>
      </c>
      <c r="L96" s="34">
        <f ca="1">IFERROR(__xludf.DUMMYFUNCTION("""COMPUTED_VALUE"""),0)</f>
        <v>0</v>
      </c>
      <c r="M96" s="34">
        <f ca="1">IFERROR(__xludf.DUMMYFUNCTION("""COMPUTED_VALUE"""),0)</f>
        <v>0</v>
      </c>
      <c r="N96" s="34">
        <f ca="1">IFERROR(__xludf.DUMMYFUNCTION("""COMPUTED_VALUE"""),0)</f>
        <v>0</v>
      </c>
      <c r="O96" s="35"/>
      <c r="P96" s="36">
        <f t="shared" si="13"/>
        <v>0</v>
      </c>
      <c r="Q96" s="36">
        <f t="shared" ca="1" si="14"/>
        <v>0</v>
      </c>
      <c r="R96" s="37">
        <f t="shared" ca="1" si="15"/>
        <v>0</v>
      </c>
    </row>
    <row r="97" spans="2:19" ht="12.75">
      <c r="B97" s="65" t="s">
        <v>114</v>
      </c>
      <c r="C97" s="66">
        <f t="shared" ref="C97:H97" si="25">SUM(C93:C96)</f>
        <v>43620.846969300052</v>
      </c>
      <c r="D97" s="66">
        <f t="shared" si="25"/>
        <v>74795.969286600011</v>
      </c>
      <c r="E97" s="66">
        <f t="shared" si="25"/>
        <v>109569.47181680004</v>
      </c>
      <c r="F97" s="66">
        <f t="shared" si="25"/>
        <v>15761.71427470002</v>
      </c>
      <c r="G97" s="66">
        <f t="shared" si="25"/>
        <v>73122.611778899969</v>
      </c>
      <c r="H97" s="66">
        <f t="shared" si="25"/>
        <v>91484.732775300043</v>
      </c>
      <c r="I97" s="66">
        <f ca="1">IFERROR(__xludf.DUMMYFUNCTION("""COMPUTED_VALUE"""),56977.2932335999)</f>
        <v>56977.293233599899</v>
      </c>
      <c r="J97" s="66">
        <f ca="1">IFERROR(__xludf.DUMMYFUNCTION("""COMPUTED_VALUE"""),142993.0390765)</f>
        <v>142993.03907649999</v>
      </c>
      <c r="K97" s="66">
        <f ca="1">IFERROR(__xludf.DUMMYFUNCTION("""COMPUTED_VALUE"""),1147.25)</f>
        <v>1147.25</v>
      </c>
      <c r="L97" s="66">
        <f ca="1">IFERROR(__xludf.DUMMYFUNCTION("""COMPUTED_VALUE"""),0)</f>
        <v>0</v>
      </c>
      <c r="M97" s="66">
        <f ca="1">IFERROR(__xludf.DUMMYFUNCTION("""COMPUTED_VALUE"""),0)</f>
        <v>0</v>
      </c>
      <c r="N97" s="66">
        <f ca="1">IFERROR(__xludf.DUMMYFUNCTION("""COMPUTED_VALUE"""),0)</f>
        <v>0</v>
      </c>
      <c r="O97" s="35"/>
      <c r="P97" s="66">
        <f t="shared" si="13"/>
        <v>408355.34690160013</v>
      </c>
      <c r="Q97" s="66">
        <f t="shared" ca="1" si="14"/>
        <v>201117.58231009988</v>
      </c>
      <c r="R97" s="68">
        <f t="shared" ca="1" si="15"/>
        <v>609472.92921169999</v>
      </c>
      <c r="S97" s="112"/>
    </row>
    <row r="98" spans="2:19" ht="12.75">
      <c r="B98" s="4"/>
      <c r="C98" s="4"/>
      <c r="D98" s="4"/>
      <c r="E98" s="4"/>
      <c r="F98" s="4"/>
      <c r="G98" s="35"/>
      <c r="H98" s="35"/>
      <c r="I98" s="35"/>
      <c r="J98" s="35"/>
      <c r="K98" s="35"/>
      <c r="L98" s="35"/>
      <c r="M98" s="35"/>
      <c r="N98" s="35"/>
      <c r="O98" s="35"/>
      <c r="P98" s="35">
        <f t="shared" si="13"/>
        <v>0</v>
      </c>
      <c r="Q98" s="35">
        <f t="shared" si="14"/>
        <v>0</v>
      </c>
      <c r="R98" s="37">
        <f t="shared" si="15"/>
        <v>0</v>
      </c>
    </row>
    <row r="99" spans="2:19" ht="12.75">
      <c r="B99" s="65" t="s">
        <v>115</v>
      </c>
      <c r="C99" s="66">
        <f t="shared" ref="C99:H99" si="26">C100</f>
        <v>-384.14</v>
      </c>
      <c r="D99" s="66">
        <f t="shared" si="26"/>
        <v>-384.14</v>
      </c>
      <c r="E99" s="66">
        <f t="shared" si="26"/>
        <v>-913.77</v>
      </c>
      <c r="F99" s="66">
        <f t="shared" si="26"/>
        <v>-1194.46</v>
      </c>
      <c r="G99" s="66">
        <f t="shared" si="26"/>
        <v>-913.72</v>
      </c>
      <c r="H99" s="66">
        <f t="shared" si="26"/>
        <v>-416.82</v>
      </c>
      <c r="I99" s="66">
        <f ca="1">IFERROR(__xludf.DUMMYFUNCTION("""COMPUTED_VALUE"""),-1256.71)</f>
        <v>-1256.71</v>
      </c>
      <c r="J99" s="66">
        <f ca="1">IFERROR(__xludf.DUMMYFUNCTION("""COMPUTED_VALUE"""),-1214.69)</f>
        <v>-1214.69</v>
      </c>
      <c r="K99" s="66"/>
      <c r="L99" s="66"/>
      <c r="M99" s="66"/>
      <c r="N99" s="66"/>
      <c r="O99" s="35"/>
      <c r="P99" s="66">
        <f t="shared" si="13"/>
        <v>-4207.05</v>
      </c>
      <c r="Q99" s="66">
        <f t="shared" ca="1" si="14"/>
        <v>-2471.4</v>
      </c>
      <c r="R99" s="68">
        <f t="shared" ca="1" si="15"/>
        <v>-6678.4500000000007</v>
      </c>
    </row>
    <row r="100" spans="2:19" ht="12.75" outlineLevel="1">
      <c r="B100" s="26" t="s">
        <v>116</v>
      </c>
      <c r="C100" s="34">
        <v>-384.14</v>
      </c>
      <c r="D100" s="34">
        <v>-384.14</v>
      </c>
      <c r="E100" s="34">
        <v>-913.77</v>
      </c>
      <c r="F100" s="34">
        <v>-1194.46</v>
      </c>
      <c r="G100" s="34">
        <v>-913.72</v>
      </c>
      <c r="H100" s="34">
        <v>-416.82</v>
      </c>
      <c r="I100" s="34">
        <f ca="1">IFERROR(__xludf.DUMMYFUNCTION("""COMPUTED_VALUE"""),-1256.71)</f>
        <v>-1256.71</v>
      </c>
      <c r="J100" s="71">
        <f ca="1">IFERROR(__xludf.DUMMYFUNCTION("""COMPUTED_VALUE"""),-1214.69)</f>
        <v>-1214.69</v>
      </c>
      <c r="K100" s="34"/>
      <c r="L100" s="34"/>
      <c r="M100" s="34"/>
      <c r="N100" s="62"/>
      <c r="O100" s="35"/>
      <c r="P100" s="36">
        <f t="shared" si="13"/>
        <v>-4207.05</v>
      </c>
      <c r="Q100" s="36">
        <f t="shared" ca="1" si="14"/>
        <v>-2471.4</v>
      </c>
      <c r="R100" s="37">
        <f t="shared" ca="1" si="15"/>
        <v>-6678.4500000000007</v>
      </c>
    </row>
    <row r="101" spans="2:19" ht="12.75">
      <c r="B101" s="65" t="s">
        <v>117</v>
      </c>
      <c r="C101" s="66">
        <f t="shared" ref="C101:H101" si="27">C99+C97</f>
        <v>43236.706969300052</v>
      </c>
      <c r="D101" s="66">
        <f t="shared" si="27"/>
        <v>74411.829286600012</v>
      </c>
      <c r="E101" s="66">
        <f t="shared" si="27"/>
        <v>108655.70181680004</v>
      </c>
      <c r="F101" s="66">
        <f t="shared" si="27"/>
        <v>14567.254274700019</v>
      </c>
      <c r="G101" s="66">
        <f t="shared" si="27"/>
        <v>72208.891778899968</v>
      </c>
      <c r="H101" s="66">
        <f t="shared" si="27"/>
        <v>91067.912775300036</v>
      </c>
      <c r="I101" s="66">
        <f ca="1">IFERROR(__xludf.DUMMYFUNCTION("""COMPUTED_VALUE"""),55720.5832335999)</f>
        <v>55720.5832335999</v>
      </c>
      <c r="J101" s="66">
        <f ca="1">IFERROR(__xludf.DUMMYFUNCTION("""COMPUTED_VALUE"""),141778.3490765)</f>
        <v>141778.34907649999</v>
      </c>
      <c r="K101" s="66">
        <f ca="1">IFERROR(__xludf.DUMMYFUNCTION("""COMPUTED_VALUE"""),1147.25)</f>
        <v>1147.25</v>
      </c>
      <c r="L101" s="66">
        <f ca="1">IFERROR(__xludf.DUMMYFUNCTION("""COMPUTED_VALUE"""),0)</f>
        <v>0</v>
      </c>
      <c r="M101" s="66">
        <f ca="1">IFERROR(__xludf.DUMMYFUNCTION("""COMPUTED_VALUE"""),0)</f>
        <v>0</v>
      </c>
      <c r="N101" s="66">
        <f ca="1">IFERROR(__xludf.DUMMYFUNCTION("""COMPUTED_VALUE"""),0)</f>
        <v>0</v>
      </c>
      <c r="O101" s="35"/>
      <c r="P101" s="66">
        <f t="shared" si="13"/>
        <v>404148.29690160014</v>
      </c>
      <c r="Q101" s="66">
        <f t="shared" ca="1" si="14"/>
        <v>198646.18231009989</v>
      </c>
      <c r="R101" s="68">
        <f t="shared" ca="1" si="15"/>
        <v>602794.47921170003</v>
      </c>
    </row>
    <row r="102" spans="2:19" ht="12.75">
      <c r="B102" s="2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2:19" ht="12.75">
      <c r="B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2:19" ht="12.75">
      <c r="B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</row>
    <row r="105" spans="2:19" ht="12.75">
      <c r="B105" s="2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2:19" ht="12.75">
      <c r="B106" s="26"/>
      <c r="C106" s="35"/>
      <c r="D106" s="35"/>
      <c r="E106" s="35"/>
      <c r="F106" s="35"/>
      <c r="G106" s="35"/>
      <c r="H106" s="35"/>
      <c r="I106" s="35"/>
      <c r="J106" s="4"/>
      <c r="K106" s="4"/>
      <c r="L106" s="4"/>
      <c r="M106" s="4"/>
      <c r="N106" s="4"/>
      <c r="O106" s="4"/>
      <c r="P106" s="4"/>
      <c r="Q106" s="4"/>
      <c r="R106" s="4"/>
    </row>
    <row r="107" spans="2:19" ht="12.75">
      <c r="B107" s="65" t="s">
        <v>119</v>
      </c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95"/>
      <c r="P107" s="66">
        <f t="shared" ref="P107:P109" si="28">C107+D107+E107+F107+G107+H107</f>
        <v>0</v>
      </c>
      <c r="Q107" s="66">
        <f t="shared" ref="Q107:Q109" si="29">I107+J107+K107+L107+M107+N107</f>
        <v>0</v>
      </c>
      <c r="R107" s="66">
        <f t="shared" ref="R107:R109" si="30">Q107+P107</f>
        <v>0</v>
      </c>
    </row>
    <row r="108" spans="2:19" ht="12.75">
      <c r="B108" s="26" t="s">
        <v>120</v>
      </c>
      <c r="C108" s="62">
        <v>0</v>
      </c>
      <c r="D108" s="62">
        <v>0</v>
      </c>
      <c r="E108" s="62">
        <v>0</v>
      </c>
      <c r="F108" s="62">
        <v>0</v>
      </c>
      <c r="G108" s="62">
        <v>0</v>
      </c>
      <c r="H108" s="62">
        <v>0</v>
      </c>
      <c r="I108" s="62">
        <f ca="1">IFERROR(__xludf.DUMMYFUNCTION("""COMPUTED_VALUE"""),0)</f>
        <v>0</v>
      </c>
      <c r="J108" s="62">
        <f ca="1">IFERROR(__xludf.DUMMYFUNCTION("""COMPUTED_VALUE"""),0)</f>
        <v>0</v>
      </c>
      <c r="K108" s="62">
        <f ca="1">IFERROR(__xludf.DUMMYFUNCTION("""COMPUTED_VALUE"""),0)</f>
        <v>0</v>
      </c>
      <c r="L108" s="62">
        <f ca="1">IFERROR(__xludf.DUMMYFUNCTION("""COMPUTED_VALUE"""),0)</f>
        <v>0</v>
      </c>
      <c r="M108" s="62">
        <f ca="1">IFERROR(__xludf.DUMMYFUNCTION("""COMPUTED_VALUE"""),0)</f>
        <v>0</v>
      </c>
      <c r="N108" s="62">
        <f ca="1">IFERROR(__xludf.DUMMYFUNCTION("""COMPUTED_VALUE"""),0)</f>
        <v>0</v>
      </c>
      <c r="O108" s="26"/>
      <c r="P108" s="96">
        <f t="shared" si="28"/>
        <v>0</v>
      </c>
      <c r="Q108" s="96">
        <f t="shared" ca="1" si="29"/>
        <v>0</v>
      </c>
      <c r="R108" s="96">
        <f t="shared" ca="1" si="30"/>
        <v>0</v>
      </c>
    </row>
    <row r="109" spans="2:19" ht="12.75">
      <c r="B109" s="26" t="s">
        <v>121</v>
      </c>
      <c r="C109" s="62">
        <v>0</v>
      </c>
      <c r="D109" s="62">
        <v>0</v>
      </c>
      <c r="E109" s="62">
        <v>0</v>
      </c>
      <c r="F109" s="62">
        <v>0</v>
      </c>
      <c r="G109" s="62">
        <v>0</v>
      </c>
      <c r="H109" s="62">
        <v>0</v>
      </c>
      <c r="I109" s="62">
        <f ca="1">IFERROR(__xludf.DUMMYFUNCTION("""COMPUTED_VALUE"""),0)</f>
        <v>0</v>
      </c>
      <c r="J109" s="62">
        <f ca="1">IFERROR(__xludf.DUMMYFUNCTION("""COMPUTED_VALUE"""),0)</f>
        <v>0</v>
      </c>
      <c r="K109" s="62">
        <f ca="1">IFERROR(__xludf.DUMMYFUNCTION("""COMPUTED_VALUE"""),0)</f>
        <v>0</v>
      </c>
      <c r="L109" s="62">
        <f ca="1">IFERROR(__xludf.DUMMYFUNCTION("""COMPUTED_VALUE"""),0)</f>
        <v>0</v>
      </c>
      <c r="M109" s="62">
        <f ca="1">IFERROR(__xludf.DUMMYFUNCTION("""COMPUTED_VALUE"""),0)</f>
        <v>0</v>
      </c>
      <c r="N109" s="62">
        <f ca="1">IFERROR(__xludf.DUMMYFUNCTION("""COMPUTED_VALUE"""),0)</f>
        <v>0</v>
      </c>
      <c r="O109" s="26"/>
      <c r="P109" s="96">
        <f t="shared" si="28"/>
        <v>0</v>
      </c>
      <c r="Q109" s="96">
        <f t="shared" ca="1" si="29"/>
        <v>0</v>
      </c>
      <c r="R109" s="96">
        <f t="shared" ca="1" si="30"/>
        <v>0</v>
      </c>
    </row>
    <row r="110" spans="2:19" ht="12.75"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2:19" ht="12.75">
      <c r="B111" s="65" t="s">
        <v>115</v>
      </c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5"/>
      <c r="P111" s="66">
        <f t="shared" ref="P111:P112" si="31">C111+D111+E111+F111+G111+H111</f>
        <v>0</v>
      </c>
      <c r="Q111" s="66">
        <f t="shared" ref="Q111:Q112" si="32">I111+J111+K111+L111+M111+N111</f>
        <v>0</v>
      </c>
      <c r="R111" s="66">
        <f t="shared" ref="R111:R112" si="33">Q111+P111</f>
        <v>0</v>
      </c>
    </row>
    <row r="112" spans="2:19" ht="12.75">
      <c r="B112" s="26" t="s">
        <v>115</v>
      </c>
      <c r="C112" s="62">
        <v>0</v>
      </c>
      <c r="D112" s="62">
        <v>0</v>
      </c>
      <c r="E112" s="62">
        <v>0</v>
      </c>
      <c r="F112" s="62">
        <v>0</v>
      </c>
      <c r="G112" s="62">
        <v>0</v>
      </c>
      <c r="H112" s="62">
        <v>0</v>
      </c>
      <c r="I112" s="62">
        <f ca="1">IFERROR(__xludf.DUMMYFUNCTION("""COMPUTED_VALUE"""),0)</f>
        <v>0</v>
      </c>
      <c r="J112" s="62">
        <f ca="1">IFERROR(__xludf.DUMMYFUNCTION("""COMPUTED_VALUE"""),0)</f>
        <v>0</v>
      </c>
      <c r="K112" s="62">
        <f ca="1">IFERROR(__xludf.DUMMYFUNCTION("""COMPUTED_VALUE"""),0)</f>
        <v>0</v>
      </c>
      <c r="L112" s="62">
        <f ca="1">IFERROR(__xludf.DUMMYFUNCTION("""COMPUTED_VALUE"""),0)</f>
        <v>0</v>
      </c>
      <c r="M112" s="62">
        <f ca="1">IFERROR(__xludf.DUMMYFUNCTION("""COMPUTED_VALUE"""),0)</f>
        <v>0</v>
      </c>
      <c r="N112" s="62">
        <f ca="1">IFERROR(__xludf.DUMMYFUNCTION("""COMPUTED_VALUE"""),0)</f>
        <v>0</v>
      </c>
      <c r="O112" s="26"/>
      <c r="P112" s="96">
        <f t="shared" si="31"/>
        <v>0</v>
      </c>
      <c r="Q112" s="96">
        <f t="shared" ca="1" si="32"/>
        <v>0</v>
      </c>
      <c r="R112" s="96">
        <f t="shared" ca="1" si="33"/>
        <v>0</v>
      </c>
    </row>
    <row r="113" spans="2:18" ht="12.75"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2:18" ht="12.75">
      <c r="B114" s="98" t="s">
        <v>123</v>
      </c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95"/>
      <c r="P114" s="66">
        <f t="shared" ref="P114:P116" si="34">C114+D114+E114+F114+G114+H114</f>
        <v>0</v>
      </c>
      <c r="Q114" s="66">
        <f t="shared" ref="Q114:Q116" si="35">I114+J114+K114+L114+M114+N114</f>
        <v>0</v>
      </c>
      <c r="R114" s="66">
        <f t="shared" ref="R114:R116" si="36">Q114+P114</f>
        <v>0</v>
      </c>
    </row>
    <row r="115" spans="2:18" ht="12.75">
      <c r="B115" s="26" t="s">
        <v>124</v>
      </c>
      <c r="C115" s="34">
        <v>0</v>
      </c>
      <c r="D115" s="34">
        <v>0</v>
      </c>
      <c r="E115" s="34">
        <v>0</v>
      </c>
      <c r="F115" s="34">
        <v>0</v>
      </c>
      <c r="G115" s="34">
        <v>-130152.62</v>
      </c>
      <c r="H115" s="34">
        <v>-40000</v>
      </c>
      <c r="I115" s="34">
        <f ca="1">IFERROR(__xludf.DUMMYFUNCTION("""COMPUTED_VALUE"""),0)</f>
        <v>0</v>
      </c>
      <c r="J115" s="62">
        <f ca="1">IFERROR(__xludf.DUMMYFUNCTION("""COMPUTED_VALUE"""),0)</f>
        <v>0</v>
      </c>
      <c r="K115" s="34"/>
      <c r="L115" s="34"/>
      <c r="M115" s="34"/>
      <c r="N115" s="62"/>
      <c r="O115" s="26"/>
      <c r="P115" s="96">
        <f t="shared" si="34"/>
        <v>-170152.62</v>
      </c>
      <c r="Q115" s="96">
        <f t="shared" ca="1" si="35"/>
        <v>0</v>
      </c>
      <c r="R115" s="96">
        <f t="shared" ca="1" si="36"/>
        <v>-170152.62</v>
      </c>
    </row>
    <row r="116" spans="2:18" ht="12.75">
      <c r="B116" s="26" t="s">
        <v>125</v>
      </c>
      <c r="C116" s="34">
        <v>0</v>
      </c>
      <c r="D116" s="34">
        <v>0</v>
      </c>
      <c r="E116" s="34">
        <v>0</v>
      </c>
      <c r="F116" s="34">
        <v>0</v>
      </c>
      <c r="G116" s="34">
        <v>-20000</v>
      </c>
      <c r="H116" s="34">
        <v>-84039.679999999993</v>
      </c>
      <c r="I116" s="34">
        <f ca="1">IFERROR(__xludf.DUMMYFUNCTION("""COMPUTED_VALUE"""),-5557.31)</f>
        <v>-5557.31</v>
      </c>
      <c r="J116" s="62">
        <f ca="1">IFERROR(__xludf.DUMMYFUNCTION("""COMPUTED_VALUE"""),-5557.31)</f>
        <v>-5557.31</v>
      </c>
      <c r="K116" s="34"/>
      <c r="L116" s="34"/>
      <c r="M116" s="34"/>
      <c r="N116" s="62"/>
      <c r="O116" s="26"/>
      <c r="P116" s="96">
        <f t="shared" si="34"/>
        <v>-104039.67999999999</v>
      </c>
      <c r="Q116" s="96">
        <f t="shared" ca="1" si="35"/>
        <v>-11114.62</v>
      </c>
      <c r="R116" s="96">
        <f t="shared" ca="1" si="36"/>
        <v>-115154.29999999999</v>
      </c>
    </row>
    <row r="117" spans="2:18" ht="12.75"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2:18" ht="12.75">
      <c r="B118" s="65" t="s">
        <v>126</v>
      </c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95"/>
      <c r="P118" s="66">
        <f t="shared" ref="P118:P120" si="37">C118+D118+E118+F118+G118+H118</f>
        <v>0</v>
      </c>
      <c r="Q118" s="66">
        <f t="shared" ref="Q118:Q120" si="38">I118+J118+K118+L118+M118+N118</f>
        <v>0</v>
      </c>
      <c r="R118" s="66">
        <f t="shared" ref="R118:R120" si="39">Q118+P118</f>
        <v>0</v>
      </c>
    </row>
    <row r="119" spans="2:18" ht="12.75">
      <c r="B119" s="26" t="s">
        <v>124</v>
      </c>
      <c r="C119" s="62">
        <v>0</v>
      </c>
      <c r="D119" s="62">
        <v>0</v>
      </c>
      <c r="E119" s="62">
        <v>0</v>
      </c>
      <c r="F119" s="62">
        <v>0</v>
      </c>
      <c r="G119" s="62">
        <v>0</v>
      </c>
      <c r="H119" s="62">
        <v>0</v>
      </c>
      <c r="I119" s="62">
        <f ca="1">IFERROR(__xludf.DUMMYFUNCTION("""COMPUTED_VALUE"""),0)</f>
        <v>0</v>
      </c>
      <c r="J119" s="62">
        <f ca="1">IFERROR(__xludf.DUMMYFUNCTION("""COMPUTED_VALUE"""),0)</f>
        <v>0</v>
      </c>
      <c r="K119" s="62">
        <f ca="1">IFERROR(__xludf.DUMMYFUNCTION("""COMPUTED_VALUE"""),0)</f>
        <v>0</v>
      </c>
      <c r="L119" s="62">
        <f ca="1">IFERROR(__xludf.DUMMYFUNCTION("""COMPUTED_VALUE"""),0)</f>
        <v>0</v>
      </c>
      <c r="M119" s="62">
        <f ca="1">IFERROR(__xludf.DUMMYFUNCTION("""COMPUTED_VALUE"""),0)</f>
        <v>0</v>
      </c>
      <c r="N119" s="62">
        <f ca="1">IFERROR(__xludf.DUMMYFUNCTION("""COMPUTED_VALUE"""),0)</f>
        <v>0</v>
      </c>
      <c r="O119" s="26"/>
      <c r="P119" s="96">
        <f t="shared" si="37"/>
        <v>0</v>
      </c>
      <c r="Q119" s="96">
        <f t="shared" ca="1" si="38"/>
        <v>0</v>
      </c>
      <c r="R119" s="96">
        <f t="shared" ca="1" si="39"/>
        <v>0</v>
      </c>
    </row>
    <row r="120" spans="2:18" ht="12.75">
      <c r="B120" s="26" t="s">
        <v>125</v>
      </c>
      <c r="C120" s="62">
        <v>0</v>
      </c>
      <c r="D120" s="62">
        <v>0</v>
      </c>
      <c r="E120" s="62">
        <v>0</v>
      </c>
      <c r="F120" s="62">
        <v>0</v>
      </c>
      <c r="G120" s="62">
        <v>0</v>
      </c>
      <c r="H120" s="62">
        <v>0</v>
      </c>
      <c r="I120" s="62">
        <f ca="1">IFERROR(__xludf.DUMMYFUNCTION("""COMPUTED_VALUE"""),0)</f>
        <v>0</v>
      </c>
      <c r="J120" s="62">
        <f ca="1">IFERROR(__xludf.DUMMYFUNCTION("""COMPUTED_VALUE"""),0)</f>
        <v>0</v>
      </c>
      <c r="K120" s="62">
        <f ca="1">IFERROR(__xludf.DUMMYFUNCTION("""COMPUTED_VALUE"""),0)</f>
        <v>0</v>
      </c>
      <c r="L120" s="62">
        <f ca="1">IFERROR(__xludf.DUMMYFUNCTION("""COMPUTED_VALUE"""),0)</f>
        <v>0</v>
      </c>
      <c r="M120" s="62">
        <f ca="1">IFERROR(__xludf.DUMMYFUNCTION("""COMPUTED_VALUE"""),0)</f>
        <v>0</v>
      </c>
      <c r="N120" s="62">
        <f ca="1">IFERROR(__xludf.DUMMYFUNCTION("""COMPUTED_VALUE"""),0)</f>
        <v>0</v>
      </c>
      <c r="O120" s="26"/>
      <c r="P120" s="96">
        <f t="shared" si="37"/>
        <v>0</v>
      </c>
      <c r="Q120" s="96">
        <f t="shared" ca="1" si="38"/>
        <v>0</v>
      </c>
      <c r="R120" s="96">
        <f t="shared" ca="1" si="39"/>
        <v>0</v>
      </c>
    </row>
    <row r="121" spans="2:18" ht="12.75"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2:18" ht="12.75">
      <c r="B122" s="65" t="s">
        <v>127</v>
      </c>
      <c r="C122" s="99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5"/>
      <c r="P122" s="66">
        <f t="shared" ref="P122:P129" si="40">C122+D122+E122+F122+G122+H122</f>
        <v>0</v>
      </c>
      <c r="Q122" s="66">
        <f t="shared" ref="Q122:Q129" si="41">I122+J122+K122+L122+M122+N122</f>
        <v>0</v>
      </c>
      <c r="R122" s="66">
        <f t="shared" ref="R122:R129" si="42">Q122+P122</f>
        <v>0</v>
      </c>
    </row>
    <row r="123" spans="2:18" ht="12.75">
      <c r="B123" s="26" t="s">
        <v>128</v>
      </c>
      <c r="C123" s="119">
        <v>256647</v>
      </c>
      <c r="D123" s="102">
        <f t="shared" ref="D123:H123" si="43">C125</f>
        <v>313916.7</v>
      </c>
      <c r="E123" s="102">
        <f t="shared" si="43"/>
        <v>393827.27</v>
      </c>
      <c r="F123" s="102">
        <f t="shared" si="43"/>
        <v>440545.16000000003</v>
      </c>
      <c r="G123" s="102">
        <f t="shared" si="43"/>
        <v>334586.01</v>
      </c>
      <c r="H123" s="102">
        <f t="shared" si="43"/>
        <v>205244.11000000002</v>
      </c>
      <c r="I123" s="102">
        <f ca="1">IFERROR(__xludf.DUMMYFUNCTION("""COMPUTED_VALUE"""),200852.57)</f>
        <v>200852.57</v>
      </c>
      <c r="J123" s="102">
        <f ca="1">IFERROR(__xludf.DUMMYFUNCTION("""COMPUTED_VALUE"""),454738.56)</f>
        <v>454738.56</v>
      </c>
      <c r="K123" s="102">
        <f ca="1">IFERROR(__xludf.DUMMYFUNCTION("""COMPUTED_VALUE"""),385543.22)</f>
        <v>385543.22</v>
      </c>
      <c r="L123" s="102">
        <f ca="1">IFERROR(__xludf.DUMMYFUNCTION("""COMPUTED_VALUE"""),385543.22)</f>
        <v>385543.22</v>
      </c>
      <c r="M123" s="102">
        <f ca="1">IFERROR(__xludf.DUMMYFUNCTION("""COMPUTED_VALUE"""),385543.22)</f>
        <v>385543.22</v>
      </c>
      <c r="N123" s="102">
        <f ca="1">IFERROR(__xludf.DUMMYFUNCTION("""COMPUTED_VALUE"""),385543.22)</f>
        <v>385543.22</v>
      </c>
      <c r="O123" s="59"/>
      <c r="P123" s="102">
        <f t="shared" si="40"/>
        <v>1944766.25</v>
      </c>
      <c r="Q123" s="102">
        <f t="shared" ca="1" si="41"/>
        <v>2197764.0099999998</v>
      </c>
      <c r="R123" s="102">
        <f t="shared" ca="1" si="42"/>
        <v>4142530.26</v>
      </c>
    </row>
    <row r="124" spans="2:18" ht="12.75">
      <c r="B124" s="26" t="s">
        <v>129</v>
      </c>
      <c r="C124" s="119">
        <v>57269.7</v>
      </c>
      <c r="D124" s="119">
        <v>79910.570000000007</v>
      </c>
      <c r="E124" s="119">
        <v>46717.89</v>
      </c>
      <c r="F124" s="119">
        <v>-105959.15</v>
      </c>
      <c r="G124" s="119">
        <v>-129341.9</v>
      </c>
      <c r="H124" s="119">
        <v>-4391.54</v>
      </c>
      <c r="I124" s="119">
        <f ca="1">IFERROR(__xludf.DUMMYFUNCTION("""COMPUTED_VALUE"""),253885.99)</f>
        <v>253885.99</v>
      </c>
      <c r="J124" s="119">
        <f ca="1">IFERROR(__xludf.DUMMYFUNCTION("""COMPUTED_VALUE"""),-69195.34)</f>
        <v>-69195.34</v>
      </c>
      <c r="K124" s="119"/>
      <c r="L124" s="119"/>
      <c r="M124" s="119"/>
      <c r="N124" s="119"/>
      <c r="O124" s="59"/>
      <c r="P124" s="102">
        <f t="shared" si="40"/>
        <v>-55794.429999999957</v>
      </c>
      <c r="Q124" s="102">
        <f t="shared" ca="1" si="41"/>
        <v>184690.65</v>
      </c>
      <c r="R124" s="102">
        <f t="shared" ca="1" si="42"/>
        <v>128896.22000000003</v>
      </c>
    </row>
    <row r="125" spans="2:18" ht="12.75">
      <c r="B125" s="26" t="s">
        <v>130</v>
      </c>
      <c r="C125" s="102">
        <f t="shared" ref="C125:H125" si="44">C124+C123</f>
        <v>313916.7</v>
      </c>
      <c r="D125" s="102">
        <f t="shared" si="44"/>
        <v>393827.27</v>
      </c>
      <c r="E125" s="102">
        <f t="shared" si="44"/>
        <v>440545.16000000003</v>
      </c>
      <c r="F125" s="102">
        <f t="shared" si="44"/>
        <v>334586.01</v>
      </c>
      <c r="G125" s="102">
        <f t="shared" si="44"/>
        <v>205244.11000000002</v>
      </c>
      <c r="H125" s="102">
        <f t="shared" si="44"/>
        <v>200852.57</v>
      </c>
      <c r="I125" s="102">
        <f ca="1">IFERROR(__xludf.DUMMYFUNCTION("""COMPUTED_VALUE"""),454738.56)</f>
        <v>454738.56</v>
      </c>
      <c r="J125" s="102">
        <f ca="1">IFERROR(__xludf.DUMMYFUNCTION("""COMPUTED_VALUE"""),385543.22)</f>
        <v>385543.22</v>
      </c>
      <c r="K125" s="102">
        <f ca="1">IFERROR(__xludf.DUMMYFUNCTION("""COMPUTED_VALUE"""),385543.22)</f>
        <v>385543.22</v>
      </c>
      <c r="L125" s="102">
        <f ca="1">IFERROR(__xludf.DUMMYFUNCTION("""COMPUTED_VALUE"""),385543.22)</f>
        <v>385543.22</v>
      </c>
      <c r="M125" s="102">
        <f ca="1">IFERROR(__xludf.DUMMYFUNCTION("""COMPUTED_VALUE"""),385543.22)</f>
        <v>385543.22</v>
      </c>
      <c r="N125" s="102">
        <f ca="1">IFERROR(__xludf.DUMMYFUNCTION("""COMPUTED_VALUE"""),385543.22)</f>
        <v>385543.22</v>
      </c>
      <c r="O125" s="59"/>
      <c r="P125" s="102">
        <f t="shared" si="40"/>
        <v>1888971.82</v>
      </c>
      <c r="Q125" s="102">
        <f t="shared" ca="1" si="41"/>
        <v>2382454.66</v>
      </c>
      <c r="R125" s="102">
        <f t="shared" ca="1" si="42"/>
        <v>4271426.4800000004</v>
      </c>
    </row>
    <row r="126" spans="2:18" ht="12.7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>
        <f t="shared" si="40"/>
        <v>0</v>
      </c>
      <c r="Q126" s="101">
        <f t="shared" si="41"/>
        <v>0</v>
      </c>
      <c r="R126" s="101">
        <f t="shared" si="42"/>
        <v>0</v>
      </c>
    </row>
    <row r="127" spans="2:18" ht="12.75">
      <c r="B127" s="65" t="s">
        <v>131</v>
      </c>
      <c r="C127" s="66">
        <f t="shared" ref="C127:H127" si="45">SUM(C128:C129)</f>
        <v>0</v>
      </c>
      <c r="D127" s="66">
        <f t="shared" si="45"/>
        <v>0</v>
      </c>
      <c r="E127" s="66">
        <f t="shared" si="45"/>
        <v>0</v>
      </c>
      <c r="F127" s="66">
        <f t="shared" si="45"/>
        <v>0</v>
      </c>
      <c r="G127" s="66">
        <f t="shared" si="45"/>
        <v>0</v>
      </c>
      <c r="H127" s="66">
        <f t="shared" si="45"/>
        <v>0</v>
      </c>
      <c r="I127" s="66">
        <f ca="1">IFERROR(__xludf.DUMMYFUNCTION("""COMPUTED_VALUE"""),0)</f>
        <v>0</v>
      </c>
      <c r="J127" s="66">
        <f ca="1">IFERROR(__xludf.DUMMYFUNCTION("""COMPUTED_VALUE"""),0)</f>
        <v>0</v>
      </c>
      <c r="K127" s="66">
        <f ca="1">IFERROR(__xludf.DUMMYFUNCTION("""COMPUTED_VALUE"""),0)</f>
        <v>0</v>
      </c>
      <c r="L127" s="66">
        <f ca="1">IFERROR(__xludf.DUMMYFUNCTION("""COMPUTED_VALUE"""),0)</f>
        <v>0</v>
      </c>
      <c r="M127" s="66">
        <f ca="1">IFERROR(__xludf.DUMMYFUNCTION("""COMPUTED_VALUE"""),0)</f>
        <v>0</v>
      </c>
      <c r="N127" s="66">
        <f ca="1">IFERROR(__xludf.DUMMYFUNCTION("""COMPUTED_VALUE"""),0)</f>
        <v>0</v>
      </c>
      <c r="O127" s="95"/>
      <c r="P127" s="66">
        <f t="shared" si="40"/>
        <v>0</v>
      </c>
      <c r="Q127" s="66">
        <f t="shared" ca="1" si="41"/>
        <v>0</v>
      </c>
      <c r="R127" s="66">
        <f t="shared" ca="1" si="42"/>
        <v>0</v>
      </c>
    </row>
    <row r="128" spans="2:18" ht="12.75">
      <c r="B128" s="26" t="s">
        <v>124</v>
      </c>
      <c r="C128" s="34">
        <v>0</v>
      </c>
      <c r="D128" s="36">
        <f t="shared" ref="D128:H128" si="46">C128+D111</f>
        <v>0</v>
      </c>
      <c r="E128" s="36">
        <f t="shared" si="46"/>
        <v>0</v>
      </c>
      <c r="F128" s="36">
        <f t="shared" si="46"/>
        <v>0</v>
      </c>
      <c r="G128" s="36">
        <f t="shared" si="46"/>
        <v>0</v>
      </c>
      <c r="H128" s="36">
        <f t="shared" si="46"/>
        <v>0</v>
      </c>
      <c r="I128" s="36">
        <f ca="1">IFERROR(__xludf.DUMMYFUNCTION("""COMPUTED_VALUE"""),0)</f>
        <v>0</v>
      </c>
      <c r="J128" s="36">
        <f ca="1">IFERROR(__xludf.DUMMYFUNCTION("""COMPUTED_VALUE"""),0)</f>
        <v>0</v>
      </c>
      <c r="K128" s="36">
        <f ca="1">IFERROR(__xludf.DUMMYFUNCTION("""COMPUTED_VALUE"""),0)</f>
        <v>0</v>
      </c>
      <c r="L128" s="36">
        <f ca="1">IFERROR(__xludf.DUMMYFUNCTION("""COMPUTED_VALUE"""),0)</f>
        <v>0</v>
      </c>
      <c r="M128" s="36">
        <f ca="1">IFERROR(__xludf.DUMMYFUNCTION("""COMPUTED_VALUE"""),0)</f>
        <v>0</v>
      </c>
      <c r="N128" s="36">
        <f ca="1">IFERROR(__xludf.DUMMYFUNCTION("""COMPUTED_VALUE"""),0)</f>
        <v>0</v>
      </c>
      <c r="O128" s="26"/>
      <c r="P128" s="96">
        <f t="shared" si="40"/>
        <v>0</v>
      </c>
      <c r="Q128" s="96">
        <f t="shared" ca="1" si="41"/>
        <v>0</v>
      </c>
      <c r="R128" s="96">
        <f t="shared" ca="1" si="42"/>
        <v>0</v>
      </c>
    </row>
    <row r="129" spans="2:19" ht="12.75">
      <c r="B129" s="26" t="s">
        <v>125</v>
      </c>
      <c r="C129" s="34">
        <v>0</v>
      </c>
      <c r="D129" s="36">
        <f t="shared" ref="D129:H129" si="47">C129+D112</f>
        <v>0</v>
      </c>
      <c r="E129" s="36">
        <f t="shared" si="47"/>
        <v>0</v>
      </c>
      <c r="F129" s="36">
        <f t="shared" si="47"/>
        <v>0</v>
      </c>
      <c r="G129" s="36">
        <f t="shared" si="47"/>
        <v>0</v>
      </c>
      <c r="H129" s="36">
        <f t="shared" si="47"/>
        <v>0</v>
      </c>
      <c r="I129" s="36">
        <f ca="1">IFERROR(__xludf.DUMMYFUNCTION("""COMPUTED_VALUE"""),0)</f>
        <v>0</v>
      </c>
      <c r="J129" s="36">
        <f ca="1">IFERROR(__xludf.DUMMYFUNCTION("""COMPUTED_VALUE"""),0)</f>
        <v>0</v>
      </c>
      <c r="K129" s="36">
        <f ca="1">IFERROR(__xludf.DUMMYFUNCTION("""COMPUTED_VALUE"""),0)</f>
        <v>0</v>
      </c>
      <c r="L129" s="36">
        <f ca="1">IFERROR(__xludf.DUMMYFUNCTION("""COMPUTED_VALUE"""),0)</f>
        <v>0</v>
      </c>
      <c r="M129" s="36">
        <f ca="1">IFERROR(__xludf.DUMMYFUNCTION("""COMPUTED_VALUE"""),0)</f>
        <v>0</v>
      </c>
      <c r="N129" s="36">
        <f ca="1">IFERROR(__xludf.DUMMYFUNCTION("""COMPUTED_VALUE"""),0)</f>
        <v>0</v>
      </c>
      <c r="O129" s="26"/>
      <c r="P129" s="96">
        <f t="shared" si="40"/>
        <v>0</v>
      </c>
      <c r="Q129" s="96">
        <f t="shared" ca="1" si="41"/>
        <v>0</v>
      </c>
      <c r="R129" s="96">
        <f t="shared" ca="1" si="42"/>
        <v>0</v>
      </c>
    </row>
    <row r="130" spans="2:19" ht="12.75">
      <c r="B130" s="2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2:19" ht="12.75">
      <c r="B131" s="65" t="s">
        <v>132</v>
      </c>
      <c r="C131" s="66">
        <f t="shared" ref="C131:H131" si="48">SUM(C132:C133)</f>
        <v>-1473724</v>
      </c>
      <c r="D131" s="66">
        <f t="shared" si="48"/>
        <v>-1473724</v>
      </c>
      <c r="E131" s="66">
        <f t="shared" si="48"/>
        <v>-1473724</v>
      </c>
      <c r="F131" s="66">
        <f t="shared" si="48"/>
        <v>-1473724</v>
      </c>
      <c r="G131" s="66">
        <f t="shared" si="48"/>
        <v>-1623876.62</v>
      </c>
      <c r="H131" s="66">
        <f t="shared" si="48"/>
        <v>-1747916.2999999998</v>
      </c>
      <c r="I131" s="66">
        <f ca="1">IFERROR(__xludf.DUMMYFUNCTION("""COMPUTED_VALUE"""),-1753473.60999999)</f>
        <v>-1753473.6099999901</v>
      </c>
      <c r="J131" s="66">
        <f ca="1">IFERROR(__xludf.DUMMYFUNCTION("""COMPUTED_VALUE"""),-1759030.92)</f>
        <v>-1759030.92</v>
      </c>
      <c r="K131" s="66">
        <f ca="1">IFERROR(__xludf.DUMMYFUNCTION("""COMPUTED_VALUE"""),-1759030.92)</f>
        <v>-1759030.92</v>
      </c>
      <c r="L131" s="66">
        <f ca="1">IFERROR(__xludf.DUMMYFUNCTION("""COMPUTED_VALUE"""),-1759030.92)</f>
        <v>-1759030.92</v>
      </c>
      <c r="M131" s="66">
        <f ca="1">IFERROR(__xludf.DUMMYFUNCTION("""COMPUTED_VALUE"""),-1759030.92)</f>
        <v>-1759030.92</v>
      </c>
      <c r="N131" s="66">
        <f ca="1">IFERROR(__xludf.DUMMYFUNCTION("""COMPUTED_VALUE"""),-1759030.92)</f>
        <v>-1759030.92</v>
      </c>
      <c r="O131" s="95"/>
      <c r="P131" s="66">
        <f t="shared" ref="P131:P133" si="49">C131+D131+E131+F131+G131+H131</f>
        <v>-9266688.9199999999</v>
      </c>
      <c r="Q131" s="66">
        <f t="shared" ref="Q131:Q133" ca="1" si="50">I131+J131+K131+L131+M131+N131</f>
        <v>-10548628.20999999</v>
      </c>
      <c r="R131" s="66">
        <f t="shared" ref="R131:R133" ca="1" si="51">Q131+P131</f>
        <v>-19815317.129999988</v>
      </c>
      <c r="S131" s="106" t="s">
        <v>27</v>
      </c>
    </row>
    <row r="132" spans="2:19" ht="12.75">
      <c r="B132" s="26" t="s">
        <v>124</v>
      </c>
      <c r="C132" s="102">
        <v>-877625</v>
      </c>
      <c r="D132" s="102">
        <f t="shared" ref="D132:H132" si="52">C132+D115</f>
        <v>-877625</v>
      </c>
      <c r="E132" s="102">
        <f t="shared" si="52"/>
        <v>-877625</v>
      </c>
      <c r="F132" s="102">
        <f t="shared" si="52"/>
        <v>-877625</v>
      </c>
      <c r="G132" s="102">
        <f t="shared" si="52"/>
        <v>-1007777.62</v>
      </c>
      <c r="H132" s="102">
        <f t="shared" si="52"/>
        <v>-1047777.62</v>
      </c>
      <c r="I132" s="102">
        <f ca="1">IFERROR(__xludf.DUMMYFUNCTION("""COMPUTED_VALUE"""),-1047777.62)</f>
        <v>-1047777.62</v>
      </c>
      <c r="J132" s="102">
        <f ca="1">IFERROR(__xludf.DUMMYFUNCTION("""COMPUTED_VALUE"""),-1047777.62)</f>
        <v>-1047777.62</v>
      </c>
      <c r="K132" s="102">
        <f ca="1">IFERROR(__xludf.DUMMYFUNCTION("""COMPUTED_VALUE"""),-1047777.62)</f>
        <v>-1047777.62</v>
      </c>
      <c r="L132" s="102">
        <f ca="1">IFERROR(__xludf.DUMMYFUNCTION("""COMPUTED_VALUE"""),-1047777.62)</f>
        <v>-1047777.62</v>
      </c>
      <c r="M132" s="102">
        <f ca="1">IFERROR(__xludf.DUMMYFUNCTION("""COMPUTED_VALUE"""),-1047777.62)</f>
        <v>-1047777.62</v>
      </c>
      <c r="N132" s="102">
        <f ca="1">IFERROR(__xludf.DUMMYFUNCTION("""COMPUTED_VALUE"""),-1047777.62)</f>
        <v>-1047777.62</v>
      </c>
      <c r="O132" s="26"/>
      <c r="P132" s="96">
        <f t="shared" si="49"/>
        <v>-5566055.2400000002</v>
      </c>
      <c r="Q132" s="96">
        <f t="shared" ca="1" si="50"/>
        <v>-6286665.7199999997</v>
      </c>
      <c r="R132" s="96">
        <f t="shared" ca="1" si="51"/>
        <v>-11852720.960000001</v>
      </c>
      <c r="S132" s="64">
        <f ca="1">I132/I131</f>
        <v>0.59754399155172111</v>
      </c>
    </row>
    <row r="133" spans="2:19" ht="12.75">
      <c r="B133" s="26" t="s">
        <v>125</v>
      </c>
      <c r="C133" s="102">
        <v>-596099</v>
      </c>
      <c r="D133" s="102">
        <f t="shared" ref="D133:H133" si="53">C133+D116</f>
        <v>-596099</v>
      </c>
      <c r="E133" s="102">
        <f t="shared" si="53"/>
        <v>-596099</v>
      </c>
      <c r="F133" s="102">
        <f t="shared" si="53"/>
        <v>-596099</v>
      </c>
      <c r="G133" s="102">
        <f t="shared" si="53"/>
        <v>-616099</v>
      </c>
      <c r="H133" s="102">
        <f t="shared" si="53"/>
        <v>-700138.67999999993</v>
      </c>
      <c r="I133" s="102">
        <f ca="1">IFERROR(__xludf.DUMMYFUNCTION("""COMPUTED_VALUE"""),-705695.99)</f>
        <v>-705695.99</v>
      </c>
      <c r="J133" s="102">
        <f ca="1">IFERROR(__xludf.DUMMYFUNCTION("""COMPUTED_VALUE"""),-711253.3)</f>
        <v>-711253.3</v>
      </c>
      <c r="K133" s="102">
        <f ca="1">IFERROR(__xludf.DUMMYFUNCTION("""COMPUTED_VALUE"""),-711253.3)</f>
        <v>-711253.3</v>
      </c>
      <c r="L133" s="102">
        <f ca="1">IFERROR(__xludf.DUMMYFUNCTION("""COMPUTED_VALUE"""),-711253.3)</f>
        <v>-711253.3</v>
      </c>
      <c r="M133" s="102">
        <f ca="1">IFERROR(__xludf.DUMMYFUNCTION("""COMPUTED_VALUE"""),-711253.3)</f>
        <v>-711253.3</v>
      </c>
      <c r="N133" s="102">
        <f ca="1">IFERROR(__xludf.DUMMYFUNCTION("""COMPUTED_VALUE"""),-711253.3)</f>
        <v>-711253.3</v>
      </c>
      <c r="O133" s="26"/>
      <c r="P133" s="96">
        <f t="shared" si="49"/>
        <v>-3700633.6799999997</v>
      </c>
      <c r="Q133" s="96">
        <f t="shared" ca="1" si="50"/>
        <v>-4261962.4899999993</v>
      </c>
      <c r="R133" s="96">
        <f t="shared" ca="1" si="51"/>
        <v>-7962596.169999999</v>
      </c>
      <c r="S133" s="64">
        <f ca="1">I133/I131</f>
        <v>0.40245600844828455</v>
      </c>
    </row>
    <row r="134" spans="2:19" ht="12.7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2:19" ht="12.75">
      <c r="B135" s="4"/>
      <c r="C135" s="120">
        <v>0.6</v>
      </c>
      <c r="D135" s="120">
        <v>0.6</v>
      </c>
      <c r="E135" s="120">
        <v>0.6</v>
      </c>
      <c r="F135" s="120">
        <v>0.68</v>
      </c>
      <c r="G135" s="120">
        <v>0.68</v>
      </c>
      <c r="H135" s="120">
        <v>0.68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2:19" ht="12.75">
      <c r="B136" s="98" t="s">
        <v>135</v>
      </c>
      <c r="C136" s="66">
        <f t="shared" ref="C136:H136" si="54">C135*C97</f>
        <v>26172.508181580029</v>
      </c>
      <c r="D136" s="66">
        <f t="shared" si="54"/>
        <v>44877.581571960007</v>
      </c>
      <c r="E136" s="66">
        <f t="shared" si="54"/>
        <v>65741.683090080027</v>
      </c>
      <c r="F136" s="66">
        <f t="shared" si="54"/>
        <v>10717.965706796014</v>
      </c>
      <c r="G136" s="66">
        <f t="shared" si="54"/>
        <v>49723.376009651984</v>
      </c>
      <c r="H136" s="66">
        <f t="shared" si="54"/>
        <v>62209.61828720403</v>
      </c>
      <c r="I136" s="66"/>
      <c r="J136" s="66"/>
      <c r="K136" s="66"/>
      <c r="L136" s="66"/>
      <c r="M136" s="66"/>
      <c r="N136" s="66"/>
      <c r="O136" s="95"/>
      <c r="P136" s="66"/>
      <c r="Q136" s="66"/>
      <c r="R136" s="66"/>
    </row>
    <row r="137" spans="2:19" ht="12.75">
      <c r="B137" s="26"/>
      <c r="F137" s="4"/>
      <c r="G137" s="4"/>
      <c r="H137" s="66">
        <f>SUM(C136:H136)</f>
        <v>259442.73284727207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2:19" ht="12.7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2:19" ht="12.7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2:19" ht="12.7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2:19" ht="12.7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2:19" ht="12.7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2:19" ht="12.7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2:19" ht="12.75">
      <c r="B144" s="4"/>
      <c r="C144" s="26"/>
      <c r="D144" s="26"/>
      <c r="E144" s="26"/>
      <c r="F144" s="26"/>
      <c r="G144" s="26"/>
      <c r="H144" s="26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2:18" ht="12.75">
      <c r="B145" s="4"/>
      <c r="C145" s="94"/>
      <c r="D145" s="94"/>
      <c r="E145" s="94"/>
      <c r="F145" s="94"/>
      <c r="G145" s="94"/>
      <c r="H145" s="121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2:18" ht="12.7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2:18" ht="12.7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2:18" ht="12.75">
      <c r="B148" s="4"/>
      <c r="C148" s="122"/>
      <c r="D148" s="122"/>
      <c r="E148" s="122"/>
      <c r="F148" s="122"/>
      <c r="G148" s="122"/>
      <c r="H148" s="122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2:18" ht="12.7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2:18" ht="12.7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2:18" ht="12.7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2:18" ht="12.7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2:18" ht="12.7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2:18" ht="12.7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2:18" ht="12.7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2:18" ht="12.7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2:18" ht="12.7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2:18" ht="12.7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2:18" ht="12.7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2:18" ht="12.7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ht="12.7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ht="12.7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ht="12.7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ht="12.7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ht="12.7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ht="12.7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ht="12.7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ht="12.7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ht="12.7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ht="12.7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ht="12.7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2:18" ht="12.7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2:18" ht="12.7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2:18" ht="12.7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ht="12.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ht="12.7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ht="12.7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2:18" ht="12.7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2:18" ht="12.7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2:18" ht="12.7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2:18" ht="12.7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ht="12.7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ht="12.7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ht="12.7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ht="12.7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ht="12.7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ht="12.7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ht="12.7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ht="12.7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ht="12.7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ht="12.7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ht="12.7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ht="12.7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ht="12.7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ht="12.7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2:18" ht="12.7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2:18" ht="12.7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2:18" ht="12.7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ht="12.7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ht="12.7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ht="12.7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ht="12.7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2:18" ht="12.7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2:18" ht="12.7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2:18" ht="12.7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2:18" ht="12.7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2:18" ht="12.7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ht="12.7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2:18" ht="12.7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ht="12.7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ht="12.7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ht="12.7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ht="12.7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ht="12.7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ht="12.7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ht="12.7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ht="12.7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2:18" ht="12.7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2:18" ht="12.7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2:18" ht="12.7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ht="12.7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ht="12.7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ht="12.7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2:18" ht="12.7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2:18" ht="12.7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ht="12.7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ht="12.7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ht="12.7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ht="12.7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ht="12.7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ht="12.7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ht="12.7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2:18" ht="12.7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2:18" ht="12.7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ht="12.7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ht="12.7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ht="12.7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ht="12.7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ht="12.7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2:18" ht="12.7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ht="12.7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2:18" ht="12.7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2:18" ht="12.7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ht="12.7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2:18" ht="12.7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2:18" ht="12.7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2:18" ht="12.7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2:18" ht="12.7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2:18" ht="12.7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ht="12.7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2:18" ht="12.7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ht="12.7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2:18" ht="12.7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ht="12.7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2:18" ht="12.7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ht="12.7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2:18" ht="12.7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ht="12.7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2:18" ht="12.7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ht="12.7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2:18" ht="12.7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2:18" ht="12.7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ht="12.7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2:18" ht="12.7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ht="12.7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2:18" ht="12.7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ht="12.7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2:18" ht="12.7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ht="12.7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2:18" ht="12.7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ht="12.7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ht="12.7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ht="12.7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2:18" ht="12.7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ht="12.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2:18" ht="12.7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ht="12.7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2:18" ht="12.7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ht="12.7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2:18" ht="12.7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ht="12.7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2:18" ht="12.7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ht="12.7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2:18" ht="12.7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2:18" ht="12.7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2:18" ht="12.7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ht="12.7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2:18" ht="12.7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ht="12.7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2:18" ht="12.7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ht="12.7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2:18" ht="12.7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ht="12.7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ht="12.7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2:18" ht="12.7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2:18" ht="12.7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2:18" ht="12.7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2:18" ht="12.7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2:18" ht="12.7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ht="12.7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2:18" ht="12.7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2:18" ht="12.7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2:18" ht="12.7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ht="12.7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ht="12.7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2:18" ht="12.7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2:18" ht="12.7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ht="12.7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2:18" ht="12.7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2:18" ht="12.7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2:18" ht="12.7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2:18" ht="12.7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2:18" ht="12.7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2:18" ht="12.7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2:18" ht="12.7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2:18" ht="12.7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2:18" ht="12.7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2:18" ht="12.7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2:18" ht="12.7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2:18" ht="12.7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2:18" ht="12.7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2:18" ht="12.7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2:18" ht="12.7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2:18" ht="12.7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2:18" ht="12.7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2:18" ht="12.7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2:18" ht="12.7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2:18" ht="12.7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2:18" ht="12.7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2:18" ht="12.7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2:18" ht="12.7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2:18" ht="12.7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2:18" ht="12.7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2:18" ht="12.7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2:18" ht="12.7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2:18" ht="12.7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2:18" ht="12.7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2:18" ht="12.7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2:18" ht="12.7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2:18" ht="12.7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2:18" ht="12.7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2:18" ht="12.7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2:18" ht="12.7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2:18" ht="12.7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2:18" ht="12.7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2:18" ht="12.7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2:18" ht="12.7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2:18" ht="12.7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2:18" ht="12.7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2:18" ht="12.7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2:18" ht="12.7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2:18" ht="12.7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2:18" ht="12.7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2:18" ht="12.7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2:18" ht="12.7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2:18" ht="12.7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2:18" ht="12.7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2:18" ht="12.7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2:18" ht="12.7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2:18" ht="12.7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2:18" ht="12.7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2:18" ht="12.7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2:18" ht="12.7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2:18" ht="12.7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2:18" ht="12.7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2:18" ht="12.7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2:18" ht="12.7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2:18" ht="12.7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2:18" ht="12.7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2:18" ht="12.7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2:18" ht="12.7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2:18" ht="12.7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2:18" ht="12.7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2:18" ht="12.7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2:18" ht="12.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2:18" ht="12.7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2:18" ht="12.7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2:18" ht="12.7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2:18" ht="12.7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2:18" ht="12.7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2:18" ht="12.7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2:18" ht="12.7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2:18" ht="12.7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2:18" ht="12.7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2:18" ht="12.7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2:18" ht="12.7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2:18" ht="12.7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2:18" ht="12.7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2:18" ht="12.7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2:18" ht="12.7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2:18" ht="12.7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2:18" ht="12.7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2:18" ht="12.7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2:18" ht="12.7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2:18" ht="12.7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2:18" ht="12.7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2:18" ht="12.7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2:18" ht="12.7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2:18" ht="12.7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2:18" ht="12.7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2:18" ht="12.7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2:18" ht="12.7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2:18" ht="12.7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2:18" ht="12.7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2:18" ht="12.7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2:18" ht="12.7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2:18" ht="12.7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2:18" ht="12.7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2:18" ht="12.7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2:18" ht="12.7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2:18" ht="12.7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2:18" ht="12.7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2:18" ht="12.7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2:18" ht="12.7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2:18" ht="12.7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2:18" ht="12.7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2:18" ht="12.7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2:18" ht="12.7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2:18" ht="12.7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2:18" ht="12.7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2:18" ht="12.7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2:18" ht="12.7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2:18" ht="12.7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2:18" ht="12.7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2:18" ht="12.7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2:18" ht="12.7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2:18" ht="12.7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2:18" ht="12.7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2:18" ht="12.7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2:18" ht="12.7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2:18" ht="12.7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2:18" ht="12.7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2:18" ht="12.7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2:18" ht="12.7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2:18" ht="12.7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2:18" ht="12.7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2:18" ht="12.7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2:18" ht="12.7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2:18" ht="12.7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2:18" ht="12.7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2:18" ht="12.7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2:18" ht="12.7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2:18" ht="12.7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2:18" ht="12.7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2:18" ht="12.7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2:18" ht="12.7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2:18" ht="12.7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2:18" ht="12.7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2:18" ht="12.7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2:18" ht="12.7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2:18" ht="12.7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2:18" ht="12.7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2:18" ht="12.7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2:18" ht="12.7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2:18" ht="12.7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2:18" ht="12.7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2:18" ht="12.7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2:18" ht="12.7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2:18" ht="12.7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2:18" ht="12.7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2:18" ht="12.7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2:18" ht="12.7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2:18" ht="12.7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2:18" ht="12.7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2:18" ht="12.7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2:18" ht="12.7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2:18" ht="12.7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2:18" ht="12.7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2:18" ht="12.7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2:18" ht="12.7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2:18" ht="12.7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2:18" ht="12.7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2:18" ht="12.7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2:18" ht="12.7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2:18" ht="12.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2:18" ht="12.7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2:18" ht="12.7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2:18" ht="12.7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2:18" ht="12.7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2:18" ht="12.7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2:18" ht="12.7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2:18" ht="12.7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2:18" ht="12.7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2:18" ht="12.7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2:18" ht="12.7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2:18" ht="12.7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2:18" ht="12.7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2:18" ht="12.7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2:18" ht="12.7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2:18" ht="12.7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2:18" ht="12.7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2:18" ht="12.7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2:18" ht="12.7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2:18" ht="12.7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2:18" ht="12.7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2:18" ht="12.7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2:18" ht="12.7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2:18" ht="12.7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2:18" ht="12.7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2:18" ht="12.7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2:18" ht="12.7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2:18" ht="12.7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2:18" ht="12.7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2:18" ht="12.7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2:18" ht="12.7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2:18" ht="12.7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2:18" ht="12.7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2:18" ht="12.7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2:18" ht="12.7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2:18" ht="12.7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2:18" ht="12.7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2:18" ht="12.7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2:18" ht="12.7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2:18" ht="12.7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2:18" ht="12.7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2:18" ht="12.7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2:18" ht="12.7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2:18" ht="12.7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2:18" ht="12.7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2:18" ht="12.7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2:18" ht="12.7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2:18" ht="12.7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2:18" ht="12.7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2:18" ht="12.7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2:18" ht="12.7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2:18" ht="12.7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2:18" ht="12.7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2:18" ht="12.7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2:18" ht="12.7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2:18" ht="12.7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2:18" ht="12.7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2:18" ht="12.7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2:18" ht="12.7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2:18" ht="12.7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2:18" ht="12.7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2:18" ht="12.7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2:18" ht="12.7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2:18" ht="12.7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2:18" ht="12.7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2:18" ht="12.7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2:18" ht="12.7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2:18" ht="12.7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2:18" ht="12.7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2:18" ht="12.7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2:18" ht="12.7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2:18" ht="12.7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2:18" ht="12.7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2:18" ht="12.7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2:18" ht="12.7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2:18" ht="12.7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2:18" ht="12.7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2:18" ht="12.7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2:18" ht="12.7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2:18" ht="12.7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2:18" ht="12.7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2:18" ht="12.7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2:18" ht="12.7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2:18" ht="12.7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2:18" ht="12.7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2:18" ht="12.7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2:18" ht="12.7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2:18" ht="12.7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2:18" ht="12.7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2:18" ht="12.7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2:18" ht="12.7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2:18" ht="12.7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2:18" ht="12.7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2:18" ht="12.7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2:18" ht="12.7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2:18" ht="12.7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2:18" ht="12.7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2:18" ht="12.7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2:18" ht="12.7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2:18" ht="12.7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2:18" ht="12.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2:18" ht="12.7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2:18" ht="12.7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2:18" ht="12.7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2:18" ht="12.7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2:18" ht="12.7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2:18" ht="12.7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2:18" ht="12.7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2:18" ht="12.7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2:18" ht="12.7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2:18" ht="12.7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2:18" ht="12.7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2:18" ht="12.7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2:18" ht="12.7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2:18" ht="12.7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2:18" ht="12.7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2:18" ht="12.7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2:18" ht="12.7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2:18" ht="12.7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2:18" ht="12.7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2:18" ht="12.7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2:18" ht="12.7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2:18" ht="12.7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2:18" ht="12.7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2:18" ht="12.7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2:18" ht="12.7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2:18" ht="12.7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2:18" ht="12.7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2:18" ht="12.7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2:18" ht="12.7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2:18" ht="12.7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2:18" ht="12.7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2:18" ht="12.7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2:18" ht="12.7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2:18" ht="12.7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2:18" ht="12.7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2:18" ht="12.7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2:18" ht="12.7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2:18" ht="12.7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2:18" ht="12.7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2:18" ht="12.7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2:18" ht="12.7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2:18" ht="12.7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2:18" ht="12.7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2:18" ht="12.7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2:18" ht="12.7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2:18" ht="12.7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2:18" ht="12.7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2:18" ht="12.7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2:18" ht="12.7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2:18" ht="12.7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2:18" ht="12.7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2:18" ht="12.7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2:18" ht="12.7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2:18" ht="12.7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2:18" ht="12.7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2:18" ht="12.7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2:18" ht="12.7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2:18" ht="12.7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2:18" ht="12.7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2:18" ht="12.7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2:18" ht="12.7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2:18" ht="12.7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2:18" ht="12.7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2:18" ht="12.7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2:18" ht="12.7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2:18" ht="12.7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2:18" ht="12.7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2:18" ht="12.7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2:18" ht="12.7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2:18" ht="12.7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2:18" ht="12.7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2:18" ht="12.7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2:18" ht="12.7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2:18" ht="12.7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2:18" ht="12.7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2:18" ht="12.7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2:18" ht="12.7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2:18" ht="12.7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2:18" ht="12.7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2:18" ht="12.7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2:18" ht="12.7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2:18" ht="12.7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2:18" ht="12.7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2:18" ht="12.7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2:18" ht="12.7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2:18" ht="12.7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2:18" ht="12.7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2:18" ht="12.7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2:18" ht="12.7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2:18" ht="12.7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2:18" ht="12.7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2:18" ht="12.7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2:18" ht="12.7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2:18" ht="12.7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2:18" ht="12.7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2:18" ht="12.7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2:18" ht="12.7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2:18" ht="12.7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2:18" ht="12.7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2:18" ht="12.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2:18" ht="12.7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2:18" ht="12.7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2:18" ht="12.7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2:18" ht="12.7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2:18" ht="12.7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2:18" ht="12.7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2:18" ht="12.7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2:18" ht="12.7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2:18" ht="12.7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2:18" ht="12.7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2:18" ht="12.7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2:18" ht="12.7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2:18" ht="12.7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2:18" ht="12.7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2:18" ht="12.7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2:18" ht="12.7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2:18" ht="12.7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2:18" ht="12.7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2:18" ht="12.7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2:18" ht="12.7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2:18" ht="12.7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2:18" ht="12.7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2:18" ht="12.7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2:18" ht="12.7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2:18" ht="12.7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2:18" ht="12.7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2:18" ht="12.7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2:18" ht="12.7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2:18" ht="12.7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2:18" ht="12.7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2:18" ht="12.7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2:18" ht="12.7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2:18" ht="12.7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2:18" ht="12.7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2:18" ht="12.7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2:18" ht="12.7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2:18" ht="12.7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2:18" ht="12.7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2:18" ht="12.7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2:18" ht="12.7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2:18" ht="12.7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2:18" ht="12.7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2:18" ht="12.7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2:18" ht="12.7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2:18" ht="12.7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2:18" ht="12.7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2:18" ht="12.7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2:18" ht="12.7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2:18" ht="12.7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2:18" ht="12.7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2:18" ht="12.7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2:18" ht="12.7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2:18" ht="12.7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2:18" ht="12.7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2:18" ht="12.7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2:18" ht="12.7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2:18" ht="12.7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2:18" ht="12.7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2:18" ht="12.7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2:18" ht="12.7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2:18" ht="12.7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2:18" ht="12.7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2:18" ht="12.7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2:18" ht="12.7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2:18" ht="12.7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2:18" ht="12.7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2:18" ht="12.7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2:18" ht="12.7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2:18" ht="12.7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2:18" ht="12.7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2:18" ht="12.7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2:18" ht="12.7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2:18" ht="12.7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2:18" ht="12.7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2:18" ht="12.7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2:18" ht="12.7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2:18" ht="12.7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2:18" ht="12.7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2:18" ht="12.7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2:18" ht="12.7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2:18" ht="12.7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2:18" ht="12.7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2:18" ht="12.7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2:18" ht="12.7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2:18" ht="12.7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2:18" ht="12.7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2:18" ht="12.7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2:18" ht="12.7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2:18" ht="12.7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2:18" ht="12.7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2:18" ht="12.7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2:18" ht="12.7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2:18" ht="12.7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2:18" ht="12.7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2:18" ht="12.7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2:18" ht="12.7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2:18" ht="12.7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2:18" ht="12.7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2:18" ht="12.7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2:18" ht="12.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2:18" ht="12.7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2:18" ht="12.7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2:18" ht="12.7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2:18" ht="12.7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2:18" ht="12.7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2:18" ht="12.7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2:18" ht="12.7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2:18" ht="12.7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2:18" ht="12.7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2:18" ht="12.7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2:18" ht="12.7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2:18" ht="12.7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2:18" ht="12.7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2:18" ht="12.7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2:18" ht="12.7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2:18" ht="12.7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2:18" ht="12.7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2:18" ht="12.7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2:18" ht="12.7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2:18" ht="12.7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2:18" ht="12.7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2:18" ht="12.7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2:18" ht="12.7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2:18" ht="12.7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2:18" ht="12.7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2:18" ht="12.7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2:18" ht="12.7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2:18" ht="12.7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2:18" ht="12.7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2:18" ht="12.7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2:18" ht="12.7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2:18" ht="12.7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2:18" ht="12.7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2:18" ht="12.7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2:18" ht="12.7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2:18" ht="12.7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2:18" ht="12.7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2:18" ht="12.7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2:18" ht="12.7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2:18" ht="12.7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2:18" ht="12.7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2:18" ht="12.7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2:18" ht="12.7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2:18" ht="12.7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2:18" ht="12.7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2:18" ht="12.7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2:18" ht="12.7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2:18" ht="12.7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2:18" ht="12.7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2:18" ht="12.7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2:18" ht="12.7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2:18" ht="12.7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2:18" ht="12.7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2:18" ht="12.7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2:18" ht="12.7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2:18" ht="12.7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2:18" ht="12.7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2:18" ht="12.7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2:18" ht="12.7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2:18" ht="12.7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2:18" ht="12.7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2:18" ht="12.7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2:18" ht="12.7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2:18" ht="12.7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2:18" ht="12.7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2:18" ht="12.7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2:18" ht="12.7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2:18" ht="12.7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2:18" ht="12.7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2:18" ht="12.7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2:18" ht="12.7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2:18" ht="12.7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2:18" ht="12.7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2:18" ht="12.7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2:18" ht="12.7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2:18" ht="12.7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2:18" ht="12.7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2:18" ht="12.7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2:18" ht="12.7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2:18" ht="12.7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2:18" ht="12.7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2:18" ht="12.7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2:18" ht="12.7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2:18" ht="12.7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2:18" ht="12.7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2:18" ht="12.7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2:18" ht="12.7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2:18" ht="12.7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2:18" ht="12.7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2:18" ht="12.7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2:18" ht="12.7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2:18" ht="12.7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2:18" ht="12.7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2:18" ht="12.7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2:18" ht="12.7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2:18" ht="12.7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2:18" ht="12.7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2:18" ht="12.7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2:18" ht="12.7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2:18" ht="12.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2:18" ht="12.7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2:18" ht="12.7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2:18" ht="12.7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2:18" ht="12.7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2:18" ht="12.7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2:18" ht="12.7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2:18" ht="12.7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2:18" ht="12.7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2:18" ht="12.7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2:18" ht="12.7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2:18" ht="12.7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2:18" ht="12.7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2:18" ht="12.7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2:18" ht="12.7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2:18" ht="12.7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2:18" ht="12.7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2:18" ht="12.7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2:18" ht="12.7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2:18" ht="12.7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2:18" ht="12.7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2:18" ht="12.7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2:18" ht="12.7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2:18" ht="12.7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2:18" ht="12.7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2:18" ht="12.7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2:18" ht="12.7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2:18" ht="12.7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2:18" ht="12.7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2:18" ht="12.7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2:18" ht="12.7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2:18" ht="12.7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2:18" ht="12.7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2:18" ht="12.7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2:18" ht="12.7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2:18" ht="12.7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2:18" ht="12.7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2:18" ht="12.7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2:18" ht="12.7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2:18" ht="12.7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2:18" ht="12.7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2:18" ht="12.7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2:18" ht="12.7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2:18" ht="12.7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2:18" ht="12.7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2:18" ht="12.7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2:18" ht="12.7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2:18" ht="12.7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2:18" ht="12.7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2:18" ht="12.7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2:18" ht="12.7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2:18" ht="12.7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2:18" ht="12.7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2:18" ht="12.7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2:18" ht="12.7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2:18" ht="12.7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2:18" ht="12.7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2:18" ht="12.7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2:18" ht="12.7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2:18" ht="12.7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2:18" ht="12.7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2:18" ht="12.75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2:18" ht="12.75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2:18" ht="12.75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2:18" ht="12.75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2:18" ht="12.75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2:18" ht="12.75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2:18" ht="12.75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2:18" ht="12.75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2:18" ht="12.75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2:18" ht="12.7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2:18" ht="12.75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2:18" ht="12.75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2:18" ht="12.75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2:18" ht="12.75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2:18" ht="12.75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2:18" ht="12.75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2:18" ht="12.75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2:18" ht="12.75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2:18" ht="12.75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2:18" ht="12.7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2:18" ht="12.75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2:18" ht="12.75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2:18" ht="12.75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2:18" ht="12.75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2:18" ht="12.75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2:18" ht="12.75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2:18" ht="12.75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2:18" ht="12.75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2:18" ht="12.75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2:18" ht="12.7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2:18" ht="12.75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2:18" ht="12.75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2:18" ht="12.75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2:18" ht="12.75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2:18" ht="12.75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2:18" ht="12.75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2:18" ht="12.75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2:18" ht="12.75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2:18" ht="12.75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2:18" ht="12.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2:18" ht="12.75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2:18" ht="12.75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2:18" ht="12.75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2:18" ht="12.75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2:18" ht="12.75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2:18" ht="12.75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2:18" ht="12.75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2:18" ht="12.75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2:18" ht="12.75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2:18" ht="12.7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2:18" ht="12.75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2:18" ht="12.75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2:18" ht="12.75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2:18" ht="12.75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2:18" ht="12.75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2:18" ht="12.75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2:18" ht="12.75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2:18" ht="12.75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2:18" ht="12.75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2:18" ht="12.7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2:18" ht="12.75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2:18" ht="12.75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2:18" ht="12.75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2:18" ht="12.75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</sheetData>
  <hyperlinks>
    <hyperlink ref="B17" r:id="rId1" xr:uid="{00000000-0004-0000-0000-000000000000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X1003"/>
  <sheetViews>
    <sheetView showGridLines="0" workbookViewId="0">
      <pane xSplit="3" ySplit="6" topLeftCell="F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2.5703125" defaultRowHeight="15.75" customHeight="1" outlineLevelRow="1" outlineLevelCol="1"/>
  <cols>
    <col min="1" max="2" width="0.85546875" customWidth="1"/>
    <col min="3" max="3" width="49.28515625" customWidth="1"/>
    <col min="4" max="4" width="8.5703125" customWidth="1"/>
    <col min="5" max="5" width="10.140625" customWidth="1" outlineLevel="1"/>
    <col min="6" max="6" width="6.5703125" customWidth="1" outlineLevel="1"/>
    <col min="7" max="7" width="10.28515625" customWidth="1"/>
    <col min="8" max="8" width="10.140625" customWidth="1" outlineLevel="1"/>
    <col min="9" max="9" width="7" customWidth="1" outlineLevel="1"/>
    <col min="10" max="10" width="9.28515625" customWidth="1"/>
    <col min="11" max="11" width="10.140625" customWidth="1" outlineLevel="1"/>
    <col min="12" max="12" width="8.28515625" customWidth="1" outlineLevel="1"/>
    <col min="13" max="13" width="9.28515625" customWidth="1"/>
    <col min="14" max="14" width="10.140625" customWidth="1" outlineLevel="1"/>
    <col min="15" max="15" width="7" customWidth="1" outlineLevel="1"/>
    <col min="16" max="16" width="9.28515625" customWidth="1"/>
    <col min="17" max="17" width="10.140625" customWidth="1" outlineLevel="1"/>
    <col min="18" max="18" width="7" customWidth="1" outlineLevel="1"/>
    <col min="19" max="19" width="9.28515625" customWidth="1"/>
    <col min="20" max="20" width="10.140625" customWidth="1" outlineLevel="1"/>
    <col min="21" max="21" width="7.7109375" customWidth="1" outlineLevel="1"/>
    <col min="22" max="22" width="7.85546875" customWidth="1"/>
    <col min="23" max="23" width="10.140625" customWidth="1" outlineLevel="1"/>
    <col min="24" max="24" width="7.7109375" customWidth="1" outlineLevel="1"/>
    <col min="25" max="25" width="8.5703125" customWidth="1"/>
    <col min="26" max="26" width="10.140625" customWidth="1" outlineLevel="1"/>
    <col min="27" max="27" width="6.7109375" customWidth="1" outlineLevel="1"/>
    <col min="28" max="28" width="10.140625" customWidth="1"/>
    <col min="29" max="29" width="10.140625" customWidth="1" outlineLevel="1"/>
    <col min="30" max="30" width="7" customWidth="1" outlineLevel="1"/>
    <col min="31" max="31" width="9.42578125" customWidth="1"/>
    <col min="32" max="32" width="10.140625" customWidth="1" outlineLevel="1"/>
    <col min="33" max="33" width="7.7109375" customWidth="1" outlineLevel="1"/>
    <col min="34" max="34" width="10.7109375" customWidth="1" collapsed="1"/>
    <col min="35" max="35" width="10.140625" hidden="1" customWidth="1" outlineLevel="1"/>
    <col min="36" max="36" width="7.7109375" hidden="1" customWidth="1" outlineLevel="1"/>
    <col min="37" max="37" width="10.42578125" customWidth="1" collapsed="1"/>
    <col min="38" max="38" width="10.140625" hidden="1" customWidth="1" outlineLevel="1"/>
    <col min="39" max="39" width="7.7109375" hidden="1" customWidth="1" outlineLevel="1"/>
    <col min="40" max="40" width="1.28515625" customWidth="1"/>
    <col min="41" max="41" width="9.5703125" customWidth="1"/>
    <col min="42" max="42" width="9.5703125" customWidth="1" outlineLevel="1"/>
    <col min="43" max="43" width="6.7109375" customWidth="1" outlineLevel="1"/>
    <col min="44" max="45" width="9.5703125" customWidth="1" outlineLevel="1"/>
    <col min="46" max="46" width="6.7109375" customWidth="1" outlineLevel="1"/>
    <col min="47" max="48" width="9.5703125" customWidth="1" outlineLevel="1"/>
    <col min="49" max="49" width="6.7109375" customWidth="1" outlineLevel="1"/>
    <col min="50" max="50" width="7.5703125" customWidth="1" outlineLevel="1"/>
  </cols>
  <sheetData>
    <row r="1" spans="1:50" ht="7.5" customHeight="1">
      <c r="A1" s="5"/>
      <c r="B1" s="5"/>
      <c r="C1" s="7"/>
      <c r="D1" s="5"/>
      <c r="E1" s="5"/>
      <c r="F1" s="8"/>
      <c r="G1" s="5"/>
      <c r="H1" s="5"/>
      <c r="I1" s="8"/>
      <c r="J1" s="5"/>
      <c r="K1" s="5"/>
      <c r="L1" s="8"/>
      <c r="M1" s="12"/>
      <c r="N1" s="12"/>
      <c r="O1" s="8"/>
      <c r="P1" s="12"/>
      <c r="Q1" s="12"/>
      <c r="R1" s="8"/>
      <c r="S1" s="12"/>
      <c r="T1" s="12"/>
      <c r="U1" s="8"/>
      <c r="V1" s="12"/>
      <c r="W1" s="12"/>
      <c r="X1" s="8"/>
      <c r="Y1" s="18"/>
      <c r="Z1" s="18"/>
      <c r="AA1" s="8"/>
      <c r="AB1" s="18"/>
      <c r="AC1" s="18"/>
      <c r="AD1" s="8"/>
      <c r="AE1" s="18"/>
      <c r="AF1" s="18"/>
      <c r="AG1" s="8"/>
      <c r="AH1" s="12"/>
      <c r="AI1" s="12"/>
      <c r="AJ1" s="8"/>
      <c r="AK1" s="12"/>
      <c r="AL1" s="12"/>
      <c r="AM1" s="8"/>
      <c r="AN1" s="8"/>
      <c r="AO1" s="18"/>
      <c r="AP1" s="18"/>
      <c r="AQ1" s="8"/>
      <c r="AR1" s="8"/>
      <c r="AS1" s="8"/>
      <c r="AT1" s="8"/>
      <c r="AU1" s="8"/>
      <c r="AV1" s="8"/>
      <c r="AW1" s="8"/>
      <c r="AX1" s="8"/>
    </row>
    <row r="2" spans="1:50" ht="7.5" customHeight="1">
      <c r="A2" s="5"/>
      <c r="B2" s="5"/>
      <c r="C2" s="7"/>
      <c r="D2" s="5"/>
      <c r="E2" s="22"/>
      <c r="F2" s="5"/>
      <c r="G2" s="2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2"/>
      <c r="AM2" s="8"/>
      <c r="AN2" s="8"/>
      <c r="AO2" s="136"/>
      <c r="AP2" s="137"/>
      <c r="AQ2" s="137"/>
      <c r="AR2" s="137"/>
      <c r="AS2" s="137"/>
      <c r="AT2" s="137"/>
      <c r="AU2" s="137"/>
      <c r="AV2" s="137"/>
      <c r="AW2" s="137"/>
      <c r="AX2" s="30"/>
    </row>
    <row r="3" spans="1:50" ht="7.5" customHeight="1">
      <c r="A3" s="5"/>
      <c r="B3" s="5"/>
      <c r="C3" s="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2"/>
      <c r="AM3" s="8"/>
      <c r="AN3" s="8"/>
      <c r="AO3" s="18"/>
      <c r="AP3" s="18"/>
      <c r="AQ3" s="8"/>
      <c r="AR3" s="8"/>
      <c r="AS3" s="8"/>
      <c r="AT3" s="8"/>
      <c r="AU3" s="8"/>
      <c r="AV3" s="8"/>
      <c r="AW3" s="8"/>
      <c r="AX3" s="8"/>
    </row>
    <row r="4" spans="1:50" ht="26.25">
      <c r="A4" s="5"/>
      <c r="B4" s="5"/>
      <c r="C4" s="33" t="s">
        <v>18</v>
      </c>
      <c r="D4" s="138" t="s">
        <v>1</v>
      </c>
      <c r="E4" s="133"/>
      <c r="F4" s="134"/>
      <c r="G4" s="138" t="s">
        <v>2</v>
      </c>
      <c r="H4" s="133"/>
      <c r="I4" s="134"/>
      <c r="J4" s="138" t="s">
        <v>3</v>
      </c>
      <c r="K4" s="133"/>
      <c r="L4" s="134"/>
      <c r="M4" s="132" t="s">
        <v>4</v>
      </c>
      <c r="N4" s="133"/>
      <c r="O4" s="134"/>
      <c r="P4" s="132" t="s">
        <v>5</v>
      </c>
      <c r="Q4" s="133"/>
      <c r="R4" s="134"/>
      <c r="S4" s="132" t="s">
        <v>6</v>
      </c>
      <c r="T4" s="133"/>
      <c r="U4" s="134"/>
      <c r="V4" s="132" t="s">
        <v>7</v>
      </c>
      <c r="W4" s="133"/>
      <c r="X4" s="134"/>
      <c r="Y4" s="135" t="s">
        <v>8</v>
      </c>
      <c r="Z4" s="133"/>
      <c r="AA4" s="134"/>
      <c r="AB4" s="135" t="s">
        <v>9</v>
      </c>
      <c r="AC4" s="133"/>
      <c r="AD4" s="134"/>
      <c r="AE4" s="135" t="s">
        <v>10</v>
      </c>
      <c r="AF4" s="133"/>
      <c r="AG4" s="134"/>
      <c r="AH4" s="132" t="s">
        <v>11</v>
      </c>
      <c r="AI4" s="133"/>
      <c r="AJ4" s="134"/>
      <c r="AK4" s="132" t="s">
        <v>13</v>
      </c>
      <c r="AL4" s="133"/>
      <c r="AM4" s="134"/>
      <c r="AN4" s="8"/>
      <c r="AO4" s="135" t="s">
        <v>14</v>
      </c>
      <c r="AP4" s="133"/>
      <c r="AQ4" s="134"/>
      <c r="AR4" s="135" t="s">
        <v>15</v>
      </c>
      <c r="AS4" s="133"/>
      <c r="AT4" s="134"/>
      <c r="AU4" s="135">
        <v>2025</v>
      </c>
      <c r="AV4" s="133"/>
      <c r="AW4" s="134"/>
      <c r="AX4" s="42"/>
    </row>
    <row r="5" spans="1:50" ht="3.75" customHeight="1">
      <c r="A5" s="5"/>
      <c r="B5" s="5"/>
      <c r="C5" s="7"/>
      <c r="D5" s="5"/>
      <c r="E5" s="5"/>
      <c r="F5" s="8"/>
      <c r="G5" s="5"/>
      <c r="H5" s="5"/>
      <c r="I5" s="8"/>
      <c r="J5" s="5"/>
      <c r="K5" s="5"/>
      <c r="L5" s="8"/>
      <c r="M5" s="12"/>
      <c r="N5" s="12"/>
      <c r="O5" s="8"/>
      <c r="P5" s="12"/>
      <c r="Q5" s="12"/>
      <c r="R5" s="8"/>
      <c r="S5" s="12"/>
      <c r="T5" s="12"/>
      <c r="U5" s="8"/>
      <c r="V5" s="12"/>
      <c r="W5" s="12"/>
      <c r="X5" s="8"/>
      <c r="Y5" s="18"/>
      <c r="Z5" s="18"/>
      <c r="AA5" s="8"/>
      <c r="AB5" s="18"/>
      <c r="AC5" s="18"/>
      <c r="AD5" s="8"/>
      <c r="AE5" s="18"/>
      <c r="AF5" s="18"/>
      <c r="AG5" s="8"/>
      <c r="AH5" s="12"/>
      <c r="AI5" s="12"/>
      <c r="AJ5" s="8"/>
      <c r="AK5" s="12"/>
      <c r="AL5" s="12"/>
      <c r="AM5" s="8"/>
      <c r="AN5" s="8"/>
      <c r="AO5" s="43"/>
      <c r="AP5" s="18"/>
      <c r="AQ5" s="8"/>
      <c r="AR5" s="8"/>
      <c r="AS5" s="8"/>
      <c r="AT5" s="8"/>
      <c r="AU5" s="8"/>
      <c r="AV5" s="8"/>
      <c r="AW5" s="8"/>
      <c r="AX5" s="8"/>
    </row>
    <row r="6" spans="1:50" ht="15">
      <c r="A6" s="5"/>
      <c r="B6" s="5"/>
      <c r="C6" s="45" t="s">
        <v>16</v>
      </c>
      <c r="D6" s="46" t="s">
        <v>25</v>
      </c>
      <c r="E6" s="46" t="s">
        <v>26</v>
      </c>
      <c r="F6" s="47" t="s">
        <v>27</v>
      </c>
      <c r="G6" s="46" t="s">
        <v>25</v>
      </c>
      <c r="H6" s="46" t="s">
        <v>26</v>
      </c>
      <c r="I6" s="47" t="s">
        <v>27</v>
      </c>
      <c r="J6" s="46" t="s">
        <v>25</v>
      </c>
      <c r="K6" s="46" t="s">
        <v>26</v>
      </c>
      <c r="L6" s="47" t="s">
        <v>27</v>
      </c>
      <c r="M6" s="46" t="s">
        <v>25</v>
      </c>
      <c r="N6" s="46" t="s">
        <v>26</v>
      </c>
      <c r="O6" s="47" t="s">
        <v>27</v>
      </c>
      <c r="P6" s="46" t="s">
        <v>25</v>
      </c>
      <c r="Q6" s="46" t="s">
        <v>26</v>
      </c>
      <c r="R6" s="47" t="s">
        <v>27</v>
      </c>
      <c r="S6" s="46" t="s">
        <v>25</v>
      </c>
      <c r="T6" s="46" t="s">
        <v>26</v>
      </c>
      <c r="U6" s="47" t="s">
        <v>27</v>
      </c>
      <c r="V6" s="46" t="s">
        <v>25</v>
      </c>
      <c r="W6" s="46" t="s">
        <v>26</v>
      </c>
      <c r="X6" s="47" t="s">
        <v>27</v>
      </c>
      <c r="Y6" s="46" t="s">
        <v>25</v>
      </c>
      <c r="Z6" s="46" t="s">
        <v>26</v>
      </c>
      <c r="AA6" s="47" t="s">
        <v>27</v>
      </c>
      <c r="AB6" s="46" t="s">
        <v>25</v>
      </c>
      <c r="AC6" s="46" t="s">
        <v>26</v>
      </c>
      <c r="AD6" s="47" t="s">
        <v>27</v>
      </c>
      <c r="AE6" s="46" t="s">
        <v>25</v>
      </c>
      <c r="AF6" s="46" t="s">
        <v>26</v>
      </c>
      <c r="AG6" s="47" t="s">
        <v>27</v>
      </c>
      <c r="AH6" s="46" t="s">
        <v>25</v>
      </c>
      <c r="AI6" s="46" t="s">
        <v>26</v>
      </c>
      <c r="AJ6" s="47" t="s">
        <v>27</v>
      </c>
      <c r="AK6" s="46" t="s">
        <v>25</v>
      </c>
      <c r="AL6" s="46" t="s">
        <v>26</v>
      </c>
      <c r="AM6" s="47" t="s">
        <v>27</v>
      </c>
      <c r="AN6" s="8"/>
      <c r="AO6" s="50" t="s">
        <v>25</v>
      </c>
      <c r="AP6" s="51" t="s">
        <v>26</v>
      </c>
      <c r="AQ6" s="52" t="s">
        <v>27</v>
      </c>
      <c r="AR6" s="50" t="s">
        <v>25</v>
      </c>
      <c r="AS6" s="51" t="s">
        <v>26</v>
      </c>
      <c r="AT6" s="52" t="s">
        <v>27</v>
      </c>
      <c r="AU6" s="50" t="s">
        <v>25</v>
      </c>
      <c r="AV6" s="51" t="s">
        <v>26</v>
      </c>
      <c r="AW6" s="52" t="s">
        <v>27</v>
      </c>
      <c r="AX6" s="54"/>
    </row>
    <row r="7" spans="1:50" ht="12.75">
      <c r="A7" s="5"/>
      <c r="B7" s="5"/>
      <c r="C7" s="56" t="s">
        <v>17</v>
      </c>
      <c r="D7" s="57">
        <f ca="1">Orçamento!B4</f>
        <v>321190.31568523298</v>
      </c>
      <c r="E7" s="57">
        <f>'DRE 2026'!C4</f>
        <v>276257.97000000003</v>
      </c>
      <c r="F7" s="60">
        <f t="shared" ref="F7:F104" ca="1" si="0">IF(D7=0, IF(E7=0, 0, 100%), (E7 - D7) / D7)</f>
        <v>-0.13989321436847654</v>
      </c>
      <c r="G7" s="57">
        <f ca="1">Orçamento!C4</f>
        <v>262827.351674854</v>
      </c>
      <c r="H7" s="57">
        <f>'DRE 2026'!D4</f>
        <v>302537.98000000004</v>
      </c>
      <c r="I7" s="60">
        <f t="shared" ref="I7:I104" ca="1" si="1">IF(G7=0, IF(H7=0, 0, 100%), (H7 - G7) / G7)</f>
        <v>0.15109016649938475</v>
      </c>
      <c r="J7" s="57">
        <f ca="1">Orçamento!D4</f>
        <v>353083.27610228898</v>
      </c>
      <c r="K7" s="57">
        <f>'DRE 2026'!E4</f>
        <v>297990.92000000004</v>
      </c>
      <c r="L7" s="60">
        <f t="shared" ref="L7:L104" ca="1" si="2">IF(J7=0, IF(K7=0, 0, 100%), (K7 - J7) / J7)</f>
        <v>-0.15603218795989804</v>
      </c>
      <c r="M7" s="57">
        <f ca="1">Orçamento!E4</f>
        <v>284073.182719342</v>
      </c>
      <c r="N7" s="57">
        <f>'DRE 2026'!F4</f>
        <v>235626.88</v>
      </c>
      <c r="O7" s="60">
        <f t="shared" ref="O7:O104" ca="1" si="3">IF(M7=0, IF(N7=0, 0, 100%), (N7 - M7) / M7)</f>
        <v>-0.17054162682862561</v>
      </c>
      <c r="P7" s="57">
        <f ca="1">Orçamento!F4</f>
        <v>359398.21320725902</v>
      </c>
      <c r="Q7" s="57">
        <f>'DRE 2026'!G4</f>
        <v>242586.46</v>
      </c>
      <c r="R7" s="60">
        <f t="shared" ref="R7:R104" ca="1" si="4">IF(P7=0, IF(Q7=0, 0, 100%), (Q7 - P7) / P7)</f>
        <v>-0.32502040609727689</v>
      </c>
      <c r="S7" s="57">
        <f ca="1">Orçamento!G4</f>
        <v>304639.77177532198</v>
      </c>
      <c r="T7" s="57">
        <f>'DRE 2026'!H4</f>
        <v>283604.11000000004</v>
      </c>
      <c r="U7" s="60">
        <f t="shared" ref="U7:U104" ca="1" si="5">IF(S7=0, IF(T7=0, 0, 100%), (T7 - S7) / S7)</f>
        <v>-6.9050937284827543E-2</v>
      </c>
      <c r="V7" s="57">
        <f ca="1">Orçamento!H4</f>
        <v>387575.86811330297</v>
      </c>
      <c r="W7" s="57">
        <f ca="1">'DRE 2026'!I4</f>
        <v>305701.15999999997</v>
      </c>
      <c r="X7" s="60">
        <f t="shared" ref="X7:X104" ca="1" si="6">IF(V7=0, IF(W7=0, 0, 100%), (W7 - V7) / V7)</f>
        <v>-0.21124820931670582</v>
      </c>
      <c r="Y7" s="57">
        <f ca="1">Orçamento!I4</f>
        <v>403534.09578155098</v>
      </c>
      <c r="Z7" s="57">
        <f ca="1">'DRE 2026'!J4</f>
        <v>414516.74</v>
      </c>
      <c r="AA7" s="60">
        <f t="shared" ref="AA7:AA104" ca="1" si="7">IF(Y7=0, IF(Z7=0, 0, 100%), (Z7 - Y7) / Y7)</f>
        <v>2.7216149349606276E-2</v>
      </c>
      <c r="AB7" s="57">
        <f ca="1">Orçamento!J4</f>
        <v>339417.385176907</v>
      </c>
      <c r="AC7" s="57">
        <f ca="1">'DRE 2026'!K4</f>
        <v>0</v>
      </c>
      <c r="AD7" s="60">
        <f t="shared" ref="AD7:AD104" ca="1" si="8">IF(AB7=0, IF(AC7=0, 0, 100%), (AC7 - AB7) / AB7)</f>
        <v>-1</v>
      </c>
      <c r="AE7" s="57">
        <f ca="1">Orçamento!K4</f>
        <v>327122.50269904197</v>
      </c>
      <c r="AF7" s="57">
        <f ca="1">'DRE 2026'!L4</f>
        <v>0</v>
      </c>
      <c r="AG7" s="60">
        <f t="shared" ref="AG7:AG104" ca="1" si="9">IF(AE7=0, IF(AF7=0, 0, 100%), (AF7 - AE7) / AE7)</f>
        <v>-1</v>
      </c>
      <c r="AH7" s="57">
        <f ca="1">Orçamento!L4</f>
        <v>383439.93551529798</v>
      </c>
      <c r="AI7" s="57">
        <f ca="1">'DRE 2026'!M4</f>
        <v>0</v>
      </c>
      <c r="AJ7" s="60">
        <f t="shared" ref="AJ7:AJ104" ca="1" si="10">IF(AH7=0, IF(AI7=0, 0, 100%), (AI7 - AH7) / AH7)</f>
        <v>-1</v>
      </c>
      <c r="AK7" s="57">
        <f ca="1">Orçamento!M4</f>
        <v>402871.02709335898</v>
      </c>
      <c r="AL7" s="57">
        <f ca="1">'DRE 2026'!N4</f>
        <v>0</v>
      </c>
      <c r="AM7" s="60">
        <f t="shared" ref="AM7:AM104" ca="1" si="11">IF(AK7=0, IF(AL7=0, 0, 100%), (AL7 - AK7) / AK7)</f>
        <v>-1</v>
      </c>
      <c r="AN7" s="8"/>
      <c r="AO7" s="57">
        <f t="shared" ref="AO7:AP7" ca="1" si="12">IF($H$7=0,D7,IF($K$7=0,D7+G7,IF($N$7=0,D7+G7+J7,IF($Q$7=0,D7+G7+J7+M7,IF($T$7=0,D7+G7+J7+M7+P7,D7+G7+J7+M7+P7+S7)))))</f>
        <v>1885212.1111642991</v>
      </c>
      <c r="AP7" s="57">
        <f t="shared" si="12"/>
        <v>1638604.32</v>
      </c>
      <c r="AQ7" s="60">
        <f t="shared" ref="AQ7:AQ104" ca="1" si="13">IF(AO7=0, IF(AP7=0, 0, 100%), (AP7 - AO7) / AO7)</f>
        <v>-0.13081169471799917</v>
      </c>
      <c r="AR7" s="57">
        <f t="shared" ref="AR7:AS7" ca="1" si="14">IF($Z$7=0,V7,IF($AC$7=0,V7+Y7,IF($AF$7=0,V7+Y7+AB7,IF($AI$7=0,V7+Y7+AB7+AE7,IF($AL$7=0,V7+Y7+AB7+AE7+AH7,V7+Y7+AB7+AE7+AH7+AK7)))))</f>
        <v>791109.96389485395</v>
      </c>
      <c r="AS7" s="57">
        <f t="shared" ca="1" si="14"/>
        <v>720217.89999999991</v>
      </c>
      <c r="AT7" s="60">
        <f t="shared" ref="AT7:AT104" ca="1" si="15">IF(AR7=0, IF(AS7=0, 0, 100%), (AS7 - AR7) / AR7)</f>
        <v>-8.9610884870963747E-2</v>
      </c>
      <c r="AU7" s="57">
        <f t="shared" ref="AU7:AU104" ca="1" si="16">AR7+AO7</f>
        <v>2676322.0750591531</v>
      </c>
      <c r="AV7" s="57">
        <f t="shared" ref="AV7:AV104" ca="1" si="17">AP7+AS7</f>
        <v>2358822.2199999997</v>
      </c>
      <c r="AW7" s="60">
        <f t="shared" ref="AW7:AW104" ca="1" si="18">IF(AU7=0, IF(AV7=0, 0, 100%), (AV7 - AU7) / AU7)</f>
        <v>-0.11863290222726122</v>
      </c>
      <c r="AX7" s="60"/>
    </row>
    <row r="8" spans="1:50" ht="12.75" outlineLevel="1">
      <c r="A8" s="5"/>
      <c r="B8" s="5"/>
      <c r="C8" s="84" t="s">
        <v>19</v>
      </c>
      <c r="D8" s="57">
        <f ca="1">Orçamento!B5</f>
        <v>146619.92716230001</v>
      </c>
      <c r="E8" s="85">
        <f>'DRE 2026'!C5</f>
        <v>110204.65</v>
      </c>
      <c r="F8" s="86">
        <f t="shared" ca="1" si="0"/>
        <v>-0.24836512926370746</v>
      </c>
      <c r="G8" s="57">
        <f ca="1">Orçamento!C5</f>
        <v>85759.094330849999</v>
      </c>
      <c r="H8" s="85">
        <f>'DRE 2026'!D5</f>
        <v>125561.86</v>
      </c>
      <c r="I8" s="86">
        <f t="shared" ca="1" si="1"/>
        <v>0.46412297121043417</v>
      </c>
      <c r="J8" s="57">
        <f ca="1">Orçamento!D5</f>
        <v>130922.07592844999</v>
      </c>
      <c r="K8" s="85">
        <f>'DRE 2026'!E5</f>
        <v>101436.85</v>
      </c>
      <c r="L8" s="86">
        <f t="shared" ca="1" si="2"/>
        <v>-0.22521202569812526</v>
      </c>
      <c r="M8" s="57">
        <f ca="1">Orçamento!E5</f>
        <v>89831.147947300007</v>
      </c>
      <c r="N8" s="85">
        <f>'DRE 2026'!F5</f>
        <v>64504.04</v>
      </c>
      <c r="O8" s="86">
        <f t="shared" ca="1" si="3"/>
        <v>-0.28194127010553521</v>
      </c>
      <c r="P8" s="57">
        <f ca="1">Orçamento!F5</f>
        <v>106962.45670205</v>
      </c>
      <c r="Q8" s="85">
        <f>'DRE 2026'!G5</f>
        <v>62018.63</v>
      </c>
      <c r="R8" s="86">
        <f t="shared" ca="1" si="4"/>
        <v>-0.42018319406447052</v>
      </c>
      <c r="S8" s="57">
        <f ca="1">Orçamento!G5</f>
        <v>89356.023310549994</v>
      </c>
      <c r="T8" s="85">
        <f>'DRE 2026'!H5</f>
        <v>85436.05</v>
      </c>
      <c r="U8" s="86">
        <f t="shared" ca="1" si="5"/>
        <v>-4.3869155825415652E-2</v>
      </c>
      <c r="V8" s="57">
        <f ca="1">Orçamento!H5</f>
        <v>123696.26229965</v>
      </c>
      <c r="W8" s="85">
        <f ca="1">'DRE 2026'!I5</f>
        <v>92571.47</v>
      </c>
      <c r="X8" s="86">
        <f t="shared" ca="1" si="6"/>
        <v>-0.25162273880395225</v>
      </c>
      <c r="Y8" s="57">
        <f ca="1">Orçamento!I5</f>
        <v>147094.86198434999</v>
      </c>
      <c r="Z8" s="85">
        <f ca="1">'DRE 2026'!J5</f>
        <v>146550.37</v>
      </c>
      <c r="AA8" s="86">
        <f t="shared" ca="1" si="7"/>
        <v>-3.70163836455366E-3</v>
      </c>
      <c r="AB8" s="57">
        <f ca="1">Orçamento!J5</f>
        <v>135253.90085375</v>
      </c>
      <c r="AC8" s="57">
        <f>'DRE 2026'!K5</f>
        <v>0</v>
      </c>
      <c r="AD8" s="86">
        <f t="shared" ca="1" si="8"/>
        <v>-1</v>
      </c>
      <c r="AE8" s="87">
        <f ca="1">Orçamento!K5</f>
        <v>136690.5490228</v>
      </c>
      <c r="AF8" s="87">
        <f>'DRE 2026'!L5</f>
        <v>0</v>
      </c>
      <c r="AG8" s="88">
        <f t="shared" ca="1" si="9"/>
        <v>-1</v>
      </c>
      <c r="AH8" s="87">
        <f ca="1">Orçamento!L5</f>
        <v>183799.02461664999</v>
      </c>
      <c r="AI8" s="87">
        <f>'DRE 2026'!M5</f>
        <v>0</v>
      </c>
      <c r="AJ8" s="88">
        <f t="shared" ca="1" si="10"/>
        <v>-1</v>
      </c>
      <c r="AK8" s="87">
        <f ca="1">Orçamento!M5</f>
        <v>191838.40300769999</v>
      </c>
      <c r="AL8" s="89">
        <f>'DRE 2026'!N5</f>
        <v>0</v>
      </c>
      <c r="AM8" s="86">
        <f t="shared" ca="1" si="11"/>
        <v>-1</v>
      </c>
      <c r="AN8" s="8"/>
      <c r="AO8" s="85">
        <f t="shared" ref="AO8:AO104" ca="1" si="19">IF(H8=0,D8,IF(K8=0,D8+G8,IF(N8=0,D8+G8+J8,IF(Q8=0,D8+G8+J8+M8,IF(T8=0,D8+G8+J8+M8+P8,D8+G8+J8+M8+P8+S8)))))</f>
        <v>649450.72538150009</v>
      </c>
      <c r="AP8" s="85">
        <f>IF($H$7=0,E8,IF($K$7=0,E8+H8,IF($N$7=0,E8+H8+K8,IF($Q$7=0,E8+H8+K8+N8,IF($T$7=0,E8+H8+K8+N8+Q8,E8+H8+K8+N8+Q8+T8)))))</f>
        <v>549162.07999999996</v>
      </c>
      <c r="AQ8" s="86">
        <f t="shared" ca="1" si="13"/>
        <v>-0.1544207150166606</v>
      </c>
      <c r="AR8" s="85">
        <f t="shared" ref="AR8:AS8" ca="1" si="20">IF($Z$7=0,V8,IF($AC$7=0,V8+Y8,IF($AF$7=0,V8+Y8+AB8,IF($AI$7=0,V8+Y8+AB8+AE8,IF($AL$7=0,V8+Y8+AB8+AE8+AH8,V8+Y8+AB8+AE8+AH8+AK8)))))</f>
        <v>270791.12428400002</v>
      </c>
      <c r="AS8" s="85">
        <f t="shared" ca="1" si="20"/>
        <v>239121.84</v>
      </c>
      <c r="AT8" s="86">
        <f t="shared" ca="1" si="15"/>
        <v>-0.11695096863952581</v>
      </c>
      <c r="AU8" s="85">
        <f t="shared" ca="1" si="16"/>
        <v>920241.84966550011</v>
      </c>
      <c r="AV8" s="85">
        <f t="shared" ca="1" si="17"/>
        <v>788283.91999999993</v>
      </c>
      <c r="AW8" s="86">
        <f t="shared" ca="1" si="18"/>
        <v>-0.14339483660025432</v>
      </c>
      <c r="AX8" s="86"/>
    </row>
    <row r="9" spans="1:50" ht="12.75" outlineLevel="1">
      <c r="A9" s="5"/>
      <c r="B9" s="5"/>
      <c r="C9" s="84" t="s">
        <v>20</v>
      </c>
      <c r="D9" s="57">
        <f ca="1">Orçamento!B6</f>
        <v>79122.698556563395</v>
      </c>
      <c r="E9" s="85">
        <f>'DRE 2026'!C6</f>
        <v>80333.42</v>
      </c>
      <c r="F9" s="86">
        <f t="shared" ca="1" si="0"/>
        <v>1.5301821923718645E-2</v>
      </c>
      <c r="G9" s="57">
        <f ca="1">Orçamento!C6</f>
        <v>46049.807736614297</v>
      </c>
      <c r="H9" s="85">
        <f>'DRE 2026'!D6</f>
        <v>81422.179999999993</v>
      </c>
      <c r="I9" s="86">
        <f t="shared" ca="1" si="1"/>
        <v>0.76813289787659744</v>
      </c>
      <c r="J9" s="57">
        <f ca="1">Orçamento!D6</f>
        <v>69637.413968075096</v>
      </c>
      <c r="K9" s="85">
        <f>'DRE 2026'!E6</f>
        <v>72656.14</v>
      </c>
      <c r="L9" s="86">
        <f t="shared" ca="1" si="2"/>
        <v>4.3349197793427864E-2</v>
      </c>
      <c r="M9" s="57">
        <f ca="1">Orçamento!E6</f>
        <v>48000.698954593398</v>
      </c>
      <c r="N9" s="85">
        <f>'DRE 2026'!F6</f>
        <v>39955.32</v>
      </c>
      <c r="O9" s="86">
        <f t="shared" ca="1" si="3"/>
        <v>-0.16760962089747863</v>
      </c>
      <c r="P9" s="57">
        <f ca="1">Orçamento!F6</f>
        <v>57057.708039743797</v>
      </c>
      <c r="Q9" s="85">
        <f>'DRE 2026'!G6</f>
        <v>42199.76</v>
      </c>
      <c r="R9" s="86">
        <f t="shared" ca="1" si="4"/>
        <v>-0.26040211831492471</v>
      </c>
      <c r="S9" s="57">
        <f ca="1">Orçamento!G6</f>
        <v>48289.5605072869</v>
      </c>
      <c r="T9" s="85">
        <f>'DRE 2026'!H6</f>
        <v>57866.42</v>
      </c>
      <c r="U9" s="86">
        <f t="shared" ca="1" si="5"/>
        <v>0.19832152937627065</v>
      </c>
      <c r="V9" s="57">
        <f ca="1">Orçamento!H6</f>
        <v>66487.669263204705</v>
      </c>
      <c r="W9" s="85">
        <f ca="1">'DRE 2026'!I6</f>
        <v>66241.41</v>
      </c>
      <c r="X9" s="86">
        <f t="shared" ca="1" si="6"/>
        <v>-3.7038335970213557E-3</v>
      </c>
      <c r="Y9" s="57">
        <f ca="1">Orçamento!I6</f>
        <v>79031.323487267204</v>
      </c>
      <c r="Z9" s="85">
        <f ca="1">'DRE 2026'!J6</f>
        <v>100191.14</v>
      </c>
      <c r="AA9" s="86">
        <f t="shared" ca="1" si="7"/>
        <v>0.26773961992603945</v>
      </c>
      <c r="AB9" s="57">
        <f ca="1">Orçamento!J6</f>
        <v>72637.338376392494</v>
      </c>
      <c r="AC9" s="57">
        <f>'DRE 2026'!K6</f>
        <v>0</v>
      </c>
      <c r="AD9" s="86">
        <f t="shared" ca="1" si="8"/>
        <v>-1</v>
      </c>
      <c r="AE9" s="57">
        <f ca="1">Orçamento!K6</f>
        <v>74004.0765547224</v>
      </c>
      <c r="AF9" s="57">
        <f>'DRE 2026'!L6</f>
        <v>0</v>
      </c>
      <c r="AG9" s="86">
        <f t="shared" ca="1" si="9"/>
        <v>-1</v>
      </c>
      <c r="AH9" s="57">
        <f ca="1">Orçamento!L6</f>
        <v>99292.900736090698</v>
      </c>
      <c r="AI9" s="57">
        <f>'DRE 2026'!M6</f>
        <v>0</v>
      </c>
      <c r="AJ9" s="86">
        <f t="shared" ca="1" si="10"/>
        <v>-1</v>
      </c>
      <c r="AK9" s="57">
        <f ca="1">Orçamento!M6</f>
        <v>104769.79037829601</v>
      </c>
      <c r="AL9" s="89">
        <f>'DRE 2026'!N6</f>
        <v>0</v>
      </c>
      <c r="AM9" s="86">
        <f t="shared" ca="1" si="11"/>
        <v>-1</v>
      </c>
      <c r="AN9" s="8"/>
      <c r="AO9" s="85">
        <f t="shared" ca="1" si="19"/>
        <v>348157.88776287693</v>
      </c>
      <c r="AP9" s="85">
        <f>IF(H9=0,E9,IF(K9=0,E9+H9,IF(N9=0,K9+H9+E9,IF(Q9=0,N9+K9+H9+E9,IF(T9&lt;&gt;0,T9+Q9+N9+K9+H9+E9,Q9+N9+K9+H9+E9)))))</f>
        <v>374433.24</v>
      </c>
      <c r="AQ9" s="86">
        <f t="shared" ca="1" si="13"/>
        <v>7.5469645125543328E-2</v>
      </c>
      <c r="AR9" s="85">
        <f t="shared" ref="AR9:AS9" ca="1" si="21">IF($Z$7=0,V9,IF($AC$7=0,V9+Y9,IF($AF$7=0,V9+Y9+AB9,IF($AI$7=0,V9+Y9+AB9+AE9,IF($AL$7=0,V9+Y9+AB9+AE9+AH9,V9+Y9+AB9+AE9+AH9+AK9)))))</f>
        <v>145518.99275047192</v>
      </c>
      <c r="AS9" s="85">
        <f t="shared" ca="1" si="21"/>
        <v>166432.54999999999</v>
      </c>
      <c r="AT9" s="86">
        <f t="shared" ca="1" si="15"/>
        <v>0.14371702864511643</v>
      </c>
      <c r="AU9" s="85">
        <f t="shared" ca="1" si="16"/>
        <v>493676.88051334885</v>
      </c>
      <c r="AV9" s="85">
        <f t="shared" ca="1" si="17"/>
        <v>540865.79</v>
      </c>
      <c r="AW9" s="86">
        <f t="shared" ca="1" si="18"/>
        <v>9.5586630343276149E-2</v>
      </c>
      <c r="AX9" s="86"/>
    </row>
    <row r="10" spans="1:50" ht="12.75" outlineLevel="1">
      <c r="A10" s="5"/>
      <c r="B10" s="5"/>
      <c r="C10" s="84" t="s">
        <v>21</v>
      </c>
      <c r="D10" s="57">
        <f ca="1">Orçamento!B7</f>
        <v>68688.240000000005</v>
      </c>
      <c r="E10" s="85">
        <f>'DRE 2026'!C7</f>
        <v>63839.69</v>
      </c>
      <c r="F10" s="86">
        <f t="shared" ca="1" si="0"/>
        <v>-7.0587774559371486E-2</v>
      </c>
      <c r="G10" s="57">
        <f ca="1">Orçamento!C7</f>
        <v>94286.48</v>
      </c>
      <c r="H10" s="85">
        <f>'DRE 2026'!D7</f>
        <v>62635.199999999997</v>
      </c>
      <c r="I10" s="86">
        <f t="shared" ca="1" si="1"/>
        <v>-0.33569266770803197</v>
      </c>
      <c r="J10" s="57">
        <f ca="1">Orçamento!D7</f>
        <v>109762.64</v>
      </c>
      <c r="K10" s="85">
        <f>'DRE 2026'!E7</f>
        <v>88391.41</v>
      </c>
      <c r="L10" s="86">
        <f t="shared" ca="1" si="2"/>
        <v>-0.19470404501932531</v>
      </c>
      <c r="M10" s="57">
        <f ca="1">Orçamento!E7</f>
        <v>105241.52</v>
      </c>
      <c r="N10" s="85">
        <f>'DRE 2026'!F7</f>
        <v>92904.639999999999</v>
      </c>
      <c r="O10" s="86">
        <f t="shared" ca="1" si="3"/>
        <v>-0.11722445665931093</v>
      </c>
      <c r="P10" s="57">
        <f ca="1">Orçamento!F7</f>
        <v>140602.4</v>
      </c>
      <c r="Q10" s="85">
        <f>'DRE 2026'!G7</f>
        <v>101577.49</v>
      </c>
      <c r="R10" s="86">
        <f t="shared" ca="1" si="4"/>
        <v>-0.27755507729597784</v>
      </c>
      <c r="S10" s="57">
        <f ca="1">Orçamento!G7</f>
        <v>120176.16</v>
      </c>
      <c r="T10" s="85">
        <f>'DRE 2026'!H7</f>
        <v>93967.24</v>
      </c>
      <c r="U10" s="86">
        <f t="shared" ca="1" si="5"/>
        <v>-0.21808751419582717</v>
      </c>
      <c r="V10" s="57">
        <f ca="1">Orçamento!H7</f>
        <v>142051.68</v>
      </c>
      <c r="W10" s="85">
        <f ca="1">'DRE 2026'!I7</f>
        <v>103254.14</v>
      </c>
      <c r="X10" s="86">
        <f t="shared" ca="1" si="6"/>
        <v>-0.27312271139630306</v>
      </c>
      <c r="Y10" s="57">
        <f ca="1">Orçamento!I7</f>
        <v>127670.32</v>
      </c>
      <c r="Z10" s="85">
        <f ca="1">'DRE 2026'!J7</f>
        <v>121923.04</v>
      </c>
      <c r="AA10" s="86">
        <f t="shared" ca="1" si="7"/>
        <v>-4.5016570805180192E-2</v>
      </c>
      <c r="AB10" s="57">
        <f ca="1">Orçamento!J7</f>
        <v>94651.839999999997</v>
      </c>
      <c r="AC10" s="57">
        <f>'DRE 2026'!K7</f>
        <v>0</v>
      </c>
      <c r="AD10" s="86">
        <f t="shared" ca="1" si="8"/>
        <v>-1</v>
      </c>
      <c r="AE10" s="57">
        <f ca="1">Orçamento!K7</f>
        <v>83786.48</v>
      </c>
      <c r="AF10" s="57">
        <f>'DRE 2026'!L7</f>
        <v>0</v>
      </c>
      <c r="AG10" s="86">
        <f t="shared" ca="1" si="9"/>
        <v>-1</v>
      </c>
      <c r="AH10" s="57">
        <f ca="1">Orçamento!L7</f>
        <v>72214.720000000001</v>
      </c>
      <c r="AI10" s="57">
        <f>'DRE 2026'!M7</f>
        <v>0</v>
      </c>
      <c r="AJ10" s="86">
        <f t="shared" ca="1" si="10"/>
        <v>-1</v>
      </c>
      <c r="AK10" s="57">
        <f ca="1">Orçamento!M7</f>
        <v>76471.28</v>
      </c>
      <c r="AL10" s="89">
        <f>'DRE 2026'!N7</f>
        <v>0</v>
      </c>
      <c r="AM10" s="86">
        <f t="shared" ca="1" si="11"/>
        <v>-1</v>
      </c>
      <c r="AN10" s="8"/>
      <c r="AO10" s="85">
        <f t="shared" ca="1" si="19"/>
        <v>638757.44000000006</v>
      </c>
      <c r="AP10" s="85">
        <f t="shared" ref="AP10:AP104" si="22">IF($H$7=0,E10,IF($K$7=0,E10+H10,IF($N$7=0,E10+H10+K10,IF($Q$7=0,E10+H10+K10+N10,IF($T$7=0,E10+H10+K10+N10+Q10,E10+H10+K10+N10+Q10+T10)))))</f>
        <v>503315.67</v>
      </c>
      <c r="AQ10" s="86">
        <f t="shared" ca="1" si="13"/>
        <v>-0.2120394401981448</v>
      </c>
      <c r="AR10" s="85">
        <f t="shared" ref="AR10:AS10" ca="1" si="23">IF($Z$7=0,V10,IF($AC$7=0,V10+Y10,IF($AF$7=0,V10+Y10+AB10,IF($AI$7=0,V10+Y10+AB10+AE10,IF($AL$7=0,V10+Y10+AB10+AE10+AH10,V10+Y10+AB10+AE10+AH10+AK10)))))</f>
        <v>269722</v>
      </c>
      <c r="AS10" s="85">
        <f t="shared" ca="1" si="23"/>
        <v>225177.18</v>
      </c>
      <c r="AT10" s="86">
        <f t="shared" ca="1" si="15"/>
        <v>-0.16515085903263363</v>
      </c>
      <c r="AU10" s="85">
        <f t="shared" ca="1" si="16"/>
        <v>908479.44000000006</v>
      </c>
      <c r="AV10" s="85">
        <f t="shared" ca="1" si="17"/>
        <v>728492.85</v>
      </c>
      <c r="AW10" s="86">
        <f t="shared" ca="1" si="18"/>
        <v>-0.19811850667748745</v>
      </c>
      <c r="AX10" s="86"/>
    </row>
    <row r="11" spans="1:50" ht="12.75" outlineLevel="1">
      <c r="A11" s="5"/>
      <c r="B11" s="5"/>
      <c r="C11" s="84" t="s">
        <v>22</v>
      </c>
      <c r="D11" s="57">
        <f ca="1">Orçamento!B8</f>
        <v>14836.65984</v>
      </c>
      <c r="E11" s="85">
        <f>'DRE 2026'!C8</f>
        <v>13800.06</v>
      </c>
      <c r="F11" s="86">
        <f t="shared" ca="1" si="0"/>
        <v>-6.98674668812789E-2</v>
      </c>
      <c r="G11" s="57">
        <f ca="1">Orçamento!C8</f>
        <v>20365.879679999998</v>
      </c>
      <c r="H11" s="85">
        <f>'DRE 2026'!D8</f>
        <v>21745.759999999998</v>
      </c>
      <c r="I11" s="86">
        <f t="shared" ca="1" si="1"/>
        <v>6.7754515968936543E-2</v>
      </c>
      <c r="J11" s="57">
        <f ca="1">Orçamento!D8</f>
        <v>23708.730240000001</v>
      </c>
      <c r="K11" s="85">
        <f>'DRE 2026'!E8</f>
        <v>25291.26</v>
      </c>
      <c r="L11" s="86">
        <f t="shared" ca="1" si="2"/>
        <v>6.6748819695541722E-2</v>
      </c>
      <c r="M11" s="57">
        <f ca="1">Orçamento!E8</f>
        <v>22732.168320000001</v>
      </c>
      <c r="N11" s="85">
        <f>'DRE 2026'!F8</f>
        <v>27044.99</v>
      </c>
      <c r="O11" s="86">
        <f t="shared" ca="1" si="3"/>
        <v>0.18972328637059824</v>
      </c>
      <c r="P11" s="57">
        <f ca="1">Orçamento!F8</f>
        <v>30370.118399999999</v>
      </c>
      <c r="Q11" s="85">
        <f>'DRE 2026'!G8</f>
        <v>22268.77</v>
      </c>
      <c r="R11" s="86">
        <f t="shared" ca="1" si="4"/>
        <v>-0.26675392875649767</v>
      </c>
      <c r="S11" s="57">
        <f ca="1">Orçamento!G8</f>
        <v>25958.05056</v>
      </c>
      <c r="T11" s="85">
        <f>'DRE 2026'!H8</f>
        <v>29541.43</v>
      </c>
      <c r="U11" s="86">
        <f t="shared" ca="1" si="5"/>
        <v>0.1380450135004283</v>
      </c>
      <c r="V11" s="57">
        <f ca="1">Orçamento!H8</f>
        <v>30683.16288</v>
      </c>
      <c r="W11" s="85">
        <f ca="1">'DRE 2026'!I8</f>
        <v>28964.19</v>
      </c>
      <c r="X11" s="86">
        <f t="shared" ca="1" si="6"/>
        <v>-5.6023327409980533E-2</v>
      </c>
      <c r="Y11" s="57">
        <f ca="1">Orçamento!I8</f>
        <v>27576.789120000001</v>
      </c>
      <c r="Z11" s="85">
        <f ca="1">'DRE 2026'!J8</f>
        <v>31761.79</v>
      </c>
      <c r="AA11" s="86">
        <f t="shared" ca="1" si="7"/>
        <v>0.15175809126251169</v>
      </c>
      <c r="AB11" s="57">
        <f ca="1">Orçamento!J8</f>
        <v>20444.797439999998</v>
      </c>
      <c r="AC11" s="57">
        <f>'DRE 2026'!K8</f>
        <v>0</v>
      </c>
      <c r="AD11" s="86">
        <f t="shared" ca="1" si="8"/>
        <v>-1</v>
      </c>
      <c r="AE11" s="57">
        <f ca="1">Orçamento!K8</f>
        <v>18097.879679999998</v>
      </c>
      <c r="AF11" s="57">
        <f>'DRE 2026'!L8</f>
        <v>0</v>
      </c>
      <c r="AG11" s="86">
        <f t="shared" ca="1" si="9"/>
        <v>-1</v>
      </c>
      <c r="AH11" s="57">
        <f ca="1">Orçamento!L8</f>
        <v>15598.37952</v>
      </c>
      <c r="AI11" s="57">
        <f>'DRE 2026'!M8</f>
        <v>0</v>
      </c>
      <c r="AJ11" s="86">
        <f t="shared" ca="1" si="10"/>
        <v>-1</v>
      </c>
      <c r="AK11" s="57">
        <f ca="1">Orçamento!M8</f>
        <v>16517.796480000001</v>
      </c>
      <c r="AL11" s="89">
        <f>'DRE 2026'!N8</f>
        <v>0</v>
      </c>
      <c r="AM11" s="86">
        <f t="shared" ca="1" si="11"/>
        <v>-1</v>
      </c>
      <c r="AN11" s="8"/>
      <c r="AO11" s="85">
        <f t="shared" ca="1" si="19"/>
        <v>137971.60704</v>
      </c>
      <c r="AP11" s="85">
        <f t="shared" si="22"/>
        <v>139692.27000000002</v>
      </c>
      <c r="AQ11" s="86">
        <f t="shared" ca="1" si="13"/>
        <v>1.2471138061769263E-2</v>
      </c>
      <c r="AR11" s="85">
        <f t="shared" ref="AR11:AS11" ca="1" si="24">IF($Z$7=0,V11,IF($AC$7=0,V11+Y11,IF($AF$7=0,V11+Y11+AB11,IF($AI$7=0,V11+Y11+AB11+AE11,IF($AL$7=0,V11+Y11+AB11+AE11+AH11,V11+Y11+AB11+AE11+AH11+AK11)))))</f>
        <v>58259.952000000005</v>
      </c>
      <c r="AS11" s="85">
        <f t="shared" ca="1" si="24"/>
        <v>60725.979999999996</v>
      </c>
      <c r="AT11" s="86">
        <f t="shared" ca="1" si="15"/>
        <v>4.232801290327172E-2</v>
      </c>
      <c r="AU11" s="85">
        <f t="shared" ca="1" si="16"/>
        <v>196231.55904000002</v>
      </c>
      <c r="AV11" s="85">
        <f t="shared" ca="1" si="17"/>
        <v>200418.25</v>
      </c>
      <c r="AW11" s="86">
        <f t="shared" ca="1" si="18"/>
        <v>2.1335461943440805E-2</v>
      </c>
      <c r="AX11" s="86"/>
    </row>
    <row r="12" spans="1:50" ht="12.75" outlineLevel="1">
      <c r="A12" s="5"/>
      <c r="B12" s="5"/>
      <c r="C12" s="84" t="s">
        <v>23</v>
      </c>
      <c r="D12" s="57">
        <f ca="1">Orçamento!B9</f>
        <v>0</v>
      </c>
      <c r="E12" s="85">
        <f>'DRE 2026'!C9</f>
        <v>2006</v>
      </c>
      <c r="F12" s="86">
        <f t="shared" ca="1" si="0"/>
        <v>1</v>
      </c>
      <c r="G12" s="57">
        <f ca="1">Orçamento!C9</f>
        <v>0</v>
      </c>
      <c r="H12" s="85">
        <f>'DRE 2026'!D9</f>
        <v>3700</v>
      </c>
      <c r="I12" s="8">
        <f t="shared" ca="1" si="1"/>
        <v>1</v>
      </c>
      <c r="J12" s="57">
        <f ca="1">Orçamento!D9</f>
        <v>0</v>
      </c>
      <c r="K12" s="85">
        <f>'DRE 2026'!E9</f>
        <v>2166</v>
      </c>
      <c r="L12" s="8">
        <f t="shared" ca="1" si="2"/>
        <v>1</v>
      </c>
      <c r="M12" s="57">
        <f ca="1">Orçamento!E9</f>
        <v>0</v>
      </c>
      <c r="N12" s="85">
        <f>'DRE 2026'!F9</f>
        <v>2562</v>
      </c>
      <c r="O12" s="8">
        <f t="shared" ca="1" si="3"/>
        <v>1</v>
      </c>
      <c r="P12" s="57">
        <f ca="1">Orçamento!F9</f>
        <v>0</v>
      </c>
      <c r="Q12" s="85">
        <f>'DRE 2026'!G9</f>
        <v>4442</v>
      </c>
      <c r="R12" s="8">
        <f t="shared" ca="1" si="4"/>
        <v>1</v>
      </c>
      <c r="S12" s="57">
        <f ca="1">Orçamento!G9</f>
        <v>0</v>
      </c>
      <c r="T12" s="85">
        <f>'DRE 2026'!H9</f>
        <v>2643</v>
      </c>
      <c r="U12" s="8">
        <f t="shared" ca="1" si="5"/>
        <v>1</v>
      </c>
      <c r="V12" s="57">
        <f ca="1">Orçamento!H9</f>
        <v>0</v>
      </c>
      <c r="W12" s="85">
        <f ca="1">'DRE 2026'!I9</f>
        <v>878</v>
      </c>
      <c r="X12" s="8">
        <f t="shared" ca="1" si="6"/>
        <v>1</v>
      </c>
      <c r="Y12" s="57">
        <f ca="1">Orçamento!I9</f>
        <v>0</v>
      </c>
      <c r="Z12" s="85">
        <f ca="1">'DRE 2026'!J9</f>
        <v>2504</v>
      </c>
      <c r="AA12" s="8">
        <f t="shared" ca="1" si="7"/>
        <v>1</v>
      </c>
      <c r="AB12" s="57">
        <f ca="1">Orçamento!J9</f>
        <v>0</v>
      </c>
      <c r="AC12" s="57">
        <f>'DRE 2026'!K9</f>
        <v>0</v>
      </c>
      <c r="AD12" s="8">
        <f t="shared" ca="1" si="8"/>
        <v>0</v>
      </c>
      <c r="AE12" s="57">
        <f ca="1">Orçamento!K9</f>
        <v>0</v>
      </c>
      <c r="AF12" s="57">
        <f>'DRE 2026'!L9</f>
        <v>0</v>
      </c>
      <c r="AG12" s="8">
        <f t="shared" ca="1" si="9"/>
        <v>0</v>
      </c>
      <c r="AH12" s="57">
        <f ca="1">Orçamento!L9</f>
        <v>0</v>
      </c>
      <c r="AI12" s="57">
        <f>'DRE 2026'!M9</f>
        <v>0</v>
      </c>
      <c r="AJ12" s="8">
        <f t="shared" ca="1" si="10"/>
        <v>0</v>
      </c>
      <c r="AK12" s="57">
        <f ca="1">Orçamento!M9</f>
        <v>0</v>
      </c>
      <c r="AL12" s="89">
        <f>'DRE 2026'!N9</f>
        <v>0</v>
      </c>
      <c r="AM12" s="8">
        <f t="shared" ca="1" si="11"/>
        <v>0</v>
      </c>
      <c r="AN12" s="8"/>
      <c r="AO12" s="85">
        <f t="shared" ca="1" si="19"/>
        <v>0</v>
      </c>
      <c r="AP12" s="85">
        <f t="shared" si="22"/>
        <v>17519</v>
      </c>
      <c r="AQ12" s="8">
        <f t="shared" ca="1" si="13"/>
        <v>1</v>
      </c>
      <c r="AR12" s="85">
        <f t="shared" ref="AR12:AS12" ca="1" si="25">IF($Z$7=0,V12,IF($AC$7=0,V12+Y12,IF($AF$7=0,V12+Y12+AB12,IF($AI$7=0,V12+Y12+AB12+AE12,IF($AL$7=0,V12+Y12+AB12+AE12+AH12,V12+Y12+AB12+AE12+AH12+AK12)))))</f>
        <v>0</v>
      </c>
      <c r="AS12" s="85">
        <f t="shared" ca="1" si="25"/>
        <v>3382</v>
      </c>
      <c r="AT12" s="8">
        <f t="shared" ca="1" si="15"/>
        <v>1</v>
      </c>
      <c r="AU12" s="85">
        <f t="shared" ca="1" si="16"/>
        <v>0</v>
      </c>
      <c r="AV12" s="85">
        <f t="shared" ca="1" si="17"/>
        <v>20901</v>
      </c>
      <c r="AW12" s="8">
        <f t="shared" ca="1" si="18"/>
        <v>1</v>
      </c>
      <c r="AX12" s="8"/>
    </row>
    <row r="13" spans="1:50" ht="12.75" outlineLevel="1">
      <c r="A13" s="5"/>
      <c r="B13" s="5"/>
      <c r="C13" s="84" t="s">
        <v>24</v>
      </c>
      <c r="D13" s="57">
        <f ca="1">Orçamento!B10</f>
        <v>3570.58436260798</v>
      </c>
      <c r="E13" s="85">
        <f>'DRE 2026'!C10</f>
        <v>1098.25</v>
      </c>
      <c r="F13" s="86">
        <f t="shared" ca="1" si="0"/>
        <v>-0.69241729407064601</v>
      </c>
      <c r="G13" s="57">
        <f ca="1">Orçamento!C10</f>
        <v>4901.2441007856696</v>
      </c>
      <c r="H13" s="85">
        <f>'DRE 2026'!D10</f>
        <v>1452</v>
      </c>
      <c r="I13" s="86">
        <f t="shared" ca="1" si="1"/>
        <v>-0.70374868703902249</v>
      </c>
      <c r="J13" s="57">
        <f ca="1">Orçamento!D10</f>
        <v>5705.7331208743999</v>
      </c>
      <c r="K13" s="85">
        <f>'DRE 2026'!E10</f>
        <v>1823.7</v>
      </c>
      <c r="L13" s="86">
        <f t="shared" ca="1" si="2"/>
        <v>-0.68037411470788889</v>
      </c>
      <c r="M13" s="57">
        <f ca="1">Orçamento!E10</f>
        <v>5470.7141369337096</v>
      </c>
      <c r="N13" s="85">
        <f>'DRE 2026'!F10</f>
        <v>1539.7</v>
      </c>
      <c r="O13" s="86">
        <f t="shared" ca="1" si="3"/>
        <v>-0.71855593959749664</v>
      </c>
      <c r="P13" s="57">
        <f ca="1">Orçamento!F10</f>
        <v>7308.8600142491996</v>
      </c>
      <c r="Q13" s="85">
        <f>'DRE 2026'!G10</f>
        <v>1894.79</v>
      </c>
      <c r="R13" s="86">
        <f t="shared" ca="1" si="4"/>
        <v>-0.74075437259627941</v>
      </c>
      <c r="S13" s="57">
        <f ca="1">Orçamento!G10</f>
        <v>6247.0536099669298</v>
      </c>
      <c r="T13" s="85">
        <f>'DRE 2026'!H10</f>
        <v>3814.95</v>
      </c>
      <c r="U13" s="86">
        <f t="shared" ca="1" si="5"/>
        <v>-0.38932011181825038</v>
      </c>
      <c r="V13" s="57">
        <f ca="1">Orçamento!H10</f>
        <v>7384.1971681061204</v>
      </c>
      <c r="W13" s="85">
        <f ca="1">'DRE 2026'!I10</f>
        <v>1167.5999999999999</v>
      </c>
      <c r="X13" s="86">
        <f t="shared" ca="1" si="6"/>
        <v>-0.84187854503085224</v>
      </c>
      <c r="Y13" s="57">
        <f ca="1">Orçamento!I10</f>
        <v>6636.6185559734404</v>
      </c>
      <c r="Z13" s="85">
        <f ca="1">'DRE 2026'!J10</f>
        <v>2062.4</v>
      </c>
      <c r="AA13" s="86">
        <f t="shared" ca="1" si="7"/>
        <v>-0.68923933436799845</v>
      </c>
      <c r="AB13" s="57">
        <f ca="1">Orçamento!J10</f>
        <v>4920.2364159581402</v>
      </c>
      <c r="AC13" s="57">
        <f>'DRE 2026'!K10</f>
        <v>0</v>
      </c>
      <c r="AD13" s="86">
        <f t="shared" ca="1" si="8"/>
        <v>-1</v>
      </c>
      <c r="AE13" s="57">
        <f ca="1">Orçamento!K10</f>
        <v>4355.4281677033296</v>
      </c>
      <c r="AF13" s="57">
        <f>'DRE 2026'!L10</f>
        <v>0</v>
      </c>
      <c r="AG13" s="86">
        <f t="shared" ca="1" si="9"/>
        <v>-1</v>
      </c>
      <c r="AH13" s="57">
        <f ca="1">Orçamento!L10</f>
        <v>3753.89950276953</v>
      </c>
      <c r="AI13" s="57">
        <f>'DRE 2026'!M10</f>
        <v>0</v>
      </c>
      <c r="AJ13" s="86">
        <f t="shared" ca="1" si="10"/>
        <v>-1</v>
      </c>
      <c r="AK13" s="57">
        <f ca="1">Orçamento!M10</f>
        <v>3975.1660044953301</v>
      </c>
      <c r="AL13" s="89">
        <f>'DRE 2026'!N10</f>
        <v>0</v>
      </c>
      <c r="AM13" s="86">
        <f t="shared" ca="1" si="11"/>
        <v>-1</v>
      </c>
      <c r="AN13" s="8"/>
      <c r="AO13" s="85">
        <f t="shared" ca="1" si="19"/>
        <v>33204.189345417893</v>
      </c>
      <c r="AP13" s="85">
        <f t="shared" si="22"/>
        <v>11623.39</v>
      </c>
      <c r="AQ13" s="86">
        <f t="shared" ca="1" si="13"/>
        <v>-0.64994206366299978</v>
      </c>
      <c r="AR13" s="85">
        <f t="shared" ref="AR13:AS13" ca="1" si="26">IF($Z$7=0,V13,IF($AC$7=0,V13+Y13,IF($AF$7=0,V13+Y13+AB13,IF($AI$7=0,V13+Y13+AB13+AE13,IF($AL$7=0,V13+Y13+AB13+AE13+AH13,V13+Y13+AB13+AE13+AH13+AK13)))))</f>
        <v>14020.815724079561</v>
      </c>
      <c r="AS13" s="85">
        <f t="shared" ca="1" si="26"/>
        <v>3230</v>
      </c>
      <c r="AT13" s="86">
        <f t="shared" ca="1" si="15"/>
        <v>-0.76962823964280846</v>
      </c>
      <c r="AU13" s="85">
        <f t="shared" ca="1" si="16"/>
        <v>47225.005069497456</v>
      </c>
      <c r="AV13" s="85">
        <f t="shared" ca="1" si="17"/>
        <v>14853.39</v>
      </c>
      <c r="AW13" s="86">
        <f t="shared" ca="1" si="18"/>
        <v>-0.68547615869725387</v>
      </c>
      <c r="AX13" s="86"/>
    </row>
    <row r="14" spans="1:50" ht="12.75" outlineLevel="1">
      <c r="A14" s="5"/>
      <c r="B14" s="5"/>
      <c r="C14" s="108" t="s">
        <v>28</v>
      </c>
      <c r="D14" s="109">
        <f ca="1">Orçamento!B11</f>
        <v>6131.1123023999999</v>
      </c>
      <c r="E14" s="85">
        <f>'DRE 2026'!C11</f>
        <v>4875.8999999999996</v>
      </c>
      <c r="F14" s="86">
        <f t="shared" ca="1" si="0"/>
        <v>-0.20472831690077709</v>
      </c>
      <c r="G14" s="109">
        <f ca="1">Orçamento!C11</f>
        <v>8416.0112047999992</v>
      </c>
      <c r="H14" s="85">
        <f>'DRE 2026'!D11</f>
        <v>5461.52</v>
      </c>
      <c r="I14" s="86">
        <f t="shared" ca="1" si="1"/>
        <v>-0.35105599706366009</v>
      </c>
      <c r="J14" s="109">
        <f ca="1">Orçamento!D11</f>
        <v>9797.4132463999995</v>
      </c>
      <c r="K14" s="85">
        <f>'DRE 2026'!E11</f>
        <v>5920.56</v>
      </c>
      <c r="L14" s="86">
        <f t="shared" ca="1" si="2"/>
        <v>-0.39570171726955844</v>
      </c>
      <c r="M14" s="109">
        <f ca="1">Orçamento!E11</f>
        <v>9393.8580751999998</v>
      </c>
      <c r="N14" s="85">
        <f>'DRE 2026'!F11</f>
        <v>6831.19</v>
      </c>
      <c r="O14" s="86">
        <f t="shared" ca="1" si="3"/>
        <v>-0.27280251145857765</v>
      </c>
      <c r="P14" s="109">
        <f ca="1">Orçamento!F11</f>
        <v>12550.170224</v>
      </c>
      <c r="Q14" s="85">
        <f>'DRE 2026'!G11</f>
        <v>7684</v>
      </c>
      <c r="R14" s="86">
        <f t="shared" ca="1" si="4"/>
        <v>-0.38773738819050457</v>
      </c>
      <c r="S14" s="109">
        <f ca="1">Orçamento!G11</f>
        <v>10726.924041599999</v>
      </c>
      <c r="T14" s="85">
        <f>'DRE 2026'!H11</f>
        <v>10060.02</v>
      </c>
      <c r="U14" s="86">
        <f t="shared" ca="1" si="5"/>
        <v>-6.2171041671748917E-2</v>
      </c>
      <c r="V14" s="109">
        <f ca="1">Orçamento!H11</f>
        <v>12679.5329568</v>
      </c>
      <c r="W14" s="85">
        <f ca="1">'DRE 2026'!I11</f>
        <v>11539.62</v>
      </c>
      <c r="X14" s="86">
        <f t="shared" ca="1" si="6"/>
        <v>-8.9901809529085747E-2</v>
      </c>
      <c r="Y14" s="109">
        <f ca="1">Orçamento!I11</f>
        <v>11395.8527632</v>
      </c>
      <c r="Z14" s="85">
        <f ca="1">'DRE 2026'!J11</f>
        <v>9314</v>
      </c>
      <c r="AA14" s="86">
        <f t="shared" ca="1" si="7"/>
        <v>-0.18268512295304595</v>
      </c>
      <c r="AB14" s="109">
        <f ca="1">Orçamento!J11</f>
        <v>8448.6232383999995</v>
      </c>
      <c r="AC14" s="57">
        <f>'DRE 2026'!K11</f>
        <v>0</v>
      </c>
      <c r="AD14" s="86">
        <f t="shared" ca="1" si="8"/>
        <v>-1</v>
      </c>
      <c r="AE14" s="109">
        <f ca="1">Orçamento!K11</f>
        <v>7478.7812047999996</v>
      </c>
      <c r="AF14" s="57">
        <f>'DRE 2026'!L11</f>
        <v>0</v>
      </c>
      <c r="AG14" s="86">
        <f t="shared" ca="1" si="9"/>
        <v>-1</v>
      </c>
      <c r="AH14" s="109">
        <f ca="1">Orçamento!L11</f>
        <v>6445.8859071999996</v>
      </c>
      <c r="AI14" s="57">
        <f>'DRE 2026'!M11</f>
        <v>0</v>
      </c>
      <c r="AJ14" s="86">
        <f t="shared" ca="1" si="10"/>
        <v>-1</v>
      </c>
      <c r="AK14" s="109">
        <f ca="1">Orçamento!M11</f>
        <v>6825.8264528</v>
      </c>
      <c r="AL14" s="89">
        <f>'DRE 2026'!N11</f>
        <v>0</v>
      </c>
      <c r="AM14" s="86">
        <f t="shared" ca="1" si="11"/>
        <v>-1</v>
      </c>
      <c r="AN14" s="8"/>
      <c r="AO14" s="85">
        <f t="shared" ca="1" si="19"/>
        <v>57015.489094399993</v>
      </c>
      <c r="AP14" s="85">
        <f t="shared" si="22"/>
        <v>40833.19</v>
      </c>
      <c r="AQ14" s="86">
        <f t="shared" ca="1" si="13"/>
        <v>-0.28382285851493994</v>
      </c>
      <c r="AR14" s="85">
        <f t="shared" ref="AR14:AS14" ca="1" si="27">IF($Z$7=0,V14,IF($AC$7=0,V14+Y14,IF($AF$7=0,V14+Y14+AB14,IF($AI$7=0,V14+Y14+AB14+AE14,IF($AL$7=0,V14+Y14+AB14+AE14+AH14,V14+Y14+AB14+AE14+AH14+AK14)))))</f>
        <v>24075.385719999998</v>
      </c>
      <c r="AS14" s="85">
        <f t="shared" ca="1" si="27"/>
        <v>20853.620000000003</v>
      </c>
      <c r="AT14" s="86">
        <f t="shared" ca="1" si="15"/>
        <v>-0.13381990043563863</v>
      </c>
      <c r="AU14" s="85">
        <f t="shared" ca="1" si="16"/>
        <v>81090.874814399984</v>
      </c>
      <c r="AV14" s="85">
        <f t="shared" ca="1" si="17"/>
        <v>61686.810000000005</v>
      </c>
      <c r="AW14" s="86">
        <f t="shared" ca="1" si="18"/>
        <v>-0.23928789594158179</v>
      </c>
      <c r="AX14" s="86"/>
    </row>
    <row r="15" spans="1:50" ht="12.75" outlineLevel="1">
      <c r="A15" s="5"/>
      <c r="B15" s="5"/>
      <c r="C15" s="84" t="s">
        <v>29</v>
      </c>
      <c r="D15" s="57">
        <f ca="1">Orçamento!B12</f>
        <v>2221.0934613618201</v>
      </c>
      <c r="E15" s="85">
        <f>'DRE 2026'!C12</f>
        <v>0</v>
      </c>
      <c r="F15" s="86">
        <f t="shared" ca="1" si="0"/>
        <v>-1</v>
      </c>
      <c r="G15" s="57">
        <f ca="1">Orçamento!C12</f>
        <v>3048.8346218045799</v>
      </c>
      <c r="H15" s="85">
        <f>'DRE 2026'!D12</f>
        <v>319.45999999999998</v>
      </c>
      <c r="I15" s="86">
        <f t="shared" ca="1" si="1"/>
        <v>-0.89521898048674275</v>
      </c>
      <c r="J15" s="57">
        <f ca="1">Orçamento!D12</f>
        <v>3549.2695984903899</v>
      </c>
      <c r="K15" s="85">
        <f>'DRE 2026'!E12</f>
        <v>0</v>
      </c>
      <c r="L15" s="86">
        <f t="shared" ca="1" si="2"/>
        <v>-1</v>
      </c>
      <c r="M15" s="57">
        <f ca="1">Orçamento!E12</f>
        <v>3403.0752853149102</v>
      </c>
      <c r="N15" s="85">
        <f>'DRE 2026'!F12</f>
        <v>0</v>
      </c>
      <c r="O15" s="86">
        <f t="shared" ca="1" si="3"/>
        <v>-1</v>
      </c>
      <c r="P15" s="57">
        <f ca="1">Orçamento!F12</f>
        <v>4546.4998272161201</v>
      </c>
      <c r="Q15" s="85">
        <f>'DRE 2026'!G12</f>
        <v>327.02</v>
      </c>
      <c r="R15" s="86">
        <f t="shared" ca="1" si="4"/>
        <v>-0.92807214067349075</v>
      </c>
      <c r="S15" s="57">
        <f ca="1">Orçamento!G12</f>
        <v>3885.99974591825</v>
      </c>
      <c r="T15" s="85">
        <f>'DRE 2026'!H12</f>
        <v>0</v>
      </c>
      <c r="U15" s="86">
        <f t="shared" ca="1" si="5"/>
        <v>-1</v>
      </c>
      <c r="V15" s="57">
        <f ca="1">Orçamento!H12</f>
        <v>4593.36354554232</v>
      </c>
      <c r="W15" s="85">
        <f ca="1">'DRE 2026'!I12</f>
        <v>949.73</v>
      </c>
      <c r="X15" s="86">
        <f t="shared" ca="1" si="6"/>
        <v>-0.7932386603882734</v>
      </c>
      <c r="Y15" s="57">
        <f ca="1">Orçamento!I12</f>
        <v>4128.32987076057</v>
      </c>
      <c r="Z15" s="85">
        <f ca="1">'DRE 2026'!J12</f>
        <v>0</v>
      </c>
      <c r="AA15" s="86">
        <f t="shared" ca="1" si="7"/>
        <v>-1</v>
      </c>
      <c r="AB15" s="57">
        <f ca="1">Orçamento!J12</f>
        <v>3060.6488524071201</v>
      </c>
      <c r="AC15" s="57">
        <f>'DRE 2026'!K12</f>
        <v>0</v>
      </c>
      <c r="AD15" s="86">
        <f t="shared" ca="1" si="8"/>
        <v>-1</v>
      </c>
      <c r="AE15" s="57">
        <f ca="1">Orçamento!K12</f>
        <v>2709.3080690162201</v>
      </c>
      <c r="AF15" s="57">
        <f>'DRE 2026'!L12</f>
        <v>0</v>
      </c>
      <c r="AG15" s="86">
        <f t="shared" ca="1" si="9"/>
        <v>-1</v>
      </c>
      <c r="AH15" s="57">
        <f ca="1">Orçamento!L12</f>
        <v>2335.1252325882101</v>
      </c>
      <c r="AI15" s="57">
        <f>'DRE 2026'!M12</f>
        <v>0</v>
      </c>
      <c r="AJ15" s="86">
        <f t="shared" ca="1" si="10"/>
        <v>-1</v>
      </c>
      <c r="AK15" s="57">
        <f ca="1">Orçamento!M12</f>
        <v>2472.7647700678999</v>
      </c>
      <c r="AL15" s="89">
        <f>'DRE 2026'!N12</f>
        <v>0</v>
      </c>
      <c r="AM15" s="86">
        <f t="shared" ca="1" si="11"/>
        <v>-1</v>
      </c>
      <c r="AN15" s="8"/>
      <c r="AO15" s="85">
        <f t="shared" ca="1" si="19"/>
        <v>5269.9280831664</v>
      </c>
      <c r="AP15" s="85">
        <f t="shared" si="22"/>
        <v>646.48</v>
      </c>
      <c r="AQ15" s="86">
        <f t="shared" ca="1" si="13"/>
        <v>-0.87732659918737133</v>
      </c>
      <c r="AR15" s="85">
        <f t="shared" ref="AR15:AS15" ca="1" si="28">IF($Z$7=0,V15,IF($AC$7=0,V15+Y15,IF($AF$7=0,V15+Y15+AB15,IF($AI$7=0,V15+Y15+AB15+AE15,IF($AL$7=0,V15+Y15+AB15+AE15+AH15,V15+Y15+AB15+AE15+AH15+AK15)))))</f>
        <v>8721.6934163028891</v>
      </c>
      <c r="AS15" s="85">
        <f t="shared" ca="1" si="28"/>
        <v>949.73</v>
      </c>
      <c r="AT15" s="86">
        <f t="shared" ca="1" si="15"/>
        <v>-0.89110715606848423</v>
      </c>
      <c r="AU15" s="85">
        <f t="shared" ca="1" si="16"/>
        <v>13991.621499469289</v>
      </c>
      <c r="AV15" s="85">
        <f t="shared" ca="1" si="17"/>
        <v>1596.21</v>
      </c>
      <c r="AW15" s="86">
        <f t="shared" ca="1" si="18"/>
        <v>-0.88591672523012832</v>
      </c>
      <c r="AX15" s="86"/>
    </row>
    <row r="16" spans="1:50" ht="12.75" outlineLevel="1">
      <c r="A16" s="5"/>
      <c r="B16" s="5"/>
      <c r="C16" s="84" t="s">
        <v>30</v>
      </c>
      <c r="D16" s="57">
        <f ca="1">Orçamento!B13</f>
        <v>0</v>
      </c>
      <c r="E16" s="85">
        <f>'DRE 2026'!C13</f>
        <v>0</v>
      </c>
      <c r="F16" s="86">
        <f t="shared" ca="1" si="0"/>
        <v>0</v>
      </c>
      <c r="G16" s="57">
        <f ca="1">Orçamento!C13</f>
        <v>0</v>
      </c>
      <c r="H16" s="85">
        <f>'DRE 2026'!D13</f>
        <v>0</v>
      </c>
      <c r="I16" s="8">
        <f t="shared" ca="1" si="1"/>
        <v>0</v>
      </c>
      <c r="J16" s="57">
        <f ca="1">Orçamento!D13</f>
        <v>0</v>
      </c>
      <c r="K16" s="85">
        <f>'DRE 2026'!E13</f>
        <v>0</v>
      </c>
      <c r="L16" s="8">
        <f t="shared" ca="1" si="2"/>
        <v>0</v>
      </c>
      <c r="M16" s="57">
        <f ca="1">Orçamento!E13</f>
        <v>0</v>
      </c>
      <c r="N16" s="85">
        <f>'DRE 2026'!F13</f>
        <v>0</v>
      </c>
      <c r="O16" s="8">
        <f t="shared" ca="1" si="3"/>
        <v>0</v>
      </c>
      <c r="P16" s="57">
        <f ca="1">Orçamento!F13</f>
        <v>0</v>
      </c>
      <c r="Q16" s="85">
        <f>'DRE 2026'!G13</f>
        <v>0</v>
      </c>
      <c r="R16" s="8">
        <f t="shared" ca="1" si="4"/>
        <v>0</v>
      </c>
      <c r="S16" s="57">
        <f ca="1">Orçamento!G13</f>
        <v>0</v>
      </c>
      <c r="T16" s="85">
        <f>'DRE 2026'!H13</f>
        <v>0</v>
      </c>
      <c r="U16" s="8">
        <f t="shared" ca="1" si="5"/>
        <v>0</v>
      </c>
      <c r="V16" s="57">
        <f ca="1">Orçamento!H13</f>
        <v>0</v>
      </c>
      <c r="W16" s="85">
        <f ca="1">'DRE 2026'!I13</f>
        <v>0</v>
      </c>
      <c r="X16" s="8">
        <f t="shared" ca="1" si="6"/>
        <v>0</v>
      </c>
      <c r="Y16" s="57">
        <f ca="1">Orçamento!I13</f>
        <v>0</v>
      </c>
      <c r="Z16" s="85">
        <f ca="1">'DRE 2026'!J13</f>
        <v>0</v>
      </c>
      <c r="AA16" s="8">
        <f t="shared" ca="1" si="7"/>
        <v>0</v>
      </c>
      <c r="AB16" s="57">
        <f ca="1">Orçamento!J13</f>
        <v>0</v>
      </c>
      <c r="AC16" s="57">
        <f>'DRE 2026'!K13</f>
        <v>0</v>
      </c>
      <c r="AD16" s="8">
        <f t="shared" ca="1" si="8"/>
        <v>0</v>
      </c>
      <c r="AE16" s="57">
        <f ca="1">Orçamento!K13</f>
        <v>0</v>
      </c>
      <c r="AF16" s="57">
        <f>'DRE 2026'!L13</f>
        <v>0</v>
      </c>
      <c r="AG16" s="8">
        <f t="shared" ca="1" si="9"/>
        <v>0</v>
      </c>
      <c r="AH16" s="57">
        <f ca="1">Orçamento!L13</f>
        <v>0</v>
      </c>
      <c r="AI16" s="57">
        <f>'DRE 2026'!M13</f>
        <v>0</v>
      </c>
      <c r="AJ16" s="8">
        <f t="shared" ca="1" si="10"/>
        <v>0</v>
      </c>
      <c r="AK16" s="57">
        <f ca="1">Orçamento!M13</f>
        <v>0</v>
      </c>
      <c r="AL16" s="89">
        <f>'DRE 2026'!N13</f>
        <v>0</v>
      </c>
      <c r="AM16" s="8">
        <f t="shared" ca="1" si="11"/>
        <v>0</v>
      </c>
      <c r="AN16" s="8"/>
      <c r="AO16" s="85">
        <f t="shared" ca="1" si="19"/>
        <v>0</v>
      </c>
      <c r="AP16" s="85">
        <f t="shared" si="22"/>
        <v>0</v>
      </c>
      <c r="AQ16" s="8">
        <f t="shared" ca="1" si="13"/>
        <v>0</v>
      </c>
      <c r="AR16" s="85">
        <f t="shared" ref="AR16:AS16" ca="1" si="29">IF($Z$7=0,V16,IF($AC$7=0,V16+Y16,IF($AF$7=0,V16+Y16+AB16,IF($AI$7=0,V16+Y16+AB16+AE16,IF($AL$7=0,V16+Y16+AB16+AE16+AH16,V16+Y16+AB16+AE16+AH16+AK16)))))</f>
        <v>0</v>
      </c>
      <c r="AS16" s="85">
        <f t="shared" ca="1" si="29"/>
        <v>0</v>
      </c>
      <c r="AT16" s="8">
        <f t="shared" ca="1" si="15"/>
        <v>0</v>
      </c>
      <c r="AU16" s="85">
        <f t="shared" ca="1" si="16"/>
        <v>0</v>
      </c>
      <c r="AV16" s="85">
        <f t="shared" ca="1" si="17"/>
        <v>0</v>
      </c>
      <c r="AW16" s="8">
        <f t="shared" ca="1" si="18"/>
        <v>0</v>
      </c>
      <c r="AX16" s="8"/>
    </row>
    <row r="17" spans="1:50" ht="12.75" outlineLevel="1">
      <c r="A17" s="5"/>
      <c r="B17" s="5"/>
      <c r="C17" s="84" t="s">
        <v>31</v>
      </c>
      <c r="D17" s="57">
        <f ca="1">Orçamento!B14</f>
        <v>0</v>
      </c>
      <c r="E17" s="85">
        <f>'DRE 2026'!C14</f>
        <v>0</v>
      </c>
      <c r="F17" s="86">
        <f t="shared" ca="1" si="0"/>
        <v>0</v>
      </c>
      <c r="G17" s="57">
        <f ca="1">Orçamento!C14</f>
        <v>0</v>
      </c>
      <c r="H17" s="85">
        <f>'DRE 2026'!D14</f>
        <v>0</v>
      </c>
      <c r="I17" s="8">
        <f t="shared" ca="1" si="1"/>
        <v>0</v>
      </c>
      <c r="J17" s="57">
        <f ca="1">Orçamento!D14</f>
        <v>0</v>
      </c>
      <c r="K17" s="85">
        <f>'DRE 2026'!E14</f>
        <v>0</v>
      </c>
      <c r="L17" s="8">
        <f t="shared" ca="1" si="2"/>
        <v>0</v>
      </c>
      <c r="M17" s="57">
        <f ca="1">Orçamento!E14</f>
        <v>0</v>
      </c>
      <c r="N17" s="85">
        <f>'DRE 2026'!F14</f>
        <v>0</v>
      </c>
      <c r="O17" s="8">
        <f t="shared" ca="1" si="3"/>
        <v>0</v>
      </c>
      <c r="P17" s="57">
        <f ca="1">Orçamento!F14</f>
        <v>0</v>
      </c>
      <c r="Q17" s="85">
        <f>'DRE 2026'!G14</f>
        <v>0</v>
      </c>
      <c r="R17" s="8">
        <f t="shared" ca="1" si="4"/>
        <v>0</v>
      </c>
      <c r="S17" s="57">
        <f ca="1">Orçamento!G14</f>
        <v>0</v>
      </c>
      <c r="T17" s="85">
        <f>'DRE 2026'!H14</f>
        <v>0</v>
      </c>
      <c r="U17" s="8">
        <f t="shared" ca="1" si="5"/>
        <v>0</v>
      </c>
      <c r="V17" s="57">
        <f ca="1">Orçamento!H14</f>
        <v>0</v>
      </c>
      <c r="W17" s="85">
        <f ca="1">'DRE 2026'!I14</f>
        <v>0</v>
      </c>
      <c r="X17" s="8">
        <f t="shared" ca="1" si="6"/>
        <v>0</v>
      </c>
      <c r="Y17" s="57">
        <f ca="1">Orçamento!I14</f>
        <v>0</v>
      </c>
      <c r="Z17" s="85">
        <f ca="1">'DRE 2026'!J14</f>
        <v>0</v>
      </c>
      <c r="AA17" s="8">
        <f t="shared" ca="1" si="7"/>
        <v>0</v>
      </c>
      <c r="AB17" s="85">
        <f ca="1">Orçamento!J14</f>
        <v>0</v>
      </c>
      <c r="AC17" s="85">
        <f>'DRE 2026'!K14</f>
        <v>0</v>
      </c>
      <c r="AD17" s="8">
        <f t="shared" ca="1" si="8"/>
        <v>0</v>
      </c>
      <c r="AE17" s="85">
        <f ca="1">Orçamento!K14</f>
        <v>0</v>
      </c>
      <c r="AF17" s="85">
        <f>'DRE 2026'!L14</f>
        <v>0</v>
      </c>
      <c r="AG17" s="8">
        <f t="shared" ca="1" si="9"/>
        <v>0</v>
      </c>
      <c r="AH17" s="85">
        <f ca="1">Orçamento!L14</f>
        <v>0</v>
      </c>
      <c r="AI17" s="85">
        <f>'DRE 2026'!M14</f>
        <v>0</v>
      </c>
      <c r="AJ17" s="8">
        <f t="shared" ca="1" si="10"/>
        <v>0</v>
      </c>
      <c r="AK17" s="85">
        <f ca="1">Orçamento!M14</f>
        <v>0</v>
      </c>
      <c r="AL17" s="89">
        <f>'DRE 2026'!N14</f>
        <v>0</v>
      </c>
      <c r="AM17" s="8">
        <f t="shared" ca="1" si="11"/>
        <v>0</v>
      </c>
      <c r="AN17" s="8"/>
      <c r="AO17" s="85">
        <f t="shared" ca="1" si="19"/>
        <v>0</v>
      </c>
      <c r="AP17" s="85">
        <f t="shared" si="22"/>
        <v>0</v>
      </c>
      <c r="AQ17" s="8">
        <f t="shared" ca="1" si="13"/>
        <v>0</v>
      </c>
      <c r="AR17" s="85">
        <f t="shared" ref="AR17:AS17" ca="1" si="30">IF($Z$7=0,V17,IF($AC$7=0,V17+Y17,IF($AF$7=0,V17+Y17+AB17,IF($AI$7=0,V17+Y17+AB17+AE17,IF($AL$7=0,V17+Y17+AB17+AE17+AH17,V17+Y17+AB17+AE17+AH17+AK17)))))</f>
        <v>0</v>
      </c>
      <c r="AS17" s="85">
        <f t="shared" ca="1" si="30"/>
        <v>0</v>
      </c>
      <c r="AT17" s="8">
        <f t="shared" ca="1" si="15"/>
        <v>0</v>
      </c>
      <c r="AU17" s="85">
        <f t="shared" ca="1" si="16"/>
        <v>0</v>
      </c>
      <c r="AV17" s="85">
        <f t="shared" ca="1" si="17"/>
        <v>0</v>
      </c>
      <c r="AW17" s="8">
        <f t="shared" ca="1" si="18"/>
        <v>0</v>
      </c>
      <c r="AX17" s="8"/>
    </row>
    <row r="18" spans="1:50" ht="12.75" outlineLevel="1">
      <c r="A18" s="5"/>
      <c r="B18" s="5"/>
      <c r="C18" s="108" t="s">
        <v>32</v>
      </c>
      <c r="D18" s="57">
        <f ca="1">Orçamento!B15</f>
        <v>0</v>
      </c>
      <c r="E18" s="85">
        <f>'DRE 2026'!C15</f>
        <v>100</v>
      </c>
      <c r="F18" s="86">
        <f t="shared" ca="1" si="0"/>
        <v>1</v>
      </c>
      <c r="G18" s="57">
        <f ca="1">Orçamento!C15</f>
        <v>0</v>
      </c>
      <c r="H18" s="85">
        <f>'DRE 2026'!D15</f>
        <v>240</v>
      </c>
      <c r="I18" s="8">
        <f t="shared" ca="1" si="1"/>
        <v>1</v>
      </c>
      <c r="J18" s="57">
        <f ca="1">Orçamento!D15</f>
        <v>0</v>
      </c>
      <c r="K18" s="85">
        <f>'DRE 2026'!E15</f>
        <v>305</v>
      </c>
      <c r="L18" s="8">
        <f t="shared" ca="1" si="2"/>
        <v>1</v>
      </c>
      <c r="M18" s="57">
        <f ca="1">Orçamento!E15</f>
        <v>0</v>
      </c>
      <c r="N18" s="85">
        <f>'DRE 2026'!F15</f>
        <v>285</v>
      </c>
      <c r="O18" s="8">
        <f t="shared" ca="1" si="3"/>
        <v>1</v>
      </c>
      <c r="P18" s="57">
        <f ca="1">Orçamento!F15</f>
        <v>0</v>
      </c>
      <c r="Q18" s="85">
        <f>'DRE 2026'!G15</f>
        <v>174</v>
      </c>
      <c r="R18" s="8">
        <f t="shared" ca="1" si="4"/>
        <v>1</v>
      </c>
      <c r="S18" s="57">
        <f ca="1">Orçamento!G15</f>
        <v>0</v>
      </c>
      <c r="T18" s="85">
        <f>'DRE 2026'!H15</f>
        <v>275</v>
      </c>
      <c r="U18" s="8">
        <f t="shared" ca="1" si="5"/>
        <v>1</v>
      </c>
      <c r="V18" s="57">
        <f ca="1">Orçamento!H15</f>
        <v>0</v>
      </c>
      <c r="W18" s="85">
        <f ca="1">'DRE 2026'!I15</f>
        <v>135</v>
      </c>
      <c r="X18" s="8">
        <f t="shared" ca="1" si="6"/>
        <v>1</v>
      </c>
      <c r="Y18" s="57">
        <f ca="1">Orçamento!I15</f>
        <v>0</v>
      </c>
      <c r="Z18" s="85">
        <f ca="1">'DRE 2026'!J15</f>
        <v>210</v>
      </c>
      <c r="AA18" s="8">
        <f t="shared" ca="1" si="7"/>
        <v>1</v>
      </c>
      <c r="AB18" s="89">
        <f ca="1">Orçamento!J15</f>
        <v>0</v>
      </c>
      <c r="AC18" s="85">
        <f>'DRE 2026'!K15</f>
        <v>0</v>
      </c>
      <c r="AD18" s="8">
        <f t="shared" ca="1" si="8"/>
        <v>0</v>
      </c>
      <c r="AE18" s="89">
        <f ca="1">Orçamento!K15</f>
        <v>0</v>
      </c>
      <c r="AF18" s="85">
        <f>'DRE 2026'!L15</f>
        <v>0</v>
      </c>
      <c r="AG18" s="8">
        <f t="shared" ca="1" si="9"/>
        <v>0</v>
      </c>
      <c r="AH18" s="89">
        <f ca="1">Orçamento!L15</f>
        <v>0</v>
      </c>
      <c r="AI18" s="85">
        <f>'DRE 2026'!M15</f>
        <v>0</v>
      </c>
      <c r="AJ18" s="8">
        <f t="shared" ca="1" si="10"/>
        <v>0</v>
      </c>
      <c r="AK18" s="89">
        <f ca="1">Orçamento!M15</f>
        <v>0</v>
      </c>
      <c r="AL18" s="89">
        <f>'DRE 2026'!N15</f>
        <v>0</v>
      </c>
      <c r="AM18" s="8">
        <f t="shared" ca="1" si="11"/>
        <v>0</v>
      </c>
      <c r="AN18" s="8"/>
      <c r="AO18" s="85">
        <f t="shared" ca="1" si="19"/>
        <v>0</v>
      </c>
      <c r="AP18" s="85">
        <f t="shared" si="22"/>
        <v>1379</v>
      </c>
      <c r="AQ18" s="8">
        <f t="shared" ca="1" si="13"/>
        <v>1</v>
      </c>
      <c r="AR18" s="85">
        <f t="shared" ref="AR18:AS18" ca="1" si="31">IF($Z$7=0,V18,IF($AC$7=0,V18+Y18,IF($AF$7=0,V18+Y18+AB18,IF($AI$7=0,V18+Y18+AB18+AE18,IF($AL$7=0,V18+Y18+AB18+AE18+AH18,V18+Y18+AB18+AE18+AH18+AK18)))))</f>
        <v>0</v>
      </c>
      <c r="AS18" s="85">
        <f t="shared" ca="1" si="31"/>
        <v>345</v>
      </c>
      <c r="AT18" s="8">
        <f t="shared" ca="1" si="15"/>
        <v>1</v>
      </c>
      <c r="AU18" s="85">
        <f t="shared" ca="1" si="16"/>
        <v>0</v>
      </c>
      <c r="AV18" s="85">
        <f t="shared" ca="1" si="17"/>
        <v>1724</v>
      </c>
      <c r="AW18" s="8">
        <f t="shared" ca="1" si="18"/>
        <v>1</v>
      </c>
      <c r="AX18" s="8"/>
    </row>
    <row r="19" spans="1:50" ht="12.75" collapsed="1">
      <c r="A19" s="5"/>
      <c r="B19" s="5"/>
      <c r="C19" s="56" t="s">
        <v>34</v>
      </c>
      <c r="D19" s="57">
        <f ca="1">Orçamento!B17</f>
        <v>-39923.952016982497</v>
      </c>
      <c r="E19" s="57">
        <f>'DRE 2026'!C16</f>
        <v>-40017.799999999996</v>
      </c>
      <c r="F19" s="86">
        <f t="shared" ca="1" si="0"/>
        <v>2.3506686657066944E-3</v>
      </c>
      <c r="G19" s="57">
        <f ca="1">Orçamento!C17</f>
        <v>-31524.091927033402</v>
      </c>
      <c r="H19" s="57">
        <f>'DRE 2026'!D16</f>
        <v>-39398.19</v>
      </c>
      <c r="I19" s="60">
        <f t="shared" ca="1" si="1"/>
        <v>0.24978032963462427</v>
      </c>
      <c r="J19" s="57">
        <f ca="1">Orçamento!D17</f>
        <v>-45607.450758783998</v>
      </c>
      <c r="K19" s="57">
        <f>'DRE 2026'!E16</f>
        <v>-27355.42</v>
      </c>
      <c r="L19" s="60">
        <f t="shared" ca="1" si="2"/>
        <v>-0.40019844247200459</v>
      </c>
      <c r="M19" s="57">
        <f ca="1">Orçamento!E17</f>
        <v>-35173.8060881399</v>
      </c>
      <c r="N19" s="57">
        <f>'DRE 2026'!F16</f>
        <v>-36236.729999999996</v>
      </c>
      <c r="O19" s="60">
        <f t="shared" ca="1" si="3"/>
        <v>3.0219189507003589E-2</v>
      </c>
      <c r="P19" s="57">
        <f ca="1">Orçamento!F17</f>
        <v>-44293.661512565297</v>
      </c>
      <c r="Q19" s="57">
        <f>'DRE 2026'!G16</f>
        <v>-28528.100000000002</v>
      </c>
      <c r="R19" s="60">
        <f t="shared" ca="1" si="4"/>
        <v>-0.35593267691570035</v>
      </c>
      <c r="S19" s="57">
        <f ca="1">Orçamento!G17</f>
        <v>-36310.4283964524</v>
      </c>
      <c r="T19" s="57">
        <f>'DRE 2026'!H16</f>
        <v>-39028.04</v>
      </c>
      <c r="U19" s="60">
        <f t="shared" ca="1" si="5"/>
        <v>7.4843832021907974E-2</v>
      </c>
      <c r="V19" s="57">
        <f ca="1">Orçamento!H17</f>
        <v>-47888.930490297702</v>
      </c>
      <c r="W19" s="57">
        <f ca="1">'DRE 2026'!I16</f>
        <v>-43587.67</v>
      </c>
      <c r="X19" s="60">
        <f t="shared" ca="1" si="6"/>
        <v>-8.981742641275188E-2</v>
      </c>
      <c r="Y19" s="57">
        <f ca="1">Orçamento!I17</f>
        <v>-51482.374741568099</v>
      </c>
      <c r="Z19" s="57">
        <f ca="1">'DRE 2026'!J16</f>
        <v>-28063.11</v>
      </c>
      <c r="AA19" s="60">
        <f t="shared" ca="1" si="7"/>
        <v>-0.45489868832058411</v>
      </c>
      <c r="AB19" s="57">
        <f ca="1">Orçamento!J17</f>
        <v>-43783.785837081901</v>
      </c>
      <c r="AC19" s="57">
        <f ca="1">'DRE 2026'!K16</f>
        <v>0</v>
      </c>
      <c r="AD19" s="60">
        <f t="shared" ca="1" si="8"/>
        <v>-1</v>
      </c>
      <c r="AE19" s="57">
        <f ca="1">Orçamento!K17</f>
        <v>-41555.750346345601</v>
      </c>
      <c r="AF19" s="57">
        <f ca="1">'DRE 2026'!L16</f>
        <v>0</v>
      </c>
      <c r="AG19" s="60">
        <f t="shared" ca="1" si="9"/>
        <v>-1</v>
      </c>
      <c r="AH19" s="57">
        <f ca="1">Orçamento!L17</f>
        <v>-51494.001520324302</v>
      </c>
      <c r="AI19" s="57">
        <f ca="1">'DRE 2026'!M16</f>
        <v>0</v>
      </c>
      <c r="AJ19" s="60">
        <f t="shared" ca="1" si="10"/>
        <v>-1</v>
      </c>
      <c r="AK19" s="57">
        <f ca="1">Orçamento!M17</f>
        <v>-54327.966187635502</v>
      </c>
      <c r="AL19" s="57">
        <f ca="1">'DRE 2026'!N16</f>
        <v>0</v>
      </c>
      <c r="AM19" s="60">
        <f t="shared" ca="1" si="11"/>
        <v>-1</v>
      </c>
      <c r="AN19" s="8"/>
      <c r="AO19" s="57">
        <f t="shared" ca="1" si="19"/>
        <v>-232833.39069995747</v>
      </c>
      <c r="AP19" s="57">
        <f t="shared" si="22"/>
        <v>-210564.28</v>
      </c>
      <c r="AQ19" s="60">
        <f t="shared" ca="1" si="13"/>
        <v>-9.5643973714469199E-2</v>
      </c>
      <c r="AR19" s="57">
        <f t="shared" ref="AR19:AS19" ca="1" si="32">IF($Z$7=0,V19,IF($AC$7=0,V19+Y19,IF($AF$7=0,V19+Y19+AB19,IF($AI$7=0,V19+Y19+AB19+AE19,IF($AL$7=0,V19+Y19+AB19+AE19+AH19,V19+Y19+AB19+AE19+AH19+AK19)))))</f>
        <v>-99371.305231865801</v>
      </c>
      <c r="AS19" s="57">
        <f t="shared" ca="1" si="32"/>
        <v>-71650.78</v>
      </c>
      <c r="AT19" s="60">
        <f t="shared" ca="1" si="15"/>
        <v>-0.27895905329194115</v>
      </c>
      <c r="AU19" s="57">
        <f t="shared" ca="1" si="16"/>
        <v>-332204.69593182328</v>
      </c>
      <c r="AV19" s="57">
        <f t="shared" ca="1" si="17"/>
        <v>-282215.06</v>
      </c>
      <c r="AW19" s="60">
        <f t="shared" ca="1" si="18"/>
        <v>-0.15047841449562896</v>
      </c>
      <c r="AX19" s="60"/>
    </row>
    <row r="20" spans="1:50" ht="12.75" hidden="1" outlineLevel="1">
      <c r="A20" s="5"/>
      <c r="B20" s="5"/>
      <c r="C20" s="84" t="s">
        <v>35</v>
      </c>
      <c r="D20" s="57">
        <f ca="1">Orçamento!B18</f>
        <v>-3448.9520169825</v>
      </c>
      <c r="E20" s="85">
        <f>'DRE 2026'!C17</f>
        <v>-3999.96</v>
      </c>
      <c r="F20" s="86">
        <f t="shared" ca="1" si="0"/>
        <v>0.15976098835366773</v>
      </c>
      <c r="G20" s="57">
        <f ca="1">Orçamento!C18</f>
        <v>-2884.0919270334498</v>
      </c>
      <c r="H20" s="85">
        <f>'DRE 2026'!D17</f>
        <v>-6683.42</v>
      </c>
      <c r="I20" s="86">
        <f t="shared" ca="1" si="1"/>
        <v>1.3173394500204103</v>
      </c>
      <c r="J20" s="57">
        <f ca="1">Orçamento!D18</f>
        <v>-3855.4507587840299</v>
      </c>
      <c r="K20" s="85">
        <f>'DRE 2026'!E17</f>
        <v>-3125.48</v>
      </c>
      <c r="L20" s="86">
        <f t="shared" ca="1" si="2"/>
        <v>-0.18933473786973101</v>
      </c>
      <c r="M20" s="57">
        <f ca="1">Orçamento!E18</f>
        <v>-3124.8060881398901</v>
      </c>
      <c r="N20" s="85">
        <f>'DRE 2026'!F17</f>
        <v>-6677</v>
      </c>
      <c r="O20" s="86">
        <f t="shared" ca="1" si="3"/>
        <v>1.1367725905752546</v>
      </c>
      <c r="P20" s="57">
        <f ca="1">Orçamento!F18</f>
        <v>-3965.6615125653402</v>
      </c>
      <c r="Q20" s="85">
        <f>'DRE 2026'!G17</f>
        <v>-4985.4399999999996</v>
      </c>
      <c r="R20" s="86">
        <f t="shared" ca="1" si="4"/>
        <v>0.25715217605018853</v>
      </c>
      <c r="S20" s="57">
        <f ca="1">Orçamento!G18</f>
        <v>-3356.4283964524202</v>
      </c>
      <c r="T20" s="85">
        <f>'DRE 2026'!H17</f>
        <v>-5484.14</v>
      </c>
      <c r="U20" s="86">
        <f t="shared" ca="1" si="5"/>
        <v>0.63392134502153141</v>
      </c>
      <c r="V20" s="57">
        <f ca="1">Orçamento!H18</f>
        <v>-4256.9304902977801</v>
      </c>
      <c r="W20" s="85">
        <f ca="1">'DRE 2026'!I17</f>
        <v>-14612.15</v>
      </c>
      <c r="X20" s="86">
        <f t="shared" ca="1" si="6"/>
        <v>2.4325554606314119</v>
      </c>
      <c r="Y20" s="57">
        <f ca="1">Orçamento!I18</f>
        <v>-4401.3747415681801</v>
      </c>
      <c r="Z20" s="85">
        <f ca="1">'DRE 2026'!J17</f>
        <v>-19866.11</v>
      </c>
      <c r="AA20" s="86">
        <f t="shared" ca="1" si="7"/>
        <v>3.5136147604922732</v>
      </c>
      <c r="AB20" s="57">
        <f ca="1">Orçamento!J18</f>
        <v>-3682.7858370819699</v>
      </c>
      <c r="AC20" s="57">
        <f>'DRE 2026'!K17</f>
        <v>0</v>
      </c>
      <c r="AD20" s="86">
        <f t="shared" ca="1" si="8"/>
        <v>-1</v>
      </c>
      <c r="AE20" s="57">
        <f ca="1">Orçamento!K18</f>
        <v>-3531.7503463456301</v>
      </c>
      <c r="AF20" s="57">
        <f>'DRE 2026'!L17</f>
        <v>0</v>
      </c>
      <c r="AG20" s="86">
        <f t="shared" ca="1" si="9"/>
        <v>-1</v>
      </c>
      <c r="AH20" s="57">
        <f ca="1">Orçamento!L18</f>
        <v>-4101.0015203243302</v>
      </c>
      <c r="AI20" s="57">
        <f>'DRE 2026'!M17</f>
        <v>0</v>
      </c>
      <c r="AJ20" s="86">
        <f t="shared" ca="1" si="10"/>
        <v>-1</v>
      </c>
      <c r="AK20" s="57">
        <f ca="1">Orçamento!M18</f>
        <v>-4297.9661876355203</v>
      </c>
      <c r="AL20" s="89">
        <f>'DRE 2026'!N17</f>
        <v>0</v>
      </c>
      <c r="AM20" s="86">
        <f t="shared" ca="1" si="11"/>
        <v>-1</v>
      </c>
      <c r="AN20" s="8"/>
      <c r="AO20" s="85">
        <f t="shared" ca="1" si="19"/>
        <v>-20635.390699957628</v>
      </c>
      <c r="AP20" s="85">
        <f t="shared" si="22"/>
        <v>-30955.439999999999</v>
      </c>
      <c r="AQ20" s="86">
        <f t="shared" ca="1" si="13"/>
        <v>0.50011407344294001</v>
      </c>
      <c r="AR20" s="85">
        <f t="shared" ref="AR20:AS20" ca="1" si="33">IF($Z$7=0,V20,IF($AC$7=0,V20+Y20,IF($AF$7=0,V20+Y20+AB20,IF($AI$7=0,V20+Y20+AB20+AE20,IF($AL$7=0,V20+Y20+AB20+AE20+AH20,V20+Y20+AB20+AE20+AH20+AK20)))))</f>
        <v>-8658.3052318659611</v>
      </c>
      <c r="AS20" s="85">
        <f t="shared" ca="1" si="33"/>
        <v>-34478.26</v>
      </c>
      <c r="AT20" s="86">
        <f t="shared" ca="1" si="15"/>
        <v>2.9821026259395977</v>
      </c>
      <c r="AU20" s="85">
        <f t="shared" ca="1" si="16"/>
        <v>-29293.695931823589</v>
      </c>
      <c r="AV20" s="85">
        <f t="shared" ca="1" si="17"/>
        <v>-65433.7</v>
      </c>
      <c r="AW20" s="86">
        <f t="shared" ca="1" si="18"/>
        <v>1.233712678396284</v>
      </c>
      <c r="AX20" s="86"/>
    </row>
    <row r="21" spans="1:50" ht="12.75" hidden="1" outlineLevel="1">
      <c r="A21" s="5"/>
      <c r="B21" s="5"/>
      <c r="C21" s="84" t="s">
        <v>36</v>
      </c>
      <c r="D21" s="57">
        <f ca="1">Orçamento!B19</f>
        <v>0</v>
      </c>
      <c r="E21" s="85">
        <f>'DRE 2026'!C18</f>
        <v>-315</v>
      </c>
      <c r="F21" s="86">
        <f t="shared" ca="1" si="0"/>
        <v>1</v>
      </c>
      <c r="G21" s="57">
        <f ca="1">Orçamento!C19</f>
        <v>0</v>
      </c>
      <c r="H21" s="85">
        <f>'DRE 2026'!D18</f>
        <v>0</v>
      </c>
      <c r="I21" s="8">
        <f t="shared" ca="1" si="1"/>
        <v>0</v>
      </c>
      <c r="J21" s="57">
        <f ca="1">Orçamento!D19</f>
        <v>0</v>
      </c>
      <c r="K21" s="85">
        <f>'DRE 2026'!E18</f>
        <v>0</v>
      </c>
      <c r="L21" s="8">
        <f t="shared" ca="1" si="2"/>
        <v>0</v>
      </c>
      <c r="M21" s="57">
        <f ca="1">Orçamento!E19</f>
        <v>0</v>
      </c>
      <c r="N21" s="85">
        <f>'DRE 2026'!F18</f>
        <v>0</v>
      </c>
      <c r="O21" s="8">
        <f t="shared" ca="1" si="3"/>
        <v>0</v>
      </c>
      <c r="P21" s="57">
        <f ca="1">Orçamento!F19</f>
        <v>0</v>
      </c>
      <c r="Q21" s="85">
        <f>'DRE 2026'!G18</f>
        <v>-368.6</v>
      </c>
      <c r="R21" s="8">
        <f t="shared" ca="1" si="4"/>
        <v>1</v>
      </c>
      <c r="S21" s="57">
        <f ca="1">Orçamento!G19</f>
        <v>0</v>
      </c>
      <c r="T21" s="85">
        <f>'DRE 2026'!H18</f>
        <v>0</v>
      </c>
      <c r="U21" s="8">
        <f t="shared" ca="1" si="5"/>
        <v>0</v>
      </c>
      <c r="V21" s="57">
        <f ca="1">Orçamento!H19</f>
        <v>0</v>
      </c>
      <c r="W21" s="85">
        <f ca="1">'DRE 2026'!I18</f>
        <v>-380</v>
      </c>
      <c r="X21" s="8">
        <f t="shared" ca="1" si="6"/>
        <v>1</v>
      </c>
      <c r="Y21" s="57">
        <f ca="1">Orçamento!I19</f>
        <v>0</v>
      </c>
      <c r="Z21" s="85">
        <f ca="1">'DRE 2026'!J18</f>
        <v>0</v>
      </c>
      <c r="AA21" s="8">
        <f t="shared" ca="1" si="7"/>
        <v>0</v>
      </c>
      <c r="AB21" s="57">
        <f ca="1">Orçamento!J19</f>
        <v>0</v>
      </c>
      <c r="AC21" s="57">
        <f>'DRE 2026'!K18</f>
        <v>0</v>
      </c>
      <c r="AD21" s="8">
        <f t="shared" ca="1" si="8"/>
        <v>0</v>
      </c>
      <c r="AE21" s="57">
        <f ca="1">Orçamento!K19</f>
        <v>0</v>
      </c>
      <c r="AF21" s="57">
        <f>'DRE 2026'!L18</f>
        <v>0</v>
      </c>
      <c r="AG21" s="8">
        <f t="shared" ca="1" si="9"/>
        <v>0</v>
      </c>
      <c r="AH21" s="57">
        <f ca="1">Orçamento!L19</f>
        <v>0</v>
      </c>
      <c r="AI21" s="57">
        <f>'DRE 2026'!M18</f>
        <v>0</v>
      </c>
      <c r="AJ21" s="8">
        <f t="shared" ca="1" si="10"/>
        <v>0</v>
      </c>
      <c r="AK21" s="57">
        <f ca="1">Orçamento!M19</f>
        <v>0</v>
      </c>
      <c r="AL21" s="89">
        <f>'DRE 2026'!N18</f>
        <v>0</v>
      </c>
      <c r="AM21" s="8">
        <f t="shared" ca="1" si="11"/>
        <v>0</v>
      </c>
      <c r="AN21" s="8"/>
      <c r="AO21" s="85">
        <f t="shared" ca="1" si="19"/>
        <v>0</v>
      </c>
      <c r="AP21" s="85">
        <f t="shared" si="22"/>
        <v>-683.6</v>
      </c>
      <c r="AQ21" s="8">
        <f t="shared" ca="1" si="13"/>
        <v>1</v>
      </c>
      <c r="AR21" s="85">
        <f t="shared" ref="AR21:AS21" ca="1" si="34">IF($Z$7=0,V21,IF($AC$7=0,V21+Y21,IF($AF$7=0,V21+Y21+AB21,IF($AI$7=0,V21+Y21+AB21+AE21,IF($AL$7=0,V21+Y21+AB21+AE21+AH21,V21+Y21+AB21+AE21+AH21+AK21)))))</f>
        <v>0</v>
      </c>
      <c r="AS21" s="85">
        <f t="shared" ca="1" si="34"/>
        <v>-380</v>
      </c>
      <c r="AT21" s="8">
        <f t="shared" ca="1" si="15"/>
        <v>1</v>
      </c>
      <c r="AU21" s="85">
        <f t="shared" ca="1" si="16"/>
        <v>0</v>
      </c>
      <c r="AV21" s="85">
        <f t="shared" ca="1" si="17"/>
        <v>-1063.5999999999999</v>
      </c>
      <c r="AW21" s="8">
        <f t="shared" ca="1" si="18"/>
        <v>1</v>
      </c>
      <c r="AX21" s="8"/>
    </row>
    <row r="22" spans="1:50" ht="12.75" hidden="1" outlineLevel="1">
      <c r="A22" s="5"/>
      <c r="B22" s="5"/>
      <c r="C22" s="84" t="s">
        <v>37</v>
      </c>
      <c r="D22" s="57">
        <f ca="1">Orçamento!B20</f>
        <v>-36475</v>
      </c>
      <c r="E22" s="85">
        <f>'DRE 2026'!C19</f>
        <v>-35702.839999999997</v>
      </c>
      <c r="F22" s="86">
        <f t="shared" ca="1" si="0"/>
        <v>-2.1169568197395572E-2</v>
      </c>
      <c r="G22" s="57">
        <f ca="1">Orçamento!C20</f>
        <v>-28640</v>
      </c>
      <c r="H22" s="85">
        <f>'DRE 2026'!D19</f>
        <v>-32714.77</v>
      </c>
      <c r="I22" s="86">
        <f t="shared" ca="1" si="1"/>
        <v>0.14227548882681565</v>
      </c>
      <c r="J22" s="57">
        <f ca="1">Orçamento!D20</f>
        <v>-41752</v>
      </c>
      <c r="K22" s="85">
        <f>'DRE 2026'!E19</f>
        <v>-24229.94</v>
      </c>
      <c r="L22" s="86">
        <f t="shared" ca="1" si="2"/>
        <v>-0.41966995593025486</v>
      </c>
      <c r="M22" s="57">
        <f ca="1">Orçamento!E20</f>
        <v>-32049</v>
      </c>
      <c r="N22" s="85">
        <f>'DRE 2026'!F19</f>
        <v>-29559.73</v>
      </c>
      <c r="O22" s="86">
        <f t="shared" ca="1" si="3"/>
        <v>-7.7670754157696045E-2</v>
      </c>
      <c r="P22" s="57">
        <f ca="1">Orçamento!F20</f>
        <v>-40328</v>
      </c>
      <c r="Q22" s="85">
        <f>'DRE 2026'!G19</f>
        <v>-23174.06</v>
      </c>
      <c r="R22" s="86">
        <f t="shared" ca="1" si="4"/>
        <v>-0.42536054354294778</v>
      </c>
      <c r="S22" s="57">
        <f ca="1">Orçamento!G20</f>
        <v>-32954</v>
      </c>
      <c r="T22" s="85">
        <f>'DRE 2026'!H19</f>
        <v>-33543.9</v>
      </c>
      <c r="U22" s="86">
        <f t="shared" ca="1" si="5"/>
        <v>1.7900710080718623E-2</v>
      </c>
      <c r="V22" s="57">
        <f ca="1">Orçamento!H20</f>
        <v>-43632</v>
      </c>
      <c r="W22" s="85">
        <f ca="1">'DRE 2026'!I19</f>
        <v>-28595.52</v>
      </c>
      <c r="X22" s="86">
        <f t="shared" ca="1" si="6"/>
        <v>-0.34462046204620461</v>
      </c>
      <c r="Y22" s="57">
        <f ca="1">Orçamento!I20</f>
        <v>-47081</v>
      </c>
      <c r="Z22" s="85">
        <f ca="1">'DRE 2026'!J19</f>
        <v>-8197</v>
      </c>
      <c r="AA22" s="86">
        <f t="shared" ca="1" si="7"/>
        <v>-0.82589579660584944</v>
      </c>
      <c r="AB22" s="57">
        <f ca="1">Orçamento!J20</f>
        <v>-40101</v>
      </c>
      <c r="AC22" s="57">
        <f>'DRE 2026'!K19</f>
        <v>0</v>
      </c>
      <c r="AD22" s="86">
        <f t="shared" ca="1" si="8"/>
        <v>-1</v>
      </c>
      <c r="AE22" s="57">
        <f ca="1">Orçamento!K20</f>
        <v>-38024</v>
      </c>
      <c r="AF22" s="57">
        <f>'DRE 2026'!L19</f>
        <v>0</v>
      </c>
      <c r="AG22" s="86">
        <f t="shared" ca="1" si="9"/>
        <v>-1</v>
      </c>
      <c r="AH22" s="57">
        <f ca="1">Orçamento!L20</f>
        <v>-47393</v>
      </c>
      <c r="AI22" s="57">
        <f>'DRE 2026'!M19</f>
        <v>0</v>
      </c>
      <c r="AJ22" s="60">
        <f t="shared" ca="1" si="10"/>
        <v>-1</v>
      </c>
      <c r="AK22" s="57">
        <f ca="1">Orçamento!M20</f>
        <v>-50030</v>
      </c>
      <c r="AL22" s="89">
        <f>'DRE 2026'!N19</f>
        <v>0</v>
      </c>
      <c r="AM22" s="86">
        <f t="shared" ca="1" si="11"/>
        <v>-1</v>
      </c>
      <c r="AN22" s="8"/>
      <c r="AO22" s="85">
        <f t="shared" ca="1" si="19"/>
        <v>-212198</v>
      </c>
      <c r="AP22" s="85">
        <f t="shared" si="22"/>
        <v>-178925.24</v>
      </c>
      <c r="AQ22" s="86">
        <f t="shared" ca="1" si="13"/>
        <v>-0.15680053534906083</v>
      </c>
      <c r="AR22" s="85">
        <f t="shared" ref="AR22:AS22" ca="1" si="35">IF($Z$7=0,V22,IF($AC$7=0,V22+Y22,IF($AF$7=0,V22+Y22+AB22,IF($AI$7=0,V22+Y22+AB22+AE22,IF($AL$7=0,V22+Y22+AB22+AE22+AH22,V22+Y22+AB22+AE22+AH22+AK22)))))</f>
        <v>-90713</v>
      </c>
      <c r="AS22" s="85">
        <f t="shared" ca="1" si="35"/>
        <v>-36792.520000000004</v>
      </c>
      <c r="AT22" s="86">
        <f t="shared" ca="1" si="15"/>
        <v>-0.59440741679803333</v>
      </c>
      <c r="AU22" s="85">
        <f t="shared" ca="1" si="16"/>
        <v>-302911</v>
      </c>
      <c r="AV22" s="85">
        <f t="shared" ca="1" si="17"/>
        <v>-215717.76000000001</v>
      </c>
      <c r="AW22" s="86">
        <f t="shared" ca="1" si="18"/>
        <v>-0.28785101894615905</v>
      </c>
      <c r="AX22" s="86"/>
    </row>
    <row r="23" spans="1:50" ht="12.75">
      <c r="A23" s="5"/>
      <c r="B23" s="5"/>
      <c r="C23" s="113" t="s">
        <v>38</v>
      </c>
      <c r="D23" s="114">
        <f ca="1">Orçamento!B21</f>
        <v>281266.36366824998</v>
      </c>
      <c r="E23" s="114">
        <f>'DRE 2026'!C20</f>
        <v>236240.17000000004</v>
      </c>
      <c r="F23" s="115">
        <f t="shared" ca="1" si="0"/>
        <v>-0.16008381905686295</v>
      </c>
      <c r="G23" s="114">
        <f ca="1">Orçamento!C21</f>
        <v>231303.25974782099</v>
      </c>
      <c r="H23" s="114">
        <f>'DRE 2026'!D20</f>
        <v>263139.79000000004</v>
      </c>
      <c r="I23" s="116">
        <f t="shared" ca="1" si="1"/>
        <v>0.13763978201988553</v>
      </c>
      <c r="J23" s="114">
        <f ca="1">Orçamento!D21</f>
        <v>307475.82534350501</v>
      </c>
      <c r="K23" s="114">
        <f>'DRE 2026'!E20</f>
        <v>270635.50000000006</v>
      </c>
      <c r="L23" s="116">
        <f t="shared" ca="1" si="2"/>
        <v>-0.11981535557258129</v>
      </c>
      <c r="M23" s="114">
        <f ca="1">Orçamento!E21</f>
        <v>248899.376631202</v>
      </c>
      <c r="N23" s="114">
        <f>'DRE 2026'!F20</f>
        <v>199390.15000000002</v>
      </c>
      <c r="O23" s="116">
        <f t="shared" ca="1" si="3"/>
        <v>-0.19891261802780869</v>
      </c>
      <c r="P23" s="114">
        <f ca="1">Orçamento!F21</f>
        <v>315104.55169469299</v>
      </c>
      <c r="Q23" s="114">
        <f>'DRE 2026'!G20</f>
        <v>214058.36</v>
      </c>
      <c r="R23" s="116">
        <f t="shared" ca="1" si="4"/>
        <v>-0.32067512560909422</v>
      </c>
      <c r="S23" s="114">
        <f ca="1">Orçamento!G21</f>
        <v>268329.343378869</v>
      </c>
      <c r="T23" s="114">
        <f>'DRE 2026'!H20</f>
        <v>244576.07000000004</v>
      </c>
      <c r="U23" s="116">
        <f t="shared" ca="1" si="5"/>
        <v>-8.8522831978649491E-2</v>
      </c>
      <c r="V23" s="114">
        <f ca="1">Orçamento!H21</f>
        <v>339686.93762300501</v>
      </c>
      <c r="W23" s="114">
        <f ca="1">'DRE 2026'!I20</f>
        <v>262113.49</v>
      </c>
      <c r="X23" s="116">
        <f t="shared" ca="1" si="6"/>
        <v>-0.22836747319703654</v>
      </c>
      <c r="Y23" s="114">
        <f ca="1">Orçamento!I21</f>
        <v>352051.72103998298</v>
      </c>
      <c r="Z23" s="114">
        <f ca="1">'DRE 2026'!J20</f>
        <v>386453.63</v>
      </c>
      <c r="AA23" s="116">
        <f t="shared" ca="1" si="7"/>
        <v>9.7718337687404622E-2</v>
      </c>
      <c r="AB23" s="114">
        <f ca="1">Orçamento!J21</f>
        <v>295633.59933982498</v>
      </c>
      <c r="AC23" s="114">
        <f ca="1">'DRE 2026'!K20</f>
        <v>0</v>
      </c>
      <c r="AD23" s="116">
        <f t="shared" ca="1" si="8"/>
        <v>-1</v>
      </c>
      <c r="AE23" s="114">
        <f ca="1">Orçamento!K21</f>
        <v>285566.75235269603</v>
      </c>
      <c r="AF23" s="114">
        <f ca="1">'DRE 2026'!L20</f>
        <v>0</v>
      </c>
      <c r="AG23" s="116">
        <f t="shared" ca="1" si="9"/>
        <v>-1</v>
      </c>
      <c r="AH23" s="114">
        <f ca="1">Orçamento!L21</f>
        <v>331945.93399497401</v>
      </c>
      <c r="AI23" s="114">
        <f ca="1">'DRE 2026'!M20</f>
        <v>0</v>
      </c>
      <c r="AJ23" s="116">
        <f t="shared" ca="1" si="10"/>
        <v>-1</v>
      </c>
      <c r="AK23" s="114">
        <f ca="1">Orçamento!M21</f>
        <v>348543.06090572401</v>
      </c>
      <c r="AL23" s="114">
        <f ca="1">'DRE 2026'!N20</f>
        <v>0</v>
      </c>
      <c r="AM23" s="116">
        <f t="shared" ca="1" si="11"/>
        <v>-1</v>
      </c>
      <c r="AN23" s="8"/>
      <c r="AO23" s="114">
        <f t="shared" ca="1" si="19"/>
        <v>1652378.7204643399</v>
      </c>
      <c r="AP23" s="114">
        <f t="shared" si="22"/>
        <v>1428040.0400000003</v>
      </c>
      <c r="AQ23" s="117">
        <f t="shared" ca="1" si="13"/>
        <v>-0.13576710816107435</v>
      </c>
      <c r="AR23" s="114">
        <f t="shared" ref="AR23:AS23" ca="1" si="36">IF($Z$7=0,V23,IF($AC$7=0,V23+Y23,IF($AF$7=0,V23+Y23+AB23,IF($AI$7=0,V23+Y23+AB23+AE23,IF($AL$7=0,V23+Y23+AB23+AE23+AH23,V23+Y23+AB23+AE23+AH23+AK23)))))</f>
        <v>691738.65866298799</v>
      </c>
      <c r="AS23" s="114">
        <f t="shared" ca="1" si="36"/>
        <v>648567.12</v>
      </c>
      <c r="AT23" s="117">
        <f t="shared" ca="1" si="15"/>
        <v>-6.2410186451674052E-2</v>
      </c>
      <c r="AU23" s="114">
        <f t="shared" ca="1" si="16"/>
        <v>2344117.3791273278</v>
      </c>
      <c r="AV23" s="114">
        <f t="shared" ca="1" si="17"/>
        <v>2076607.1600000001</v>
      </c>
      <c r="AW23" s="117">
        <f t="shared" ca="1" si="18"/>
        <v>-0.11411980539426607</v>
      </c>
      <c r="AX23" s="117"/>
    </row>
    <row r="24" spans="1:50" ht="12.75" collapsed="1">
      <c r="A24" s="5"/>
      <c r="B24" s="5"/>
      <c r="C24" s="118" t="s">
        <v>39</v>
      </c>
      <c r="D24" s="57">
        <f ca="1">Orçamento!B22</f>
        <v>-70839.917354362697</v>
      </c>
      <c r="E24" s="57">
        <f>'DRE 2026'!C21</f>
        <v>-65505.120000000003</v>
      </c>
      <c r="F24" s="60">
        <f t="shared" ca="1" si="0"/>
        <v>-7.5307786253849276E-2</v>
      </c>
      <c r="G24" s="57">
        <f ca="1">Orçamento!C22</f>
        <v>-57149.2460776148</v>
      </c>
      <c r="H24" s="57">
        <f>'DRE 2026'!D21</f>
        <v>-73305.13</v>
      </c>
      <c r="I24" s="60">
        <f t="shared" ca="1" si="1"/>
        <v>0.2826963613910809</v>
      </c>
      <c r="J24" s="57">
        <f ca="1">Orçamento!D22</f>
        <v>-76453.704139572103</v>
      </c>
      <c r="K24" s="57">
        <f>'DRE 2026'!E21</f>
        <v>-69757.14</v>
      </c>
      <c r="L24" s="60">
        <f t="shared" ca="1" si="2"/>
        <v>-8.7589793260337154E-2</v>
      </c>
      <c r="M24" s="57">
        <f ca="1">Orçamento!E22</f>
        <v>-61540.5365601339</v>
      </c>
      <c r="N24" s="57">
        <f>'DRE 2026'!F21</f>
        <v>-56260.369999999995</v>
      </c>
      <c r="O24" s="60">
        <f t="shared" ca="1" si="3"/>
        <v>-8.5799813509497558E-2</v>
      </c>
      <c r="P24" s="57">
        <f ca="1">Orçamento!F22</f>
        <v>-85128.253972251696</v>
      </c>
      <c r="Q24" s="57">
        <f>'DRE 2026'!G21</f>
        <v>-54369.770000000004</v>
      </c>
      <c r="R24" s="60">
        <f t="shared" ca="1" si="4"/>
        <v>-0.36131933332354838</v>
      </c>
      <c r="S24" s="57">
        <f ca="1">Orçamento!G22</f>
        <v>-65493.1377259527</v>
      </c>
      <c r="T24" s="57">
        <f>'DRE 2026'!H21</f>
        <v>-73768.209999999992</v>
      </c>
      <c r="U24" s="60">
        <f t="shared" ca="1" si="5"/>
        <v>0.12635021868509688</v>
      </c>
      <c r="V24" s="57">
        <f ca="1">Orçamento!H22</f>
        <v>-83107.316851720898</v>
      </c>
      <c r="W24" s="57">
        <f ca="1">'DRE 2026'!I21</f>
        <v>-76154.489999999903</v>
      </c>
      <c r="X24" s="60">
        <f t="shared" ca="1" si="6"/>
        <v>-8.3660826929669099E-2</v>
      </c>
      <c r="Y24" s="57">
        <f ca="1">Orçamento!I22</f>
        <v>-87043.691368656102</v>
      </c>
      <c r="Z24" s="57">
        <f ca="1">'DRE 2026'!J21</f>
        <v>-110740.75</v>
      </c>
      <c r="AA24" s="60">
        <f t="shared" ca="1" si="7"/>
        <v>0.27224326379932301</v>
      </c>
      <c r="AB24" s="57">
        <f ca="1">Orçamento!J22</f>
        <v>-73754.213824325998</v>
      </c>
      <c r="AC24" s="57">
        <f ca="1">'DRE 2026'!K21</f>
        <v>0</v>
      </c>
      <c r="AD24" s="60">
        <f t="shared" ca="1" si="8"/>
        <v>-1</v>
      </c>
      <c r="AE24" s="57">
        <f ca="1">Orçamento!K22</f>
        <v>-71846.791266783897</v>
      </c>
      <c r="AF24" s="57">
        <f ca="1">'DRE 2026'!L21</f>
        <v>0</v>
      </c>
      <c r="AG24" s="60">
        <f t="shared" ca="1" si="9"/>
        <v>-1</v>
      </c>
      <c r="AH24" s="57">
        <f ca="1">Orçamento!L22</f>
        <v>-83958.933044149497</v>
      </c>
      <c r="AI24" s="57">
        <f ca="1">'DRE 2026'!M21</f>
        <v>0</v>
      </c>
      <c r="AJ24" s="60">
        <f t="shared" ca="1" si="10"/>
        <v>-1</v>
      </c>
      <c r="AK24" s="57">
        <f ca="1">Orçamento!M22</f>
        <v>-88444.442774485695</v>
      </c>
      <c r="AL24" s="57">
        <f ca="1">'DRE 2026'!N21</f>
        <v>0</v>
      </c>
      <c r="AM24" s="60">
        <f t="shared" ca="1" si="11"/>
        <v>-1</v>
      </c>
      <c r="AN24" s="8"/>
      <c r="AO24" s="57">
        <f t="shared" ca="1" si="19"/>
        <v>-416604.79582988791</v>
      </c>
      <c r="AP24" s="57">
        <f t="shared" si="22"/>
        <v>-392965.74</v>
      </c>
      <c r="AQ24" s="60">
        <f t="shared" ca="1" si="13"/>
        <v>-5.6742159635484478E-2</v>
      </c>
      <c r="AR24" s="57">
        <f t="shared" ref="AR24:AS24" ca="1" si="37">IF($Z$7=0,V24,IF($AC$7=0,V24+Y24,IF($AF$7=0,V24+Y24+AB24,IF($AI$7=0,V24+Y24+AB24+AE24,IF($AL$7=0,V24+Y24+AB24+AE24+AH24,V24+Y24+AB24+AE24+AH24+AK24)))))</f>
        <v>-170151.008220377</v>
      </c>
      <c r="AS24" s="57">
        <f t="shared" ca="1" si="37"/>
        <v>-186895.2399999999</v>
      </c>
      <c r="AT24" s="60">
        <f t="shared" ca="1" si="15"/>
        <v>9.8408066779927791E-2</v>
      </c>
      <c r="AU24" s="57">
        <f t="shared" ca="1" si="16"/>
        <v>-586755.80405026488</v>
      </c>
      <c r="AV24" s="57">
        <f t="shared" ca="1" si="17"/>
        <v>-579860.97999999986</v>
      </c>
      <c r="AW24" s="60">
        <f t="shared" ca="1" si="18"/>
        <v>-1.1750755599981018E-2</v>
      </c>
      <c r="AX24" s="60"/>
    </row>
    <row r="25" spans="1:50" ht="12.75" hidden="1" outlineLevel="1">
      <c r="A25" s="5"/>
      <c r="B25" s="5"/>
      <c r="C25" s="84" t="s">
        <v>134</v>
      </c>
      <c r="D25" s="85">
        <f ca="1">Orçamento!B23</f>
        <v>0</v>
      </c>
      <c r="E25" s="85">
        <f>'DRE 2026'!C22</f>
        <v>0</v>
      </c>
      <c r="F25" s="86">
        <f t="shared" ca="1" si="0"/>
        <v>0</v>
      </c>
      <c r="G25" s="85">
        <f ca="1">Orçamento!C23</f>
        <v>0</v>
      </c>
      <c r="H25" s="85">
        <f>'DRE 2026'!D22</f>
        <v>0</v>
      </c>
      <c r="I25" s="86">
        <f t="shared" ca="1" si="1"/>
        <v>0</v>
      </c>
      <c r="J25" s="85">
        <f ca="1">Orçamento!D23</f>
        <v>0</v>
      </c>
      <c r="K25" s="85">
        <f>'DRE 2026'!E22</f>
        <v>0</v>
      </c>
      <c r="L25" s="86">
        <f t="shared" ca="1" si="2"/>
        <v>0</v>
      </c>
      <c r="M25" s="85">
        <f ca="1">Orçamento!E23</f>
        <v>0</v>
      </c>
      <c r="N25" s="85">
        <f>'DRE 2026'!F22</f>
        <v>0</v>
      </c>
      <c r="O25" s="86">
        <f t="shared" ca="1" si="3"/>
        <v>0</v>
      </c>
      <c r="P25" s="85">
        <f ca="1">Orçamento!F23</f>
        <v>-7867.6736000000001</v>
      </c>
      <c r="Q25" s="85">
        <f>'DRE 2026'!G22</f>
        <v>0</v>
      </c>
      <c r="R25" s="86">
        <f t="shared" ca="1" si="4"/>
        <v>-1</v>
      </c>
      <c r="S25" s="85">
        <f ca="1">Orçamento!G23</f>
        <v>0</v>
      </c>
      <c r="T25" s="85">
        <f>'DRE 2026'!H22</f>
        <v>-3925</v>
      </c>
      <c r="U25" s="86">
        <f t="shared" ca="1" si="5"/>
        <v>1</v>
      </c>
      <c r="V25" s="85">
        <f ca="1">Orçamento!H23</f>
        <v>0</v>
      </c>
      <c r="W25" s="85">
        <f ca="1">'DRE 2026'!I22</f>
        <v>0</v>
      </c>
      <c r="X25" s="86">
        <f t="shared" ca="1" si="6"/>
        <v>0</v>
      </c>
      <c r="Y25" s="85">
        <f ca="1">Orçamento!I23</f>
        <v>0</v>
      </c>
      <c r="Z25" s="85">
        <f ca="1">'DRE 2026'!J22</f>
        <v>-4207.6000000000004</v>
      </c>
      <c r="AA25" s="86">
        <f t="shared" ca="1" si="7"/>
        <v>1</v>
      </c>
      <c r="AB25" s="85">
        <f ca="1">Orçamento!J23</f>
        <v>0</v>
      </c>
      <c r="AC25" s="85">
        <f>'DRE 2026'!K22</f>
        <v>0</v>
      </c>
      <c r="AD25" s="86">
        <f t="shared" ca="1" si="8"/>
        <v>0</v>
      </c>
      <c r="AE25" s="85">
        <f ca="1">Orçamento!K23</f>
        <v>0</v>
      </c>
      <c r="AF25" s="85">
        <f>'DRE 2026'!L22</f>
        <v>0</v>
      </c>
      <c r="AG25" s="86">
        <f t="shared" ca="1" si="9"/>
        <v>0</v>
      </c>
      <c r="AH25" s="85">
        <f ca="1">Orçamento!L23</f>
        <v>0</v>
      </c>
      <c r="AI25" s="85">
        <f>'DRE 2026'!M22</f>
        <v>0</v>
      </c>
      <c r="AJ25" s="86">
        <f t="shared" ca="1" si="10"/>
        <v>0</v>
      </c>
      <c r="AK25" s="85">
        <f ca="1">Orçamento!M23</f>
        <v>0</v>
      </c>
      <c r="AL25" s="89">
        <f>'DRE 2026'!N22</f>
        <v>0</v>
      </c>
      <c r="AM25" s="86">
        <f t="shared" ca="1" si="11"/>
        <v>0</v>
      </c>
      <c r="AN25" s="8"/>
      <c r="AO25" s="85">
        <f t="shared" ca="1" si="19"/>
        <v>0</v>
      </c>
      <c r="AP25" s="85">
        <f t="shared" si="22"/>
        <v>-3925</v>
      </c>
      <c r="AQ25" s="86">
        <f t="shared" ca="1" si="13"/>
        <v>1</v>
      </c>
      <c r="AR25" s="85">
        <f t="shared" ref="AR25:AS25" ca="1" si="38">IF($Z$7=0,V25,IF($AC$7=0,V25+Y25,IF($AF$7=0,V25+Y25+AB25,IF($AI$7=0,V25+Y25+AB25+AE25,IF($AL$7=0,V25+Y25+AB25+AE25+AH25,V25+Y25+AB25+AE25+AH25+AK25)))))</f>
        <v>0</v>
      </c>
      <c r="AS25" s="85">
        <f t="shared" ca="1" si="38"/>
        <v>-4207.6000000000004</v>
      </c>
      <c r="AT25" s="86">
        <f t="shared" ca="1" si="15"/>
        <v>1</v>
      </c>
      <c r="AU25" s="85">
        <f t="shared" ca="1" si="16"/>
        <v>0</v>
      </c>
      <c r="AV25" s="85">
        <f t="shared" ca="1" si="17"/>
        <v>-8132.6</v>
      </c>
      <c r="AW25" s="86">
        <f t="shared" ca="1" si="18"/>
        <v>1</v>
      </c>
      <c r="AX25" s="86"/>
    </row>
    <row r="26" spans="1:50" ht="12.75" hidden="1" outlineLevel="1">
      <c r="A26" s="5"/>
      <c r="B26" s="5"/>
      <c r="C26" s="84" t="s">
        <v>41</v>
      </c>
      <c r="D26" s="85">
        <f ca="1">Orçamento!B24</f>
        <v>-45591.894638132697</v>
      </c>
      <c r="E26" s="85">
        <f>'DRE 2026'!C23</f>
        <v>-43699.12</v>
      </c>
      <c r="F26" s="86">
        <f t="shared" ca="1" si="0"/>
        <v>-4.1515595110837807E-2</v>
      </c>
      <c r="G26" s="85">
        <f ca="1">Orçamento!C24</f>
        <v>-34987.526644529797</v>
      </c>
      <c r="H26" s="85">
        <f>'DRE 2026'!D23</f>
        <v>-50149.13</v>
      </c>
      <c r="I26" s="86">
        <f t="shared" ca="1" si="1"/>
        <v>0.4333431028009142</v>
      </c>
      <c r="J26" s="85">
        <f ca="1">Orçamento!D24</f>
        <v>-48041.166546727</v>
      </c>
      <c r="K26" s="85">
        <f>'DRE 2026'!E23</f>
        <v>-45278.14</v>
      </c>
      <c r="L26" s="86">
        <f t="shared" ca="1" si="2"/>
        <v>-5.7513727191440205E-2</v>
      </c>
      <c r="M26" s="85">
        <f ca="1">Orçamento!E24</f>
        <v>-37602.2317654039</v>
      </c>
      <c r="N26" s="85">
        <f>'DRE 2026'!F23</f>
        <v>-32563.37</v>
      </c>
      <c r="O26" s="86">
        <f t="shared" ca="1" si="3"/>
        <v>-0.13400432710592269</v>
      </c>
      <c r="P26" s="85">
        <f ca="1">Orçamento!F24</f>
        <v>-46989.034702046702</v>
      </c>
      <c r="Q26" s="85">
        <f>'DRE 2026'!G23</f>
        <v>-32399.77</v>
      </c>
      <c r="R26" s="86">
        <f t="shared" ca="1" si="4"/>
        <v>-0.31048232411148546</v>
      </c>
      <c r="S26" s="85">
        <f ca="1">Orçamento!G24</f>
        <v>-39735.5153948976</v>
      </c>
      <c r="T26" s="85">
        <f>'DRE 2026'!H23</f>
        <v>-46697.21</v>
      </c>
      <c r="U26" s="86">
        <f t="shared" ca="1" si="5"/>
        <v>0.1752008130740477</v>
      </c>
      <c r="V26" s="85">
        <f ca="1">Orçamento!H24</f>
        <v>-51181.230621755902</v>
      </c>
      <c r="W26" s="85">
        <f ca="1">'DRE 2026'!I23</f>
        <v>-50637.49</v>
      </c>
      <c r="X26" s="86">
        <f t="shared" ca="1" si="6"/>
        <v>-1.0623828601822887E-2</v>
      </c>
      <c r="Y26" s="85">
        <f ca="1">Orçamento!I24</f>
        <v>-54575.415170221102</v>
      </c>
      <c r="Z26" s="85">
        <f ca="1">'DRE 2026'!J23</f>
        <v>-77538.64</v>
      </c>
      <c r="AA26" s="86">
        <f t="shared" ca="1" si="7"/>
        <v>0.42076134021438844</v>
      </c>
      <c r="AB26" s="85">
        <f ca="1">Orçamento!J24</f>
        <v>-46797.343738951</v>
      </c>
      <c r="AC26" s="85">
        <f>'DRE 2026'!K23</f>
        <v>0</v>
      </c>
      <c r="AD26" s="86">
        <f t="shared" ca="1" si="8"/>
        <v>-1</v>
      </c>
      <c r="AE26" s="85">
        <f ca="1">Orçamento!K24</f>
        <v>-45504.426364503903</v>
      </c>
      <c r="AF26" s="85">
        <f>'DRE 2026'!L23</f>
        <v>0</v>
      </c>
      <c r="AG26" s="86">
        <f t="shared" ca="1" si="9"/>
        <v>-1</v>
      </c>
      <c r="AH26" s="85">
        <f ca="1">Orçamento!L24</f>
        <v>-54952.190582484502</v>
      </c>
      <c r="AI26" s="85">
        <f>'DRE 2026'!M23</f>
        <v>0</v>
      </c>
      <c r="AJ26" s="86">
        <f t="shared" ca="1" si="10"/>
        <v>-1</v>
      </c>
      <c r="AK26" s="85">
        <f ca="1">Orçamento!M24</f>
        <v>-57501.692473715702</v>
      </c>
      <c r="AL26" s="89">
        <f>'DRE 2026'!N23</f>
        <v>0</v>
      </c>
      <c r="AM26" s="86">
        <f t="shared" ca="1" si="11"/>
        <v>-1</v>
      </c>
      <c r="AN26" s="8"/>
      <c r="AO26" s="85">
        <f t="shared" ca="1" si="19"/>
        <v>-252947.36969173769</v>
      </c>
      <c r="AP26" s="85">
        <f t="shared" si="22"/>
        <v>-250786.74</v>
      </c>
      <c r="AQ26" s="86">
        <f t="shared" ca="1" si="13"/>
        <v>-8.5418152178092371E-3</v>
      </c>
      <c r="AR26" s="85">
        <f t="shared" ref="AR26:AS26" ca="1" si="39">IF($Z$7=0,V26,IF($AC$7=0,V26+Y26,IF($AF$7=0,V26+Y26+AB26,IF($AI$7=0,V26+Y26+AB26+AE26,IF($AL$7=0,V26+Y26+AB26+AE26+AH26,V26+Y26+AB26+AE26+AH26+AK26)))))</f>
        <v>-105756.645791977</v>
      </c>
      <c r="AS26" s="85">
        <f t="shared" ca="1" si="39"/>
        <v>-128176.13</v>
      </c>
      <c r="AT26" s="86">
        <f t="shared" ca="1" si="15"/>
        <v>0.2119912563426232</v>
      </c>
      <c r="AU26" s="85">
        <f t="shared" ca="1" si="16"/>
        <v>-358704.0154837147</v>
      </c>
      <c r="AV26" s="85">
        <f t="shared" ca="1" si="17"/>
        <v>-378962.87</v>
      </c>
      <c r="AW26" s="86">
        <f t="shared" ca="1" si="18"/>
        <v>5.6477913939619831E-2</v>
      </c>
      <c r="AX26" s="86"/>
    </row>
    <row r="27" spans="1:50" ht="12.75" hidden="1" outlineLevel="1">
      <c r="A27" s="5"/>
      <c r="B27" s="5"/>
      <c r="C27" s="84" t="s">
        <v>42</v>
      </c>
      <c r="D27" s="85">
        <f ca="1">Orçamento!B25</f>
        <v>-2000</v>
      </c>
      <c r="E27" s="85">
        <f>'DRE 2026'!C24</f>
        <v>-2300</v>
      </c>
      <c r="F27" s="86">
        <f t="shared" ca="1" si="0"/>
        <v>0.15</v>
      </c>
      <c r="G27" s="85">
        <f ca="1">Orçamento!C25</f>
        <v>-1800</v>
      </c>
      <c r="H27" s="85">
        <f>'DRE 2026'!D24</f>
        <v>-2150</v>
      </c>
      <c r="I27" s="86">
        <f t="shared" ca="1" si="1"/>
        <v>0.19444444444444445</v>
      </c>
      <c r="J27" s="85">
        <f ca="1">Orçamento!D25</f>
        <v>-1600</v>
      </c>
      <c r="K27" s="85">
        <f>'DRE 2026'!E24</f>
        <v>-2600</v>
      </c>
      <c r="L27" s="86">
        <f t="shared" ca="1" si="2"/>
        <v>0.625</v>
      </c>
      <c r="M27" s="85">
        <f ca="1">Orçamento!E25</f>
        <v>-1800</v>
      </c>
      <c r="N27" s="85">
        <f>'DRE 2026'!F24</f>
        <v>-4800</v>
      </c>
      <c r="O27" s="86">
        <f t="shared" ca="1" si="3"/>
        <v>1.6666666666666667</v>
      </c>
      <c r="P27" s="85">
        <f ca="1">Orçamento!F25</f>
        <v>-2000</v>
      </c>
      <c r="Q27" s="85">
        <f>'DRE 2026'!G24</f>
        <v>-1800</v>
      </c>
      <c r="R27" s="86">
        <f t="shared" ca="1" si="4"/>
        <v>-0.1</v>
      </c>
      <c r="S27" s="85">
        <f ca="1">Orçamento!G25</f>
        <v>-1800</v>
      </c>
      <c r="T27" s="85">
        <f>'DRE 2026'!H24</f>
        <v>-1800</v>
      </c>
      <c r="U27" s="86">
        <f t="shared" ca="1" si="5"/>
        <v>0</v>
      </c>
      <c r="V27" s="85">
        <f ca="1">Orçamento!H25</f>
        <v>-1800</v>
      </c>
      <c r="W27" s="85">
        <f ca="1">'DRE 2026'!I24</f>
        <v>-1750</v>
      </c>
      <c r="X27" s="86">
        <f t="shared" ca="1" si="6"/>
        <v>-2.7777777777777776E-2</v>
      </c>
      <c r="Y27" s="85">
        <f ca="1">Orçamento!I25</f>
        <v>-1800</v>
      </c>
      <c r="Z27" s="85">
        <f ca="1">'DRE 2026'!J24</f>
        <v>-3600</v>
      </c>
      <c r="AA27" s="86">
        <f t="shared" ca="1" si="7"/>
        <v>1</v>
      </c>
      <c r="AB27" s="85">
        <f ca="1">Orçamento!J25</f>
        <v>-1600</v>
      </c>
      <c r="AC27" s="85">
        <f>'DRE 2026'!K24</f>
        <v>0</v>
      </c>
      <c r="AD27" s="86">
        <f t="shared" ca="1" si="8"/>
        <v>-1</v>
      </c>
      <c r="AE27" s="85">
        <f ca="1">Orçamento!K25</f>
        <v>-2200</v>
      </c>
      <c r="AF27" s="85">
        <f>'DRE 2026'!L24</f>
        <v>0</v>
      </c>
      <c r="AG27" s="86">
        <f t="shared" ca="1" si="9"/>
        <v>-1</v>
      </c>
      <c r="AH27" s="85">
        <f ca="1">Orçamento!L25</f>
        <v>-1600</v>
      </c>
      <c r="AI27" s="85">
        <f>'DRE 2026'!M24</f>
        <v>0</v>
      </c>
      <c r="AJ27" s="86">
        <f t="shared" ca="1" si="10"/>
        <v>-1</v>
      </c>
      <c r="AK27" s="85">
        <f ca="1">Orçamento!M25</f>
        <v>-2200</v>
      </c>
      <c r="AL27" s="89">
        <f>'DRE 2026'!N24</f>
        <v>0</v>
      </c>
      <c r="AM27" s="86">
        <f t="shared" ca="1" si="11"/>
        <v>-1</v>
      </c>
      <c r="AN27" s="8"/>
      <c r="AO27" s="85">
        <f t="shared" ca="1" si="19"/>
        <v>-11000</v>
      </c>
      <c r="AP27" s="85">
        <f t="shared" si="22"/>
        <v>-15450</v>
      </c>
      <c r="AQ27" s="86">
        <f t="shared" ca="1" si="13"/>
        <v>0.40454545454545454</v>
      </c>
      <c r="AR27" s="85">
        <f t="shared" ref="AR27:AS27" ca="1" si="40">IF($Z$7=0,V27,IF($AC$7=0,V27+Y27,IF($AF$7=0,V27+Y27+AB27,IF($AI$7=0,V27+Y27+AB27+AE27,IF($AL$7=0,V27+Y27+AB27+AE27+AH27,V27+Y27+AB27+AE27+AH27+AK27)))))</f>
        <v>-3600</v>
      </c>
      <c r="AS27" s="85">
        <f t="shared" ca="1" si="40"/>
        <v>-5350</v>
      </c>
      <c r="AT27" s="86">
        <f t="shared" ca="1" si="15"/>
        <v>0.4861111111111111</v>
      </c>
      <c r="AU27" s="85">
        <f t="shared" ca="1" si="16"/>
        <v>-14600</v>
      </c>
      <c r="AV27" s="85">
        <f t="shared" ca="1" si="17"/>
        <v>-20800</v>
      </c>
      <c r="AW27" s="86">
        <f t="shared" ca="1" si="18"/>
        <v>0.42465753424657532</v>
      </c>
      <c r="AX27" s="86"/>
    </row>
    <row r="28" spans="1:50" ht="12.75" hidden="1" outlineLevel="1">
      <c r="A28" s="5"/>
      <c r="B28" s="5"/>
      <c r="C28" s="84" t="s">
        <v>43</v>
      </c>
      <c r="D28" s="85">
        <f ca="1">Orçamento!B26</f>
        <v>-23248.02271623</v>
      </c>
      <c r="E28" s="85">
        <f>'DRE 2026'!C25</f>
        <v>-19506</v>
      </c>
      <c r="F28" s="86">
        <f t="shared" ca="1" si="0"/>
        <v>-0.16096090243483824</v>
      </c>
      <c r="G28" s="85">
        <f ca="1">Orçamento!C26</f>
        <v>-20361.719433085</v>
      </c>
      <c r="H28" s="85">
        <f>'DRE 2026'!D25</f>
        <v>-21006</v>
      </c>
      <c r="I28" s="86">
        <f t="shared" ca="1" si="1"/>
        <v>3.1641756435762135E-2</v>
      </c>
      <c r="J28" s="85">
        <f ca="1">Orçamento!D26</f>
        <v>-26812.537592845001</v>
      </c>
      <c r="K28" s="85">
        <f>'DRE 2026'!E25</f>
        <v>-21879</v>
      </c>
      <c r="L28" s="86">
        <f t="shared" ca="1" si="2"/>
        <v>-0.18400114408274168</v>
      </c>
      <c r="M28" s="85">
        <f ca="1">Orçamento!E26</f>
        <v>-22138.30479473</v>
      </c>
      <c r="N28" s="85">
        <f>'DRE 2026'!F25</f>
        <v>-18897</v>
      </c>
      <c r="O28" s="86">
        <f t="shared" ca="1" si="3"/>
        <v>-0.1464116076087989</v>
      </c>
      <c r="P28" s="85">
        <f ca="1">Orçamento!F26</f>
        <v>-28271.545670205</v>
      </c>
      <c r="Q28" s="85">
        <f>'DRE 2026'!G25</f>
        <v>-20170</v>
      </c>
      <c r="R28" s="86">
        <f t="shared" ca="1" si="4"/>
        <v>-0.28656182313877199</v>
      </c>
      <c r="S28" s="85">
        <f ca="1">Orçamento!G26</f>
        <v>-23957.622331055001</v>
      </c>
      <c r="T28" s="85">
        <f>'DRE 2026'!H25</f>
        <v>-21346</v>
      </c>
      <c r="U28" s="86">
        <f t="shared" ca="1" si="5"/>
        <v>-0.10901008017267612</v>
      </c>
      <c r="V28" s="85">
        <f ca="1">Orçamento!H26</f>
        <v>-30126.086229965</v>
      </c>
      <c r="W28" s="85">
        <f ca="1">'DRE 2026'!I25</f>
        <v>-23767</v>
      </c>
      <c r="X28" s="86">
        <f t="shared" ca="1" si="6"/>
        <v>-0.21108238824729633</v>
      </c>
      <c r="Y28" s="85">
        <f ca="1">Orçamento!I26</f>
        <v>-30668.276198435</v>
      </c>
      <c r="Z28" s="85">
        <f ca="1">'DRE 2026'!J25</f>
        <v>-25394.51</v>
      </c>
      <c r="AA28" s="86">
        <f t="shared" ca="1" si="7"/>
        <v>-0.17196161154646578</v>
      </c>
      <c r="AB28" s="85">
        <f ca="1">Orçamento!J26</f>
        <v>-25356.870085375002</v>
      </c>
      <c r="AC28" s="85">
        <f>'DRE 2026'!K25</f>
        <v>0</v>
      </c>
      <c r="AD28" s="86">
        <f t="shared" ca="1" si="8"/>
        <v>-1</v>
      </c>
      <c r="AE28" s="85">
        <f ca="1">Orçamento!K26</f>
        <v>-24142.364902279998</v>
      </c>
      <c r="AF28" s="85">
        <f>'DRE 2026'!L25</f>
        <v>0</v>
      </c>
      <c r="AG28" s="86">
        <f t="shared" ca="1" si="9"/>
        <v>-1</v>
      </c>
      <c r="AH28" s="85">
        <f ca="1">Orçamento!L26</f>
        <v>-27406.742461664999</v>
      </c>
      <c r="AI28" s="85">
        <f>'DRE 2026'!M25</f>
        <v>0</v>
      </c>
      <c r="AJ28" s="86">
        <f t="shared" ca="1" si="10"/>
        <v>-1</v>
      </c>
      <c r="AK28" s="85">
        <f ca="1">Orçamento!M26</f>
        <v>-28742.75030077</v>
      </c>
      <c r="AL28" s="89">
        <f>'DRE 2026'!N25</f>
        <v>0</v>
      </c>
      <c r="AM28" s="86">
        <f t="shared" ca="1" si="11"/>
        <v>-1</v>
      </c>
      <c r="AN28" s="8"/>
      <c r="AO28" s="85">
        <f t="shared" ca="1" si="19"/>
        <v>-144789.75253815</v>
      </c>
      <c r="AP28" s="85">
        <f t="shared" si="22"/>
        <v>-122804</v>
      </c>
      <c r="AQ28" s="86">
        <f t="shared" ca="1" si="13"/>
        <v>-0.15184605369331697</v>
      </c>
      <c r="AR28" s="85">
        <f t="shared" ref="AR28:AS28" ca="1" si="41">IF($Z$7=0,V28,IF($AC$7=0,V28+Y28,IF($AF$7=0,V28+Y28+AB28,IF($AI$7=0,V28+Y28+AB28+AE28,IF($AL$7=0,V28+Y28+AB28+AE28+AH28,V28+Y28+AB28+AE28+AH28+AK28)))))</f>
        <v>-60794.362428399996</v>
      </c>
      <c r="AS28" s="85">
        <f t="shared" ca="1" si="41"/>
        <v>-49161.509999999995</v>
      </c>
      <c r="AT28" s="86">
        <f t="shared" ca="1" si="15"/>
        <v>-0.1913475520382418</v>
      </c>
      <c r="AU28" s="85">
        <f t="shared" ca="1" si="16"/>
        <v>-205584.11496655</v>
      </c>
      <c r="AV28" s="85">
        <f t="shared" ca="1" si="17"/>
        <v>-171965.51</v>
      </c>
      <c r="AW28" s="86">
        <f t="shared" ca="1" si="18"/>
        <v>-0.16352725001160706</v>
      </c>
      <c r="AX28" s="86"/>
    </row>
    <row r="29" spans="1:50" ht="12.75" hidden="1" outlineLevel="1">
      <c r="A29" s="5"/>
      <c r="B29" s="5"/>
      <c r="C29" s="84" t="s">
        <v>44</v>
      </c>
      <c r="D29" s="85">
        <f ca="1">Orçamento!B27</f>
        <v>0</v>
      </c>
      <c r="E29" s="85">
        <f>'DRE 2026'!C26</f>
        <v>0</v>
      </c>
      <c r="F29" s="86">
        <f t="shared" ca="1" si="0"/>
        <v>0</v>
      </c>
      <c r="G29" s="85">
        <f ca="1">Orçamento!C27</f>
        <v>0</v>
      </c>
      <c r="H29" s="85">
        <f>'DRE 2026'!D26</f>
        <v>0</v>
      </c>
      <c r="I29" s="8">
        <f t="shared" ca="1" si="1"/>
        <v>0</v>
      </c>
      <c r="J29" s="85">
        <f ca="1">Orçamento!D27</f>
        <v>0</v>
      </c>
      <c r="K29" s="85">
        <f>'DRE 2026'!E26</f>
        <v>0</v>
      </c>
      <c r="L29" s="8">
        <f t="shared" ca="1" si="2"/>
        <v>0</v>
      </c>
      <c r="M29" s="85">
        <f ca="1">Orçamento!E27</f>
        <v>0</v>
      </c>
      <c r="N29" s="85">
        <f>'DRE 2026'!F26</f>
        <v>0</v>
      </c>
      <c r="O29" s="8">
        <f t="shared" ca="1" si="3"/>
        <v>0</v>
      </c>
      <c r="P29" s="85">
        <f ca="1">Orçamento!F27</f>
        <v>0</v>
      </c>
      <c r="Q29" s="85">
        <f>'DRE 2026'!G26</f>
        <v>0</v>
      </c>
      <c r="R29" s="8">
        <f t="shared" ca="1" si="4"/>
        <v>0</v>
      </c>
      <c r="S29" s="85">
        <f ca="1">Orçamento!G27</f>
        <v>0</v>
      </c>
      <c r="T29" s="85">
        <f>'DRE 2026'!H26</f>
        <v>0</v>
      </c>
      <c r="U29" s="8">
        <f t="shared" ca="1" si="5"/>
        <v>0</v>
      </c>
      <c r="V29" s="85">
        <f ca="1">Orçamento!H27</f>
        <v>0</v>
      </c>
      <c r="W29" s="85">
        <f ca="1">'DRE 2026'!I26</f>
        <v>0</v>
      </c>
      <c r="X29" s="8">
        <f t="shared" ca="1" si="6"/>
        <v>0</v>
      </c>
      <c r="Y29" s="85">
        <f ca="1">Orçamento!I27</f>
        <v>0</v>
      </c>
      <c r="Z29" s="85">
        <f ca="1">'DRE 2026'!J26</f>
        <v>0</v>
      </c>
      <c r="AA29" s="8">
        <f t="shared" ca="1" si="7"/>
        <v>0</v>
      </c>
      <c r="AB29" s="85">
        <f ca="1">Orçamento!J27</f>
        <v>0</v>
      </c>
      <c r="AC29" s="85">
        <f>'DRE 2026'!K26</f>
        <v>0</v>
      </c>
      <c r="AD29" s="8">
        <f t="shared" ca="1" si="8"/>
        <v>0</v>
      </c>
      <c r="AE29" s="85">
        <f ca="1">Orçamento!K27</f>
        <v>0</v>
      </c>
      <c r="AF29" s="85">
        <f>'DRE 2026'!L26</f>
        <v>0</v>
      </c>
      <c r="AG29" s="8">
        <f t="shared" ca="1" si="9"/>
        <v>0</v>
      </c>
      <c r="AH29" s="85">
        <f ca="1">Orçamento!L27</f>
        <v>0</v>
      </c>
      <c r="AI29" s="85">
        <f>'DRE 2026'!M26</f>
        <v>0</v>
      </c>
      <c r="AJ29" s="8">
        <f t="shared" ca="1" si="10"/>
        <v>0</v>
      </c>
      <c r="AK29" s="85">
        <f ca="1">Orçamento!M27</f>
        <v>0</v>
      </c>
      <c r="AL29" s="89">
        <f>'DRE 2026'!N26</f>
        <v>0</v>
      </c>
      <c r="AM29" s="8">
        <f t="shared" ca="1" si="11"/>
        <v>0</v>
      </c>
      <c r="AN29" s="8"/>
      <c r="AO29" s="85">
        <f t="shared" ca="1" si="19"/>
        <v>0</v>
      </c>
      <c r="AP29" s="85">
        <f t="shared" si="22"/>
        <v>0</v>
      </c>
      <c r="AQ29" s="8">
        <f t="shared" ca="1" si="13"/>
        <v>0</v>
      </c>
      <c r="AR29" s="85">
        <f t="shared" ref="AR29:AS29" ca="1" si="42">IF($Z$7=0,V29,IF($AC$7=0,V29+Y29,IF($AF$7=0,V29+Y29+AB29,IF($AI$7=0,V29+Y29+AB29+AE29,IF($AL$7=0,V29+Y29+AB29+AE29+AH29,V29+Y29+AB29+AE29+AH29+AK29)))))</f>
        <v>0</v>
      </c>
      <c r="AS29" s="85">
        <f t="shared" ca="1" si="42"/>
        <v>0</v>
      </c>
      <c r="AT29" s="8">
        <f t="shared" ca="1" si="15"/>
        <v>0</v>
      </c>
      <c r="AU29" s="85">
        <f t="shared" ca="1" si="16"/>
        <v>0</v>
      </c>
      <c r="AV29" s="85">
        <f t="shared" ca="1" si="17"/>
        <v>0</v>
      </c>
      <c r="AW29" s="8">
        <f t="shared" ca="1" si="18"/>
        <v>0</v>
      </c>
      <c r="AX29" s="8"/>
    </row>
    <row r="30" spans="1:50" ht="12.75">
      <c r="A30" s="5"/>
      <c r="B30" s="5"/>
      <c r="C30" s="113" t="s">
        <v>45</v>
      </c>
      <c r="D30" s="114">
        <f ca="1">Orçamento!B28</f>
        <v>210426.44631388699</v>
      </c>
      <c r="E30" s="114">
        <f>'DRE 2026'!C27</f>
        <v>170735.05000000005</v>
      </c>
      <c r="F30" s="115">
        <f t="shared" ca="1" si="0"/>
        <v>-0.18862361176161502</v>
      </c>
      <c r="G30" s="114">
        <f ca="1">Orçamento!C28</f>
        <v>174154.01367020601</v>
      </c>
      <c r="H30" s="114">
        <f>'DRE 2026'!D27</f>
        <v>189834.66000000003</v>
      </c>
      <c r="I30" s="116">
        <f t="shared" ca="1" si="1"/>
        <v>9.0038960339371379E-2</v>
      </c>
      <c r="J30" s="114">
        <f ca="1">Orçamento!D28</f>
        <v>231022.121203933</v>
      </c>
      <c r="K30" s="114">
        <f>'DRE 2026'!E27</f>
        <v>200878.36000000004</v>
      </c>
      <c r="L30" s="116">
        <f t="shared" ca="1" si="2"/>
        <v>-0.1304799776179173</v>
      </c>
      <c r="M30" s="114">
        <f ca="1">Orçamento!E28</f>
        <v>187358.840071068</v>
      </c>
      <c r="N30" s="114">
        <f>'DRE 2026'!F27</f>
        <v>143129.78000000003</v>
      </c>
      <c r="O30" s="116">
        <f t="shared" ca="1" si="3"/>
        <v>-0.23606604339721163</v>
      </c>
      <c r="P30" s="114">
        <f ca="1">Orçamento!F28</f>
        <v>229976.29772244199</v>
      </c>
      <c r="Q30" s="114">
        <f>'DRE 2026'!G27</f>
        <v>159688.58999999997</v>
      </c>
      <c r="R30" s="116">
        <f t="shared" ca="1" si="4"/>
        <v>-0.30563022545598217</v>
      </c>
      <c r="S30" s="114">
        <f ca="1">Orçamento!G28</f>
        <v>202836.20565291701</v>
      </c>
      <c r="T30" s="114">
        <f>'DRE 2026'!H27</f>
        <v>170807.86000000004</v>
      </c>
      <c r="U30" s="116">
        <f t="shared" ca="1" si="5"/>
        <v>-0.1579025083308955</v>
      </c>
      <c r="V30" s="114">
        <f ca="1">Orçamento!H28</f>
        <v>256579.62077128401</v>
      </c>
      <c r="W30" s="114">
        <f ca="1">'DRE 2026'!I27</f>
        <v>185959</v>
      </c>
      <c r="X30" s="116">
        <f t="shared" ca="1" si="6"/>
        <v>-0.27523862011720518</v>
      </c>
      <c r="Y30" s="114">
        <f ca="1">Orçamento!I28</f>
        <v>265008.02967132698</v>
      </c>
      <c r="Z30" s="114">
        <f ca="1">'DRE 2026'!J27</f>
        <v>275712.88</v>
      </c>
      <c r="AA30" s="116">
        <f t="shared" ca="1" si="7"/>
        <v>4.039443764005788E-2</v>
      </c>
      <c r="AB30" s="114">
        <f ca="1">Orçamento!J28</f>
        <v>221879.38551549899</v>
      </c>
      <c r="AC30" s="114">
        <f ca="1">'DRE 2026'!K27</f>
        <v>0</v>
      </c>
      <c r="AD30" s="116">
        <f t="shared" ca="1" si="8"/>
        <v>-1</v>
      </c>
      <c r="AE30" s="123">
        <f ca="1">Orçamento!K28</f>
        <v>213719.96108591199</v>
      </c>
      <c r="AF30" s="114">
        <f ca="1">'DRE 2026'!L27</f>
        <v>0</v>
      </c>
      <c r="AG30" s="116">
        <f t="shared" ca="1" si="9"/>
        <v>-1</v>
      </c>
      <c r="AH30" s="114">
        <f ca="1">Orçamento!L28</f>
        <v>247987.000950824</v>
      </c>
      <c r="AI30" s="114">
        <f ca="1">'DRE 2026'!M27</f>
        <v>0</v>
      </c>
      <c r="AJ30" s="116">
        <f t="shared" ca="1" si="10"/>
        <v>-1</v>
      </c>
      <c r="AK30" s="114">
        <f ca="1">Orçamento!M28</f>
        <v>260098.61813123801</v>
      </c>
      <c r="AL30" s="114">
        <f ca="1">'DRE 2026'!N27</f>
        <v>0</v>
      </c>
      <c r="AM30" s="116">
        <f t="shared" ca="1" si="11"/>
        <v>-1</v>
      </c>
      <c r="AN30" s="8"/>
      <c r="AO30" s="114">
        <f t="shared" ca="1" si="19"/>
        <v>1235773.9246344529</v>
      </c>
      <c r="AP30" s="114">
        <f t="shared" si="22"/>
        <v>1035074.3</v>
      </c>
      <c r="AQ30" s="117">
        <f t="shared" ca="1" si="13"/>
        <v>-0.16240804295479908</v>
      </c>
      <c r="AR30" s="114">
        <f t="shared" ref="AR30:AS30" ca="1" si="43">IF($Z$7=0,V30,IF($AC$7=0,V30+Y30,IF($AF$7=0,V30+Y30+AB30,IF($AI$7=0,V30+Y30+AB30+AE30,IF($AL$7=0,V30+Y30+AB30+AE30+AH30,V30+Y30+AB30+AE30+AH30+AK30)))))</f>
        <v>521587.65044261096</v>
      </c>
      <c r="AS30" s="114">
        <f t="shared" ca="1" si="43"/>
        <v>461671.88</v>
      </c>
      <c r="AT30" s="117">
        <f t="shared" ca="1" si="15"/>
        <v>-0.11487191154117124</v>
      </c>
      <c r="AU30" s="114">
        <f t="shared" ca="1" si="16"/>
        <v>1757361.5750770639</v>
      </c>
      <c r="AV30" s="114">
        <f t="shared" ca="1" si="17"/>
        <v>1496746.1800000002</v>
      </c>
      <c r="AW30" s="117">
        <f t="shared" ca="1" si="18"/>
        <v>-0.14829924517135024</v>
      </c>
      <c r="AX30" s="117"/>
    </row>
    <row r="31" spans="1:50" ht="12.75" outlineLevel="1">
      <c r="A31" s="5"/>
      <c r="B31" s="5"/>
      <c r="C31" s="124" t="s">
        <v>46</v>
      </c>
      <c r="D31" s="57">
        <f ca="1">Orçamento!B29</f>
        <v>-115619.909455241</v>
      </c>
      <c r="E31" s="57">
        <f>'DRE 2026'!C28</f>
        <v>-112856.77306169999</v>
      </c>
      <c r="F31" s="86">
        <f t="shared" ca="1" si="0"/>
        <v>-2.3898447997061225E-2</v>
      </c>
      <c r="G31" s="57">
        <f ca="1">Orçamento!C29</f>
        <v>-122459.832240344</v>
      </c>
      <c r="H31" s="57">
        <f>'DRE 2026'!D28</f>
        <v>-116364.79071340001</v>
      </c>
      <c r="I31" s="60">
        <f t="shared" ca="1" si="1"/>
        <v>-4.9771761200698358E-2</v>
      </c>
      <c r="J31" s="57">
        <f ca="1">Orçamento!D29</f>
        <v>-119958.29534309699</v>
      </c>
      <c r="K31" s="57">
        <f>'DRE 2026'!E28</f>
        <v>-94723.738183199996</v>
      </c>
      <c r="L31" s="60">
        <f t="shared" ca="1" si="2"/>
        <v>-0.21036108497309622</v>
      </c>
      <c r="M31" s="57">
        <f ca="1">Orçamento!E29</f>
        <v>-114712.863336696</v>
      </c>
      <c r="N31" s="57">
        <f>'DRE 2026'!F28</f>
        <v>-127896.34572530001</v>
      </c>
      <c r="O31" s="60">
        <f t="shared" ca="1" si="3"/>
        <v>0.1149259290120665</v>
      </c>
      <c r="P31" s="57">
        <f ca="1">Orçamento!F29</f>
        <v>-116646.748382568</v>
      </c>
      <c r="Q31" s="57">
        <f>'DRE 2026'!G28</f>
        <v>-87178.468221100004</v>
      </c>
      <c r="R31" s="60">
        <f t="shared" ca="1" si="4"/>
        <v>-0.25262838930426468</v>
      </c>
      <c r="S31" s="57">
        <f ca="1">Orçamento!G29</f>
        <v>-115802.718945448</v>
      </c>
      <c r="T31" s="57">
        <f>'DRE 2026'!H28</f>
        <v>-79811.647224700006</v>
      </c>
      <c r="U31" s="60">
        <f t="shared" ca="1" si="5"/>
        <v>-0.3107964307617212</v>
      </c>
      <c r="V31" s="57">
        <f ca="1">Orçamento!H29</f>
        <v>-136920.64738329101</v>
      </c>
      <c r="W31" s="57">
        <f ca="1">'DRE 2026'!I28</f>
        <v>-133299.75676640001</v>
      </c>
      <c r="X31" s="60">
        <f t="shared" ca="1" si="6"/>
        <v>-2.6445175991279133E-2</v>
      </c>
      <c r="Y31" s="87">
        <f ca="1">Orçamento!I29</f>
        <v>-134561.318861798</v>
      </c>
      <c r="Z31" s="57">
        <f ca="1">'DRE 2026'!J28</f>
        <v>-121493.3609235</v>
      </c>
      <c r="AA31" s="60">
        <f t="shared" ca="1" si="7"/>
        <v>-9.7115263500943572E-2</v>
      </c>
      <c r="AB31" s="87">
        <f ca="1">Orçamento!J29</f>
        <v>-122819.387165904</v>
      </c>
      <c r="AC31" s="57">
        <f ca="1">'DRE 2026'!K28</f>
        <v>0</v>
      </c>
      <c r="AD31" s="60">
        <f t="shared" ca="1" si="8"/>
        <v>-1</v>
      </c>
      <c r="AE31" s="87">
        <f ca="1">Orçamento!K29</f>
        <v>-137373.91384206901</v>
      </c>
      <c r="AF31" s="57">
        <f ca="1">'DRE 2026'!L28</f>
        <v>0</v>
      </c>
      <c r="AG31" s="60">
        <f t="shared" ca="1" si="9"/>
        <v>-1</v>
      </c>
      <c r="AH31" s="87">
        <f ca="1">Orçamento!L29</f>
        <v>-130865.561077823</v>
      </c>
      <c r="AI31" s="57">
        <f ca="1">'DRE 2026'!M28</f>
        <v>0</v>
      </c>
      <c r="AJ31" s="60">
        <f t="shared" ca="1" si="10"/>
        <v>-1</v>
      </c>
      <c r="AK31" s="87">
        <f ca="1">Orçamento!M29</f>
        <v>-149932.474500941</v>
      </c>
      <c r="AL31" s="57">
        <f ca="1">'DRE 2026'!N28</f>
        <v>0</v>
      </c>
      <c r="AM31" s="60">
        <f t="shared" ca="1" si="11"/>
        <v>-1</v>
      </c>
      <c r="AN31" s="8"/>
      <c r="AO31" s="57">
        <f t="shared" ca="1" si="19"/>
        <v>-705200.36770339403</v>
      </c>
      <c r="AP31" s="57">
        <f t="shared" si="22"/>
        <v>-618831.76312939997</v>
      </c>
      <c r="AQ31" s="60">
        <f t="shared" ca="1" si="13"/>
        <v>-0.1224738507372993</v>
      </c>
      <c r="AR31" s="57">
        <f t="shared" ref="AR31:AS31" ca="1" si="44">IF($Z$7=0,V31,IF($AC$7=0,V31+Y31,IF($AF$7=0,V31+Y31+AB31,IF($AI$7=0,V31+Y31+AB31+AE31,IF($AL$7=0,V31+Y31+AB31+AE31+AH31,V31+Y31+AB31+AE31+AH31+AK31)))))</f>
        <v>-271481.96624508902</v>
      </c>
      <c r="AS31" s="57">
        <f t="shared" ca="1" si="44"/>
        <v>-254793.11768990001</v>
      </c>
      <c r="AT31" s="60">
        <f t="shared" ca="1" si="15"/>
        <v>-6.1473138661897762E-2</v>
      </c>
      <c r="AU31" s="57">
        <f t="shared" ca="1" si="16"/>
        <v>-976682.33394848299</v>
      </c>
      <c r="AV31" s="57">
        <f t="shared" ca="1" si="17"/>
        <v>-873624.88081929996</v>
      </c>
      <c r="AW31" s="60">
        <f t="shared" ca="1" si="18"/>
        <v>-0.10551788390862714</v>
      </c>
      <c r="AX31" s="60"/>
    </row>
    <row r="32" spans="1:50" ht="12.75" collapsed="1">
      <c r="A32" s="5"/>
      <c r="B32" s="5"/>
      <c r="C32" s="124" t="s">
        <v>47</v>
      </c>
      <c r="D32" s="57">
        <f ca="1">Orçamento!B30</f>
        <v>-53255.789593326401</v>
      </c>
      <c r="E32" s="57">
        <f>'DRE 2026'!C29</f>
        <v>-41486.490000000005</v>
      </c>
      <c r="F32" s="86">
        <f t="shared" ca="1" si="0"/>
        <v>-0.22099568297080008</v>
      </c>
      <c r="G32" s="57">
        <f ca="1">Orçamento!C30</f>
        <v>-53170.304928963698</v>
      </c>
      <c r="H32" s="57">
        <f>'DRE 2026'!D29</f>
        <v>-44933.630000000005</v>
      </c>
      <c r="I32" s="60">
        <f t="shared" ca="1" si="1"/>
        <v>-0.15491118472929602</v>
      </c>
      <c r="J32" s="57">
        <f ca="1">Orçamento!D30</f>
        <v>-46890.776472545003</v>
      </c>
      <c r="K32" s="57">
        <f>'DRE 2026'!E29</f>
        <v>-31323.43</v>
      </c>
      <c r="L32" s="60">
        <f t="shared" ca="1" si="2"/>
        <v>-0.33199165472680608</v>
      </c>
      <c r="M32" s="57">
        <f ca="1">Orçamento!E30</f>
        <v>-41697.295687182697</v>
      </c>
      <c r="N32" s="57">
        <f>'DRE 2026'!F29</f>
        <v>-60289.29</v>
      </c>
      <c r="O32" s="60">
        <f t="shared" ca="1" si="3"/>
        <v>0.44588009861110212</v>
      </c>
      <c r="P32" s="57">
        <f ca="1">Orçamento!F30</f>
        <v>-50771.039878789197</v>
      </c>
      <c r="Q32" s="57">
        <f>'DRE 2026'!G29</f>
        <v>-31299.56</v>
      </c>
      <c r="R32" s="60">
        <f t="shared" ca="1" si="4"/>
        <v>-0.38351548294609322</v>
      </c>
      <c r="S32" s="57">
        <f ca="1">Orçamento!G30</f>
        <v>-50255.544855052598</v>
      </c>
      <c r="T32" s="57">
        <f>'DRE 2026'!H29</f>
        <v>-24522.11</v>
      </c>
      <c r="U32" s="60">
        <f t="shared" ca="1" si="5"/>
        <v>-0.51205165378811734</v>
      </c>
      <c r="V32" s="57">
        <f ca="1">Orçamento!H30</f>
        <v>-66803.581016000899</v>
      </c>
      <c r="W32" s="57">
        <f ca="1">'DRE 2026'!I29</f>
        <v>-44614.36</v>
      </c>
      <c r="X32" s="60">
        <f t="shared" ca="1" si="6"/>
        <v>-0.33215616106995971</v>
      </c>
      <c r="Y32" s="57">
        <f ca="1">Orçamento!I30</f>
        <v>-63752.193496322099</v>
      </c>
      <c r="Z32" s="57">
        <f ca="1">'DRE 2026'!J29</f>
        <v>-50519.15</v>
      </c>
      <c r="AA32" s="60">
        <f t="shared" ca="1" si="7"/>
        <v>-0.2075700108590855</v>
      </c>
      <c r="AB32" s="57">
        <f ca="1">Orçamento!J30</f>
        <v>-54389.615129522201</v>
      </c>
      <c r="AC32" s="57">
        <f ca="1">'DRE 2026'!K29</f>
        <v>0</v>
      </c>
      <c r="AD32" s="60">
        <f t="shared" ca="1" si="8"/>
        <v>-1</v>
      </c>
      <c r="AE32" s="57">
        <f ca="1">Orçamento!K30</f>
        <v>-68844.819810893707</v>
      </c>
      <c r="AF32" s="57">
        <f ca="1">'DRE 2026'!L29</f>
        <v>0</v>
      </c>
      <c r="AG32" s="60">
        <f t="shared" ca="1" si="9"/>
        <v>-1</v>
      </c>
      <c r="AH32" s="57">
        <f ca="1">Orçamento!L30</f>
        <v>-61536.351520068602</v>
      </c>
      <c r="AI32" s="57">
        <f ca="1">'DRE 2026'!M29</f>
        <v>0</v>
      </c>
      <c r="AJ32" s="60">
        <f t="shared" ca="1" si="10"/>
        <v>-1</v>
      </c>
      <c r="AK32" s="57">
        <f ca="1">Orçamento!M30</f>
        <v>-76311.776069134299</v>
      </c>
      <c r="AL32" s="57">
        <f ca="1">'DRE 2026'!N29</f>
        <v>0</v>
      </c>
      <c r="AM32" s="60">
        <f t="shared" ca="1" si="11"/>
        <v>-1</v>
      </c>
      <c r="AN32" s="8"/>
      <c r="AO32" s="57">
        <f t="shared" ca="1" si="19"/>
        <v>-296040.75141585956</v>
      </c>
      <c r="AP32" s="57">
        <f t="shared" si="22"/>
        <v>-233854.51</v>
      </c>
      <c r="AQ32" s="60">
        <f t="shared" ca="1" si="13"/>
        <v>-0.21005973373072614</v>
      </c>
      <c r="AR32" s="57">
        <f t="shared" ref="AR32:AS32" ca="1" si="45">IF($Z$7=0,V32,IF($AC$7=0,V32+Y32,IF($AF$7=0,V32+Y32+AB32,IF($AI$7=0,V32+Y32+AB32+AE32,IF($AL$7=0,V32+Y32+AB32+AE32+AH32,V32+Y32+AB32+AE32+AH32+AK32)))))</f>
        <v>-130555.774512323</v>
      </c>
      <c r="AS32" s="57">
        <f t="shared" ca="1" si="45"/>
        <v>-95133.510000000009</v>
      </c>
      <c r="AT32" s="60">
        <f t="shared" ca="1" si="15"/>
        <v>-0.27131901782697115</v>
      </c>
      <c r="AU32" s="57">
        <f t="shared" ca="1" si="16"/>
        <v>-426596.52592818253</v>
      </c>
      <c r="AV32" s="57">
        <f t="shared" ca="1" si="17"/>
        <v>-328988.02</v>
      </c>
      <c r="AW32" s="60">
        <f t="shared" ca="1" si="18"/>
        <v>-0.22880754998134908</v>
      </c>
      <c r="AX32" s="60"/>
    </row>
    <row r="33" spans="1:50" ht="12.75" hidden="1" outlineLevel="1">
      <c r="A33" s="5"/>
      <c r="B33" s="5"/>
      <c r="C33" s="84" t="s">
        <v>48</v>
      </c>
      <c r="D33" s="85">
        <f ca="1">Orçamento!B31</f>
        <v>-5496.6220311080697</v>
      </c>
      <c r="E33" s="85">
        <f>'DRE 2026'!C30</f>
        <v>-1451.13</v>
      </c>
      <c r="F33" s="86">
        <f t="shared" ca="1" si="0"/>
        <v>-0.73599603687731363</v>
      </c>
      <c r="G33" s="85">
        <f ca="1">Orçamento!C31</f>
        <v>-4497.8398819769</v>
      </c>
      <c r="H33" s="85">
        <f>'DRE 2026'!D30</f>
        <v>-2288.75</v>
      </c>
      <c r="I33" s="86">
        <f t="shared" ca="1" si="1"/>
        <v>-0.49114462496294026</v>
      </c>
      <c r="J33" s="85">
        <f ca="1">Orçamento!D31</f>
        <v>-6042.4154137374799</v>
      </c>
      <c r="K33" s="85">
        <f>'DRE 2026'!E30</f>
        <v>-1783.99</v>
      </c>
      <c r="L33" s="86">
        <f t="shared" ca="1" si="2"/>
        <v>-0.70475548636658047</v>
      </c>
      <c r="M33" s="85">
        <f ca="1">Orçamento!E31</f>
        <v>-4861.4258846843304</v>
      </c>
      <c r="N33" s="85">
        <f>'DRE 2026'!F30</f>
        <v>-9302.58</v>
      </c>
      <c r="O33" s="86">
        <f t="shared" ca="1" si="3"/>
        <v>0.91354969111167461</v>
      </c>
      <c r="P33" s="85">
        <f ca="1">Orçamento!F31</f>
        <v>-6150.4847443528297</v>
      </c>
      <c r="Q33" s="85">
        <f>'DRE 2026'!G30</f>
        <v>-2014.09</v>
      </c>
      <c r="R33" s="86">
        <f t="shared" ca="1" si="4"/>
        <v>-0.67253150219594149</v>
      </c>
      <c r="S33" s="85">
        <f ca="1">Orçamento!G31</f>
        <v>-5213.3878243482604</v>
      </c>
      <c r="T33" s="85">
        <f>'DRE 2026'!H30</f>
        <v>-233.43</v>
      </c>
      <c r="U33" s="86">
        <f t="shared" ca="1" si="5"/>
        <v>-0.95522489255263066</v>
      </c>
      <c r="V33" s="85">
        <f ca="1">Orçamento!H31</f>
        <v>-6632.6970377437201</v>
      </c>
      <c r="W33" s="85">
        <f ca="1">'DRE 2026'!I30</f>
        <v>-84.75</v>
      </c>
      <c r="X33" s="86">
        <f t="shared" ca="1" si="6"/>
        <v>-0.98722239241175569</v>
      </c>
      <c r="Y33" s="85">
        <f ca="1">Orçamento!I31</f>
        <v>-6905.7947667073004</v>
      </c>
      <c r="Z33" s="85">
        <f ca="1">'DRE 2026'!J30</f>
        <v>-390.18</v>
      </c>
      <c r="AA33" s="86">
        <f t="shared" ca="1" si="7"/>
        <v>-0.94349962413000599</v>
      </c>
      <c r="AB33" s="85">
        <f ca="1">Orçamento!J31</f>
        <v>-5808.54710119225</v>
      </c>
      <c r="AC33" s="85">
        <f>'DRE 2026'!K30</f>
        <v>0</v>
      </c>
      <c r="AD33" s="86">
        <f t="shared" ca="1" si="8"/>
        <v>-1</v>
      </c>
      <c r="AE33" s="85">
        <f ca="1">Orçamento!K31</f>
        <v>-5598.14124959132</v>
      </c>
      <c r="AF33" s="85">
        <f>'DRE 2026'!L30</f>
        <v>0</v>
      </c>
      <c r="AG33" s="86">
        <f t="shared" ca="1" si="9"/>
        <v>-1</v>
      </c>
      <c r="AH33" s="85">
        <f ca="1">Orçamento!L31</f>
        <v>-6561.9176364754403</v>
      </c>
      <c r="AI33" s="85">
        <f>'DRE 2026'!M30</f>
        <v>0</v>
      </c>
      <c r="AJ33" s="86">
        <f t="shared" ca="1" si="10"/>
        <v>-1</v>
      </c>
      <c r="AK33" s="85">
        <f ca="1">Orçamento!M31</f>
        <v>-6894.4474819927</v>
      </c>
      <c r="AL33" s="85">
        <f>'DRE 2026'!N30</f>
        <v>0</v>
      </c>
      <c r="AM33" s="86">
        <f t="shared" ca="1" si="11"/>
        <v>-1</v>
      </c>
      <c r="AN33" s="8"/>
      <c r="AO33" s="85">
        <f t="shared" ca="1" si="19"/>
        <v>-32262.175780207872</v>
      </c>
      <c r="AP33" s="85">
        <f t="shared" si="22"/>
        <v>-17073.97</v>
      </c>
      <c r="AQ33" s="86">
        <f t="shared" ca="1" si="13"/>
        <v>-0.47077437937479399</v>
      </c>
      <c r="AR33" s="85">
        <f t="shared" ref="AR33:AS33" ca="1" si="46">IF($Z$7=0,V33,IF($AC$7=0,V33+Y33,IF($AF$7=0,V33+Y33+AB33,IF($AI$7=0,V33+Y33+AB33+AE33,IF($AL$7=0,V33+Y33+AB33+AE33+AH33,V33+Y33+AB33+AE33+AH33+AK33)))))</f>
        <v>-13538.49180445102</v>
      </c>
      <c r="AS33" s="85">
        <f t="shared" ca="1" si="46"/>
        <v>-474.93</v>
      </c>
      <c r="AT33" s="86">
        <f t="shared" ca="1" si="15"/>
        <v>-0.96492002160507584</v>
      </c>
      <c r="AU33" s="85">
        <f t="shared" ca="1" si="16"/>
        <v>-45800.667584658891</v>
      </c>
      <c r="AV33" s="85">
        <f t="shared" ca="1" si="17"/>
        <v>-17548.900000000001</v>
      </c>
      <c r="AW33" s="86">
        <f t="shared" ca="1" si="18"/>
        <v>-0.61684182948726118</v>
      </c>
      <c r="AX33" s="86"/>
    </row>
    <row r="34" spans="1:50" ht="12.75" hidden="1" outlineLevel="1">
      <c r="A34" s="5"/>
      <c r="B34" s="5"/>
      <c r="C34" s="108" t="s">
        <v>107</v>
      </c>
      <c r="D34" s="85">
        <f ca="1">Orçamento!B32</f>
        <v>-1722.4653372984001</v>
      </c>
      <c r="E34" s="85">
        <f>'DRE 2026'!C31</f>
        <v>-8204.25</v>
      </c>
      <c r="F34" s="86">
        <f t="shared" ca="1" si="0"/>
        <v>3.7630856902281424</v>
      </c>
      <c r="G34" s="85">
        <f ca="1">Orçamento!C32</f>
        <v>-1440.3645946468</v>
      </c>
      <c r="H34" s="85">
        <f>'DRE 2026'!D31</f>
        <v>0</v>
      </c>
      <c r="I34" s="86">
        <f t="shared" ca="1" si="1"/>
        <v>-1</v>
      </c>
      <c r="J34" s="85">
        <f ca="1">Orçamento!D32</f>
        <v>-1925.4777274276</v>
      </c>
      <c r="K34" s="85">
        <f>'DRE 2026'!E31</f>
        <v>0</v>
      </c>
      <c r="L34" s="86">
        <f t="shared" ca="1" si="2"/>
        <v>-1</v>
      </c>
      <c r="M34" s="85">
        <f ca="1">Orçamento!E32</f>
        <v>-1560.5813435784</v>
      </c>
      <c r="N34" s="85">
        <f>'DRE 2026'!F31</f>
        <v>-12208.85</v>
      </c>
      <c r="O34" s="86">
        <f t="shared" ca="1" si="3"/>
        <v>6.8232705076463418</v>
      </c>
      <c r="P34" s="85">
        <f ca="1">Orçamento!F32</f>
        <v>-1980.5188536164001</v>
      </c>
      <c r="Q34" s="85">
        <f>'DRE 2026'!G31</f>
        <v>0</v>
      </c>
      <c r="R34" s="86">
        <f t="shared" ca="1" si="4"/>
        <v>-1</v>
      </c>
      <c r="S34" s="85">
        <f ca="1">Orçamento!G32</f>
        <v>-1676.2574664844001</v>
      </c>
      <c r="T34" s="85">
        <f>'DRE 2026'!H31</f>
        <v>0</v>
      </c>
      <c r="U34" s="86">
        <f t="shared" ca="1" si="5"/>
        <v>-1</v>
      </c>
      <c r="V34" s="85">
        <f ca="1">Orçamento!H32</f>
        <v>-2125.9835383971999</v>
      </c>
      <c r="W34" s="85">
        <f ca="1">'DRE 2026'!I31</f>
        <v>-3390.02</v>
      </c>
      <c r="X34" s="86">
        <f t="shared" ca="1" si="6"/>
        <v>0.59456549816738924</v>
      </c>
      <c r="Y34" s="85">
        <f ca="1">Orçamento!I32</f>
        <v>-2198.1214558748002</v>
      </c>
      <c r="Z34" s="85">
        <f ca="1">'DRE 2026'!J31</f>
        <v>0</v>
      </c>
      <c r="AA34" s="86">
        <f t="shared" ca="1" si="7"/>
        <v>-1</v>
      </c>
      <c r="AB34" s="85">
        <f ca="1">Orçamento!J32</f>
        <v>-1839.2459268299999</v>
      </c>
      <c r="AC34" s="85">
        <f>'DRE 2026'!K31</f>
        <v>0</v>
      </c>
      <c r="AD34" s="86">
        <f t="shared" ca="1" si="8"/>
        <v>-1</v>
      </c>
      <c r="AE34" s="85">
        <f ca="1">Orçamento!K32</f>
        <v>-1763.8162321824</v>
      </c>
      <c r="AF34" s="85">
        <f>'DRE 2026'!L31</f>
        <v>0</v>
      </c>
      <c r="AG34" s="86">
        <f t="shared" ca="1" si="9"/>
        <v>-1</v>
      </c>
      <c r="AH34" s="85">
        <f ca="1">Orçamento!L32</f>
        <v>-2048.1099569332</v>
      </c>
      <c r="AI34" s="85">
        <f>'DRE 2026'!M31</f>
        <v>0</v>
      </c>
      <c r="AJ34" s="86">
        <f t="shared" ca="1" si="10"/>
        <v>-1</v>
      </c>
      <c r="AK34" s="85">
        <f ca="1">Orçamento!M32</f>
        <v>-2146.4774640616001</v>
      </c>
      <c r="AL34" s="85">
        <f>'DRE 2026'!N31</f>
        <v>0</v>
      </c>
      <c r="AM34" s="86">
        <f t="shared" ca="1" si="11"/>
        <v>-1</v>
      </c>
      <c r="AN34" s="8"/>
      <c r="AO34" s="85">
        <f t="shared" ca="1" si="19"/>
        <v>-1722.4653372984001</v>
      </c>
      <c r="AP34" s="85">
        <f t="shared" si="22"/>
        <v>-20413.099999999999</v>
      </c>
      <c r="AQ34" s="86">
        <f t="shared" ca="1" si="13"/>
        <v>10.85109479881721</v>
      </c>
      <c r="AR34" s="85">
        <f t="shared" ref="AR34:AS34" ca="1" si="47">IF($Z$7=0,V34,IF($AC$7=0,V34+Y34,IF($AF$7=0,V34+Y34+AB34,IF($AI$7=0,V34+Y34+AB34+AE34,IF($AL$7=0,V34+Y34+AB34+AE34+AH34,V34+Y34+AB34+AE34+AH34+AK34)))))</f>
        <v>-4324.1049942720001</v>
      </c>
      <c r="AS34" s="85">
        <f t="shared" ca="1" si="47"/>
        <v>-3390.02</v>
      </c>
      <c r="AT34" s="86">
        <f t="shared" ca="1" si="15"/>
        <v>-0.21601811138012417</v>
      </c>
      <c r="AU34" s="85">
        <f t="shared" ca="1" si="16"/>
        <v>-6046.5703315704004</v>
      </c>
      <c r="AV34" s="85">
        <f t="shared" ca="1" si="17"/>
        <v>-23803.119999999999</v>
      </c>
      <c r="AW34" s="86">
        <f t="shared" ca="1" si="18"/>
        <v>2.9366316266460943</v>
      </c>
      <c r="AX34" s="86"/>
    </row>
    <row r="35" spans="1:50" ht="12.75" hidden="1" outlineLevel="1">
      <c r="A35" s="5"/>
      <c r="B35" s="5"/>
      <c r="C35" s="84" t="s">
        <v>49</v>
      </c>
      <c r="D35" s="85">
        <f ca="1">Orçamento!B33</f>
        <v>-3952.5</v>
      </c>
      <c r="E35" s="85">
        <f>'DRE 2026'!C32</f>
        <v>-15649</v>
      </c>
      <c r="F35" s="86">
        <f t="shared" ca="1" si="0"/>
        <v>2.9592662871600255</v>
      </c>
      <c r="G35" s="85">
        <f ca="1">Orçamento!C33</f>
        <v>-15952.5</v>
      </c>
      <c r="H35" s="85">
        <f>'DRE 2026'!D32</f>
        <v>-2000</v>
      </c>
      <c r="I35" s="86">
        <f t="shared" ca="1" si="1"/>
        <v>-0.87462780128506501</v>
      </c>
      <c r="J35" s="85">
        <f ca="1">Orçamento!D33</f>
        <v>-4022.5</v>
      </c>
      <c r="K35" s="85">
        <f>'DRE 2026'!E32</f>
        <v>-2000</v>
      </c>
      <c r="L35" s="86">
        <f t="shared" ca="1" si="2"/>
        <v>-0.50279676817899321</v>
      </c>
      <c r="M35" s="85">
        <f ca="1">Orçamento!E33</f>
        <v>-3952.5</v>
      </c>
      <c r="N35" s="85">
        <f>'DRE 2026'!F32</f>
        <v>-4719</v>
      </c>
      <c r="O35" s="86">
        <f t="shared" ca="1" si="3"/>
        <v>0.19392789373814043</v>
      </c>
      <c r="P35" s="85">
        <f ca="1">Orçamento!F33</f>
        <v>-3952.5</v>
      </c>
      <c r="Q35" s="85">
        <f>'DRE 2026'!G32</f>
        <v>-12102.08</v>
      </c>
      <c r="R35" s="86">
        <f t="shared" ca="1" si="4"/>
        <v>2.0618798228969006</v>
      </c>
      <c r="S35" s="85">
        <f ca="1">Orçamento!G33</f>
        <v>-3952.5</v>
      </c>
      <c r="T35" s="85">
        <f>'DRE 2026'!H32</f>
        <v>-2752.3599999999997</v>
      </c>
      <c r="U35" s="86">
        <f t="shared" ca="1" si="5"/>
        <v>-0.30364073371284006</v>
      </c>
      <c r="V35" s="85">
        <f ca="1">Orçamento!H33</f>
        <v>-11452.5</v>
      </c>
      <c r="W35" s="85">
        <f ca="1">'DRE 2026'!I32</f>
        <v>-3402.36</v>
      </c>
      <c r="X35" s="86">
        <f t="shared" ca="1" si="6"/>
        <v>-0.70291552062868368</v>
      </c>
      <c r="Y35" s="85">
        <f ca="1">Orçamento!I33</f>
        <v>-6452.5</v>
      </c>
      <c r="Z35" s="85">
        <f ca="1">'DRE 2026'!J32</f>
        <v>-4629.67</v>
      </c>
      <c r="AA35" s="86">
        <f t="shared" ca="1" si="7"/>
        <v>-0.28249980627663696</v>
      </c>
      <c r="AB35" s="85">
        <f ca="1">Orçamento!J33</f>
        <v>-6452.5</v>
      </c>
      <c r="AC35" s="85">
        <f>'DRE 2026'!K32</f>
        <v>0</v>
      </c>
      <c r="AD35" s="86">
        <f t="shared" ca="1" si="8"/>
        <v>-1</v>
      </c>
      <c r="AE35" s="85">
        <f ca="1">Orçamento!K33</f>
        <v>-16452.5</v>
      </c>
      <c r="AF35" s="85">
        <f>'DRE 2026'!L32</f>
        <v>0</v>
      </c>
      <c r="AG35" s="86">
        <f t="shared" ca="1" si="9"/>
        <v>-1</v>
      </c>
      <c r="AH35" s="85">
        <f ca="1">Orçamento!L33</f>
        <v>-1452.5</v>
      </c>
      <c r="AI35" s="85">
        <f>'DRE 2026'!M32</f>
        <v>0</v>
      </c>
      <c r="AJ35" s="86">
        <f t="shared" ca="1" si="10"/>
        <v>-1</v>
      </c>
      <c r="AK35" s="85">
        <f ca="1">Orçamento!M33</f>
        <v>-1452.5</v>
      </c>
      <c r="AL35" s="85">
        <f>'DRE 2026'!N32</f>
        <v>0</v>
      </c>
      <c r="AM35" s="86">
        <f t="shared" ca="1" si="11"/>
        <v>-1</v>
      </c>
      <c r="AN35" s="8"/>
      <c r="AO35" s="85">
        <f t="shared" ca="1" si="19"/>
        <v>-35785</v>
      </c>
      <c r="AP35" s="85">
        <f t="shared" si="22"/>
        <v>-39222.44</v>
      </c>
      <c r="AQ35" s="86">
        <f t="shared" ca="1" si="13"/>
        <v>9.6058124912672974E-2</v>
      </c>
      <c r="AR35" s="85">
        <f t="shared" ref="AR35:AS35" ca="1" si="48">IF($Z$7=0,V35,IF($AC$7=0,V35+Y35,IF($AF$7=0,V35+Y35+AB35,IF($AI$7=0,V35+Y35+AB35+AE35,IF($AL$7=0,V35+Y35+AB35+AE35+AH35,V35+Y35+AB35+AE35+AH35+AK35)))))</f>
        <v>-17905</v>
      </c>
      <c r="AS35" s="85">
        <f t="shared" ca="1" si="48"/>
        <v>-8032.0300000000007</v>
      </c>
      <c r="AT35" s="86">
        <f t="shared" ca="1" si="15"/>
        <v>-0.55140854509913428</v>
      </c>
      <c r="AU35" s="85">
        <f t="shared" ca="1" si="16"/>
        <v>-53690</v>
      </c>
      <c r="AV35" s="85">
        <f t="shared" ca="1" si="17"/>
        <v>-47254.47</v>
      </c>
      <c r="AW35" s="86">
        <f t="shared" ca="1" si="18"/>
        <v>-0.11986459303408453</v>
      </c>
      <c r="AX35" s="86"/>
    </row>
    <row r="36" spans="1:50" ht="12.75" hidden="1" outlineLevel="1">
      <c r="A36" s="5"/>
      <c r="B36" s="5"/>
      <c r="C36" s="84" t="s">
        <v>50</v>
      </c>
      <c r="D36" s="85">
        <f ca="1">Orçamento!B34</f>
        <v>-500</v>
      </c>
      <c r="E36" s="85">
        <f>'DRE 2026'!C33</f>
        <v>0</v>
      </c>
      <c r="F36" s="86">
        <f t="shared" ca="1" si="0"/>
        <v>-1</v>
      </c>
      <c r="G36" s="85">
        <f ca="1">Orçamento!C34</f>
        <v>-500</v>
      </c>
      <c r="H36" s="85">
        <f>'DRE 2026'!D33</f>
        <v>-5024.12</v>
      </c>
      <c r="I36" s="86">
        <f t="shared" ca="1" si="1"/>
        <v>9.0482399999999998</v>
      </c>
      <c r="J36" s="85">
        <f ca="1">Orçamento!D34</f>
        <v>-500</v>
      </c>
      <c r="K36" s="85">
        <f>'DRE 2026'!E33</f>
        <v>-1124.9100000000001</v>
      </c>
      <c r="L36" s="86">
        <f t="shared" ca="1" si="2"/>
        <v>1.2498200000000002</v>
      </c>
      <c r="M36" s="85">
        <f ca="1">Orçamento!E34</f>
        <v>-500</v>
      </c>
      <c r="N36" s="85">
        <f>'DRE 2026'!F33</f>
        <v>-3559.8</v>
      </c>
      <c r="O36" s="86">
        <f t="shared" ca="1" si="3"/>
        <v>6.1196000000000002</v>
      </c>
      <c r="P36" s="85">
        <f ca="1">Orçamento!F34</f>
        <v>-500</v>
      </c>
      <c r="Q36" s="85">
        <f>'DRE 2026'!G33</f>
        <v>-580.01</v>
      </c>
      <c r="R36" s="86">
        <f t="shared" ca="1" si="4"/>
        <v>0.16002</v>
      </c>
      <c r="S36" s="85">
        <f ca="1">Orçamento!G34</f>
        <v>-500</v>
      </c>
      <c r="T36" s="85">
        <f>'DRE 2026'!H33</f>
        <v>-1466.5</v>
      </c>
      <c r="U36" s="86">
        <f t="shared" ca="1" si="5"/>
        <v>1.9330000000000001</v>
      </c>
      <c r="V36" s="85">
        <f ca="1">Orçamento!H34</f>
        <v>-500</v>
      </c>
      <c r="W36" s="85">
        <f ca="1">'DRE 2026'!I33</f>
        <v>0</v>
      </c>
      <c r="X36" s="86">
        <f t="shared" ca="1" si="6"/>
        <v>-1</v>
      </c>
      <c r="Y36" s="85">
        <f ca="1">Orçamento!I34</f>
        <v>-500</v>
      </c>
      <c r="Z36" s="85">
        <f ca="1">'DRE 2026'!J33</f>
        <v>0</v>
      </c>
      <c r="AA36" s="86">
        <f t="shared" ca="1" si="7"/>
        <v>-1</v>
      </c>
      <c r="AB36" s="85">
        <f ca="1">Orçamento!J34</f>
        <v>-500</v>
      </c>
      <c r="AC36" s="85">
        <f>'DRE 2026'!K33</f>
        <v>0</v>
      </c>
      <c r="AD36" s="86">
        <f t="shared" ca="1" si="8"/>
        <v>-1</v>
      </c>
      <c r="AE36" s="85">
        <f ca="1">Orçamento!K34</f>
        <v>-500</v>
      </c>
      <c r="AF36" s="85">
        <f>'DRE 2026'!L33</f>
        <v>0</v>
      </c>
      <c r="AG36" s="86">
        <f t="shared" ca="1" si="9"/>
        <v>-1</v>
      </c>
      <c r="AH36" s="85">
        <f ca="1">Orçamento!L34</f>
        <v>-500</v>
      </c>
      <c r="AI36" s="85">
        <f>'DRE 2026'!M33</f>
        <v>0</v>
      </c>
      <c r="AJ36" s="86">
        <f t="shared" ca="1" si="10"/>
        <v>-1</v>
      </c>
      <c r="AK36" s="85">
        <f ca="1">Orçamento!M34</f>
        <v>-500</v>
      </c>
      <c r="AL36" s="85">
        <f>'DRE 2026'!N33</f>
        <v>0</v>
      </c>
      <c r="AM36" s="86">
        <f t="shared" ca="1" si="11"/>
        <v>-1</v>
      </c>
      <c r="AN36" s="8"/>
      <c r="AO36" s="85">
        <f t="shared" ca="1" si="19"/>
        <v>-3000</v>
      </c>
      <c r="AP36" s="85">
        <f t="shared" si="22"/>
        <v>-11755.34</v>
      </c>
      <c r="AQ36" s="86">
        <f t="shared" ca="1" si="13"/>
        <v>2.9184466666666666</v>
      </c>
      <c r="AR36" s="85">
        <f t="shared" ref="AR36:AS36" ca="1" si="49">IF($Z$7=0,V36,IF($AC$7=0,V36+Y36,IF($AF$7=0,V36+Y36+AB36,IF($AI$7=0,V36+Y36+AB36+AE36,IF($AL$7=0,V36+Y36+AB36+AE36+AH36,V36+Y36+AB36+AE36+AH36+AK36)))))</f>
        <v>-1000</v>
      </c>
      <c r="AS36" s="85">
        <f t="shared" ca="1" si="49"/>
        <v>0</v>
      </c>
      <c r="AT36" s="86">
        <f t="shared" ca="1" si="15"/>
        <v>-1</v>
      </c>
      <c r="AU36" s="85">
        <f t="shared" ca="1" si="16"/>
        <v>-4000</v>
      </c>
      <c r="AV36" s="85">
        <f t="shared" ca="1" si="17"/>
        <v>-11755.34</v>
      </c>
      <c r="AW36" s="86">
        <f t="shared" ca="1" si="18"/>
        <v>1.9388350000000001</v>
      </c>
      <c r="AX36" s="86"/>
    </row>
    <row r="37" spans="1:50" ht="12.75" hidden="1" outlineLevel="1">
      <c r="A37" s="5"/>
      <c r="B37" s="5"/>
      <c r="C37" s="84" t="s">
        <v>51</v>
      </c>
      <c r="D37" s="125">
        <f ca="1">Orçamento!B35</f>
        <v>-1373.7647999999999</v>
      </c>
      <c r="E37" s="125">
        <f>'DRE 2026'!C34</f>
        <v>-553.65</v>
      </c>
      <c r="F37" s="86">
        <f t="shared" ca="1" si="0"/>
        <v>-0.5969834137546689</v>
      </c>
      <c r="G37" s="125">
        <f ca="1">Orçamento!C35</f>
        <v>-1885.7295999999999</v>
      </c>
      <c r="H37" s="125">
        <f>'DRE 2026'!D34</f>
        <v>-3109.05</v>
      </c>
      <c r="I37" s="88">
        <f t="shared" ca="1" si="1"/>
        <v>0.64872524671617837</v>
      </c>
      <c r="J37" s="125">
        <f ca="1">Orçamento!D35</f>
        <v>-2195.2528000000002</v>
      </c>
      <c r="K37" s="125">
        <f>'DRE 2026'!E34</f>
        <v>-3018.19</v>
      </c>
      <c r="L37" s="88">
        <f t="shared" ca="1" si="2"/>
        <v>0.37487126767359086</v>
      </c>
      <c r="M37" s="85">
        <f ca="1">Orçamento!E35</f>
        <v>-2104.8303999999998</v>
      </c>
      <c r="N37" s="85">
        <f>'DRE 2026'!F34</f>
        <v>-3572.6200000000003</v>
      </c>
      <c r="O37" s="86">
        <f t="shared" ca="1" si="3"/>
        <v>0.69734340591051924</v>
      </c>
      <c r="P37" s="85">
        <f ca="1">Orçamento!F35</f>
        <v>-2812.0479999999998</v>
      </c>
      <c r="Q37" s="85">
        <f>'DRE 2026'!G34</f>
        <v>-3821.33</v>
      </c>
      <c r="R37" s="86">
        <f t="shared" ca="1" si="4"/>
        <v>0.35891350361018026</v>
      </c>
      <c r="S37" s="85">
        <f ca="1">Orçamento!G35</f>
        <v>-2403.5232000000001</v>
      </c>
      <c r="T37" s="85">
        <f>'DRE 2026'!H34</f>
        <v>-1769.13</v>
      </c>
      <c r="U37" s="86">
        <f t="shared" ca="1" si="5"/>
        <v>-0.26394303162956778</v>
      </c>
      <c r="V37" s="85">
        <f ca="1">Orçamento!H35</f>
        <v>-2841.0336000000002</v>
      </c>
      <c r="W37" s="85">
        <f ca="1">'DRE 2026'!I34</f>
        <v>-5015.91</v>
      </c>
      <c r="X37" s="86">
        <f t="shared" ca="1" si="6"/>
        <v>0.76552294207291305</v>
      </c>
      <c r="Y37" s="85">
        <f ca="1">Orçamento!I35</f>
        <v>-2553.4063999999998</v>
      </c>
      <c r="Z37" s="85">
        <f ca="1">'DRE 2026'!J34</f>
        <v>-1762.39</v>
      </c>
      <c r="AA37" s="86">
        <f t="shared" ca="1" si="7"/>
        <v>-0.30978868072078136</v>
      </c>
      <c r="AB37" s="85">
        <f ca="1">Orçamento!J35</f>
        <v>-1893.0368000000001</v>
      </c>
      <c r="AC37" s="85">
        <f>'DRE 2026'!K34</f>
        <v>0</v>
      </c>
      <c r="AD37" s="86">
        <f t="shared" ca="1" si="8"/>
        <v>-1</v>
      </c>
      <c r="AE37" s="85">
        <f ca="1">Orçamento!K35</f>
        <v>-1675.7295999999999</v>
      </c>
      <c r="AF37" s="85">
        <f>'DRE 2026'!L34</f>
        <v>0</v>
      </c>
      <c r="AG37" s="86">
        <f t="shared" ca="1" si="9"/>
        <v>-1</v>
      </c>
      <c r="AH37" s="85">
        <f ca="1">Orçamento!L35</f>
        <v>-1444.2944</v>
      </c>
      <c r="AI37" s="85">
        <f>'DRE 2026'!M34</f>
        <v>0</v>
      </c>
      <c r="AJ37" s="86">
        <f t="shared" ca="1" si="10"/>
        <v>-1</v>
      </c>
      <c r="AK37" s="85">
        <f ca="1">Orçamento!M35</f>
        <v>-1529.4256</v>
      </c>
      <c r="AL37" s="85">
        <f>'DRE 2026'!N34</f>
        <v>0</v>
      </c>
      <c r="AM37" s="86">
        <f t="shared" ca="1" si="11"/>
        <v>-1</v>
      </c>
      <c r="AN37" s="8"/>
      <c r="AO37" s="85">
        <f t="shared" ca="1" si="19"/>
        <v>-12775.148799999999</v>
      </c>
      <c r="AP37" s="85">
        <f t="shared" si="22"/>
        <v>-15843.970000000001</v>
      </c>
      <c r="AQ37" s="86">
        <f t="shared" ca="1" si="13"/>
        <v>0.24021803957383278</v>
      </c>
      <c r="AR37" s="85">
        <f t="shared" ref="AR37:AS37" ca="1" si="50">IF($Z$7=0,V37,IF($AC$7=0,V37+Y37,IF($AF$7=0,V37+Y37+AB37,IF($AI$7=0,V37+Y37+AB37+AE37,IF($AL$7=0,V37+Y37+AB37+AE37+AH37,V37+Y37+AB37+AE37+AH37+AK37)))))</f>
        <v>-5394.4400000000005</v>
      </c>
      <c r="AS37" s="85">
        <f t="shared" ca="1" si="50"/>
        <v>-6778.3</v>
      </c>
      <c r="AT37" s="86">
        <f t="shared" ca="1" si="15"/>
        <v>0.25653450589866594</v>
      </c>
      <c r="AU37" s="85">
        <f t="shared" ca="1" si="16"/>
        <v>-18169.588799999998</v>
      </c>
      <c r="AV37" s="85">
        <f t="shared" ca="1" si="17"/>
        <v>-22622.27</v>
      </c>
      <c r="AW37" s="86">
        <f t="shared" ca="1" si="18"/>
        <v>0.24506229882318545</v>
      </c>
      <c r="AX37" s="86"/>
    </row>
    <row r="38" spans="1:50" ht="12.75" hidden="1" outlineLevel="1">
      <c r="A38" s="5"/>
      <c r="B38" s="5"/>
      <c r="C38" s="84" t="s">
        <v>52</v>
      </c>
      <c r="D38" s="125">
        <f ca="1">Orçamento!B36</f>
        <v>-9891.1065600000002</v>
      </c>
      <c r="E38" s="125">
        <f>'DRE 2026'!C35</f>
        <v>-4571.17</v>
      </c>
      <c r="F38" s="86">
        <f t="shared" ca="1" si="0"/>
        <v>-0.53785049506129268</v>
      </c>
      <c r="G38" s="125">
        <f ca="1">Orçamento!C36</f>
        <v>-13577.253119999999</v>
      </c>
      <c r="H38" s="125">
        <f>'DRE 2026'!D35</f>
        <v>-21204.02</v>
      </c>
      <c r="I38" s="88">
        <f t="shared" ca="1" si="1"/>
        <v>0.56173121415593097</v>
      </c>
      <c r="J38" s="125">
        <f ca="1">Orçamento!D36</f>
        <v>-15805.820159999999</v>
      </c>
      <c r="K38" s="125">
        <f>'DRE 2026'!E35</f>
        <v>-10487.02</v>
      </c>
      <c r="L38" s="88">
        <f t="shared" ca="1" si="2"/>
        <v>-0.33650896354371773</v>
      </c>
      <c r="M38" s="85">
        <f ca="1">Orçamento!E36</f>
        <v>-15154.7788799999</v>
      </c>
      <c r="N38" s="85">
        <f>'DRE 2026'!F35</f>
        <v>-18780.18</v>
      </c>
      <c r="O38" s="86">
        <f t="shared" ca="1" si="3"/>
        <v>0.23922494341270947</v>
      </c>
      <c r="P38" s="85">
        <f ca="1">Orçamento!F36</f>
        <v>-20246.745599999998</v>
      </c>
      <c r="Q38" s="85">
        <f>'DRE 2026'!G35</f>
        <v>-6501.84</v>
      </c>
      <c r="R38" s="86">
        <f t="shared" ca="1" si="4"/>
        <v>-0.67886987230184781</v>
      </c>
      <c r="S38" s="85">
        <f ca="1">Orçamento!G36</f>
        <v>-17305.367040000001</v>
      </c>
      <c r="T38" s="85">
        <f>'DRE 2026'!H35</f>
        <v>-7321.28</v>
      </c>
      <c r="U38" s="86">
        <f t="shared" ca="1" si="5"/>
        <v>-0.57693587295331938</v>
      </c>
      <c r="V38" s="85">
        <f ca="1">Orçamento!H36</f>
        <v>-20455.441920000001</v>
      </c>
      <c r="W38" s="85">
        <f ca="1">'DRE 2026'!I35</f>
        <v>-9750.44</v>
      </c>
      <c r="X38" s="86">
        <f t="shared" ca="1" si="6"/>
        <v>-0.52333271321473362</v>
      </c>
      <c r="Y38" s="85">
        <f ca="1">Orçamento!I36</f>
        <v>-18384.52608</v>
      </c>
      <c r="Z38" s="85">
        <f ca="1">'DRE 2026'!J35</f>
        <v>-13677.71</v>
      </c>
      <c r="AA38" s="86">
        <f t="shared" ca="1" si="7"/>
        <v>-0.25602052832465511</v>
      </c>
      <c r="AB38" s="85">
        <f ca="1">Orçamento!J36</f>
        <v>-13629.864960000001</v>
      </c>
      <c r="AC38" s="85">
        <f>'DRE 2026'!K35</f>
        <v>0</v>
      </c>
      <c r="AD38" s="86">
        <f t="shared" ca="1" si="8"/>
        <v>-1</v>
      </c>
      <c r="AE38" s="85">
        <f ca="1">Orçamento!K36</f>
        <v>-12065.253119999999</v>
      </c>
      <c r="AF38" s="85">
        <f>'DRE 2026'!L35</f>
        <v>0</v>
      </c>
      <c r="AG38" s="86">
        <f t="shared" ca="1" si="9"/>
        <v>-1</v>
      </c>
      <c r="AH38" s="85">
        <f ca="1">Orçamento!L36</f>
        <v>-10398.919680000001</v>
      </c>
      <c r="AI38" s="85">
        <f>'DRE 2026'!M35</f>
        <v>0</v>
      </c>
      <c r="AJ38" s="86">
        <f t="shared" ca="1" si="10"/>
        <v>-1</v>
      </c>
      <c r="AK38" s="85">
        <f ca="1">Orçamento!M36</f>
        <v>-11011.864320000001</v>
      </c>
      <c r="AL38" s="85">
        <f>'DRE 2026'!N35</f>
        <v>0</v>
      </c>
      <c r="AM38" s="86">
        <f t="shared" ca="1" si="11"/>
        <v>-1</v>
      </c>
      <c r="AN38" s="8"/>
      <c r="AO38" s="85">
        <f t="shared" ca="1" si="19"/>
        <v>-91981.071359999885</v>
      </c>
      <c r="AP38" s="85">
        <f t="shared" si="22"/>
        <v>-68865.510000000009</v>
      </c>
      <c r="AQ38" s="86">
        <f t="shared" ca="1" si="13"/>
        <v>-0.25130780733711061</v>
      </c>
      <c r="AR38" s="85">
        <f t="shared" ref="AR38:AS38" ca="1" si="51">IF($Z$7=0,V38,IF($AC$7=0,V38+Y38,IF($AF$7=0,V38+Y38+AB38,IF($AI$7=0,V38+Y38+AB38+AE38,IF($AL$7=0,V38+Y38+AB38+AE38+AH38,V38+Y38+AB38+AE38+AH38+AK38)))))</f>
        <v>-38839.968000000001</v>
      </c>
      <c r="AS38" s="85">
        <f t="shared" ca="1" si="51"/>
        <v>-23428.15</v>
      </c>
      <c r="AT38" s="86">
        <f t="shared" ca="1" si="15"/>
        <v>-0.39680305606842931</v>
      </c>
      <c r="AU38" s="85">
        <f t="shared" ca="1" si="16"/>
        <v>-130821.03935999988</v>
      </c>
      <c r="AV38" s="85">
        <f t="shared" ca="1" si="17"/>
        <v>-92293.66</v>
      </c>
      <c r="AW38" s="86">
        <f t="shared" ca="1" si="18"/>
        <v>-0.29450445852198365</v>
      </c>
      <c r="AX38" s="86"/>
    </row>
    <row r="39" spans="1:50" ht="12.75" hidden="1" outlineLevel="1">
      <c r="A39" s="5"/>
      <c r="B39" s="5"/>
      <c r="C39" s="84" t="s">
        <v>53</v>
      </c>
      <c r="D39" s="125">
        <f ca="1">Orçamento!B37</f>
        <v>-15159.6654324599</v>
      </c>
      <c r="E39" s="125">
        <f>'DRE 2026'!C36</f>
        <v>-11057.29</v>
      </c>
      <c r="F39" s="86">
        <f t="shared" ca="1" si="0"/>
        <v>-0.27061121175378228</v>
      </c>
      <c r="G39" s="125">
        <f ca="1">Orçamento!C37</f>
        <v>-7658.3088661700003</v>
      </c>
      <c r="H39" s="125">
        <f>'DRE 2026'!D36</f>
        <v>-11307.69</v>
      </c>
      <c r="I39" s="88">
        <f t="shared" ca="1" si="1"/>
        <v>0.47652571835420027</v>
      </c>
      <c r="J39" s="125">
        <f ca="1">Orçamento!D37</f>
        <v>-8199.6551856899896</v>
      </c>
      <c r="K39" s="125">
        <f>'DRE 2026'!E36</f>
        <v>-12909.32</v>
      </c>
      <c r="L39" s="88">
        <f t="shared" ca="1" si="2"/>
        <v>0.57437352030720767</v>
      </c>
      <c r="M39" s="85">
        <f ca="1">Orçamento!E37</f>
        <v>-6781.5895894599998</v>
      </c>
      <c r="N39" s="85">
        <f>'DRE 2026'!F36</f>
        <v>-8146.26</v>
      </c>
      <c r="O39" s="86">
        <f t="shared" ca="1" si="3"/>
        <v>0.20123164230713428</v>
      </c>
      <c r="P39" s="85">
        <f ca="1">Orçamento!F37</f>
        <v>-7564.3713404099999</v>
      </c>
      <c r="Q39" s="85">
        <f>'DRE 2026'!G36</f>
        <v>-6280.21</v>
      </c>
      <c r="R39" s="86">
        <f t="shared" ca="1" si="4"/>
        <v>-0.16976445002770005</v>
      </c>
      <c r="S39" s="85">
        <f ca="1">Orçamento!G37</f>
        <v>-9602.2546621099991</v>
      </c>
      <c r="T39" s="85">
        <f>'DRE 2026'!H36</f>
        <v>-10979.41</v>
      </c>
      <c r="U39" s="86">
        <f t="shared" ca="1" si="5"/>
        <v>0.14341999731835739</v>
      </c>
      <c r="V39" s="85">
        <f ca="1">Orçamento!H37</f>
        <v>-11397.96245993</v>
      </c>
      <c r="W39" s="85">
        <f ca="1">'DRE 2026'!I36</f>
        <v>-11485.44</v>
      </c>
      <c r="X39" s="86">
        <f t="shared" ca="1" si="6"/>
        <v>7.6748401635407092E-3</v>
      </c>
      <c r="Y39" s="85">
        <f ca="1">Orçamento!I37</f>
        <v>-13378.922396870001</v>
      </c>
      <c r="Z39" s="85">
        <f ca="1">'DRE 2026'!J36</f>
        <v>-15029.6</v>
      </c>
      <c r="AA39" s="86">
        <f t="shared" ca="1" si="7"/>
        <v>0.1233789653728895</v>
      </c>
      <c r="AB39" s="85">
        <f ca="1">Orçamento!J37</f>
        <v>-12133.210170750001</v>
      </c>
      <c r="AC39" s="85">
        <f>'DRE 2026'!K36</f>
        <v>0</v>
      </c>
      <c r="AD39" s="86">
        <f t="shared" ca="1" si="8"/>
        <v>-1</v>
      </c>
      <c r="AE39" s="85">
        <f ca="1">Orçamento!K37</f>
        <v>-15394.689804559999</v>
      </c>
      <c r="AF39" s="85">
        <f>'DRE 2026'!L36</f>
        <v>0</v>
      </c>
      <c r="AG39" s="86">
        <f t="shared" ca="1" si="9"/>
        <v>-1</v>
      </c>
      <c r="AH39" s="85">
        <f ca="1">Orçamento!L37</f>
        <v>-19565.304923330001</v>
      </c>
      <c r="AI39" s="85">
        <f>'DRE 2026'!M36</f>
        <v>0</v>
      </c>
      <c r="AJ39" s="86">
        <f t="shared" ca="1" si="10"/>
        <v>-1</v>
      </c>
      <c r="AK39" s="85">
        <f ca="1">Orçamento!M37</f>
        <v>-26388.530601539998</v>
      </c>
      <c r="AL39" s="85">
        <f>'DRE 2026'!N36</f>
        <v>0</v>
      </c>
      <c r="AM39" s="86">
        <f t="shared" ca="1" si="11"/>
        <v>-1</v>
      </c>
      <c r="AN39" s="8"/>
      <c r="AO39" s="85">
        <f t="shared" ca="1" si="19"/>
        <v>-54965.845076299891</v>
      </c>
      <c r="AP39" s="85">
        <f t="shared" si="22"/>
        <v>-60680.180000000008</v>
      </c>
      <c r="AQ39" s="86">
        <f t="shared" ca="1" si="13"/>
        <v>0.10396155859639493</v>
      </c>
      <c r="AR39" s="85">
        <f t="shared" ref="AR39:AS39" ca="1" si="52">IF($Z$7=0,V39,IF($AC$7=0,V39+Y39,IF($AF$7=0,V39+Y39+AB39,IF($AI$7=0,V39+Y39+AB39+AE39,IF($AL$7=0,V39+Y39+AB39+AE39+AH39,V39+Y39+AB39+AE39+AH39+AK39)))))</f>
        <v>-24776.884856800003</v>
      </c>
      <c r="AS39" s="85">
        <f t="shared" ca="1" si="52"/>
        <v>-26515.040000000001</v>
      </c>
      <c r="AT39" s="86">
        <f t="shared" ca="1" si="15"/>
        <v>7.0152287232467081E-2</v>
      </c>
      <c r="AU39" s="85">
        <f t="shared" ca="1" si="16"/>
        <v>-79742.729933099894</v>
      </c>
      <c r="AV39" s="85">
        <f t="shared" ca="1" si="17"/>
        <v>-87195.22</v>
      </c>
      <c r="AW39" s="86">
        <f t="shared" ca="1" si="18"/>
        <v>9.345667088588977E-2</v>
      </c>
      <c r="AX39" s="86"/>
    </row>
    <row r="40" spans="1:50" ht="12.75" hidden="1" outlineLevel="1">
      <c r="A40" s="5"/>
      <c r="B40" s="5"/>
      <c r="C40" s="108" t="s">
        <v>136</v>
      </c>
      <c r="D40" s="85">
        <f ca="1">Orçamento!B38</f>
        <v>-15159.6654324599</v>
      </c>
      <c r="E40" s="125">
        <f>'DRE 2026'!C37</f>
        <v>0</v>
      </c>
      <c r="F40" s="86">
        <f t="shared" ca="1" si="0"/>
        <v>-1</v>
      </c>
      <c r="G40" s="85">
        <f ca="1">Orçamento!C38</f>
        <v>-7658.3088661700003</v>
      </c>
      <c r="H40" s="125">
        <f>'DRE 2026'!D37</f>
        <v>0</v>
      </c>
      <c r="I40" s="88">
        <f t="shared" ca="1" si="1"/>
        <v>-1</v>
      </c>
      <c r="J40" s="85">
        <f ca="1">Orçamento!D38</f>
        <v>-8199.6551856899896</v>
      </c>
      <c r="K40" s="125">
        <f>'DRE 2026'!E37</f>
        <v>0</v>
      </c>
      <c r="L40" s="88">
        <f t="shared" ca="1" si="2"/>
        <v>-1</v>
      </c>
      <c r="M40" s="85">
        <f ca="1">Orçamento!E38</f>
        <v>-6781.5895894599998</v>
      </c>
      <c r="N40" s="85">
        <f>'DRE 2026'!F37</f>
        <v>0</v>
      </c>
      <c r="O40" s="86">
        <f t="shared" ca="1" si="3"/>
        <v>-1</v>
      </c>
      <c r="P40" s="85">
        <f ca="1">Orçamento!F38</f>
        <v>-7564.3713404099999</v>
      </c>
      <c r="Q40" s="85">
        <f>'DRE 2026'!G37</f>
        <v>0</v>
      </c>
      <c r="R40" s="86">
        <f t="shared" ca="1" si="4"/>
        <v>-1</v>
      </c>
      <c r="S40" s="85">
        <f ca="1">Orçamento!G38</f>
        <v>-9602.2546621099991</v>
      </c>
      <c r="T40" s="85">
        <f>'DRE 2026'!H37</f>
        <v>0</v>
      </c>
      <c r="U40" s="86">
        <f t="shared" ca="1" si="5"/>
        <v>-1</v>
      </c>
      <c r="V40" s="85">
        <f ca="1">Orçamento!H38</f>
        <v>-11397.96245993</v>
      </c>
      <c r="W40" s="85">
        <f ca="1">'DRE 2026'!I37</f>
        <v>-11485.44</v>
      </c>
      <c r="X40" s="86">
        <f t="shared" ca="1" si="6"/>
        <v>7.6748401635407092E-3</v>
      </c>
      <c r="Y40" s="85">
        <f ca="1">Orçamento!I38</f>
        <v>-13378.922396870001</v>
      </c>
      <c r="Z40" s="85">
        <f ca="1">'DRE 2026'!J37</f>
        <v>-15029.6</v>
      </c>
      <c r="AA40" s="86">
        <f t="shared" ca="1" si="7"/>
        <v>0.1233789653728895</v>
      </c>
      <c r="AB40" s="85">
        <f ca="1">Orçamento!J38</f>
        <v>-12133.210170750001</v>
      </c>
      <c r="AC40" s="85">
        <f>'DRE 2026'!K37</f>
        <v>0</v>
      </c>
      <c r="AD40" s="86">
        <f t="shared" ca="1" si="8"/>
        <v>-1</v>
      </c>
      <c r="AE40" s="85">
        <f ca="1">Orçamento!K38</f>
        <v>-15394.689804559999</v>
      </c>
      <c r="AF40" s="85">
        <f>'DRE 2026'!L37</f>
        <v>0</v>
      </c>
      <c r="AG40" s="86">
        <f t="shared" ca="1" si="9"/>
        <v>-1</v>
      </c>
      <c r="AH40" s="85">
        <f ca="1">Orçamento!L38</f>
        <v>-19565.304923330001</v>
      </c>
      <c r="AI40" s="85">
        <f>'DRE 2026'!M37</f>
        <v>0</v>
      </c>
      <c r="AJ40" s="86">
        <f t="shared" ca="1" si="10"/>
        <v>-1</v>
      </c>
      <c r="AK40" s="85">
        <f ca="1">Orçamento!M38</f>
        <v>-26388.530601539998</v>
      </c>
      <c r="AL40" s="85">
        <f>'DRE 2026'!N37</f>
        <v>0</v>
      </c>
      <c r="AM40" s="86">
        <f t="shared" ca="1" si="11"/>
        <v>-1</v>
      </c>
      <c r="AN40" s="8"/>
      <c r="AO40" s="85">
        <f t="shared" ca="1" si="19"/>
        <v>-15159.6654324599</v>
      </c>
      <c r="AP40" s="85">
        <f t="shared" si="22"/>
        <v>0</v>
      </c>
      <c r="AQ40" s="86">
        <f t="shared" ca="1" si="13"/>
        <v>-1</v>
      </c>
      <c r="AR40" s="85">
        <f t="shared" ref="AR40:AS40" ca="1" si="53">IF($Z$7=0,V40,IF($AC$7=0,V40+Y40,IF($AF$7=0,V40+Y40+AB40,IF($AI$7=0,V40+Y40+AB40+AE40,IF($AL$7=0,V40+Y40+AB40+AE40+AH40,V40+Y40+AB40+AE40+AH40+AK40)))))</f>
        <v>-24776.884856800003</v>
      </c>
      <c r="AS40" s="85">
        <f t="shared" ca="1" si="53"/>
        <v>-26515.040000000001</v>
      </c>
      <c r="AT40" s="86">
        <f t="shared" ca="1" si="15"/>
        <v>7.0152287232467081E-2</v>
      </c>
      <c r="AU40" s="85">
        <f t="shared" ca="1" si="16"/>
        <v>-39936.550289259903</v>
      </c>
      <c r="AV40" s="85">
        <f t="shared" ca="1" si="17"/>
        <v>-26515.040000000001</v>
      </c>
      <c r="AW40" s="86">
        <f t="shared" ca="1" si="18"/>
        <v>-0.33607084718254537</v>
      </c>
      <c r="AX40" s="8"/>
    </row>
    <row r="41" spans="1:50" ht="12.75" hidden="1" outlineLevel="1">
      <c r="A41" s="5"/>
      <c r="B41" s="5"/>
      <c r="C41" s="84" t="s">
        <v>54</v>
      </c>
      <c r="D41" s="85">
        <f ca="1">Orçamento!B39</f>
        <v>0</v>
      </c>
      <c r="E41" s="85">
        <f>'DRE 2026'!C38</f>
        <v>0</v>
      </c>
      <c r="F41" s="86">
        <f t="shared" ca="1" si="0"/>
        <v>0</v>
      </c>
      <c r="G41" s="85">
        <f ca="1">Orçamento!C39</f>
        <v>0</v>
      </c>
      <c r="H41" s="85">
        <f>'DRE 2026'!D38</f>
        <v>0</v>
      </c>
      <c r="I41" s="8">
        <f t="shared" ca="1" si="1"/>
        <v>0</v>
      </c>
      <c r="J41" s="85">
        <f ca="1">Orçamento!D39</f>
        <v>0</v>
      </c>
      <c r="K41" s="85">
        <f>'DRE 2026'!E38</f>
        <v>0</v>
      </c>
      <c r="L41" s="8">
        <f t="shared" ca="1" si="2"/>
        <v>0</v>
      </c>
      <c r="M41" s="85">
        <f ca="1">Orçamento!E39</f>
        <v>0</v>
      </c>
      <c r="N41" s="85">
        <f>'DRE 2026'!F38</f>
        <v>0</v>
      </c>
      <c r="O41" s="8">
        <f t="shared" ca="1" si="3"/>
        <v>0</v>
      </c>
      <c r="P41" s="85">
        <f ca="1">Orçamento!F39</f>
        <v>0</v>
      </c>
      <c r="Q41" s="85">
        <f>'DRE 2026'!G38</f>
        <v>0</v>
      </c>
      <c r="R41" s="8">
        <f t="shared" ca="1" si="4"/>
        <v>0</v>
      </c>
      <c r="S41" s="85">
        <f ca="1">Orçamento!G39</f>
        <v>0</v>
      </c>
      <c r="T41" s="85">
        <f>'DRE 2026'!H38</f>
        <v>0</v>
      </c>
      <c r="U41" s="8">
        <f t="shared" ca="1" si="5"/>
        <v>0</v>
      </c>
      <c r="V41" s="85">
        <f ca="1">Orçamento!H39</f>
        <v>0</v>
      </c>
      <c r="W41" s="85">
        <f ca="1">'DRE 2026'!I38</f>
        <v>0</v>
      </c>
      <c r="X41" s="8">
        <f t="shared" ca="1" si="6"/>
        <v>0</v>
      </c>
      <c r="Y41" s="85">
        <f ca="1">Orçamento!I39</f>
        <v>0</v>
      </c>
      <c r="Z41" s="85">
        <f ca="1">'DRE 2026'!J38</f>
        <v>0</v>
      </c>
      <c r="AA41" s="8">
        <f t="shared" ca="1" si="7"/>
        <v>0</v>
      </c>
      <c r="AB41" s="85">
        <f ca="1">Orçamento!J39</f>
        <v>0</v>
      </c>
      <c r="AC41" s="85">
        <f ca="1">'DRE 2026'!K38</f>
        <v>0</v>
      </c>
      <c r="AD41" s="8">
        <f t="shared" ca="1" si="8"/>
        <v>0</v>
      </c>
      <c r="AE41" s="85">
        <f ca="1">Orçamento!K39</f>
        <v>0</v>
      </c>
      <c r="AF41" s="85">
        <f ca="1">'DRE 2026'!L38</f>
        <v>0</v>
      </c>
      <c r="AG41" s="8">
        <f t="shared" ca="1" si="9"/>
        <v>0</v>
      </c>
      <c r="AH41" s="85">
        <f ca="1">Orçamento!L39</f>
        <v>0</v>
      </c>
      <c r="AI41" s="85">
        <f ca="1">'DRE 2026'!M38</f>
        <v>0</v>
      </c>
      <c r="AJ41" s="8">
        <f t="shared" ca="1" si="10"/>
        <v>0</v>
      </c>
      <c r="AK41" s="85">
        <f ca="1">Orçamento!M39</f>
        <v>0</v>
      </c>
      <c r="AL41" s="85">
        <f ca="1">'DRE 2026'!N38</f>
        <v>0</v>
      </c>
      <c r="AM41" s="8">
        <f t="shared" ca="1" si="11"/>
        <v>0</v>
      </c>
      <c r="AN41" s="8"/>
      <c r="AO41" s="85">
        <f t="shared" ca="1" si="19"/>
        <v>0</v>
      </c>
      <c r="AP41" s="85">
        <f t="shared" si="22"/>
        <v>0</v>
      </c>
      <c r="AQ41" s="8">
        <f t="shared" ca="1" si="13"/>
        <v>0</v>
      </c>
      <c r="AR41" s="85">
        <f t="shared" ref="AR41:AS41" ca="1" si="54">IF($Z$7=0,V41,IF($AC$7=0,V41+Y41,IF($AF$7=0,V41+Y41+AB41,IF($AI$7=0,V41+Y41+AB41+AE41,IF($AL$7=0,V41+Y41+AB41+AE41+AH41,V41+Y41+AB41+AE41+AH41+AK41)))))</f>
        <v>0</v>
      </c>
      <c r="AS41" s="85">
        <f t="shared" ca="1" si="54"/>
        <v>0</v>
      </c>
      <c r="AT41" s="8">
        <f t="shared" ca="1" si="15"/>
        <v>0</v>
      </c>
      <c r="AU41" s="85">
        <f t="shared" ca="1" si="16"/>
        <v>0</v>
      </c>
      <c r="AV41" s="85">
        <f t="shared" ca="1" si="17"/>
        <v>0</v>
      </c>
      <c r="AW41" s="8">
        <f t="shared" ca="1" si="18"/>
        <v>0</v>
      </c>
      <c r="AX41" s="8"/>
    </row>
    <row r="42" spans="1:50" ht="12.75" collapsed="1">
      <c r="A42" s="5"/>
      <c r="B42" s="5"/>
      <c r="C42" s="56" t="s">
        <v>55</v>
      </c>
      <c r="D42" s="57">
        <f ca="1">Orçamento!B40</f>
        <v>-52334.899861914797</v>
      </c>
      <c r="E42" s="57">
        <f>'DRE 2026'!C39</f>
        <v>-55626.043061700002</v>
      </c>
      <c r="F42" s="86">
        <f t="shared" ca="1" si="0"/>
        <v>6.2886204205393717E-2</v>
      </c>
      <c r="G42" s="57">
        <f ca="1">Orçamento!C40</f>
        <v>-52199.4733113806</v>
      </c>
      <c r="H42" s="57">
        <f>'DRE 2026'!D39</f>
        <v>-46514.460713399996</v>
      </c>
      <c r="I42" s="60">
        <f t="shared" ca="1" si="1"/>
        <v>-0.10890938619377122</v>
      </c>
      <c r="J42" s="57">
        <f ca="1">Orçamento!D40</f>
        <v>-55758.464870551899</v>
      </c>
      <c r="K42" s="57">
        <f>'DRE 2026'!E39</f>
        <v>-48975.558183199995</v>
      </c>
      <c r="L42" s="60">
        <f t="shared" ca="1" si="2"/>
        <v>-0.12164801708761187</v>
      </c>
      <c r="M42" s="57">
        <f ca="1">Orçamento!E40</f>
        <v>-55763.633649513999</v>
      </c>
      <c r="N42" s="57">
        <f>'DRE 2026'!F39</f>
        <v>-56419.865725300006</v>
      </c>
      <c r="O42" s="60">
        <f t="shared" ca="1" si="3"/>
        <v>1.1768101051494631E-2</v>
      </c>
      <c r="P42" s="57">
        <f ca="1">Orçamento!F40</f>
        <v>-56325.608503779498</v>
      </c>
      <c r="Q42" s="57">
        <f>'DRE 2026'!G39</f>
        <v>-46331.018221100006</v>
      </c>
      <c r="R42" s="60">
        <f t="shared" ca="1" si="4"/>
        <v>-0.17744309468061664</v>
      </c>
      <c r="S42" s="57">
        <f ca="1">Orçamento!G40</f>
        <v>-55917.074090395399</v>
      </c>
      <c r="T42" s="57">
        <f>'DRE 2026'!H39</f>
        <v>-44563.497224699997</v>
      </c>
      <c r="U42" s="60">
        <f t="shared" ca="1" si="5"/>
        <v>-0.20304311429709715</v>
      </c>
      <c r="V42" s="57">
        <f ca="1">Orçamento!H40</f>
        <v>-59940.966367290399</v>
      </c>
      <c r="W42" s="57">
        <f ca="1">'DRE 2026'!I39</f>
        <v>-76280.226766399996</v>
      </c>
      <c r="X42" s="60">
        <f t="shared" ca="1" si="6"/>
        <v>0.27258920550246385</v>
      </c>
      <c r="Y42" s="57">
        <f ca="1">Orçamento!I40</f>
        <v>-59460.025365476104</v>
      </c>
      <c r="Z42" s="57">
        <f ca="1">'DRE 2026'!J39</f>
        <v>-57932.420923500002</v>
      </c>
      <c r="AA42" s="60">
        <f t="shared" ca="1" si="7"/>
        <v>-2.5691284734349697E-2</v>
      </c>
      <c r="AB42" s="57">
        <f ca="1">Orçamento!J40</f>
        <v>-58981.672036381802</v>
      </c>
      <c r="AC42" s="57">
        <f ca="1">'DRE 2026'!K39</f>
        <v>0</v>
      </c>
      <c r="AD42" s="60">
        <f t="shared" ca="1" si="8"/>
        <v>-1</v>
      </c>
      <c r="AE42" s="57">
        <f ca="1">Orçamento!K40</f>
        <v>-58889.944031176201</v>
      </c>
      <c r="AF42" s="57">
        <f ca="1">'DRE 2026'!L39</f>
        <v>0</v>
      </c>
      <c r="AG42" s="60">
        <f t="shared" ca="1" si="9"/>
        <v>-1</v>
      </c>
      <c r="AH42" s="57">
        <f ca="1">Orçamento!L40</f>
        <v>-59310.109557755</v>
      </c>
      <c r="AI42" s="57">
        <f ca="1">'DRE 2026'!M39</f>
        <v>0</v>
      </c>
      <c r="AJ42" s="60">
        <f t="shared" ca="1" si="10"/>
        <v>-1</v>
      </c>
      <c r="AK42" s="57">
        <f ca="1">Orçamento!M40</f>
        <v>-62155.0784318074</v>
      </c>
      <c r="AL42" s="57">
        <f ca="1">'DRE 2026'!N39</f>
        <v>0</v>
      </c>
      <c r="AM42" s="60">
        <f t="shared" ca="1" si="11"/>
        <v>-1</v>
      </c>
      <c r="AN42" s="8"/>
      <c r="AO42" s="57">
        <f t="shared" ca="1" si="19"/>
        <v>-328299.15428753622</v>
      </c>
      <c r="AP42" s="57">
        <f t="shared" si="22"/>
        <v>-298430.44312940002</v>
      </c>
      <c r="AQ42" s="60">
        <f t="shared" ca="1" si="13"/>
        <v>-9.0980164791944929E-2</v>
      </c>
      <c r="AR42" s="57">
        <f t="shared" ref="AR42:AS42" ca="1" si="55">IF($Z$7=0,V42,IF($AC$7=0,V42+Y42,IF($AF$7=0,V42+Y42+AB42,IF($AI$7=0,V42+Y42+AB42+AE42,IF($AL$7=0,V42+Y42+AB42+AE42+AH42,V42+Y42+AB42+AE42+AH42+AK42)))))</f>
        <v>-119400.9917327665</v>
      </c>
      <c r="AS42" s="57">
        <f t="shared" ca="1" si="55"/>
        <v>-134212.64768990001</v>
      </c>
      <c r="AT42" s="60">
        <f t="shared" ca="1" si="15"/>
        <v>0.12404968955604441</v>
      </c>
      <c r="AU42" s="57">
        <f t="shared" ca="1" si="16"/>
        <v>-447700.14602030272</v>
      </c>
      <c r="AV42" s="57">
        <f t="shared" ca="1" si="17"/>
        <v>-432643.09081930004</v>
      </c>
      <c r="AW42" s="60">
        <f t="shared" ca="1" si="18"/>
        <v>-3.3632008688958229E-2</v>
      </c>
      <c r="AX42" s="60"/>
    </row>
    <row r="43" spans="1:50" ht="12.75" hidden="1" outlineLevel="1">
      <c r="A43" s="5"/>
      <c r="B43" s="5"/>
      <c r="C43" s="84" t="s">
        <v>56</v>
      </c>
      <c r="D43" s="85">
        <f ca="1">Orçamento!B41</f>
        <v>-25414.560000000001</v>
      </c>
      <c r="E43" s="125">
        <f>'DRE 2026'!C40</f>
        <v>-25834.61</v>
      </c>
      <c r="F43" s="86">
        <f t="shared" ca="1" si="0"/>
        <v>1.6527927298367519E-2</v>
      </c>
      <c r="G43" s="85">
        <f ca="1">Orçamento!C41</f>
        <v>-25414.560000000001</v>
      </c>
      <c r="H43" s="85">
        <f>'DRE 2026'!D40</f>
        <v>-31516.219999999998</v>
      </c>
      <c r="I43" s="86">
        <f t="shared" ca="1" si="1"/>
        <v>0.24008521099716051</v>
      </c>
      <c r="J43" s="85">
        <f ca="1">Orçamento!D41</f>
        <v>-28004.560000000001</v>
      </c>
      <c r="K43" s="85">
        <f>'DRE 2026'!E40</f>
        <v>-31980.560000000001</v>
      </c>
      <c r="L43" s="86">
        <f t="shared" ca="1" si="2"/>
        <v>0.14197687805128878</v>
      </c>
      <c r="M43" s="85">
        <f ca="1">Orçamento!E41</f>
        <v>-28004.560000000001</v>
      </c>
      <c r="N43" s="85">
        <f>'DRE 2026'!F40</f>
        <v>-37572.490000000005</v>
      </c>
      <c r="O43" s="86">
        <f t="shared" ca="1" si="3"/>
        <v>0.34165614457074145</v>
      </c>
      <c r="P43" s="85">
        <f ca="1">Orçamento!F41</f>
        <v>-28004.560000000001</v>
      </c>
      <c r="Q43" s="85">
        <f>'DRE 2026'!G40</f>
        <v>-29802.63</v>
      </c>
      <c r="R43" s="86">
        <f t="shared" ca="1" si="4"/>
        <v>6.4206329254949901E-2</v>
      </c>
      <c r="S43" s="85">
        <f ca="1">Orçamento!G41</f>
        <v>-28004.560000000001</v>
      </c>
      <c r="T43" s="85">
        <f>'DRE 2026'!H40</f>
        <v>-29662.51</v>
      </c>
      <c r="U43" s="86">
        <f t="shared" ca="1" si="5"/>
        <v>5.9202858391633258E-2</v>
      </c>
      <c r="V43" s="85">
        <f ca="1">Orçamento!H41</f>
        <v>-29964.879199999999</v>
      </c>
      <c r="W43" s="85">
        <f ca="1">'DRE 2026'!I40</f>
        <v>-24281.119999999999</v>
      </c>
      <c r="X43" s="86">
        <f t="shared" ca="1" si="6"/>
        <v>-0.18968069792852696</v>
      </c>
      <c r="Y43" s="85">
        <f ca="1">Orçamento!I41</f>
        <v>-29964.879199999999</v>
      </c>
      <c r="Z43" s="85">
        <f ca="1">'DRE 2026'!J40</f>
        <v>-28152.55</v>
      </c>
      <c r="AA43" s="86">
        <f t="shared" ca="1" si="7"/>
        <v>-6.0481778948736763E-2</v>
      </c>
      <c r="AB43" s="85">
        <f ca="1">Orçamento!J41</f>
        <v>-29964.879199999999</v>
      </c>
      <c r="AC43" s="85">
        <f>'DRE 2026'!K40</f>
        <v>0</v>
      </c>
      <c r="AD43" s="86">
        <f t="shared" ca="1" si="8"/>
        <v>-1</v>
      </c>
      <c r="AE43" s="85">
        <f ca="1">Orçamento!K41</f>
        <v>-29964.879199999999</v>
      </c>
      <c r="AF43" s="85">
        <f>'DRE 2026'!L40</f>
        <v>0</v>
      </c>
      <c r="AG43" s="86">
        <f t="shared" ca="1" si="9"/>
        <v>-1</v>
      </c>
      <c r="AH43" s="85">
        <f ca="1">Orçamento!L41</f>
        <v>-29964.879199999999</v>
      </c>
      <c r="AI43" s="85">
        <f>'DRE 2026'!M40</f>
        <v>0</v>
      </c>
      <c r="AJ43" s="86">
        <f t="shared" ca="1" si="10"/>
        <v>-1</v>
      </c>
      <c r="AK43" s="85">
        <f ca="1">Orçamento!M41</f>
        <v>-29964.879199999999</v>
      </c>
      <c r="AL43" s="85">
        <f>'DRE 2026'!N40</f>
        <v>0</v>
      </c>
      <c r="AM43" s="86">
        <f t="shared" ca="1" si="11"/>
        <v>-1</v>
      </c>
      <c r="AN43" s="8"/>
      <c r="AO43" s="85">
        <f t="shared" ca="1" si="19"/>
        <v>-162847.36000000002</v>
      </c>
      <c r="AP43" s="85">
        <f t="shared" si="22"/>
        <v>-186369.02000000002</v>
      </c>
      <c r="AQ43" s="86">
        <f t="shared" ca="1" si="13"/>
        <v>0.14443992214549872</v>
      </c>
      <c r="AR43" s="85">
        <f t="shared" ref="AR43:AS43" ca="1" si="56">IF($Z$7=0,V43,IF($AC$7=0,V43+Y43,IF($AF$7=0,V43+Y43+AB43,IF($AI$7=0,V43+Y43+AB43+AE43,IF($AL$7=0,V43+Y43+AB43+AE43+AH43,V43+Y43+AB43+AE43+AH43+AK43)))))</f>
        <v>-59929.758399999999</v>
      </c>
      <c r="AS43" s="85">
        <f t="shared" ca="1" si="56"/>
        <v>-52433.67</v>
      </c>
      <c r="AT43" s="86">
        <f t="shared" ca="1" si="15"/>
        <v>-0.12508123843863186</v>
      </c>
      <c r="AU43" s="85">
        <f t="shared" ca="1" si="16"/>
        <v>-222777.11840000001</v>
      </c>
      <c r="AV43" s="85">
        <f t="shared" ca="1" si="17"/>
        <v>-238802.69</v>
      </c>
      <c r="AW43" s="86">
        <f t="shared" ca="1" si="18"/>
        <v>7.1935447029285185E-2</v>
      </c>
      <c r="AX43" s="86"/>
    </row>
    <row r="44" spans="1:50" ht="12.75" hidden="1" outlineLevel="1">
      <c r="A44" s="5"/>
      <c r="B44" s="5"/>
      <c r="C44" s="84" t="s">
        <v>57</v>
      </c>
      <c r="D44" s="85">
        <f ca="1">Orçamento!B42</f>
        <v>0</v>
      </c>
      <c r="E44" s="125">
        <f>'DRE 2026'!C41</f>
        <v>0</v>
      </c>
      <c r="F44" s="86">
        <f t="shared" ca="1" si="0"/>
        <v>0</v>
      </c>
      <c r="G44" s="85">
        <f ca="1">Orçamento!C42</f>
        <v>0</v>
      </c>
      <c r="H44" s="85">
        <f>'DRE 2026'!D41</f>
        <v>0</v>
      </c>
      <c r="I44" s="8">
        <f t="shared" ca="1" si="1"/>
        <v>0</v>
      </c>
      <c r="J44" s="85">
        <f ca="1">Orçamento!D42</f>
        <v>0</v>
      </c>
      <c r="K44" s="85">
        <f>'DRE 2026'!E41</f>
        <v>0</v>
      </c>
      <c r="L44" s="8">
        <f t="shared" ca="1" si="2"/>
        <v>0</v>
      </c>
      <c r="M44" s="85">
        <f ca="1">Orçamento!E42</f>
        <v>0</v>
      </c>
      <c r="N44" s="85">
        <f>'DRE 2026'!F41</f>
        <v>0</v>
      </c>
      <c r="O44" s="86">
        <f t="shared" ca="1" si="3"/>
        <v>0</v>
      </c>
      <c r="P44" s="85">
        <f ca="1">Orçamento!F42</f>
        <v>0</v>
      </c>
      <c r="Q44" s="85">
        <f>'DRE 2026'!G41</f>
        <v>0</v>
      </c>
      <c r="R44" s="86">
        <f t="shared" ca="1" si="4"/>
        <v>0</v>
      </c>
      <c r="S44" s="85">
        <f ca="1">Orçamento!G42</f>
        <v>0</v>
      </c>
      <c r="T44" s="85">
        <f>'DRE 2026'!H41</f>
        <v>0</v>
      </c>
      <c r="U44" s="86">
        <f t="shared" ca="1" si="5"/>
        <v>0</v>
      </c>
      <c r="V44" s="85">
        <f ca="1">Orçamento!H42</f>
        <v>0</v>
      </c>
      <c r="W44" s="85">
        <f ca="1">'DRE 2026'!I41</f>
        <v>0</v>
      </c>
      <c r="X44" s="86">
        <f t="shared" ca="1" si="6"/>
        <v>0</v>
      </c>
      <c r="Y44" s="85">
        <f ca="1">Orçamento!I42</f>
        <v>0</v>
      </c>
      <c r="Z44" s="85">
        <f ca="1">'DRE 2026'!J41</f>
        <v>0</v>
      </c>
      <c r="AA44" s="86">
        <f t="shared" ca="1" si="7"/>
        <v>0</v>
      </c>
      <c r="AB44" s="85">
        <f ca="1">Orçamento!J42</f>
        <v>0</v>
      </c>
      <c r="AC44" s="85">
        <f ca="1">'DRE 2026'!K41</f>
        <v>0</v>
      </c>
      <c r="AD44" s="86">
        <f t="shared" ca="1" si="8"/>
        <v>0</v>
      </c>
      <c r="AE44" s="85">
        <f ca="1">Orçamento!K42</f>
        <v>0</v>
      </c>
      <c r="AF44" s="85">
        <f ca="1">'DRE 2026'!L41</f>
        <v>0</v>
      </c>
      <c r="AG44" s="86">
        <f t="shared" ca="1" si="9"/>
        <v>0</v>
      </c>
      <c r="AH44" s="85">
        <f ca="1">Orçamento!L42</f>
        <v>0</v>
      </c>
      <c r="AI44" s="85">
        <f ca="1">'DRE 2026'!M41</f>
        <v>0</v>
      </c>
      <c r="AJ44" s="86">
        <f t="shared" ca="1" si="10"/>
        <v>0</v>
      </c>
      <c r="AK44" s="85">
        <f ca="1">Orçamento!M42</f>
        <v>0</v>
      </c>
      <c r="AL44" s="89">
        <f ca="1">'DRE 2026'!N41</f>
        <v>0</v>
      </c>
      <c r="AM44" s="86">
        <f t="shared" ca="1" si="11"/>
        <v>0</v>
      </c>
      <c r="AN44" s="8"/>
      <c r="AO44" s="85">
        <f t="shared" ca="1" si="19"/>
        <v>0</v>
      </c>
      <c r="AP44" s="85">
        <f t="shared" si="22"/>
        <v>0</v>
      </c>
      <c r="AQ44" s="86">
        <f t="shared" ca="1" si="13"/>
        <v>0</v>
      </c>
      <c r="AR44" s="85">
        <f t="shared" ref="AR44:AS44" ca="1" si="57">IF($Z$7=0,V44,IF($AC$7=0,V44+Y44,IF($AF$7=0,V44+Y44+AB44,IF($AI$7=0,V44+Y44+AB44+AE44,IF($AL$7=0,V44+Y44+AB44+AE44+AH44,V44+Y44+AB44+AE44+AH44+AK44)))))</f>
        <v>0</v>
      </c>
      <c r="AS44" s="85">
        <f t="shared" ca="1" si="57"/>
        <v>0</v>
      </c>
      <c r="AT44" s="86">
        <f t="shared" ca="1" si="15"/>
        <v>0</v>
      </c>
      <c r="AU44" s="85">
        <f t="shared" ca="1" si="16"/>
        <v>0</v>
      </c>
      <c r="AV44" s="85">
        <f t="shared" ca="1" si="17"/>
        <v>0</v>
      </c>
      <c r="AW44" s="86">
        <f t="shared" ca="1" si="18"/>
        <v>0</v>
      </c>
      <c r="AX44" s="86"/>
    </row>
    <row r="45" spans="1:50" ht="12.75" hidden="1" outlineLevel="1">
      <c r="A45" s="5"/>
      <c r="B45" s="5"/>
      <c r="C45" s="84" t="s">
        <v>58</v>
      </c>
      <c r="D45" s="85">
        <f ca="1">Orçamento!B43</f>
        <v>-3048.9847632000001</v>
      </c>
      <c r="E45" s="125">
        <f>'DRE 2026'!C42</f>
        <v>-3099.3781617000004</v>
      </c>
      <c r="F45" s="86">
        <f t="shared" ca="1" si="0"/>
        <v>1.6527927298367658E-2</v>
      </c>
      <c r="G45" s="85">
        <f ca="1">Orçamento!C43</f>
        <v>-3048.9847632000001</v>
      </c>
      <c r="H45" s="85">
        <f>'DRE 2026'!D42</f>
        <v>-3781.0009133999997</v>
      </c>
      <c r="I45" s="86">
        <f t="shared" ca="1" si="1"/>
        <v>0.24008521099716054</v>
      </c>
      <c r="J45" s="85">
        <f ca="1">Orçamento!D43</f>
        <v>-3359.7070632</v>
      </c>
      <c r="K45" s="85">
        <f>'DRE 2026'!E42</f>
        <v>-3836.7077832000004</v>
      </c>
      <c r="L45" s="86">
        <f t="shared" ca="1" si="2"/>
        <v>0.14197687805128892</v>
      </c>
      <c r="M45" s="85">
        <f ca="1">Orçamento!E43</f>
        <v>-3359.7070632</v>
      </c>
      <c r="N45" s="85">
        <f>'DRE 2026'!F42</f>
        <v>-4507.571625300001</v>
      </c>
      <c r="O45" s="86">
        <f t="shared" ca="1" si="3"/>
        <v>0.34165614457074162</v>
      </c>
      <c r="P45" s="85">
        <f ca="1">Orçamento!F43</f>
        <v>-3359.7070632</v>
      </c>
      <c r="Q45" s="85">
        <f>'DRE 2026'!G42</f>
        <v>-3575.4215211000005</v>
      </c>
      <c r="R45" s="86">
        <f t="shared" ca="1" si="4"/>
        <v>6.4206329254950067E-2</v>
      </c>
      <c r="S45" s="85">
        <f ca="1">Orçamento!G43</f>
        <v>-3359.7070632</v>
      </c>
      <c r="T45" s="85">
        <f>'DRE 2026'!H42</f>
        <v>-3558.6113246999998</v>
      </c>
      <c r="U45" s="86">
        <f t="shared" ca="1" si="5"/>
        <v>5.920285839163332E-2</v>
      </c>
      <c r="V45" s="85">
        <f ca="1">Orçamento!H43</f>
        <v>-3594.886557624</v>
      </c>
      <c r="W45" s="85">
        <f ca="1">'DRE 2026'!I42</f>
        <v>-2913.0059664</v>
      </c>
      <c r="X45" s="86">
        <f t="shared" ca="1" si="6"/>
        <v>-0.18968069792852693</v>
      </c>
      <c r="Y45" s="85">
        <f ca="1">Orçamento!I43</f>
        <v>-3594.886557624</v>
      </c>
      <c r="Z45" s="85">
        <f ca="1">'DRE 2026'!J42</f>
        <v>-3377.4614234999999</v>
      </c>
      <c r="AA45" s="86">
        <f t="shared" ca="1" si="7"/>
        <v>-6.048177894873679E-2</v>
      </c>
      <c r="AB45" s="85">
        <f ca="1">Orçamento!J43</f>
        <v>-3594.886557624</v>
      </c>
      <c r="AC45" s="85">
        <f ca="1">'DRE 2026'!K42</f>
        <v>0</v>
      </c>
      <c r="AD45" s="86">
        <f t="shared" ca="1" si="8"/>
        <v>-1</v>
      </c>
      <c r="AE45" s="85">
        <f ca="1">Orçamento!K43</f>
        <v>-3594.886557624</v>
      </c>
      <c r="AF45" s="85">
        <f ca="1">'DRE 2026'!L42</f>
        <v>0</v>
      </c>
      <c r="AG45" s="86">
        <f t="shared" ca="1" si="9"/>
        <v>-1</v>
      </c>
      <c r="AH45" s="85">
        <f ca="1">Orçamento!L43</f>
        <v>-3594.886557624</v>
      </c>
      <c r="AI45" s="85">
        <f ca="1">'DRE 2026'!M42</f>
        <v>0</v>
      </c>
      <c r="AJ45" s="86">
        <f t="shared" ca="1" si="10"/>
        <v>-1</v>
      </c>
      <c r="AK45" s="85">
        <f ca="1">Orçamento!M43</f>
        <v>-3594.886557624</v>
      </c>
      <c r="AL45" s="85">
        <f ca="1">'DRE 2026'!N42</f>
        <v>0</v>
      </c>
      <c r="AM45" s="86">
        <f t="shared" ca="1" si="11"/>
        <v>-1</v>
      </c>
      <c r="AN45" s="86"/>
      <c r="AO45" s="85">
        <f t="shared" ca="1" si="19"/>
        <v>-19536.797779199998</v>
      </c>
      <c r="AP45" s="85">
        <f t="shared" si="22"/>
        <v>-22358.691329400001</v>
      </c>
      <c r="AQ45" s="86">
        <f t="shared" ca="1" si="13"/>
        <v>0.14443992214549883</v>
      </c>
      <c r="AR45" s="85">
        <f t="shared" ref="AR45:AS45" ca="1" si="58">IF($Z$7=0,V45,IF($AC$7=0,V45+Y45,IF($AF$7=0,V45+Y45+AB45,IF($AI$7=0,V45+Y45+AB45+AE45,IF($AL$7=0,V45+Y45+AB45+AE45+AH45,V45+Y45+AB45+AE45+AH45+AK45)))))</f>
        <v>-7189.7731152480001</v>
      </c>
      <c r="AS45" s="85">
        <f t="shared" ca="1" si="58"/>
        <v>-6290.4673898999999</v>
      </c>
      <c r="AT45" s="86">
        <f t="shared" ca="1" si="15"/>
        <v>-0.12508123843863186</v>
      </c>
      <c r="AU45" s="85">
        <f t="shared" ca="1" si="16"/>
        <v>-26726.570894447999</v>
      </c>
      <c r="AV45" s="85">
        <f t="shared" ca="1" si="17"/>
        <v>-28649.158719300001</v>
      </c>
      <c r="AW45" s="86">
        <f t="shared" ca="1" si="18"/>
        <v>7.1935447029285296E-2</v>
      </c>
      <c r="AX45" s="86"/>
    </row>
    <row r="46" spans="1:50" ht="12.75" hidden="1" outlineLevel="1">
      <c r="A46" s="5"/>
      <c r="B46" s="5"/>
      <c r="C46" s="84" t="s">
        <v>59</v>
      </c>
      <c r="D46" s="85">
        <f ca="1">Orçamento!B44</f>
        <v>0</v>
      </c>
      <c r="E46" s="125">
        <f>'DRE 2026'!C43</f>
        <v>-14954.85</v>
      </c>
      <c r="F46" s="86">
        <f t="shared" ca="1" si="0"/>
        <v>1</v>
      </c>
      <c r="G46" s="85">
        <f ca="1">Orçamento!C44</f>
        <v>0</v>
      </c>
      <c r="H46" s="85">
        <f>'DRE 2026'!D43</f>
        <v>0</v>
      </c>
      <c r="I46" s="86">
        <f t="shared" ca="1" si="1"/>
        <v>0</v>
      </c>
      <c r="J46" s="85">
        <f ca="1">Orçamento!D44</f>
        <v>0</v>
      </c>
      <c r="K46" s="85">
        <f>'DRE 2026'!E43</f>
        <v>0</v>
      </c>
      <c r="L46" s="86">
        <f t="shared" ca="1" si="2"/>
        <v>0</v>
      </c>
      <c r="M46" s="85">
        <f ca="1">Orçamento!E44</f>
        <v>0</v>
      </c>
      <c r="N46" s="85">
        <f>'DRE 2026'!F43</f>
        <v>0</v>
      </c>
      <c r="O46" s="86">
        <f t="shared" ca="1" si="3"/>
        <v>0</v>
      </c>
      <c r="P46" s="85">
        <f ca="1">Orçamento!F44</f>
        <v>0</v>
      </c>
      <c r="Q46" s="85">
        <f>'DRE 2026'!G43</f>
        <v>0</v>
      </c>
      <c r="R46" s="86">
        <f t="shared" ca="1" si="4"/>
        <v>0</v>
      </c>
      <c r="S46" s="85">
        <f ca="1">Orçamento!G44</f>
        <v>0</v>
      </c>
      <c r="T46" s="85">
        <f>'DRE 2026'!H43</f>
        <v>0</v>
      </c>
      <c r="U46" s="86">
        <f t="shared" ca="1" si="5"/>
        <v>0</v>
      </c>
      <c r="V46" s="85">
        <f ca="1">Orçamento!H44</f>
        <v>0</v>
      </c>
      <c r="W46" s="85">
        <f ca="1">'DRE 2026'!I43</f>
        <v>-18008.73</v>
      </c>
      <c r="X46" s="86">
        <f t="shared" ca="1" si="6"/>
        <v>1</v>
      </c>
      <c r="Y46" s="85">
        <f ca="1">Orçamento!I44</f>
        <v>0</v>
      </c>
      <c r="Z46" s="85">
        <f ca="1">'DRE 2026'!J43</f>
        <v>0</v>
      </c>
      <c r="AA46" s="86">
        <f t="shared" ca="1" si="7"/>
        <v>0</v>
      </c>
      <c r="AB46" s="85">
        <f ca="1">Orçamento!J44</f>
        <v>0</v>
      </c>
      <c r="AC46" s="85">
        <f ca="1">'DRE 2026'!K43</f>
        <v>0</v>
      </c>
      <c r="AD46" s="86">
        <f t="shared" ca="1" si="8"/>
        <v>0</v>
      </c>
      <c r="AE46" s="85">
        <f ca="1">Orçamento!K44</f>
        <v>0</v>
      </c>
      <c r="AF46" s="85">
        <f ca="1">'DRE 2026'!L43</f>
        <v>0</v>
      </c>
      <c r="AG46" s="86">
        <f t="shared" ca="1" si="9"/>
        <v>0</v>
      </c>
      <c r="AH46" s="85">
        <f ca="1">Orçamento!L44</f>
        <v>0</v>
      </c>
      <c r="AI46" s="85">
        <f ca="1">'DRE 2026'!M43</f>
        <v>0</v>
      </c>
      <c r="AJ46" s="86">
        <f t="shared" ca="1" si="10"/>
        <v>0</v>
      </c>
      <c r="AK46" s="85">
        <f ca="1">Orçamento!M44</f>
        <v>0</v>
      </c>
      <c r="AL46" s="89">
        <f ca="1">'DRE 2026'!N43</f>
        <v>0</v>
      </c>
      <c r="AM46" s="86">
        <f t="shared" ca="1" si="11"/>
        <v>0</v>
      </c>
      <c r="AN46" s="8"/>
      <c r="AO46" s="85">
        <f t="shared" ca="1" si="19"/>
        <v>0</v>
      </c>
      <c r="AP46" s="85">
        <f t="shared" si="22"/>
        <v>-14954.85</v>
      </c>
      <c r="AQ46" s="86">
        <f t="shared" ca="1" si="13"/>
        <v>1</v>
      </c>
      <c r="AR46" s="85">
        <f t="shared" ref="AR46:AS46" ca="1" si="59">IF($Z$7=0,V46,IF($AC$7=0,V46+Y46,IF($AF$7=0,V46+Y46+AB46,IF($AI$7=0,V46+Y46+AB46+AE46,IF($AL$7=0,V46+Y46+AB46+AE46+AH46,V46+Y46+AB46+AE46+AH46+AK46)))))</f>
        <v>0</v>
      </c>
      <c r="AS46" s="85">
        <f t="shared" ca="1" si="59"/>
        <v>-18008.73</v>
      </c>
      <c r="AT46" s="86">
        <f t="shared" ca="1" si="15"/>
        <v>1</v>
      </c>
      <c r="AU46" s="85">
        <f t="shared" ca="1" si="16"/>
        <v>0</v>
      </c>
      <c r="AV46" s="85">
        <f t="shared" ca="1" si="17"/>
        <v>-32963.58</v>
      </c>
      <c r="AW46" s="86">
        <f t="shared" ca="1" si="18"/>
        <v>1</v>
      </c>
      <c r="AX46" s="86"/>
    </row>
    <row r="47" spans="1:50" ht="12.75" hidden="1" outlineLevel="1">
      <c r="A47" s="5"/>
      <c r="B47" s="5"/>
      <c r="C47" s="84" t="s">
        <v>60</v>
      </c>
      <c r="D47" s="85">
        <f ca="1">Orçamento!B45</f>
        <v>-2287.3103999999998</v>
      </c>
      <c r="E47" s="125">
        <f>'DRE 2026'!C44</f>
        <v>-2325.1149</v>
      </c>
      <c r="F47" s="86">
        <f t="shared" ca="1" si="0"/>
        <v>1.6527927298367634E-2</v>
      </c>
      <c r="G47" s="85">
        <f ca="1">Orçamento!C45</f>
        <v>-2287.3103999999998</v>
      </c>
      <c r="H47" s="85">
        <f>'DRE 2026'!D44</f>
        <v>-2836.4598000000001</v>
      </c>
      <c r="I47" s="86">
        <f t="shared" ca="1" si="1"/>
        <v>0.24008521099716079</v>
      </c>
      <c r="J47" s="85">
        <f ca="1">Orçamento!D45</f>
        <v>-2520.4104000000002</v>
      </c>
      <c r="K47" s="85">
        <f>'DRE 2026'!E44</f>
        <v>-2878.2504000000004</v>
      </c>
      <c r="L47" s="86">
        <f t="shared" ca="1" si="2"/>
        <v>0.14197687805128884</v>
      </c>
      <c r="M47" s="85">
        <f ca="1">Orçamento!E45</f>
        <v>-2520.4104000000002</v>
      </c>
      <c r="N47" s="85">
        <f>'DRE 2026'!F44</f>
        <v>-3381.524100000001</v>
      </c>
      <c r="O47" s="86">
        <f t="shared" ca="1" si="3"/>
        <v>0.34165614457074162</v>
      </c>
      <c r="P47" s="85">
        <f ca="1">Orçamento!F45</f>
        <v>-2520.4104000000002</v>
      </c>
      <c r="Q47" s="85">
        <f>'DRE 2026'!G44</f>
        <v>-2682.2367000000004</v>
      </c>
      <c r="R47" s="86">
        <f t="shared" ca="1" si="4"/>
        <v>6.420632925494997E-2</v>
      </c>
      <c r="S47" s="85">
        <f ca="1">Orçamento!G45</f>
        <v>-2520.4104000000002</v>
      </c>
      <c r="T47" s="85">
        <f>'DRE 2026'!H44</f>
        <v>-2669.6259</v>
      </c>
      <c r="U47" s="86">
        <f t="shared" ca="1" si="5"/>
        <v>5.9202858391633278E-2</v>
      </c>
      <c r="V47" s="85">
        <f ca="1">Orçamento!H45</f>
        <v>-2696.8391280000001</v>
      </c>
      <c r="W47" s="85">
        <f ca="1">'DRE 2026'!I44</f>
        <v>-2185.3008</v>
      </c>
      <c r="X47" s="86">
        <f t="shared" ca="1" si="6"/>
        <v>-0.18968069792852696</v>
      </c>
      <c r="Y47" s="85">
        <f ca="1">Orçamento!I45</f>
        <v>-2696.8391280000001</v>
      </c>
      <c r="Z47" s="85">
        <f ca="1">'DRE 2026'!J44</f>
        <v>-2533.7294999999999</v>
      </c>
      <c r="AA47" s="86">
        <f t="shared" ca="1" si="7"/>
        <v>-6.0481778948736818E-2</v>
      </c>
      <c r="AB47" s="85">
        <f ca="1">Orçamento!J45</f>
        <v>-2696.8391280000001</v>
      </c>
      <c r="AC47" s="85">
        <f ca="1">'DRE 2026'!K44</f>
        <v>0</v>
      </c>
      <c r="AD47" s="86">
        <f t="shared" ca="1" si="8"/>
        <v>-1</v>
      </c>
      <c r="AE47" s="85">
        <f ca="1">Orçamento!K45</f>
        <v>-2696.8391280000001</v>
      </c>
      <c r="AF47" s="85">
        <f ca="1">'DRE 2026'!L44</f>
        <v>0</v>
      </c>
      <c r="AG47" s="86">
        <f t="shared" ca="1" si="9"/>
        <v>-1</v>
      </c>
      <c r="AH47" s="85">
        <f ca="1">Orçamento!L45</f>
        <v>-2696.8391280000001</v>
      </c>
      <c r="AI47" s="85">
        <f ca="1">'DRE 2026'!M44</f>
        <v>0</v>
      </c>
      <c r="AJ47" s="86">
        <f t="shared" ca="1" si="10"/>
        <v>-1</v>
      </c>
      <c r="AK47" s="85">
        <f ca="1">Orçamento!M45</f>
        <v>-2696.8391280000001</v>
      </c>
      <c r="AL47" s="85">
        <f ca="1">'DRE 2026'!N44</f>
        <v>0</v>
      </c>
      <c r="AM47" s="86">
        <f t="shared" ca="1" si="11"/>
        <v>-1</v>
      </c>
      <c r="AN47" s="8"/>
      <c r="AO47" s="85">
        <f t="shared" ca="1" si="19"/>
        <v>-14656.262400000001</v>
      </c>
      <c r="AP47" s="85">
        <f t="shared" si="22"/>
        <v>-16773.211800000001</v>
      </c>
      <c r="AQ47" s="86">
        <f t="shared" ca="1" si="13"/>
        <v>0.14443992214549867</v>
      </c>
      <c r="AR47" s="85">
        <f t="shared" ref="AR47:AS47" ca="1" si="60">IF($Z$7=0,V47,IF($AC$7=0,V47+Y47,IF($AF$7=0,V47+Y47+AB47,IF($AI$7=0,V47+Y47+AB47+AE47,IF($AL$7=0,V47+Y47+AB47+AE47+AH47,V47+Y47+AB47+AE47+AH47+AK47)))))</f>
        <v>-5393.6782560000001</v>
      </c>
      <c r="AS47" s="85">
        <f t="shared" ca="1" si="60"/>
        <v>-4719.0303000000004</v>
      </c>
      <c r="AT47" s="86">
        <f t="shared" ca="1" si="15"/>
        <v>-0.12508123843863181</v>
      </c>
      <c r="AU47" s="85">
        <f t="shared" ca="1" si="16"/>
        <v>-20049.940656000002</v>
      </c>
      <c r="AV47" s="85">
        <f t="shared" ca="1" si="17"/>
        <v>-21492.242100000003</v>
      </c>
      <c r="AW47" s="86">
        <f t="shared" ca="1" si="18"/>
        <v>7.193544702928524E-2</v>
      </c>
      <c r="AX47" s="86"/>
    </row>
    <row r="48" spans="1:50" ht="12.75" hidden="1" outlineLevel="1">
      <c r="A48" s="5"/>
      <c r="B48" s="5"/>
      <c r="C48" s="84" t="s">
        <v>61</v>
      </c>
      <c r="D48" s="85">
        <f ca="1">Orçamento!B46</f>
        <v>0</v>
      </c>
      <c r="E48" s="125">
        <f>'DRE 2026'!C45</f>
        <v>0</v>
      </c>
      <c r="F48" s="86">
        <f t="shared" ca="1" si="0"/>
        <v>0</v>
      </c>
      <c r="G48" s="85">
        <f ca="1">Orçamento!C46</f>
        <v>0</v>
      </c>
      <c r="H48" s="85">
        <f>'DRE 2026'!D45</f>
        <v>0</v>
      </c>
      <c r="I48" s="86">
        <f t="shared" ca="1" si="1"/>
        <v>0</v>
      </c>
      <c r="J48" s="85">
        <f ca="1">Orçamento!D46</f>
        <v>0</v>
      </c>
      <c r="K48" s="85">
        <f>'DRE 2026'!E45</f>
        <v>0</v>
      </c>
      <c r="L48" s="86">
        <f t="shared" ca="1" si="2"/>
        <v>0</v>
      </c>
      <c r="M48" s="85">
        <f ca="1">Orçamento!E46</f>
        <v>0</v>
      </c>
      <c r="N48" s="85">
        <f>'DRE 2026'!F45</f>
        <v>0</v>
      </c>
      <c r="O48" s="86">
        <f t="shared" ca="1" si="3"/>
        <v>0</v>
      </c>
      <c r="P48" s="85">
        <f ca="1">Orçamento!F46</f>
        <v>0</v>
      </c>
      <c r="Q48" s="85">
        <f>'DRE 2026'!G45</f>
        <v>0</v>
      </c>
      <c r="R48" s="86">
        <f t="shared" ca="1" si="4"/>
        <v>0</v>
      </c>
      <c r="S48" s="85">
        <f ca="1">Orçamento!G46</f>
        <v>0</v>
      </c>
      <c r="T48" s="85">
        <f>'DRE 2026'!H45</f>
        <v>0</v>
      </c>
      <c r="U48" s="86">
        <f t="shared" ca="1" si="5"/>
        <v>0</v>
      </c>
      <c r="V48" s="85">
        <f ca="1">Orçamento!H46</f>
        <v>0</v>
      </c>
      <c r="W48" s="85">
        <f ca="1">'DRE 2026'!I45</f>
        <v>0</v>
      </c>
      <c r="X48" s="86">
        <f t="shared" ca="1" si="6"/>
        <v>0</v>
      </c>
      <c r="Y48" s="85">
        <f ca="1">Orçamento!I46</f>
        <v>0</v>
      </c>
      <c r="Z48" s="85">
        <f ca="1">'DRE 2026'!J45</f>
        <v>0</v>
      </c>
      <c r="AA48" s="86">
        <f t="shared" ca="1" si="7"/>
        <v>0</v>
      </c>
      <c r="AB48" s="85">
        <f ca="1">Orçamento!J46</f>
        <v>0</v>
      </c>
      <c r="AC48" s="85">
        <f ca="1">'DRE 2026'!K45</f>
        <v>0</v>
      </c>
      <c r="AD48" s="86">
        <f t="shared" ca="1" si="8"/>
        <v>0</v>
      </c>
      <c r="AE48" s="85">
        <f ca="1">Orçamento!K46</f>
        <v>0</v>
      </c>
      <c r="AF48" s="85">
        <f ca="1">'DRE 2026'!L45</f>
        <v>0</v>
      </c>
      <c r="AG48" s="86">
        <f t="shared" ca="1" si="9"/>
        <v>0</v>
      </c>
      <c r="AH48" s="85">
        <f ca="1">Orçamento!L46</f>
        <v>0</v>
      </c>
      <c r="AI48" s="85">
        <f ca="1">'DRE 2026'!M45</f>
        <v>0</v>
      </c>
      <c r="AJ48" s="86">
        <f t="shared" ca="1" si="10"/>
        <v>0</v>
      </c>
      <c r="AK48" s="85">
        <f ca="1">Orçamento!M46</f>
        <v>0</v>
      </c>
      <c r="AL48" s="89">
        <f ca="1">'DRE 2026'!N45</f>
        <v>0</v>
      </c>
      <c r="AM48" s="86">
        <f t="shared" ca="1" si="11"/>
        <v>0</v>
      </c>
      <c r="AN48" s="8"/>
      <c r="AO48" s="85">
        <f t="shared" ca="1" si="19"/>
        <v>0</v>
      </c>
      <c r="AP48" s="85">
        <f t="shared" si="22"/>
        <v>0</v>
      </c>
      <c r="AQ48" s="86">
        <f t="shared" ca="1" si="13"/>
        <v>0</v>
      </c>
      <c r="AR48" s="85">
        <f t="shared" ref="AR48:AS48" ca="1" si="61">IF($Z$7=0,V48,IF($AC$7=0,V48+Y48,IF($AF$7=0,V48+Y48+AB48,IF($AI$7=0,V48+Y48+AB48+AE48,IF($AL$7=0,V48+Y48+AB48+AE48+AH48,V48+Y48+AB48+AE48+AH48+AK48)))))</f>
        <v>0</v>
      </c>
      <c r="AS48" s="85">
        <f t="shared" ca="1" si="61"/>
        <v>0</v>
      </c>
      <c r="AT48" s="86">
        <f t="shared" ca="1" si="15"/>
        <v>0</v>
      </c>
      <c r="AU48" s="85">
        <f t="shared" ca="1" si="16"/>
        <v>0</v>
      </c>
      <c r="AV48" s="85">
        <f t="shared" ca="1" si="17"/>
        <v>0</v>
      </c>
      <c r="AW48" s="86">
        <f t="shared" ca="1" si="18"/>
        <v>0</v>
      </c>
      <c r="AX48" s="86"/>
    </row>
    <row r="49" spans="1:50" ht="12.75" hidden="1" outlineLevel="1">
      <c r="A49" s="5"/>
      <c r="B49" s="5"/>
      <c r="C49" s="84" t="s">
        <v>62</v>
      </c>
      <c r="D49" s="85">
        <f ca="1">Orçamento!B47</f>
        <v>-2396.2934987148301</v>
      </c>
      <c r="E49" s="125">
        <f>'DRE 2026'!C46</f>
        <v>-2200.44</v>
      </c>
      <c r="F49" s="86">
        <f t="shared" ca="1" si="0"/>
        <v>-8.1731849132783335E-2</v>
      </c>
      <c r="G49" s="85">
        <f ca="1">Orçamento!C47</f>
        <v>-1960.8669481806801</v>
      </c>
      <c r="H49" s="85">
        <f>'DRE 2026'!D46</f>
        <v>-2155.58</v>
      </c>
      <c r="I49" s="86">
        <f t="shared" ca="1" si="1"/>
        <v>9.9299471593407879E-2</v>
      </c>
      <c r="J49" s="85">
        <f ca="1">Orçamento!D47</f>
        <v>-2634.2362073519698</v>
      </c>
      <c r="K49" s="85">
        <f>'DRE 2026'!E46</f>
        <v>-2170.46</v>
      </c>
      <c r="L49" s="86">
        <f t="shared" ca="1" si="2"/>
        <v>-0.17605718350450225</v>
      </c>
      <c r="M49" s="85">
        <f ca="1">Orçamento!E47</f>
        <v>-2119.3749863140301</v>
      </c>
      <c r="N49" s="85">
        <f>'DRE 2026'!F46</f>
        <v>-3459.72</v>
      </c>
      <c r="O49" s="86">
        <f t="shared" ca="1" si="3"/>
        <v>0.63242466403600806</v>
      </c>
      <c r="P49" s="85">
        <f ca="1">Orçamento!F47</f>
        <v>-2681.3498405795099</v>
      </c>
      <c r="Q49" s="85">
        <f>'DRE 2026'!G46</f>
        <v>-2507.98</v>
      </c>
      <c r="R49" s="86">
        <f t="shared" ca="1" si="4"/>
        <v>-6.4657672772024444E-2</v>
      </c>
      <c r="S49" s="85">
        <f ca="1">Orçamento!G47</f>
        <v>-2272.81542719545</v>
      </c>
      <c r="T49" s="85">
        <f>'DRE 2026'!H46</f>
        <v>-2522.35</v>
      </c>
      <c r="U49" s="86">
        <f t="shared" ca="1" si="5"/>
        <v>0.10979095346623205</v>
      </c>
      <c r="V49" s="85">
        <f ca="1">Orçamento!H47</f>
        <v>-2891.5738976664502</v>
      </c>
      <c r="W49" s="85">
        <f ca="1">'DRE 2026'!I46</f>
        <v>-2584.56</v>
      </c>
      <c r="X49" s="86">
        <f t="shared" ca="1" si="6"/>
        <v>-0.10617535934814452</v>
      </c>
      <c r="Y49" s="85">
        <f ca="1">Orçamento!I47</f>
        <v>-3010.6328958521499</v>
      </c>
      <c r="Z49" s="85">
        <f ca="1">'DRE 2026'!J46</f>
        <v>-2508.3000000000002</v>
      </c>
      <c r="AA49" s="86">
        <f t="shared" ca="1" si="7"/>
        <v>-0.1668529220365029</v>
      </c>
      <c r="AB49" s="85">
        <f ca="1">Orçamento!J47</f>
        <v>-2532.2795667578298</v>
      </c>
      <c r="AC49" s="85">
        <f>'DRE 2026'!K46</f>
        <v>0</v>
      </c>
      <c r="AD49" s="86">
        <f t="shared" ca="1" si="8"/>
        <v>-1</v>
      </c>
      <c r="AE49" s="85">
        <f ca="1">Orçamento!K47</f>
        <v>-2440.5515615521999</v>
      </c>
      <c r="AF49" s="85">
        <f>'DRE 2026'!L46</f>
        <v>0</v>
      </c>
      <c r="AG49" s="86">
        <f t="shared" ca="1" si="9"/>
        <v>-1</v>
      </c>
      <c r="AH49" s="85">
        <f ca="1">Orçamento!L47</f>
        <v>-2860.7170881310299</v>
      </c>
      <c r="AI49" s="85">
        <f>'DRE 2026'!M46</f>
        <v>0</v>
      </c>
      <c r="AJ49" s="86">
        <f t="shared" ca="1" si="10"/>
        <v>-1</v>
      </c>
      <c r="AK49" s="85">
        <f ca="1">Orçamento!M47</f>
        <v>-3005.6859621834801</v>
      </c>
      <c r="AL49" s="89">
        <f>'DRE 2026'!N46</f>
        <v>0</v>
      </c>
      <c r="AM49" s="86">
        <f t="shared" ca="1" si="11"/>
        <v>-1</v>
      </c>
      <c r="AN49" s="8"/>
      <c r="AO49" s="85">
        <f t="shared" ca="1" si="19"/>
        <v>-14064.936908336471</v>
      </c>
      <c r="AP49" s="85">
        <f t="shared" si="22"/>
        <v>-15016.53</v>
      </c>
      <c r="AQ49" s="86">
        <f t="shared" ca="1" si="13"/>
        <v>6.7657117686714133E-2</v>
      </c>
      <c r="AR49" s="85">
        <f t="shared" ref="AR49:AS49" ca="1" si="62">IF($Z$7=0,V49,IF($AC$7=0,V49+Y49,IF($AF$7=0,V49+Y49+AB49,IF($AI$7=0,V49+Y49+AB49+AE49,IF($AL$7=0,V49+Y49+AB49+AE49+AH49,V49+Y49+AB49+AE49+AH49+AK49)))))</f>
        <v>-5902.2067935186005</v>
      </c>
      <c r="AS49" s="85">
        <f t="shared" ca="1" si="62"/>
        <v>-5092.8600000000006</v>
      </c>
      <c r="AT49" s="86">
        <f t="shared" ca="1" si="15"/>
        <v>-0.13712613295883994</v>
      </c>
      <c r="AU49" s="85">
        <f t="shared" ca="1" si="16"/>
        <v>-19967.143701855071</v>
      </c>
      <c r="AV49" s="85">
        <f t="shared" ca="1" si="17"/>
        <v>-20109.39</v>
      </c>
      <c r="AW49" s="86">
        <f t="shared" ca="1" si="18"/>
        <v>7.1240183507925792E-3</v>
      </c>
      <c r="AX49" s="86"/>
    </row>
    <row r="50" spans="1:50" ht="12.75" hidden="1" outlineLevel="1">
      <c r="A50" s="5"/>
      <c r="B50" s="5"/>
      <c r="C50" s="84" t="s">
        <v>63</v>
      </c>
      <c r="D50" s="85">
        <f ca="1">Orçamento!B48</f>
        <v>0</v>
      </c>
      <c r="E50" s="85">
        <f>'DRE 2026'!C47</f>
        <v>0</v>
      </c>
      <c r="F50" s="86">
        <f t="shared" ca="1" si="0"/>
        <v>0</v>
      </c>
      <c r="G50" s="85">
        <f ca="1">Orçamento!C48</f>
        <v>0</v>
      </c>
      <c r="H50" s="85">
        <f>'DRE 2026'!D47</f>
        <v>0</v>
      </c>
      <c r="I50" s="86">
        <f t="shared" ca="1" si="1"/>
        <v>0</v>
      </c>
      <c r="J50" s="85">
        <f ca="1">Orçamento!D48</f>
        <v>0</v>
      </c>
      <c r="K50" s="85">
        <f>'DRE 2026'!E47</f>
        <v>0</v>
      </c>
      <c r="L50" s="86">
        <f t="shared" ca="1" si="2"/>
        <v>0</v>
      </c>
      <c r="M50" s="85">
        <f ca="1">Orçamento!E48</f>
        <v>0</v>
      </c>
      <c r="N50" s="85">
        <f>'DRE 2026'!F47</f>
        <v>0</v>
      </c>
      <c r="O50" s="86">
        <f t="shared" ca="1" si="3"/>
        <v>0</v>
      </c>
      <c r="P50" s="85">
        <f ca="1">Orçamento!F48</f>
        <v>0</v>
      </c>
      <c r="Q50" s="85">
        <f>'DRE 2026'!G47</f>
        <v>0</v>
      </c>
      <c r="R50" s="86">
        <f t="shared" ca="1" si="4"/>
        <v>0</v>
      </c>
      <c r="S50" s="85">
        <f ca="1">Orçamento!G48</f>
        <v>0</v>
      </c>
      <c r="T50" s="85">
        <f>'DRE 2026'!H47</f>
        <v>0</v>
      </c>
      <c r="U50" s="86">
        <f t="shared" ca="1" si="5"/>
        <v>0</v>
      </c>
      <c r="V50" s="85">
        <f ca="1">Orçamento!H48</f>
        <v>0</v>
      </c>
      <c r="W50" s="85">
        <f ca="1">'DRE 2026'!I47</f>
        <v>0</v>
      </c>
      <c r="X50" s="86">
        <f t="shared" ca="1" si="6"/>
        <v>0</v>
      </c>
      <c r="Y50" s="85">
        <f ca="1">Orçamento!I48</f>
        <v>0</v>
      </c>
      <c r="Z50" s="85">
        <f ca="1">'DRE 2026'!J47</f>
        <v>0</v>
      </c>
      <c r="AA50" s="86">
        <f t="shared" ca="1" si="7"/>
        <v>0</v>
      </c>
      <c r="AB50" s="85">
        <f ca="1">Orçamento!J48</f>
        <v>0</v>
      </c>
      <c r="AC50" s="85">
        <f ca="1">'DRE 2026'!K47</f>
        <v>0</v>
      </c>
      <c r="AD50" s="86">
        <f t="shared" ca="1" si="8"/>
        <v>0</v>
      </c>
      <c r="AE50" s="85">
        <f ca="1">Orçamento!K48</f>
        <v>0</v>
      </c>
      <c r="AF50" s="85">
        <f ca="1">'DRE 2026'!L47</f>
        <v>0</v>
      </c>
      <c r="AG50" s="86">
        <f t="shared" ca="1" si="9"/>
        <v>0</v>
      </c>
      <c r="AH50" s="85">
        <f ca="1">Orçamento!L48</f>
        <v>0</v>
      </c>
      <c r="AI50" s="85">
        <f ca="1">'DRE 2026'!M47</f>
        <v>0</v>
      </c>
      <c r="AJ50" s="86">
        <f t="shared" ca="1" si="10"/>
        <v>0</v>
      </c>
      <c r="AK50" s="85">
        <f ca="1">Orçamento!M48</f>
        <v>0</v>
      </c>
      <c r="AL50" s="89">
        <f ca="1">'DRE 2026'!N47</f>
        <v>0</v>
      </c>
      <c r="AM50" s="86">
        <f t="shared" ca="1" si="11"/>
        <v>0</v>
      </c>
      <c r="AN50" s="8"/>
      <c r="AO50" s="85">
        <f t="shared" ca="1" si="19"/>
        <v>0</v>
      </c>
      <c r="AP50" s="85">
        <f t="shared" si="22"/>
        <v>0</v>
      </c>
      <c r="AQ50" s="86">
        <f t="shared" ca="1" si="13"/>
        <v>0</v>
      </c>
      <c r="AR50" s="85">
        <f t="shared" ref="AR50:AS50" ca="1" si="63">IF($Z$7=0,V50,IF($AC$7=0,V50+Y50,IF($AF$7=0,V50+Y50+AB50,IF($AI$7=0,V50+Y50+AB50+AE50,IF($AL$7=0,V50+Y50+AB50+AE50+AH50,V50+Y50+AB50+AE50+AH50+AK50)))))</f>
        <v>0</v>
      </c>
      <c r="AS50" s="85">
        <f t="shared" ca="1" si="63"/>
        <v>0</v>
      </c>
      <c r="AT50" s="86">
        <f t="shared" ca="1" si="15"/>
        <v>0</v>
      </c>
      <c r="AU50" s="85">
        <f t="shared" ca="1" si="16"/>
        <v>0</v>
      </c>
      <c r="AV50" s="85">
        <f t="shared" ca="1" si="17"/>
        <v>0</v>
      </c>
      <c r="AW50" s="86">
        <f t="shared" ca="1" si="18"/>
        <v>0</v>
      </c>
      <c r="AX50" s="86"/>
    </row>
    <row r="51" spans="1:50" ht="12.75" hidden="1" outlineLevel="1">
      <c r="A51" s="5"/>
      <c r="B51" s="5"/>
      <c r="C51" s="84" t="s">
        <v>64</v>
      </c>
      <c r="D51" s="85">
        <f ca="1">Orçamento!B49</f>
        <v>-650</v>
      </c>
      <c r="E51" s="85">
        <f>'DRE 2026'!C48</f>
        <v>-1530.51</v>
      </c>
      <c r="F51" s="86">
        <f t="shared" ca="1" si="0"/>
        <v>1.3546307692307693</v>
      </c>
      <c r="G51" s="85">
        <f ca="1">Orçamento!C49</f>
        <v>-650</v>
      </c>
      <c r="H51" s="85">
        <f>'DRE 2026'!D48</f>
        <v>-1520.51</v>
      </c>
      <c r="I51" s="86">
        <f t="shared" ca="1" si="1"/>
        <v>1.3392461538461538</v>
      </c>
      <c r="J51" s="85">
        <f ca="1">Orçamento!D49</f>
        <v>-650</v>
      </c>
      <c r="K51" s="85">
        <f>'DRE 2026'!E48</f>
        <v>-248.89</v>
      </c>
      <c r="L51" s="86">
        <f t="shared" ca="1" si="2"/>
        <v>-0.61709230769230772</v>
      </c>
      <c r="M51" s="85">
        <f ca="1">Orçamento!E49</f>
        <v>-650</v>
      </c>
      <c r="N51" s="85">
        <f>'DRE 2026'!F48</f>
        <v>-220.87</v>
      </c>
      <c r="O51" s="86">
        <f t="shared" ca="1" si="3"/>
        <v>-0.66020000000000001</v>
      </c>
      <c r="P51" s="85">
        <f ca="1">Orçamento!F49</f>
        <v>-650</v>
      </c>
      <c r="Q51" s="85">
        <f>'DRE 2026'!G48</f>
        <v>-231.76</v>
      </c>
      <c r="R51" s="86">
        <f t="shared" ca="1" si="4"/>
        <v>-0.64344615384615389</v>
      </c>
      <c r="S51" s="85">
        <f ca="1">Orçamento!G49</f>
        <v>-650</v>
      </c>
      <c r="T51" s="85">
        <f>'DRE 2026'!H48</f>
        <v>0</v>
      </c>
      <c r="U51" s="86">
        <f t="shared" ca="1" si="5"/>
        <v>-1</v>
      </c>
      <c r="V51" s="85">
        <f ca="1">Orçamento!H49</f>
        <v>-650</v>
      </c>
      <c r="W51" s="85">
        <f ca="1">'DRE 2026'!I48</f>
        <v>-695</v>
      </c>
      <c r="X51" s="86">
        <f t="shared" ca="1" si="6"/>
        <v>6.9230769230769235E-2</v>
      </c>
      <c r="Y51" s="85">
        <f ca="1">Orçamento!I49</f>
        <v>-650</v>
      </c>
      <c r="Z51" s="85">
        <f ca="1">'DRE 2026'!J48</f>
        <v>-297.94</v>
      </c>
      <c r="AA51" s="86">
        <f t="shared" ca="1" si="7"/>
        <v>-0.54163076923076925</v>
      </c>
      <c r="AB51" s="85">
        <f ca="1">Orçamento!J49</f>
        <v>-650</v>
      </c>
      <c r="AC51" s="85">
        <f>'DRE 2026'!K48</f>
        <v>0</v>
      </c>
      <c r="AD51" s="86">
        <f t="shared" ca="1" si="8"/>
        <v>-1</v>
      </c>
      <c r="AE51" s="85">
        <f ca="1">Orçamento!K49</f>
        <v>-650</v>
      </c>
      <c r="AF51" s="85">
        <f>'DRE 2026'!L48</f>
        <v>0</v>
      </c>
      <c r="AG51" s="86">
        <f t="shared" ca="1" si="9"/>
        <v>-1</v>
      </c>
      <c r="AH51" s="85">
        <f ca="1">Orçamento!L49</f>
        <v>-650</v>
      </c>
      <c r="AI51" s="85">
        <f>'DRE 2026'!M48</f>
        <v>0</v>
      </c>
      <c r="AJ51" s="86">
        <f t="shared" ca="1" si="10"/>
        <v>-1</v>
      </c>
      <c r="AK51" s="85">
        <f ca="1">Orçamento!M49</f>
        <v>-650</v>
      </c>
      <c r="AL51" s="89">
        <f>'DRE 2026'!N48</f>
        <v>0</v>
      </c>
      <c r="AM51" s="86">
        <f t="shared" ca="1" si="11"/>
        <v>-1</v>
      </c>
      <c r="AN51" s="8"/>
      <c r="AO51" s="85">
        <f t="shared" ca="1" si="19"/>
        <v>-3250</v>
      </c>
      <c r="AP51" s="85">
        <f t="shared" si="22"/>
        <v>-3752.54</v>
      </c>
      <c r="AQ51" s="86">
        <f t="shared" ca="1" si="13"/>
        <v>0.1546276923076923</v>
      </c>
      <c r="AR51" s="85">
        <f t="shared" ref="AR51:AS51" ca="1" si="64">IF($Z$7=0,V51,IF($AC$7=0,V51+Y51,IF($AF$7=0,V51+Y51+AB51,IF($AI$7=0,V51+Y51+AB51+AE51,IF($AL$7=0,V51+Y51+AB51+AE51+AH51,V51+Y51+AB51+AE51+AH51+AK51)))))</f>
        <v>-1300</v>
      </c>
      <c r="AS51" s="85">
        <f t="shared" ca="1" si="64"/>
        <v>-992.94</v>
      </c>
      <c r="AT51" s="86">
        <f t="shared" ca="1" si="15"/>
        <v>-0.23619999999999997</v>
      </c>
      <c r="AU51" s="85">
        <f t="shared" ca="1" si="16"/>
        <v>-4550</v>
      </c>
      <c r="AV51" s="85">
        <f t="shared" ca="1" si="17"/>
        <v>-4745.4799999999996</v>
      </c>
      <c r="AW51" s="86">
        <f t="shared" ca="1" si="18"/>
        <v>4.2962637362637265E-2</v>
      </c>
      <c r="AX51" s="86"/>
    </row>
    <row r="52" spans="1:50" ht="12.75" hidden="1" outlineLevel="1">
      <c r="A52" s="5"/>
      <c r="B52" s="5"/>
      <c r="C52" s="84" t="s">
        <v>65</v>
      </c>
      <c r="D52" s="85">
        <f ca="1">Orçamento!B50</f>
        <v>-120</v>
      </c>
      <c r="E52" s="85">
        <f>'DRE 2026'!C49</f>
        <v>-33.799999999999997</v>
      </c>
      <c r="F52" s="86">
        <f t="shared" ca="1" si="0"/>
        <v>-0.71833333333333338</v>
      </c>
      <c r="G52" s="85">
        <f ca="1">Orçamento!C50</f>
        <v>-120</v>
      </c>
      <c r="H52" s="85">
        <f>'DRE 2026'!D49</f>
        <v>0</v>
      </c>
      <c r="I52" s="86">
        <f t="shared" ca="1" si="1"/>
        <v>-1</v>
      </c>
      <c r="J52" s="85">
        <f ca="1">Orçamento!D50</f>
        <v>-120</v>
      </c>
      <c r="K52" s="85">
        <f>'DRE 2026'!E49</f>
        <v>0</v>
      </c>
      <c r="L52" s="86">
        <f t="shared" ca="1" si="2"/>
        <v>-1</v>
      </c>
      <c r="M52" s="85">
        <f ca="1">Orçamento!E50</f>
        <v>-120</v>
      </c>
      <c r="N52" s="85">
        <f>'DRE 2026'!F49</f>
        <v>-18</v>
      </c>
      <c r="O52" s="86">
        <f t="shared" ca="1" si="3"/>
        <v>-0.85</v>
      </c>
      <c r="P52" s="85">
        <f ca="1">Orçamento!F50</f>
        <v>-120</v>
      </c>
      <c r="Q52" s="85">
        <f>'DRE 2026'!G49</f>
        <v>-88.9</v>
      </c>
      <c r="R52" s="86">
        <f t="shared" ca="1" si="4"/>
        <v>-0.2591666666666666</v>
      </c>
      <c r="S52" s="85">
        <f ca="1">Orçamento!G50</f>
        <v>-120</v>
      </c>
      <c r="T52" s="85">
        <f>'DRE 2026'!H49</f>
        <v>-34.9</v>
      </c>
      <c r="U52" s="86">
        <f t="shared" ca="1" si="5"/>
        <v>-0.70916666666666661</v>
      </c>
      <c r="V52" s="85">
        <f ca="1">Orçamento!H50</f>
        <v>-120</v>
      </c>
      <c r="W52" s="85">
        <f ca="1">'DRE 2026'!I49</f>
        <v>-34.9</v>
      </c>
      <c r="X52" s="86">
        <f t="shared" ca="1" si="6"/>
        <v>-0.70916666666666661</v>
      </c>
      <c r="Y52" s="85">
        <f ca="1">Orçamento!I50</f>
        <v>-120</v>
      </c>
      <c r="Z52" s="85">
        <f ca="1">'DRE 2026'!J49</f>
        <v>-36</v>
      </c>
      <c r="AA52" s="86">
        <f t="shared" ca="1" si="7"/>
        <v>-0.7</v>
      </c>
      <c r="AB52" s="85">
        <f ca="1">Orçamento!J50</f>
        <v>-120</v>
      </c>
      <c r="AC52" s="85">
        <f>'DRE 2026'!K49</f>
        <v>0</v>
      </c>
      <c r="AD52" s="86">
        <f t="shared" ca="1" si="8"/>
        <v>-1</v>
      </c>
      <c r="AE52" s="85">
        <f ca="1">Orçamento!K50</f>
        <v>-120</v>
      </c>
      <c r="AF52" s="85">
        <f>'DRE 2026'!L49</f>
        <v>0</v>
      </c>
      <c r="AG52" s="86">
        <f t="shared" ca="1" si="9"/>
        <v>-1</v>
      </c>
      <c r="AH52" s="85">
        <f ca="1">Orçamento!L50</f>
        <v>-120</v>
      </c>
      <c r="AI52" s="85">
        <f>'DRE 2026'!M49</f>
        <v>0</v>
      </c>
      <c r="AJ52" s="86">
        <f t="shared" ca="1" si="10"/>
        <v>-1</v>
      </c>
      <c r="AK52" s="85">
        <f ca="1">Orçamento!M50</f>
        <v>-120</v>
      </c>
      <c r="AL52" s="89">
        <f>'DRE 2026'!N49</f>
        <v>0</v>
      </c>
      <c r="AM52" s="86">
        <f t="shared" ca="1" si="11"/>
        <v>-1</v>
      </c>
      <c r="AN52" s="8"/>
      <c r="AO52" s="85">
        <f t="shared" ca="1" si="19"/>
        <v>-120</v>
      </c>
      <c r="AP52" s="85">
        <f t="shared" si="22"/>
        <v>-175.6</v>
      </c>
      <c r="AQ52" s="86">
        <f t="shared" ca="1" si="13"/>
        <v>0.46333333333333326</v>
      </c>
      <c r="AR52" s="85">
        <f t="shared" ref="AR52:AS52" ca="1" si="65">IF($Z$7=0,V52,IF($AC$7=0,V52+Y52,IF($AF$7=0,V52+Y52+AB52,IF($AI$7=0,V52+Y52+AB52+AE52,IF($AL$7=0,V52+Y52+AB52+AE52+AH52,V52+Y52+AB52+AE52+AH52+AK52)))))</f>
        <v>-240</v>
      </c>
      <c r="AS52" s="85">
        <f t="shared" ca="1" si="65"/>
        <v>-70.900000000000006</v>
      </c>
      <c r="AT52" s="86">
        <f t="shared" ca="1" si="15"/>
        <v>-0.70458333333333334</v>
      </c>
      <c r="AU52" s="85">
        <f t="shared" ca="1" si="16"/>
        <v>-360</v>
      </c>
      <c r="AV52" s="85">
        <f t="shared" ca="1" si="17"/>
        <v>-246.5</v>
      </c>
      <c r="AW52" s="86">
        <f t="shared" ca="1" si="18"/>
        <v>-0.31527777777777777</v>
      </c>
      <c r="AX52" s="86"/>
    </row>
    <row r="53" spans="1:50" ht="12.75" hidden="1" outlineLevel="1">
      <c r="A53" s="5"/>
      <c r="B53" s="5"/>
      <c r="C53" s="84" t="s">
        <v>66</v>
      </c>
      <c r="D53" s="85">
        <f ca="1">Orçamento!B51</f>
        <v>-5113.97</v>
      </c>
      <c r="E53" s="85">
        <f>'DRE 2026'!C50</f>
        <v>-4791.8500000000004</v>
      </c>
      <c r="F53" s="86">
        <f t="shared" ca="1" si="0"/>
        <v>-6.2988245922443786E-2</v>
      </c>
      <c r="G53" s="85">
        <f ca="1">Orçamento!C51</f>
        <v>-5113.97</v>
      </c>
      <c r="H53" s="85">
        <f>'DRE 2026'!D50</f>
        <v>-4299.2</v>
      </c>
      <c r="I53" s="86">
        <f t="shared" ca="1" si="1"/>
        <v>-0.1593224050981919</v>
      </c>
      <c r="J53" s="85">
        <f ca="1">Orçamento!D51</f>
        <v>-5113.97</v>
      </c>
      <c r="K53" s="85">
        <f>'DRE 2026'!E50</f>
        <v>-4440.2</v>
      </c>
      <c r="L53" s="86">
        <f t="shared" ca="1" si="2"/>
        <v>-0.13175087065430582</v>
      </c>
      <c r="M53" s="85">
        <f ca="1">Orçamento!E51</f>
        <v>-5634</v>
      </c>
      <c r="N53" s="85">
        <f>'DRE 2026'!F50</f>
        <v>-5485.5</v>
      </c>
      <c r="O53" s="86">
        <f t="shared" ca="1" si="3"/>
        <v>-2.6357827476038338E-2</v>
      </c>
      <c r="P53" s="85">
        <f ca="1">Orçamento!F51</f>
        <v>-5634</v>
      </c>
      <c r="Q53" s="85">
        <f>'DRE 2026'!G50</f>
        <v>-5485.5</v>
      </c>
      <c r="R53" s="86">
        <f t="shared" ca="1" si="4"/>
        <v>-2.6357827476038338E-2</v>
      </c>
      <c r="S53" s="85">
        <f ca="1">Orçamento!G51</f>
        <v>-5634</v>
      </c>
      <c r="T53" s="85">
        <f>'DRE 2026'!H50</f>
        <v>-5485.5</v>
      </c>
      <c r="U53" s="86">
        <f t="shared" ca="1" si="5"/>
        <v>-2.6357827476038338E-2</v>
      </c>
      <c r="V53" s="85">
        <f ca="1">Orçamento!H51</f>
        <v>-6028</v>
      </c>
      <c r="W53" s="85">
        <f ca="1">'DRE 2026'!I50</f>
        <v>-5485.5</v>
      </c>
      <c r="X53" s="86">
        <f t="shared" ca="1" si="6"/>
        <v>-8.9996682149966825E-2</v>
      </c>
      <c r="Y53" s="85">
        <f ca="1">Orçamento!I51</f>
        <v>-6028</v>
      </c>
      <c r="Z53" s="85">
        <f ca="1">'DRE 2026'!J50</f>
        <v>-5158.47</v>
      </c>
      <c r="AA53" s="86">
        <f t="shared" ca="1" si="7"/>
        <v>-0.14424850696748504</v>
      </c>
      <c r="AB53" s="85">
        <f ca="1">Orçamento!J51</f>
        <v>-6028</v>
      </c>
      <c r="AC53" s="85">
        <f>'DRE 2026'!K50</f>
        <v>0</v>
      </c>
      <c r="AD53" s="86">
        <f t="shared" ca="1" si="8"/>
        <v>-1</v>
      </c>
      <c r="AE53" s="85">
        <f ca="1">Orçamento!K51</f>
        <v>-6028</v>
      </c>
      <c r="AF53" s="85">
        <f>'DRE 2026'!L50</f>
        <v>0</v>
      </c>
      <c r="AG53" s="86">
        <f t="shared" ca="1" si="9"/>
        <v>-1</v>
      </c>
      <c r="AH53" s="85">
        <f ca="1">Orçamento!L51</f>
        <v>-6028</v>
      </c>
      <c r="AI53" s="85">
        <f>'DRE 2026'!M50</f>
        <v>0</v>
      </c>
      <c r="AJ53" s="86">
        <f t="shared" ca="1" si="10"/>
        <v>-1</v>
      </c>
      <c r="AK53" s="85">
        <f ca="1">Orçamento!M51</f>
        <v>-6028</v>
      </c>
      <c r="AL53" s="89">
        <f>'DRE 2026'!N50</f>
        <v>0</v>
      </c>
      <c r="AM53" s="86">
        <f t="shared" ca="1" si="11"/>
        <v>-1</v>
      </c>
      <c r="AN53" s="8"/>
      <c r="AO53" s="85">
        <f t="shared" ca="1" si="19"/>
        <v>-32243.91</v>
      </c>
      <c r="AP53" s="85">
        <f t="shared" si="22"/>
        <v>-29987.75</v>
      </c>
      <c r="AQ53" s="86">
        <f t="shared" ca="1" si="13"/>
        <v>-6.9971662865948941E-2</v>
      </c>
      <c r="AR53" s="85">
        <f t="shared" ref="AR53:AS53" ca="1" si="66">IF($Z$7=0,V53,IF($AC$7=0,V53+Y53,IF($AF$7=0,V53+Y53+AB53,IF($AI$7=0,V53+Y53+AB53+AE53,IF($AL$7=0,V53+Y53+AB53+AE53+AH53,V53+Y53+AB53+AE53+AH53+AK53)))))</f>
        <v>-12056</v>
      </c>
      <c r="AS53" s="85">
        <f t="shared" ca="1" si="66"/>
        <v>-10643.970000000001</v>
      </c>
      <c r="AT53" s="86">
        <f t="shared" ca="1" si="15"/>
        <v>-0.11712259455872585</v>
      </c>
      <c r="AU53" s="85">
        <f t="shared" ca="1" si="16"/>
        <v>-44299.91</v>
      </c>
      <c r="AV53" s="85">
        <f t="shared" ca="1" si="17"/>
        <v>-40631.72</v>
      </c>
      <c r="AW53" s="86">
        <f t="shared" ca="1" si="18"/>
        <v>-8.2803554228439782E-2</v>
      </c>
      <c r="AX53" s="86"/>
    </row>
    <row r="54" spans="1:50" ht="12.75" hidden="1" outlineLevel="1">
      <c r="A54" s="5"/>
      <c r="B54" s="5"/>
      <c r="C54" s="84" t="s">
        <v>67</v>
      </c>
      <c r="D54" s="85">
        <f ca="1">Orçamento!B52</f>
        <v>-385</v>
      </c>
      <c r="E54" s="85">
        <f>'DRE 2026'!C51</f>
        <v>-487.5</v>
      </c>
      <c r="F54" s="86">
        <f t="shared" ca="1" si="0"/>
        <v>0.26623376623376621</v>
      </c>
      <c r="G54" s="85">
        <f ca="1">Orçamento!C52</f>
        <v>-385</v>
      </c>
      <c r="H54" s="85">
        <f>'DRE 2026'!D51</f>
        <v>-345</v>
      </c>
      <c r="I54" s="86">
        <f t="shared" ca="1" si="1"/>
        <v>-0.1038961038961039</v>
      </c>
      <c r="J54" s="85">
        <f ca="1">Orçamento!D52</f>
        <v>-385</v>
      </c>
      <c r="K54" s="85">
        <f>'DRE 2026'!E51</f>
        <v>-435</v>
      </c>
      <c r="L54" s="86">
        <f t="shared" ca="1" si="2"/>
        <v>0.12987012987012986</v>
      </c>
      <c r="M54" s="85">
        <f ca="1">Orçamento!E52</f>
        <v>-385</v>
      </c>
      <c r="N54" s="85">
        <f>'DRE 2026'!F51</f>
        <v>-375</v>
      </c>
      <c r="O54" s="86">
        <f t="shared" ca="1" si="3"/>
        <v>-2.5974025974025976E-2</v>
      </c>
      <c r="P54" s="85">
        <f ca="1">Orçamento!F52</f>
        <v>-385</v>
      </c>
      <c r="Q54" s="85">
        <f>'DRE 2026'!G51</f>
        <v>-375</v>
      </c>
      <c r="R54" s="86">
        <f t="shared" ca="1" si="4"/>
        <v>-2.5974025974025976E-2</v>
      </c>
      <c r="S54" s="85">
        <f ca="1">Orçamento!G52</f>
        <v>-385</v>
      </c>
      <c r="T54" s="85">
        <f>'DRE 2026'!H51</f>
        <v>-405</v>
      </c>
      <c r="U54" s="86">
        <f t="shared" ca="1" si="5"/>
        <v>5.1948051948051951E-2</v>
      </c>
      <c r="V54" s="85">
        <f ca="1">Orçamento!H52</f>
        <v>-385</v>
      </c>
      <c r="W54" s="85">
        <f ca="1">'DRE 2026'!I51</f>
        <v>-390</v>
      </c>
      <c r="X54" s="86">
        <f t="shared" ca="1" si="6"/>
        <v>1.2987012987012988E-2</v>
      </c>
      <c r="Y54" s="85">
        <f ca="1">Orçamento!I52</f>
        <v>-385</v>
      </c>
      <c r="Z54" s="85">
        <f ca="1">'DRE 2026'!J51</f>
        <v>-442.5</v>
      </c>
      <c r="AA54" s="86">
        <f t="shared" ca="1" si="7"/>
        <v>0.14935064935064934</v>
      </c>
      <c r="AB54" s="85">
        <f ca="1">Orçamento!J52</f>
        <v>-385</v>
      </c>
      <c r="AC54" s="85">
        <f>'DRE 2026'!K51</f>
        <v>0</v>
      </c>
      <c r="AD54" s="86">
        <f t="shared" ca="1" si="8"/>
        <v>-1</v>
      </c>
      <c r="AE54" s="85">
        <f ca="1">Orçamento!K52</f>
        <v>-385</v>
      </c>
      <c r="AF54" s="85">
        <f>'DRE 2026'!L51</f>
        <v>0</v>
      </c>
      <c r="AG54" s="86">
        <f t="shared" ca="1" si="9"/>
        <v>-1</v>
      </c>
      <c r="AH54" s="85">
        <f ca="1">Orçamento!L52</f>
        <v>-385</v>
      </c>
      <c r="AI54" s="85">
        <f>'DRE 2026'!M51</f>
        <v>0</v>
      </c>
      <c r="AJ54" s="86">
        <f t="shared" ca="1" si="10"/>
        <v>-1</v>
      </c>
      <c r="AK54" s="85">
        <f ca="1">Orçamento!M52</f>
        <v>-385</v>
      </c>
      <c r="AL54" s="89">
        <f>'DRE 2026'!N51</f>
        <v>0</v>
      </c>
      <c r="AM54" s="86">
        <f t="shared" ca="1" si="11"/>
        <v>-1</v>
      </c>
      <c r="AN54" s="8"/>
      <c r="AO54" s="85">
        <f t="shared" ca="1" si="19"/>
        <v>-2310</v>
      </c>
      <c r="AP54" s="85">
        <f t="shared" si="22"/>
        <v>-2422.5</v>
      </c>
      <c r="AQ54" s="86">
        <f t="shared" ca="1" si="13"/>
        <v>4.8701298701298704E-2</v>
      </c>
      <c r="AR54" s="85">
        <f t="shared" ref="AR54:AS54" ca="1" si="67">IF($Z$7=0,V54,IF($AC$7=0,V54+Y54,IF($AF$7=0,V54+Y54+AB54,IF($AI$7=0,V54+Y54+AB54+AE54,IF($AL$7=0,V54+Y54+AB54+AE54+AH54,V54+Y54+AB54+AE54+AH54+AK54)))))</f>
        <v>-770</v>
      </c>
      <c r="AS54" s="85">
        <f t="shared" ca="1" si="67"/>
        <v>-832.5</v>
      </c>
      <c r="AT54" s="86">
        <f t="shared" ca="1" si="15"/>
        <v>8.1168831168831168E-2</v>
      </c>
      <c r="AU54" s="85">
        <f t="shared" ca="1" si="16"/>
        <v>-3080</v>
      </c>
      <c r="AV54" s="85">
        <f t="shared" ca="1" si="17"/>
        <v>-3255</v>
      </c>
      <c r="AW54" s="86">
        <f t="shared" ca="1" si="18"/>
        <v>5.6818181818181816E-2</v>
      </c>
      <c r="AX54" s="86"/>
    </row>
    <row r="55" spans="1:50" ht="12.75" hidden="1" outlineLevel="1">
      <c r="A55" s="5"/>
      <c r="B55" s="5"/>
      <c r="C55" s="84" t="s">
        <v>68</v>
      </c>
      <c r="D55" s="85">
        <f ca="1">Orçamento!B53</f>
        <v>0</v>
      </c>
      <c r="E55" s="85">
        <f>'DRE 2026'!C52</f>
        <v>0</v>
      </c>
      <c r="F55" s="86">
        <f t="shared" ca="1" si="0"/>
        <v>0</v>
      </c>
      <c r="G55" s="85">
        <f ca="1">Orçamento!C53</f>
        <v>0</v>
      </c>
      <c r="H55" s="85">
        <f>'DRE 2026'!D52</f>
        <v>0</v>
      </c>
      <c r="I55" s="8">
        <f t="shared" ca="1" si="1"/>
        <v>0</v>
      </c>
      <c r="J55" s="85">
        <f ca="1">Orçamento!D53</f>
        <v>0</v>
      </c>
      <c r="K55" s="85">
        <f>'DRE 2026'!E52</f>
        <v>0</v>
      </c>
      <c r="L55" s="8">
        <f t="shared" ca="1" si="2"/>
        <v>0</v>
      </c>
      <c r="M55" s="85">
        <f ca="1">Orçamento!E53</f>
        <v>0</v>
      </c>
      <c r="N55" s="85">
        <f>'DRE 2026'!F52</f>
        <v>0</v>
      </c>
      <c r="O55" s="8">
        <f t="shared" ca="1" si="3"/>
        <v>0</v>
      </c>
      <c r="P55" s="85">
        <f ca="1">Orçamento!F53</f>
        <v>0</v>
      </c>
      <c r="Q55" s="85">
        <f>'DRE 2026'!G52</f>
        <v>0</v>
      </c>
      <c r="R55" s="8">
        <f t="shared" ca="1" si="4"/>
        <v>0</v>
      </c>
      <c r="S55" s="85">
        <f ca="1">Orçamento!G53</f>
        <v>0</v>
      </c>
      <c r="T55" s="85">
        <f>'DRE 2026'!H52</f>
        <v>0</v>
      </c>
      <c r="U55" s="8">
        <f t="shared" ca="1" si="5"/>
        <v>0</v>
      </c>
      <c r="V55" s="85">
        <f ca="1">Orçamento!H53</f>
        <v>0</v>
      </c>
      <c r="W55" s="85">
        <f ca="1">'DRE 2026'!I52</f>
        <v>0</v>
      </c>
      <c r="X55" s="8">
        <f t="shared" ca="1" si="6"/>
        <v>0</v>
      </c>
      <c r="Y55" s="85">
        <f ca="1">Orçamento!I53</f>
        <v>0</v>
      </c>
      <c r="Z55" s="85">
        <f ca="1">'DRE 2026'!J52</f>
        <v>0</v>
      </c>
      <c r="AA55" s="8">
        <f t="shared" ca="1" si="7"/>
        <v>0</v>
      </c>
      <c r="AB55" s="85">
        <f ca="1">Orçamento!J53</f>
        <v>0</v>
      </c>
      <c r="AC55" s="85">
        <f ca="1">'DRE 2026'!K52</f>
        <v>0</v>
      </c>
      <c r="AD55" s="8">
        <f t="shared" ca="1" si="8"/>
        <v>0</v>
      </c>
      <c r="AE55" s="85">
        <f ca="1">Orçamento!K53</f>
        <v>0</v>
      </c>
      <c r="AF55" s="85">
        <f ca="1">'DRE 2026'!L52</f>
        <v>0</v>
      </c>
      <c r="AG55" s="8">
        <f t="shared" ca="1" si="9"/>
        <v>0</v>
      </c>
      <c r="AH55" s="85">
        <f ca="1">Orçamento!L53</f>
        <v>0</v>
      </c>
      <c r="AI55" s="85">
        <f ca="1">'DRE 2026'!M52</f>
        <v>0</v>
      </c>
      <c r="AJ55" s="8">
        <f t="shared" ca="1" si="10"/>
        <v>0</v>
      </c>
      <c r="AK55" s="85">
        <f ca="1">Orçamento!M53</f>
        <v>0</v>
      </c>
      <c r="AL55" s="89">
        <f ca="1">'DRE 2026'!N52</f>
        <v>0</v>
      </c>
      <c r="AM55" s="8">
        <f t="shared" ca="1" si="11"/>
        <v>0</v>
      </c>
      <c r="AN55" s="8"/>
      <c r="AO55" s="85">
        <f t="shared" ca="1" si="19"/>
        <v>0</v>
      </c>
      <c r="AP55" s="85">
        <f t="shared" si="22"/>
        <v>0</v>
      </c>
      <c r="AQ55" s="8">
        <f t="shared" ca="1" si="13"/>
        <v>0</v>
      </c>
      <c r="AR55" s="85">
        <f t="shared" ref="AR55:AS55" ca="1" si="68">IF($Z$7=0,V55,IF($AC$7=0,V55+Y55,IF($AF$7=0,V55+Y55+AB55,IF($AI$7=0,V55+Y55+AB55+AE55,IF($AL$7=0,V55+Y55+AB55+AE55+AH55,V55+Y55+AB55+AE55+AH55+AK55)))))</f>
        <v>0</v>
      </c>
      <c r="AS55" s="85">
        <f t="shared" ca="1" si="68"/>
        <v>0</v>
      </c>
      <c r="AT55" s="8">
        <f t="shared" ca="1" si="15"/>
        <v>0</v>
      </c>
      <c r="AU55" s="85">
        <f t="shared" ca="1" si="16"/>
        <v>0</v>
      </c>
      <c r="AV55" s="85">
        <f t="shared" ca="1" si="17"/>
        <v>0</v>
      </c>
      <c r="AW55" s="8">
        <f t="shared" ca="1" si="18"/>
        <v>0</v>
      </c>
      <c r="AX55" s="8"/>
    </row>
    <row r="56" spans="1:50" ht="12.75" hidden="1" outlineLevel="1">
      <c r="A56" s="5"/>
      <c r="B56" s="5"/>
      <c r="C56" s="84" t="s">
        <v>69</v>
      </c>
      <c r="D56" s="85">
        <f ca="1">Orçamento!B54</f>
        <v>0</v>
      </c>
      <c r="E56" s="85">
        <f>'DRE 2026'!C53</f>
        <v>0</v>
      </c>
      <c r="F56" s="86">
        <f t="shared" ca="1" si="0"/>
        <v>0</v>
      </c>
      <c r="G56" s="85">
        <f ca="1">Orçamento!C54</f>
        <v>0</v>
      </c>
      <c r="H56" s="85">
        <f>'DRE 2026'!D53</f>
        <v>0</v>
      </c>
      <c r="I56" s="86">
        <f t="shared" ca="1" si="1"/>
        <v>0</v>
      </c>
      <c r="J56" s="85">
        <f ca="1">Orçamento!D54</f>
        <v>0</v>
      </c>
      <c r="K56" s="85">
        <f>'DRE 2026'!E53</f>
        <v>0</v>
      </c>
      <c r="L56" s="86">
        <f t="shared" ca="1" si="2"/>
        <v>0</v>
      </c>
      <c r="M56" s="85">
        <f ca="1">Orçamento!E54</f>
        <v>0</v>
      </c>
      <c r="N56" s="85">
        <f>'DRE 2026'!F53</f>
        <v>0</v>
      </c>
      <c r="O56" s="86">
        <f t="shared" ca="1" si="3"/>
        <v>0</v>
      </c>
      <c r="P56" s="85">
        <f ca="1">Orçamento!F54</f>
        <v>0</v>
      </c>
      <c r="Q56" s="85">
        <f>'DRE 2026'!G53</f>
        <v>0</v>
      </c>
      <c r="R56" s="86">
        <f t="shared" ca="1" si="4"/>
        <v>0</v>
      </c>
      <c r="S56" s="85">
        <f ca="1">Orçamento!G54</f>
        <v>0</v>
      </c>
      <c r="T56" s="85">
        <f>'DRE 2026'!H53</f>
        <v>0</v>
      </c>
      <c r="U56" s="86">
        <f t="shared" ca="1" si="5"/>
        <v>0</v>
      </c>
      <c r="V56" s="85">
        <f ca="1">Orçamento!H54</f>
        <v>0</v>
      </c>
      <c r="W56" s="85">
        <f ca="1">'DRE 2026'!I53</f>
        <v>0</v>
      </c>
      <c r="X56" s="86">
        <f t="shared" ca="1" si="6"/>
        <v>0</v>
      </c>
      <c r="Y56" s="85">
        <f ca="1">Orçamento!I54</f>
        <v>0</v>
      </c>
      <c r="Z56" s="85">
        <f ca="1">'DRE 2026'!J53</f>
        <v>0</v>
      </c>
      <c r="AA56" s="86">
        <f t="shared" ca="1" si="7"/>
        <v>0</v>
      </c>
      <c r="AB56" s="85">
        <f ca="1">Orçamento!J54</f>
        <v>0</v>
      </c>
      <c r="AC56" s="85">
        <f ca="1">'DRE 2026'!K53</f>
        <v>0</v>
      </c>
      <c r="AD56" s="86">
        <f t="shared" ca="1" si="8"/>
        <v>0</v>
      </c>
      <c r="AE56" s="85">
        <f ca="1">Orçamento!K54</f>
        <v>0</v>
      </c>
      <c r="AF56" s="85">
        <f ca="1">'DRE 2026'!L53</f>
        <v>0</v>
      </c>
      <c r="AG56" s="86">
        <f t="shared" ca="1" si="9"/>
        <v>0</v>
      </c>
      <c r="AH56" s="85">
        <f ca="1">Orçamento!L54</f>
        <v>0</v>
      </c>
      <c r="AI56" s="85">
        <f ca="1">'DRE 2026'!M53</f>
        <v>0</v>
      </c>
      <c r="AJ56" s="86">
        <f t="shared" ca="1" si="10"/>
        <v>0</v>
      </c>
      <c r="AK56" s="85">
        <f ca="1">Orçamento!M54</f>
        <v>0</v>
      </c>
      <c r="AL56" s="89">
        <f ca="1">'DRE 2026'!N53</f>
        <v>0</v>
      </c>
      <c r="AM56" s="86">
        <f t="shared" ca="1" si="11"/>
        <v>0</v>
      </c>
      <c r="AN56" s="8"/>
      <c r="AO56" s="85">
        <f t="shared" ca="1" si="19"/>
        <v>0</v>
      </c>
      <c r="AP56" s="85">
        <f t="shared" si="22"/>
        <v>0</v>
      </c>
      <c r="AQ56" s="86">
        <f t="shared" ca="1" si="13"/>
        <v>0</v>
      </c>
      <c r="AR56" s="85">
        <f t="shared" ref="AR56:AS56" ca="1" si="69">IF($Z$7=0,V56,IF($AC$7=0,V56+Y56,IF($AF$7=0,V56+Y56+AB56,IF($AI$7=0,V56+Y56+AB56+AE56,IF($AL$7=0,V56+Y56+AB56+AE56+AH56,V56+Y56+AB56+AE56+AH56+AK56)))))</f>
        <v>0</v>
      </c>
      <c r="AS56" s="85">
        <f t="shared" ca="1" si="69"/>
        <v>0</v>
      </c>
      <c r="AT56" s="86">
        <f t="shared" ca="1" si="15"/>
        <v>0</v>
      </c>
      <c r="AU56" s="85">
        <f t="shared" ca="1" si="16"/>
        <v>0</v>
      </c>
      <c r="AV56" s="85">
        <f t="shared" ca="1" si="17"/>
        <v>0</v>
      </c>
      <c r="AW56" s="86">
        <f t="shared" ca="1" si="18"/>
        <v>0</v>
      </c>
      <c r="AX56" s="86"/>
    </row>
    <row r="57" spans="1:50" ht="12.75" hidden="1" outlineLevel="1">
      <c r="A57" s="5"/>
      <c r="B57" s="5"/>
      <c r="C57" s="84" t="s">
        <v>70</v>
      </c>
      <c r="D57" s="85">
        <f ca="1">Orçamento!B55</f>
        <v>0</v>
      </c>
      <c r="E57" s="85">
        <f>'DRE 2026'!C54</f>
        <v>0</v>
      </c>
      <c r="F57" s="86">
        <f t="shared" ca="1" si="0"/>
        <v>0</v>
      </c>
      <c r="G57" s="85">
        <f ca="1">Orçamento!C55</f>
        <v>0</v>
      </c>
      <c r="H57" s="85">
        <f>'DRE 2026'!D54</f>
        <v>0</v>
      </c>
      <c r="I57" s="86">
        <f t="shared" ca="1" si="1"/>
        <v>0</v>
      </c>
      <c r="J57" s="85">
        <f ca="1">Orçamento!D55</f>
        <v>0</v>
      </c>
      <c r="K57" s="85">
        <f>'DRE 2026'!E54</f>
        <v>0</v>
      </c>
      <c r="L57" s="86">
        <f t="shared" ca="1" si="2"/>
        <v>0</v>
      </c>
      <c r="M57" s="85">
        <f ca="1">Orçamento!E55</f>
        <v>0</v>
      </c>
      <c r="N57" s="85">
        <f>'DRE 2026'!F54</f>
        <v>0</v>
      </c>
      <c r="O57" s="86">
        <f t="shared" ca="1" si="3"/>
        <v>0</v>
      </c>
      <c r="P57" s="85">
        <f ca="1">Orçamento!F55</f>
        <v>0</v>
      </c>
      <c r="Q57" s="85">
        <f>'DRE 2026'!G54</f>
        <v>0</v>
      </c>
      <c r="R57" s="86">
        <f t="shared" ca="1" si="4"/>
        <v>0</v>
      </c>
      <c r="S57" s="85">
        <f ca="1">Orçamento!G55</f>
        <v>0</v>
      </c>
      <c r="T57" s="85">
        <f>'DRE 2026'!H54</f>
        <v>0</v>
      </c>
      <c r="U57" s="86">
        <f t="shared" ca="1" si="5"/>
        <v>0</v>
      </c>
      <c r="V57" s="85">
        <f ca="1">Orçamento!H55</f>
        <v>0</v>
      </c>
      <c r="W57" s="85">
        <f ca="1">'DRE 2026'!I54</f>
        <v>0</v>
      </c>
      <c r="X57" s="86">
        <f t="shared" ca="1" si="6"/>
        <v>0</v>
      </c>
      <c r="Y57" s="85">
        <f ca="1">Orçamento!I55</f>
        <v>0</v>
      </c>
      <c r="Z57" s="85">
        <f ca="1">'DRE 2026'!J54</f>
        <v>0</v>
      </c>
      <c r="AA57" s="86">
        <f t="shared" ca="1" si="7"/>
        <v>0</v>
      </c>
      <c r="AB57" s="85">
        <f ca="1">Orçamento!J55</f>
        <v>0</v>
      </c>
      <c r="AC57" s="85">
        <f ca="1">'DRE 2026'!K54</f>
        <v>0</v>
      </c>
      <c r="AD57" s="86">
        <f t="shared" ca="1" si="8"/>
        <v>0</v>
      </c>
      <c r="AE57" s="85">
        <f ca="1">Orçamento!K55</f>
        <v>0</v>
      </c>
      <c r="AF57" s="85">
        <f ca="1">'DRE 2026'!L54</f>
        <v>0</v>
      </c>
      <c r="AG57" s="86">
        <f t="shared" ca="1" si="9"/>
        <v>0</v>
      </c>
      <c r="AH57" s="85">
        <f ca="1">Orçamento!L55</f>
        <v>0</v>
      </c>
      <c r="AI57" s="85">
        <f ca="1">'DRE 2026'!M54</f>
        <v>0</v>
      </c>
      <c r="AJ57" s="86">
        <f t="shared" ca="1" si="10"/>
        <v>0</v>
      </c>
      <c r="AK57" s="85">
        <f ca="1">Orçamento!M55</f>
        <v>0</v>
      </c>
      <c r="AL57" s="85">
        <f ca="1">'DRE 2026'!N54</f>
        <v>0</v>
      </c>
      <c r="AM57" s="86">
        <f t="shared" ca="1" si="11"/>
        <v>0</v>
      </c>
      <c r="AN57" s="8"/>
      <c r="AO57" s="85">
        <f t="shared" ca="1" si="19"/>
        <v>0</v>
      </c>
      <c r="AP57" s="85">
        <f t="shared" si="22"/>
        <v>0</v>
      </c>
      <c r="AQ57" s="86">
        <f t="shared" ca="1" si="13"/>
        <v>0</v>
      </c>
      <c r="AR57" s="85">
        <f t="shared" ref="AR57:AS57" ca="1" si="70">IF($Z$7=0,V57,IF($AC$7=0,V57+Y57,IF($AF$7=0,V57+Y57+AB57,IF($AI$7=0,V57+Y57+AB57+AE57,IF($AL$7=0,V57+Y57+AB57+AE57+AH57,V57+Y57+AB57+AE57+AH57+AK57)))))</f>
        <v>0</v>
      </c>
      <c r="AS57" s="85">
        <f t="shared" ca="1" si="70"/>
        <v>0</v>
      </c>
      <c r="AT57" s="86">
        <f t="shared" ca="1" si="15"/>
        <v>0</v>
      </c>
      <c r="AU57" s="85">
        <f t="shared" ca="1" si="16"/>
        <v>0</v>
      </c>
      <c r="AV57" s="85">
        <f t="shared" ca="1" si="17"/>
        <v>0</v>
      </c>
      <c r="AW57" s="86">
        <f t="shared" ca="1" si="18"/>
        <v>0</v>
      </c>
      <c r="AX57" s="86"/>
    </row>
    <row r="58" spans="1:50" ht="12.75" hidden="1" outlineLevel="1">
      <c r="A58" s="5"/>
      <c r="B58" s="5"/>
      <c r="C58" s="84" t="s">
        <v>71</v>
      </c>
      <c r="D58" s="85">
        <f ca="1">Orçamento!B56</f>
        <v>-12000</v>
      </c>
      <c r="E58" s="85">
        <f>'DRE 2026'!C55</f>
        <v>0</v>
      </c>
      <c r="F58" s="86">
        <f t="shared" ca="1" si="0"/>
        <v>-1</v>
      </c>
      <c r="G58" s="85">
        <f ca="1">Orçamento!C56</f>
        <v>-12000</v>
      </c>
      <c r="H58" s="85">
        <f>'DRE 2026'!D55</f>
        <v>0</v>
      </c>
      <c r="I58" s="8">
        <f t="shared" ca="1" si="1"/>
        <v>-1</v>
      </c>
      <c r="J58" s="85">
        <f ca="1">Orçamento!D56</f>
        <v>-12000</v>
      </c>
      <c r="K58" s="85">
        <f>'DRE 2026'!E55</f>
        <v>0</v>
      </c>
      <c r="L58" s="8">
        <f t="shared" ca="1" si="2"/>
        <v>-1</v>
      </c>
      <c r="M58" s="85">
        <f ca="1">Orçamento!E56</f>
        <v>-12000</v>
      </c>
      <c r="N58" s="85">
        <f>'DRE 2026'!F55</f>
        <v>0</v>
      </c>
      <c r="O58" s="8">
        <f t="shared" ca="1" si="3"/>
        <v>-1</v>
      </c>
      <c r="P58" s="85">
        <f ca="1">Orçamento!F56</f>
        <v>-12000</v>
      </c>
      <c r="Q58" s="85">
        <f>'DRE 2026'!G55</f>
        <v>0</v>
      </c>
      <c r="R58" s="8">
        <f t="shared" ca="1" si="4"/>
        <v>-1</v>
      </c>
      <c r="S58" s="85">
        <f ca="1">Orçamento!G56</f>
        <v>-12000</v>
      </c>
      <c r="T58" s="85">
        <f>'DRE 2026'!H55</f>
        <v>0</v>
      </c>
      <c r="U58" s="8">
        <f t="shared" ca="1" si="5"/>
        <v>-1</v>
      </c>
      <c r="V58" s="85">
        <f ca="1">Orçamento!H56</f>
        <v>-12000</v>
      </c>
      <c r="W58" s="85">
        <f ca="1">'DRE 2026'!I55</f>
        <v>-15233.84</v>
      </c>
      <c r="X58" s="8">
        <f t="shared" ca="1" si="6"/>
        <v>0.26948666666666665</v>
      </c>
      <c r="Y58" s="85">
        <f ca="1">Orçamento!I56</f>
        <v>-12000</v>
      </c>
      <c r="Z58" s="85">
        <f ca="1">'DRE 2026'!J55</f>
        <v>-14876.73</v>
      </c>
      <c r="AA58" s="8">
        <f t="shared" ca="1" si="7"/>
        <v>0.23972749999999995</v>
      </c>
      <c r="AB58" s="85">
        <f ca="1">Orçamento!J56</f>
        <v>-12000</v>
      </c>
      <c r="AC58" s="85">
        <f>'DRE 2026'!K55</f>
        <v>0</v>
      </c>
      <c r="AD58" s="8">
        <f t="shared" ca="1" si="8"/>
        <v>-1</v>
      </c>
      <c r="AE58" s="85">
        <f ca="1">Orçamento!K56</f>
        <v>-12000</v>
      </c>
      <c r="AF58" s="85">
        <f>'DRE 2026'!L55</f>
        <v>0</v>
      </c>
      <c r="AG58" s="8">
        <f t="shared" ca="1" si="9"/>
        <v>-1</v>
      </c>
      <c r="AH58" s="85">
        <f ca="1">Orçamento!L56</f>
        <v>-12000</v>
      </c>
      <c r="AI58" s="85">
        <f>'DRE 2026'!M55</f>
        <v>0</v>
      </c>
      <c r="AJ58" s="8">
        <f t="shared" ca="1" si="10"/>
        <v>-1</v>
      </c>
      <c r="AK58" s="85">
        <f ca="1">Orçamento!M56</f>
        <v>-12000</v>
      </c>
      <c r="AL58" s="85">
        <f>'DRE 2026'!N55</f>
        <v>0</v>
      </c>
      <c r="AM58" s="8">
        <f t="shared" ca="1" si="11"/>
        <v>-1</v>
      </c>
      <c r="AN58" s="8"/>
      <c r="AO58" s="85">
        <f t="shared" ca="1" si="19"/>
        <v>-12000</v>
      </c>
      <c r="AP58" s="85">
        <f t="shared" si="22"/>
        <v>0</v>
      </c>
      <c r="AQ58" s="8">
        <f t="shared" ca="1" si="13"/>
        <v>-1</v>
      </c>
      <c r="AR58" s="85">
        <f t="shared" ref="AR58:AS58" ca="1" si="71">IF($Z$7=0,V58,IF($AC$7=0,V58+Y58,IF($AF$7=0,V58+Y58+AB58,IF($AI$7=0,V58+Y58+AB58+AE58,IF($AL$7=0,V58+Y58+AB58+AE58+AH58,V58+Y58+AB58+AE58+AH58+AK58)))))</f>
        <v>-24000</v>
      </c>
      <c r="AS58" s="85">
        <f t="shared" ca="1" si="71"/>
        <v>-30110.57</v>
      </c>
      <c r="AT58" s="8">
        <f t="shared" ca="1" si="15"/>
        <v>0.25460708333333332</v>
      </c>
      <c r="AU58" s="85">
        <f t="shared" ca="1" si="16"/>
        <v>-36000</v>
      </c>
      <c r="AV58" s="85">
        <f t="shared" ca="1" si="17"/>
        <v>-30110.57</v>
      </c>
      <c r="AW58" s="8">
        <f t="shared" ca="1" si="18"/>
        <v>-0.1635952777777778</v>
      </c>
      <c r="AX58" s="8"/>
    </row>
    <row r="59" spans="1:50" ht="12.75" hidden="1" outlineLevel="1">
      <c r="A59" s="5"/>
      <c r="B59" s="5"/>
      <c r="C59" s="84" t="s">
        <v>72</v>
      </c>
      <c r="D59" s="85">
        <f ca="1">Orçamento!B57</f>
        <v>-110.49</v>
      </c>
      <c r="E59" s="85">
        <f>'DRE 2026'!C56</f>
        <v>-367.99</v>
      </c>
      <c r="F59" s="86">
        <f t="shared" ca="1" si="0"/>
        <v>2.3305276495610463</v>
      </c>
      <c r="G59" s="85">
        <f ca="1">Orçamento!C57</f>
        <v>-110.49</v>
      </c>
      <c r="H59" s="85">
        <f>'DRE 2026'!D56</f>
        <v>-60.49</v>
      </c>
      <c r="I59" s="86">
        <f t="shared" ca="1" si="1"/>
        <v>-0.45252964069146523</v>
      </c>
      <c r="J59" s="85">
        <f ca="1">Orçamento!D57</f>
        <v>-110.49</v>
      </c>
      <c r="K59" s="85">
        <f>'DRE 2026'!E56</f>
        <v>-395.49</v>
      </c>
      <c r="L59" s="86">
        <f t="shared" ca="1" si="2"/>
        <v>2.5794189519413524</v>
      </c>
      <c r="M59" s="85">
        <f ca="1">Orçamento!E57</f>
        <v>-110.49</v>
      </c>
      <c r="N59" s="85">
        <f>'DRE 2026'!F56</f>
        <v>-285.49</v>
      </c>
      <c r="O59" s="86">
        <f t="shared" ca="1" si="3"/>
        <v>1.5838537424201287</v>
      </c>
      <c r="P59" s="85">
        <f ca="1">Orçamento!F57</f>
        <v>-110.49</v>
      </c>
      <c r="Q59" s="85">
        <f>'DRE 2026'!G56</f>
        <v>-467.89</v>
      </c>
      <c r="R59" s="86">
        <f t="shared" ca="1" si="4"/>
        <v>3.2346818716625938</v>
      </c>
      <c r="S59" s="85">
        <f ca="1">Orçamento!G57</f>
        <v>-110.49</v>
      </c>
      <c r="T59" s="85">
        <f>'DRE 2026'!H56</f>
        <v>-225</v>
      </c>
      <c r="U59" s="86">
        <f t="shared" ca="1" si="5"/>
        <v>1.0363833831115938</v>
      </c>
      <c r="V59" s="85">
        <f ca="1">Orçamento!H57</f>
        <v>-110.49</v>
      </c>
      <c r="W59" s="85">
        <f ca="1">'DRE 2026'!I56</f>
        <v>-875.49</v>
      </c>
      <c r="X59" s="86">
        <f t="shared" ca="1" si="6"/>
        <v>6.9237035025794196</v>
      </c>
      <c r="Y59" s="85">
        <f ca="1">Orçamento!I57</f>
        <v>-110.49</v>
      </c>
      <c r="Z59" s="85">
        <f ca="1">'DRE 2026'!J56</f>
        <v>-450.49</v>
      </c>
      <c r="AA59" s="86">
        <f t="shared" ca="1" si="7"/>
        <v>3.0772015567019642</v>
      </c>
      <c r="AB59" s="85">
        <f ca="1">Orçamento!J57</f>
        <v>-110.49</v>
      </c>
      <c r="AC59" s="85">
        <f>'DRE 2026'!K56</f>
        <v>0</v>
      </c>
      <c r="AD59" s="86">
        <f t="shared" ca="1" si="8"/>
        <v>-1</v>
      </c>
      <c r="AE59" s="85">
        <f ca="1">Orçamento!K57</f>
        <v>-110.49</v>
      </c>
      <c r="AF59" s="85">
        <f>'DRE 2026'!L56</f>
        <v>0</v>
      </c>
      <c r="AG59" s="86">
        <f t="shared" ca="1" si="9"/>
        <v>-1</v>
      </c>
      <c r="AH59" s="85">
        <f ca="1">Orçamento!L57</f>
        <v>-110.49</v>
      </c>
      <c r="AI59" s="85">
        <f>'DRE 2026'!M56</f>
        <v>0</v>
      </c>
      <c r="AJ59" s="86">
        <f t="shared" ca="1" si="10"/>
        <v>-1</v>
      </c>
      <c r="AK59" s="85">
        <f ca="1">Orçamento!M57</f>
        <v>-110.49</v>
      </c>
      <c r="AL59" s="89">
        <f>'DRE 2026'!N56</f>
        <v>0</v>
      </c>
      <c r="AM59" s="86">
        <f t="shared" ca="1" si="11"/>
        <v>-1</v>
      </c>
      <c r="AN59" s="8"/>
      <c r="AO59" s="85">
        <f t="shared" ca="1" si="19"/>
        <v>-662.93999999999994</v>
      </c>
      <c r="AP59" s="85">
        <f t="shared" si="22"/>
        <v>-1802.35</v>
      </c>
      <c r="AQ59" s="86">
        <f t="shared" ca="1" si="13"/>
        <v>1.7187226596675416</v>
      </c>
      <c r="AR59" s="85">
        <f t="shared" ref="AR59:AS59" ca="1" si="72">IF($Z$7=0,V59,IF($AC$7=0,V59+Y59,IF($AF$7=0,V59+Y59+AB59,IF($AI$7=0,V59+Y59+AB59+AE59,IF($AL$7=0,V59+Y59+AB59+AE59+AH59,V59+Y59+AB59+AE59+AH59+AK59)))))</f>
        <v>-220.98</v>
      </c>
      <c r="AS59" s="85">
        <f t="shared" ca="1" si="72"/>
        <v>-1325.98</v>
      </c>
      <c r="AT59" s="86">
        <f t="shared" ca="1" si="15"/>
        <v>5.0004525296406914</v>
      </c>
      <c r="AU59" s="85">
        <f t="shared" ca="1" si="16"/>
        <v>-883.92</v>
      </c>
      <c r="AV59" s="85">
        <f t="shared" ca="1" si="17"/>
        <v>-3128.33</v>
      </c>
      <c r="AW59" s="86">
        <f t="shared" ca="1" si="18"/>
        <v>2.539155127160829</v>
      </c>
      <c r="AX59" s="86"/>
    </row>
    <row r="60" spans="1:50" ht="12.75" hidden="1" outlineLevel="1">
      <c r="A60" s="5"/>
      <c r="B60" s="5"/>
      <c r="C60" s="84" t="s">
        <v>73</v>
      </c>
      <c r="D60" s="85">
        <f ca="1">Orçamento!B58</f>
        <v>-508.2912</v>
      </c>
      <c r="E60" s="85">
        <f>'DRE 2026'!C57</f>
        <v>0</v>
      </c>
      <c r="F60" s="86">
        <f t="shared" ca="1" si="0"/>
        <v>-1</v>
      </c>
      <c r="G60" s="85">
        <f ca="1">Orçamento!C58</f>
        <v>-508.2912</v>
      </c>
      <c r="H60" s="85">
        <f>'DRE 2026'!D57</f>
        <v>0</v>
      </c>
      <c r="I60" s="8">
        <f t="shared" ca="1" si="1"/>
        <v>-1</v>
      </c>
      <c r="J60" s="85">
        <f ca="1">Orçamento!D58</f>
        <v>-560.09119999999996</v>
      </c>
      <c r="K60" s="85">
        <f>'DRE 2026'!E57</f>
        <v>-2590</v>
      </c>
      <c r="L60" s="8">
        <f t="shared" ca="1" si="2"/>
        <v>3.624246908360639</v>
      </c>
      <c r="M60" s="85">
        <f ca="1">Orçamento!E58</f>
        <v>-560.09119999999996</v>
      </c>
      <c r="N60" s="85">
        <f>'DRE 2026'!F57</f>
        <v>0</v>
      </c>
      <c r="O60" s="8">
        <f t="shared" ca="1" si="3"/>
        <v>-1</v>
      </c>
      <c r="P60" s="85">
        <f ca="1">Orçamento!F58</f>
        <v>-560.09119999999996</v>
      </c>
      <c r="Q60" s="85">
        <f>'DRE 2026'!G57</f>
        <v>0</v>
      </c>
      <c r="R60" s="8">
        <f t="shared" ca="1" si="4"/>
        <v>-1</v>
      </c>
      <c r="S60" s="85">
        <f ca="1">Orçamento!G58</f>
        <v>-560.09119999999996</v>
      </c>
      <c r="T60" s="85">
        <f>'DRE 2026'!H57</f>
        <v>0</v>
      </c>
      <c r="U60" s="8">
        <f t="shared" ca="1" si="5"/>
        <v>-1</v>
      </c>
      <c r="V60" s="85">
        <f ca="1">Orçamento!H58</f>
        <v>-599.29758400000003</v>
      </c>
      <c r="W60" s="85">
        <f ca="1">'DRE 2026'!I57</f>
        <v>-3500</v>
      </c>
      <c r="X60" s="8">
        <f t="shared" ca="1" si="6"/>
        <v>4.8401703818649136</v>
      </c>
      <c r="Y60" s="85">
        <f ca="1">Orçamento!I58</f>
        <v>-599.29758400000003</v>
      </c>
      <c r="Z60" s="85">
        <f ca="1">'DRE 2026'!J57</f>
        <v>0</v>
      </c>
      <c r="AA60" s="8">
        <f t="shared" ca="1" si="7"/>
        <v>-1</v>
      </c>
      <c r="AB60" s="85">
        <f ca="1">Orçamento!J58</f>
        <v>-599.29758400000003</v>
      </c>
      <c r="AC60" s="85">
        <f>'DRE 2026'!K57</f>
        <v>0</v>
      </c>
      <c r="AD60" s="8">
        <f t="shared" ca="1" si="8"/>
        <v>-1</v>
      </c>
      <c r="AE60" s="85">
        <f ca="1">Orçamento!K58</f>
        <v>-599.29758400000003</v>
      </c>
      <c r="AF60" s="85">
        <f>'DRE 2026'!L57</f>
        <v>0</v>
      </c>
      <c r="AG60" s="8">
        <f t="shared" ca="1" si="9"/>
        <v>-1</v>
      </c>
      <c r="AH60" s="85">
        <f ca="1">Orçamento!L58</f>
        <v>-599.29758400000003</v>
      </c>
      <c r="AI60" s="85">
        <f>'DRE 2026'!M57</f>
        <v>0</v>
      </c>
      <c r="AJ60" s="8">
        <f t="shared" ca="1" si="10"/>
        <v>-1</v>
      </c>
      <c r="AK60" s="85">
        <f ca="1">Orçamento!M58</f>
        <v>-599.29758400000003</v>
      </c>
      <c r="AL60" s="89">
        <f>'DRE 2026'!N57</f>
        <v>0</v>
      </c>
      <c r="AM60" s="8">
        <f t="shared" ca="1" si="11"/>
        <v>-1</v>
      </c>
      <c r="AN60" s="8"/>
      <c r="AO60" s="85">
        <f t="shared" ca="1" si="19"/>
        <v>-508.2912</v>
      </c>
      <c r="AP60" s="85">
        <f t="shared" si="22"/>
        <v>-2590</v>
      </c>
      <c r="AQ60" s="8">
        <f t="shared" ca="1" si="13"/>
        <v>4.0955043093407868</v>
      </c>
      <c r="AR60" s="85">
        <f t="shared" ref="AR60:AS60" ca="1" si="73">IF($Z$7=0,V60,IF($AC$7=0,V60+Y60,IF($AF$7=0,V60+Y60+AB60,IF($AI$7=0,V60+Y60+AB60+AE60,IF($AL$7=0,V60+Y60+AB60+AE60+AH60,V60+Y60+AB60+AE60+AH60+AK60)))))</f>
        <v>-1198.5951680000001</v>
      </c>
      <c r="AS60" s="85">
        <f t="shared" ca="1" si="73"/>
        <v>-3500</v>
      </c>
      <c r="AT60" s="8">
        <f t="shared" ca="1" si="15"/>
        <v>1.9200851909324568</v>
      </c>
      <c r="AU60" s="85">
        <f t="shared" ca="1" si="16"/>
        <v>-1706.8863679999999</v>
      </c>
      <c r="AV60" s="85">
        <f t="shared" ca="1" si="17"/>
        <v>-6090</v>
      </c>
      <c r="AW60" s="8">
        <f t="shared" ca="1" si="18"/>
        <v>2.567900074763501</v>
      </c>
      <c r="AX60" s="8"/>
    </row>
    <row r="61" spans="1:50" ht="12.75" hidden="1" outlineLevel="1">
      <c r="A61" s="5"/>
      <c r="B61" s="5"/>
      <c r="C61" s="84" t="s">
        <v>74</v>
      </c>
      <c r="D61" s="85">
        <f ca="1">Orçamento!B59</f>
        <v>-300</v>
      </c>
      <c r="E61" s="85">
        <f>'DRE 2026'!C58</f>
        <v>0</v>
      </c>
      <c r="F61" s="86">
        <f t="shared" ca="1" si="0"/>
        <v>-1</v>
      </c>
      <c r="G61" s="85">
        <f ca="1">Orçamento!C59</f>
        <v>-600</v>
      </c>
      <c r="H61" s="85">
        <f>'DRE 2026'!D58</f>
        <v>0</v>
      </c>
      <c r="I61" s="86">
        <f t="shared" ca="1" si="1"/>
        <v>-1</v>
      </c>
      <c r="J61" s="85">
        <f ca="1">Orçamento!D59</f>
        <v>-300</v>
      </c>
      <c r="K61" s="85">
        <f>'DRE 2026'!E58</f>
        <v>0</v>
      </c>
      <c r="L61" s="86">
        <f t="shared" ca="1" si="2"/>
        <v>-1</v>
      </c>
      <c r="M61" s="85">
        <f ca="1">Orçamento!E59</f>
        <v>-300</v>
      </c>
      <c r="N61" s="85">
        <f>'DRE 2026'!F58</f>
        <v>-1113.7</v>
      </c>
      <c r="O61" s="86">
        <f t="shared" ca="1" si="3"/>
        <v>2.7123333333333335</v>
      </c>
      <c r="P61" s="85">
        <f ca="1">Orçamento!F59</f>
        <v>-300</v>
      </c>
      <c r="Q61" s="85">
        <f>'DRE 2026'!G58</f>
        <v>-1113.7</v>
      </c>
      <c r="R61" s="86">
        <f t="shared" ca="1" si="4"/>
        <v>2.7123333333333335</v>
      </c>
      <c r="S61" s="85">
        <f ca="1">Orçamento!G59</f>
        <v>-300</v>
      </c>
      <c r="T61" s="85">
        <f>'DRE 2026'!H58</f>
        <v>0</v>
      </c>
      <c r="U61" s="86">
        <f t="shared" ca="1" si="5"/>
        <v>-1</v>
      </c>
      <c r="V61" s="85">
        <f ca="1">Orçamento!H59</f>
        <v>-900</v>
      </c>
      <c r="W61" s="85">
        <f ca="1">'DRE 2026'!I58</f>
        <v>-92.78</v>
      </c>
      <c r="X61" s="86">
        <f t="shared" ca="1" si="6"/>
        <v>-0.8969111111111111</v>
      </c>
      <c r="Y61" s="85">
        <f ca="1">Orçamento!I59</f>
        <v>-300</v>
      </c>
      <c r="Z61" s="85">
        <f ca="1">'DRE 2026'!J58</f>
        <v>-98.25</v>
      </c>
      <c r="AA61" s="86">
        <f t="shared" ca="1" si="7"/>
        <v>-0.67249999999999999</v>
      </c>
      <c r="AB61" s="85">
        <f ca="1">Orçamento!J59</f>
        <v>-300</v>
      </c>
      <c r="AC61" s="85">
        <f>'DRE 2026'!K58</f>
        <v>0</v>
      </c>
      <c r="AD61" s="86">
        <f t="shared" ca="1" si="8"/>
        <v>-1</v>
      </c>
      <c r="AE61" s="85">
        <f ca="1">Orçamento!K59</f>
        <v>-300</v>
      </c>
      <c r="AF61" s="85">
        <f>'DRE 2026'!L58</f>
        <v>0</v>
      </c>
      <c r="AG61" s="86">
        <f t="shared" ca="1" si="9"/>
        <v>-1</v>
      </c>
      <c r="AH61" s="85">
        <f ca="1">Orçamento!L59</f>
        <v>-300</v>
      </c>
      <c r="AI61" s="85">
        <f>'DRE 2026'!M58</f>
        <v>0</v>
      </c>
      <c r="AJ61" s="86">
        <f t="shared" ca="1" si="10"/>
        <v>-1</v>
      </c>
      <c r="AK61" s="85">
        <f ca="1">Orçamento!M59</f>
        <v>-3000</v>
      </c>
      <c r="AL61" s="89">
        <f>'DRE 2026'!N58</f>
        <v>0</v>
      </c>
      <c r="AM61" s="86">
        <f t="shared" ca="1" si="11"/>
        <v>-1</v>
      </c>
      <c r="AN61" s="8"/>
      <c r="AO61" s="85">
        <f t="shared" ca="1" si="19"/>
        <v>-300</v>
      </c>
      <c r="AP61" s="85">
        <f t="shared" si="22"/>
        <v>-2227.4</v>
      </c>
      <c r="AQ61" s="86">
        <f t="shared" ca="1" si="13"/>
        <v>6.424666666666667</v>
      </c>
      <c r="AR61" s="85">
        <f t="shared" ref="AR61:AS61" ca="1" si="74">IF($Z$7=0,V61,IF($AC$7=0,V61+Y61,IF($AF$7=0,V61+Y61+AB61,IF($AI$7=0,V61+Y61+AB61+AE61,IF($AL$7=0,V61+Y61+AB61+AE61+AH61,V61+Y61+AB61+AE61+AH61+AK61)))))</f>
        <v>-1200</v>
      </c>
      <c r="AS61" s="85">
        <f t="shared" ca="1" si="74"/>
        <v>-191.03</v>
      </c>
      <c r="AT61" s="86">
        <f t="shared" ca="1" si="15"/>
        <v>-0.84080833333333338</v>
      </c>
      <c r="AU61" s="85">
        <f t="shared" ca="1" si="16"/>
        <v>-1500</v>
      </c>
      <c r="AV61" s="85">
        <f t="shared" ca="1" si="17"/>
        <v>-2418.4300000000003</v>
      </c>
      <c r="AW61" s="86">
        <f t="shared" ca="1" si="18"/>
        <v>0.61228666666666687</v>
      </c>
      <c r="AX61" s="86"/>
    </row>
    <row r="62" spans="1:50" ht="12.75" hidden="1" outlineLevel="1">
      <c r="A62" s="5"/>
      <c r="B62" s="5"/>
      <c r="C62" s="84" t="s">
        <v>75</v>
      </c>
      <c r="D62" s="85">
        <f ca="1">Orçamento!B60</f>
        <v>0</v>
      </c>
      <c r="E62" s="85">
        <f>'DRE 2026'!C59</f>
        <v>0</v>
      </c>
      <c r="F62" s="86">
        <f t="shared" ca="1" si="0"/>
        <v>0</v>
      </c>
      <c r="G62" s="85">
        <f ca="1">Orçamento!C60</f>
        <v>0</v>
      </c>
      <c r="H62" s="85">
        <f>'DRE 2026'!D59</f>
        <v>0</v>
      </c>
      <c r="I62" s="8">
        <f t="shared" ca="1" si="1"/>
        <v>0</v>
      </c>
      <c r="J62" s="85">
        <f ca="1">Orçamento!D60</f>
        <v>0</v>
      </c>
      <c r="K62" s="85">
        <f>'DRE 2026'!E59</f>
        <v>0</v>
      </c>
      <c r="L62" s="8">
        <f t="shared" ca="1" si="2"/>
        <v>0</v>
      </c>
      <c r="M62" s="85">
        <f ca="1">Orçamento!E60</f>
        <v>0</v>
      </c>
      <c r="N62" s="85">
        <f>'DRE 2026'!F59</f>
        <v>0</v>
      </c>
      <c r="O62" s="8">
        <f t="shared" ca="1" si="3"/>
        <v>0</v>
      </c>
      <c r="P62" s="85">
        <f ca="1">Orçamento!F60</f>
        <v>0</v>
      </c>
      <c r="Q62" s="85">
        <f>'DRE 2026'!G59</f>
        <v>0</v>
      </c>
      <c r="R62" s="8">
        <f t="shared" ca="1" si="4"/>
        <v>0</v>
      </c>
      <c r="S62" s="85">
        <f ca="1">Orçamento!G60</f>
        <v>0</v>
      </c>
      <c r="T62" s="85">
        <f>'DRE 2026'!H59</f>
        <v>0</v>
      </c>
      <c r="U62" s="8">
        <f t="shared" ca="1" si="5"/>
        <v>0</v>
      </c>
      <c r="V62" s="85">
        <f ca="1">Orçamento!H60</f>
        <v>0</v>
      </c>
      <c r="W62" s="85">
        <f ca="1">'DRE 2026'!I59</f>
        <v>0</v>
      </c>
      <c r="X62" s="8">
        <f t="shared" ca="1" si="6"/>
        <v>0</v>
      </c>
      <c r="Y62" s="85">
        <f ca="1">Orçamento!I60</f>
        <v>0</v>
      </c>
      <c r="Z62" s="85">
        <f ca="1">'DRE 2026'!J59</f>
        <v>0</v>
      </c>
      <c r="AA62" s="8">
        <f t="shared" ca="1" si="7"/>
        <v>0</v>
      </c>
      <c r="AB62" s="85">
        <f ca="1">Orçamento!J60</f>
        <v>0</v>
      </c>
      <c r="AC62" s="85">
        <f ca="1">'DRE 2026'!K59</f>
        <v>0</v>
      </c>
      <c r="AD62" s="8">
        <f t="shared" ca="1" si="8"/>
        <v>0</v>
      </c>
      <c r="AE62" s="85">
        <f ca="1">Orçamento!K60</f>
        <v>0</v>
      </c>
      <c r="AF62" s="85">
        <f ca="1">'DRE 2026'!L59</f>
        <v>0</v>
      </c>
      <c r="AG62" s="8">
        <f t="shared" ca="1" si="9"/>
        <v>0</v>
      </c>
      <c r="AH62" s="85">
        <f ca="1">Orçamento!L60</f>
        <v>0</v>
      </c>
      <c r="AI62" s="85">
        <f ca="1">'DRE 2026'!M59</f>
        <v>0</v>
      </c>
      <c r="AJ62" s="8">
        <f t="shared" ca="1" si="10"/>
        <v>0</v>
      </c>
      <c r="AK62" s="85">
        <f ca="1">Orçamento!M60</f>
        <v>0</v>
      </c>
      <c r="AL62" s="89">
        <f ca="1">'DRE 2026'!N59</f>
        <v>0</v>
      </c>
      <c r="AM62" s="8">
        <f t="shared" ca="1" si="11"/>
        <v>0</v>
      </c>
      <c r="AN62" s="8"/>
      <c r="AO62" s="85">
        <f t="shared" ca="1" si="19"/>
        <v>0</v>
      </c>
      <c r="AP62" s="85">
        <f t="shared" si="22"/>
        <v>0</v>
      </c>
      <c r="AQ62" s="8">
        <f t="shared" ca="1" si="13"/>
        <v>0</v>
      </c>
      <c r="AR62" s="85">
        <f t="shared" ref="AR62:AS62" ca="1" si="75">IF($Z$7=0,V62,IF($AC$7=0,V62+Y62,IF($AF$7=0,V62+Y62+AB62,IF($AI$7=0,V62+Y62+AB62+AE62,IF($AL$7=0,V62+Y62+AB62+AE62+AH62,V62+Y62+AB62+AE62+AH62+AK62)))))</f>
        <v>0</v>
      </c>
      <c r="AS62" s="85">
        <f t="shared" ca="1" si="75"/>
        <v>0</v>
      </c>
      <c r="AT62" s="8">
        <f t="shared" ca="1" si="15"/>
        <v>0</v>
      </c>
      <c r="AU62" s="85">
        <f t="shared" ca="1" si="16"/>
        <v>0</v>
      </c>
      <c r="AV62" s="85">
        <f t="shared" ca="1" si="17"/>
        <v>0</v>
      </c>
      <c r="AW62" s="8">
        <f t="shared" ca="1" si="18"/>
        <v>0</v>
      </c>
      <c r="AX62" s="8"/>
    </row>
    <row r="63" spans="1:50" ht="12.75" collapsed="1">
      <c r="A63" s="5"/>
      <c r="B63" s="5"/>
      <c r="C63" s="56" t="s">
        <v>76</v>
      </c>
      <c r="D63" s="57">
        <f ca="1">Orçamento!B61</f>
        <v>-9869.2199999999993</v>
      </c>
      <c r="E63" s="57">
        <f>'DRE 2026'!C60</f>
        <v>-15591.48</v>
      </c>
      <c r="F63" s="60">
        <f t="shared" ca="1" si="0"/>
        <v>0.57980873868451621</v>
      </c>
      <c r="G63" s="57">
        <f ca="1">Orçamento!C61</f>
        <v>-16930.054</v>
      </c>
      <c r="H63" s="57">
        <f>'DRE 2026'!D60</f>
        <v>-24449.71</v>
      </c>
      <c r="I63" s="60">
        <f t="shared" ca="1" si="1"/>
        <v>0.44416018992024475</v>
      </c>
      <c r="J63" s="57">
        <f ca="1">Orçamento!D61</f>
        <v>-17149.054</v>
      </c>
      <c r="K63" s="57">
        <f>'DRE 2026'!E60</f>
        <v>-14341.55</v>
      </c>
      <c r="L63" s="60">
        <f t="shared" ca="1" si="2"/>
        <v>-0.16371188754784963</v>
      </c>
      <c r="M63" s="57">
        <f ca="1">Orçamento!E61</f>
        <v>-17091.934000000001</v>
      </c>
      <c r="N63" s="57">
        <f>'DRE 2026'!F60</f>
        <v>-10993.5</v>
      </c>
      <c r="O63" s="60">
        <f t="shared" ca="1" si="3"/>
        <v>-0.35680186923258661</v>
      </c>
      <c r="P63" s="57">
        <f ca="1">Orçamento!F61</f>
        <v>-9390.1</v>
      </c>
      <c r="Q63" s="57">
        <f>'DRE 2026'!G60</f>
        <v>-9384.1200000000008</v>
      </c>
      <c r="R63" s="60">
        <f t="shared" ca="1" si="4"/>
        <v>-6.3684092821158058E-4</v>
      </c>
      <c r="S63" s="57">
        <f ca="1">Orçamento!G61</f>
        <v>-9470.1</v>
      </c>
      <c r="T63" s="57">
        <f>'DRE 2026'!H60</f>
        <v>-10563.94</v>
      </c>
      <c r="U63" s="60">
        <f t="shared" ca="1" si="5"/>
        <v>0.11550458812472943</v>
      </c>
      <c r="V63" s="57">
        <f ca="1">Orçamento!H61</f>
        <v>-10016.1</v>
      </c>
      <c r="W63" s="57">
        <f ca="1">'DRE 2026'!I60</f>
        <v>-12270.0699999999</v>
      </c>
      <c r="X63" s="60">
        <f t="shared" ca="1" si="6"/>
        <v>0.22503469414242064</v>
      </c>
      <c r="Y63" s="57">
        <f ca="1">Orçamento!I61</f>
        <v>-11189.1</v>
      </c>
      <c r="Z63" s="57">
        <f ca="1">'DRE 2026'!J60</f>
        <v>-12764.93</v>
      </c>
      <c r="AA63" s="60">
        <f t="shared" ca="1" si="7"/>
        <v>0.14083617091633821</v>
      </c>
      <c r="AB63" s="57">
        <f ca="1">Orçamento!J61</f>
        <v>-9288.1</v>
      </c>
      <c r="AC63" s="57">
        <f ca="1">'DRE 2026'!K60</f>
        <v>0</v>
      </c>
      <c r="AD63" s="60">
        <f t="shared" ca="1" si="8"/>
        <v>-1</v>
      </c>
      <c r="AE63" s="57">
        <f ca="1">Orçamento!K61</f>
        <v>-9479.15</v>
      </c>
      <c r="AF63" s="57">
        <f ca="1">'DRE 2026'!L60</f>
        <v>0</v>
      </c>
      <c r="AG63" s="60">
        <f t="shared" ca="1" si="9"/>
        <v>-1</v>
      </c>
      <c r="AH63" s="57">
        <f ca="1">Orçamento!L61</f>
        <v>-9859.1</v>
      </c>
      <c r="AI63" s="57">
        <f ca="1">'DRE 2026'!M60</f>
        <v>0</v>
      </c>
      <c r="AJ63" s="60">
        <f t="shared" ca="1" si="10"/>
        <v>-1</v>
      </c>
      <c r="AK63" s="57">
        <f ca="1">Orçamento!M61</f>
        <v>-11305.619999999901</v>
      </c>
      <c r="AL63" s="57">
        <f ca="1">'DRE 2026'!N60</f>
        <v>0</v>
      </c>
      <c r="AM63" s="60">
        <f t="shared" ca="1" si="11"/>
        <v>-1</v>
      </c>
      <c r="AN63" s="8"/>
      <c r="AO63" s="57">
        <f t="shared" ca="1" si="19"/>
        <v>-79900.462</v>
      </c>
      <c r="AP63" s="57">
        <f t="shared" si="22"/>
        <v>-85324.3</v>
      </c>
      <c r="AQ63" s="60">
        <f t="shared" ca="1" si="13"/>
        <v>6.7882436023961962E-2</v>
      </c>
      <c r="AR63" s="57">
        <f t="shared" ref="AR63:AS63" ca="1" si="76">IF($Z$7=0,V63,IF($AC$7=0,V63+Y63,IF($AF$7=0,V63+Y63+AB63,IF($AI$7=0,V63+Y63+AB63+AE63,IF($AL$7=0,V63+Y63+AB63+AE63+AH63,V63+Y63+AB63+AE63+AH63+AK63)))))</f>
        <v>-21205.200000000001</v>
      </c>
      <c r="AS63" s="57">
        <f t="shared" ca="1" si="76"/>
        <v>-25034.999999999898</v>
      </c>
      <c r="AT63" s="60">
        <f t="shared" ca="1" si="15"/>
        <v>0.18060664365343865</v>
      </c>
      <c r="AU63" s="57">
        <f t="shared" ca="1" si="16"/>
        <v>-101105.662</v>
      </c>
      <c r="AV63" s="57">
        <f t="shared" ca="1" si="17"/>
        <v>-110359.2999999999</v>
      </c>
      <c r="AW63" s="60">
        <f t="shared" ca="1" si="18"/>
        <v>9.1524429165993737E-2</v>
      </c>
      <c r="AX63" s="60"/>
    </row>
    <row r="64" spans="1:50" ht="12.75" hidden="1" outlineLevel="1">
      <c r="A64" s="5"/>
      <c r="B64" s="5"/>
      <c r="C64" s="84" t="s">
        <v>77</v>
      </c>
      <c r="D64" s="85">
        <f ca="1">Orçamento!B62</f>
        <v>0</v>
      </c>
      <c r="E64" s="85">
        <f>'DRE 2026'!C61</f>
        <v>0</v>
      </c>
      <c r="F64" s="86">
        <f t="shared" ca="1" si="0"/>
        <v>0</v>
      </c>
      <c r="G64" s="85">
        <f ca="1">Orçamento!C62</f>
        <v>0</v>
      </c>
      <c r="H64" s="85">
        <f>'DRE 2026'!D61</f>
        <v>0</v>
      </c>
      <c r="I64" s="8">
        <f t="shared" ca="1" si="1"/>
        <v>0</v>
      </c>
      <c r="J64" s="85">
        <f ca="1">Orçamento!D62</f>
        <v>0</v>
      </c>
      <c r="K64" s="85">
        <f>'DRE 2026'!E61</f>
        <v>0</v>
      </c>
      <c r="L64" s="8">
        <f t="shared" ca="1" si="2"/>
        <v>0</v>
      </c>
      <c r="M64" s="85">
        <f ca="1">Orçamento!E62</f>
        <v>0</v>
      </c>
      <c r="N64" s="85">
        <f>'DRE 2026'!F61</f>
        <v>0</v>
      </c>
      <c r="O64" s="8">
        <f t="shared" ca="1" si="3"/>
        <v>0</v>
      </c>
      <c r="P64" s="85">
        <f ca="1">Orçamento!F62</f>
        <v>0</v>
      </c>
      <c r="Q64" s="85">
        <f>'DRE 2026'!G61</f>
        <v>0</v>
      </c>
      <c r="R64" s="8">
        <f t="shared" ca="1" si="4"/>
        <v>0</v>
      </c>
      <c r="S64" s="85">
        <f ca="1">Orçamento!G62</f>
        <v>0</v>
      </c>
      <c r="T64" s="85">
        <f>'DRE 2026'!H61</f>
        <v>0</v>
      </c>
      <c r="U64" s="8">
        <f t="shared" ca="1" si="5"/>
        <v>0</v>
      </c>
      <c r="V64" s="85">
        <f ca="1">Orçamento!H62</f>
        <v>0</v>
      </c>
      <c r="W64" s="85">
        <f ca="1">'DRE 2026'!I61</f>
        <v>0</v>
      </c>
      <c r="X64" s="8">
        <f t="shared" ca="1" si="6"/>
        <v>0</v>
      </c>
      <c r="Y64" s="85">
        <f ca="1">Orçamento!I62</f>
        <v>0</v>
      </c>
      <c r="Z64" s="85">
        <f ca="1">'DRE 2026'!J61</f>
        <v>0</v>
      </c>
      <c r="AA64" s="8">
        <f t="shared" ca="1" si="7"/>
        <v>0</v>
      </c>
      <c r="AB64" s="85">
        <f ca="1">Orçamento!J62</f>
        <v>0</v>
      </c>
      <c r="AC64" s="85">
        <f ca="1">'DRE 2026'!K61</f>
        <v>0</v>
      </c>
      <c r="AD64" s="8">
        <f t="shared" ca="1" si="8"/>
        <v>0</v>
      </c>
      <c r="AE64" s="85">
        <f ca="1">Orçamento!K62</f>
        <v>0</v>
      </c>
      <c r="AF64" s="85">
        <f ca="1">'DRE 2026'!L61</f>
        <v>0</v>
      </c>
      <c r="AG64" s="8">
        <f t="shared" ca="1" si="9"/>
        <v>0</v>
      </c>
      <c r="AH64" s="85">
        <f ca="1">Orçamento!L62</f>
        <v>0</v>
      </c>
      <c r="AI64" s="85">
        <f ca="1">'DRE 2026'!M61</f>
        <v>0</v>
      </c>
      <c r="AJ64" s="8">
        <f t="shared" ca="1" si="10"/>
        <v>0</v>
      </c>
      <c r="AK64" s="85">
        <f ca="1">Orçamento!M62</f>
        <v>0</v>
      </c>
      <c r="AL64" s="85">
        <f ca="1">'DRE 2026'!N61</f>
        <v>0</v>
      </c>
      <c r="AM64" s="8">
        <f t="shared" ca="1" si="11"/>
        <v>0</v>
      </c>
      <c r="AN64" s="8"/>
      <c r="AO64" s="85">
        <f t="shared" ca="1" si="19"/>
        <v>0</v>
      </c>
      <c r="AP64" s="85">
        <f t="shared" si="22"/>
        <v>0</v>
      </c>
      <c r="AQ64" s="8">
        <f t="shared" ca="1" si="13"/>
        <v>0</v>
      </c>
      <c r="AR64" s="85">
        <f t="shared" ref="AR64:AS64" ca="1" si="77">IF($Z$7=0,V64,IF($AC$7=0,V64+Y64,IF($AF$7=0,V64+Y64+AB64,IF($AI$7=0,V64+Y64+AB64+AE64,IF($AL$7=0,V64+Y64+AB64+AE64+AH64,V64+Y64+AB64+AE64+AH64+AK64)))))</f>
        <v>0</v>
      </c>
      <c r="AS64" s="85">
        <f t="shared" ca="1" si="77"/>
        <v>0</v>
      </c>
      <c r="AT64" s="8">
        <f t="shared" ca="1" si="15"/>
        <v>0</v>
      </c>
      <c r="AU64" s="85">
        <f t="shared" ca="1" si="16"/>
        <v>0</v>
      </c>
      <c r="AV64" s="85">
        <f t="shared" ca="1" si="17"/>
        <v>0</v>
      </c>
      <c r="AW64" s="8">
        <f t="shared" ca="1" si="18"/>
        <v>0</v>
      </c>
      <c r="AX64" s="8"/>
    </row>
    <row r="65" spans="1:50" ht="12.75" hidden="1" outlineLevel="1">
      <c r="A65" s="5"/>
      <c r="B65" s="5"/>
      <c r="C65" s="84" t="s">
        <v>78</v>
      </c>
      <c r="D65" s="85">
        <f ca="1">Orçamento!B63</f>
        <v>0</v>
      </c>
      <c r="E65" s="85">
        <f>'DRE 2026'!C62</f>
        <v>0</v>
      </c>
      <c r="F65" s="86">
        <f t="shared" ca="1" si="0"/>
        <v>0</v>
      </c>
      <c r="G65" s="85">
        <f ca="1">Orçamento!C63</f>
        <v>0</v>
      </c>
      <c r="H65" s="85">
        <f>'DRE 2026'!D62</f>
        <v>0</v>
      </c>
      <c r="I65" s="8">
        <f t="shared" ca="1" si="1"/>
        <v>0</v>
      </c>
      <c r="J65" s="85">
        <f ca="1">Orçamento!D63</f>
        <v>0</v>
      </c>
      <c r="K65" s="85">
        <f>'DRE 2026'!E62</f>
        <v>0</v>
      </c>
      <c r="L65" s="8">
        <f t="shared" ca="1" si="2"/>
        <v>0</v>
      </c>
      <c r="M65" s="85">
        <f ca="1">Orçamento!E63</f>
        <v>0</v>
      </c>
      <c r="N65" s="85">
        <f>'DRE 2026'!F62</f>
        <v>0</v>
      </c>
      <c r="O65" s="8">
        <f t="shared" ca="1" si="3"/>
        <v>0</v>
      </c>
      <c r="P65" s="85">
        <f ca="1">Orçamento!F63</f>
        <v>0</v>
      </c>
      <c r="Q65" s="85">
        <f>'DRE 2026'!G62</f>
        <v>0</v>
      </c>
      <c r="R65" s="8">
        <f t="shared" ca="1" si="4"/>
        <v>0</v>
      </c>
      <c r="S65" s="85">
        <f ca="1">Orçamento!G63</f>
        <v>0</v>
      </c>
      <c r="T65" s="85">
        <f>'DRE 2026'!H62</f>
        <v>0</v>
      </c>
      <c r="U65" s="8">
        <f t="shared" ca="1" si="5"/>
        <v>0</v>
      </c>
      <c r="V65" s="85">
        <f ca="1">Orçamento!H63</f>
        <v>0</v>
      </c>
      <c r="W65" s="85">
        <f ca="1">'DRE 2026'!I62</f>
        <v>0</v>
      </c>
      <c r="X65" s="8">
        <f t="shared" ca="1" si="6"/>
        <v>0</v>
      </c>
      <c r="Y65" s="85">
        <f ca="1">Orçamento!I63</f>
        <v>0</v>
      </c>
      <c r="Z65" s="85">
        <f ca="1">'DRE 2026'!J62</f>
        <v>0</v>
      </c>
      <c r="AA65" s="8">
        <f t="shared" ca="1" si="7"/>
        <v>0</v>
      </c>
      <c r="AB65" s="85">
        <f ca="1">Orçamento!J63</f>
        <v>0</v>
      </c>
      <c r="AC65" s="85">
        <f ca="1">'DRE 2026'!K62</f>
        <v>0</v>
      </c>
      <c r="AD65" s="8">
        <f t="shared" ca="1" si="8"/>
        <v>0</v>
      </c>
      <c r="AE65" s="85">
        <f ca="1">Orçamento!K63</f>
        <v>0</v>
      </c>
      <c r="AF65" s="85">
        <f ca="1">'DRE 2026'!L62</f>
        <v>0</v>
      </c>
      <c r="AG65" s="8">
        <f t="shared" ca="1" si="9"/>
        <v>0</v>
      </c>
      <c r="AH65" s="85">
        <f ca="1">Orçamento!L63</f>
        <v>0</v>
      </c>
      <c r="AI65" s="85">
        <f ca="1">'DRE 2026'!M62</f>
        <v>0</v>
      </c>
      <c r="AJ65" s="8">
        <f t="shared" ca="1" si="10"/>
        <v>0</v>
      </c>
      <c r="AK65" s="85">
        <f ca="1">Orçamento!M63</f>
        <v>0</v>
      </c>
      <c r="AL65" s="85">
        <f ca="1">'DRE 2026'!N62</f>
        <v>0</v>
      </c>
      <c r="AM65" s="8">
        <f t="shared" ca="1" si="11"/>
        <v>0</v>
      </c>
      <c r="AN65" s="8"/>
      <c r="AO65" s="85">
        <f t="shared" ca="1" si="19"/>
        <v>0</v>
      </c>
      <c r="AP65" s="85">
        <f t="shared" si="22"/>
        <v>0</v>
      </c>
      <c r="AQ65" s="8">
        <f t="shared" ca="1" si="13"/>
        <v>0</v>
      </c>
      <c r="AR65" s="85">
        <f t="shared" ref="AR65:AS65" ca="1" si="78">IF($Z$7=0,V65,IF($AC$7=0,V65+Y65,IF($AF$7=0,V65+Y65+AB65,IF($AI$7=0,V65+Y65+AB65+AE65,IF($AL$7=0,V65+Y65+AB65+AE65+AH65,V65+Y65+AB65+AE65+AH65+AK65)))))</f>
        <v>0</v>
      </c>
      <c r="AS65" s="85">
        <f t="shared" ca="1" si="78"/>
        <v>0</v>
      </c>
      <c r="AT65" s="8">
        <f t="shared" ca="1" si="15"/>
        <v>0</v>
      </c>
      <c r="AU65" s="85">
        <f t="shared" ca="1" si="16"/>
        <v>0</v>
      </c>
      <c r="AV65" s="85">
        <f t="shared" ca="1" si="17"/>
        <v>0</v>
      </c>
      <c r="AW65" s="8">
        <f t="shared" ca="1" si="18"/>
        <v>0</v>
      </c>
      <c r="AX65" s="8"/>
    </row>
    <row r="66" spans="1:50" ht="12.75" hidden="1" outlineLevel="1">
      <c r="A66" s="5"/>
      <c r="B66" s="5"/>
      <c r="C66" s="84" t="s">
        <v>79</v>
      </c>
      <c r="D66" s="85">
        <f ca="1">Orçamento!B64</f>
        <v>0</v>
      </c>
      <c r="E66" s="85">
        <f>'DRE 2026'!C63</f>
        <v>0</v>
      </c>
      <c r="F66" s="86">
        <f t="shared" ca="1" si="0"/>
        <v>0</v>
      </c>
      <c r="G66" s="85">
        <f ca="1">Orçamento!C64</f>
        <v>0</v>
      </c>
      <c r="H66" s="85">
        <f>'DRE 2026'!D63</f>
        <v>0</v>
      </c>
      <c r="I66" s="8">
        <f t="shared" ca="1" si="1"/>
        <v>0</v>
      </c>
      <c r="J66" s="85">
        <f ca="1">Orçamento!D64</f>
        <v>0</v>
      </c>
      <c r="K66" s="85">
        <f>'DRE 2026'!E63</f>
        <v>0</v>
      </c>
      <c r="L66" s="8">
        <f t="shared" ca="1" si="2"/>
        <v>0</v>
      </c>
      <c r="M66" s="85">
        <f ca="1">Orçamento!E64</f>
        <v>0</v>
      </c>
      <c r="N66" s="85">
        <f>'DRE 2026'!F63</f>
        <v>0</v>
      </c>
      <c r="O66" s="8">
        <f t="shared" ca="1" si="3"/>
        <v>0</v>
      </c>
      <c r="P66" s="85">
        <f ca="1">Orçamento!F64</f>
        <v>0</v>
      </c>
      <c r="Q66" s="85">
        <f>'DRE 2026'!G63</f>
        <v>0</v>
      </c>
      <c r="R66" s="8">
        <f t="shared" ca="1" si="4"/>
        <v>0</v>
      </c>
      <c r="S66" s="85">
        <f ca="1">Orçamento!G64</f>
        <v>0</v>
      </c>
      <c r="T66" s="85">
        <f>'DRE 2026'!H63</f>
        <v>0</v>
      </c>
      <c r="U66" s="8">
        <f t="shared" ca="1" si="5"/>
        <v>0</v>
      </c>
      <c r="V66" s="85">
        <f ca="1">Orçamento!H64</f>
        <v>0</v>
      </c>
      <c r="W66" s="85">
        <f ca="1">'DRE 2026'!I63</f>
        <v>0</v>
      </c>
      <c r="X66" s="8">
        <f t="shared" ca="1" si="6"/>
        <v>0</v>
      </c>
      <c r="Y66" s="85">
        <f ca="1">Orçamento!I64</f>
        <v>0</v>
      </c>
      <c r="Z66" s="85">
        <f ca="1">'DRE 2026'!J63</f>
        <v>0</v>
      </c>
      <c r="AA66" s="8">
        <f t="shared" ca="1" si="7"/>
        <v>0</v>
      </c>
      <c r="AB66" s="85">
        <f ca="1">Orçamento!J64</f>
        <v>0</v>
      </c>
      <c r="AC66" s="85">
        <f ca="1">'DRE 2026'!K63</f>
        <v>0</v>
      </c>
      <c r="AD66" s="8">
        <f t="shared" ca="1" si="8"/>
        <v>0</v>
      </c>
      <c r="AE66" s="85">
        <f ca="1">Orçamento!K64</f>
        <v>0</v>
      </c>
      <c r="AF66" s="85">
        <f ca="1">'DRE 2026'!L63</f>
        <v>0</v>
      </c>
      <c r="AG66" s="8">
        <f t="shared" ca="1" si="9"/>
        <v>0</v>
      </c>
      <c r="AH66" s="85">
        <f ca="1">Orçamento!L64</f>
        <v>0</v>
      </c>
      <c r="AI66" s="85">
        <f ca="1">'DRE 2026'!M63</f>
        <v>0</v>
      </c>
      <c r="AJ66" s="8">
        <f t="shared" ca="1" si="10"/>
        <v>0</v>
      </c>
      <c r="AK66" s="85">
        <f ca="1">Orçamento!M64</f>
        <v>0</v>
      </c>
      <c r="AL66" s="85">
        <f ca="1">'DRE 2026'!N63</f>
        <v>0</v>
      </c>
      <c r="AM66" s="8">
        <f t="shared" ca="1" si="11"/>
        <v>0</v>
      </c>
      <c r="AN66" s="8"/>
      <c r="AO66" s="85">
        <f t="shared" ca="1" si="19"/>
        <v>0</v>
      </c>
      <c r="AP66" s="85">
        <f t="shared" si="22"/>
        <v>0</v>
      </c>
      <c r="AQ66" s="8">
        <f t="shared" ca="1" si="13"/>
        <v>0</v>
      </c>
      <c r="AR66" s="85">
        <f t="shared" ref="AR66:AS66" ca="1" si="79">IF($Z$7=0,V66,IF($AC$7=0,V66+Y66,IF($AF$7=0,V66+Y66+AB66,IF($AI$7=0,V66+Y66+AB66+AE66,IF($AL$7=0,V66+Y66+AB66+AE66+AH66,V66+Y66+AB66+AE66+AH66+AK66)))))</f>
        <v>0</v>
      </c>
      <c r="AS66" s="85">
        <f t="shared" ca="1" si="79"/>
        <v>0</v>
      </c>
      <c r="AT66" s="8">
        <f t="shared" ca="1" si="15"/>
        <v>0</v>
      </c>
      <c r="AU66" s="85">
        <f t="shared" ca="1" si="16"/>
        <v>0</v>
      </c>
      <c r="AV66" s="85">
        <f t="shared" ca="1" si="17"/>
        <v>0</v>
      </c>
      <c r="AW66" s="8">
        <f t="shared" ca="1" si="18"/>
        <v>0</v>
      </c>
      <c r="AX66" s="8"/>
    </row>
    <row r="67" spans="1:50" ht="12.75" hidden="1" outlineLevel="1">
      <c r="A67" s="5"/>
      <c r="B67" s="5"/>
      <c r="C67" s="84" t="s">
        <v>80</v>
      </c>
      <c r="D67" s="85">
        <f ca="1">Orçamento!B65</f>
        <v>0</v>
      </c>
      <c r="E67" s="85">
        <f>'DRE 2026'!C64</f>
        <v>0</v>
      </c>
      <c r="F67" s="86">
        <f t="shared" ca="1" si="0"/>
        <v>0</v>
      </c>
      <c r="G67" s="85">
        <f ca="1">Orçamento!C65</f>
        <v>0</v>
      </c>
      <c r="H67" s="85">
        <f>'DRE 2026'!D64</f>
        <v>0</v>
      </c>
      <c r="I67" s="8">
        <f t="shared" ca="1" si="1"/>
        <v>0</v>
      </c>
      <c r="J67" s="85">
        <f ca="1">Orçamento!D65</f>
        <v>0</v>
      </c>
      <c r="K67" s="85">
        <f>'DRE 2026'!E64</f>
        <v>0</v>
      </c>
      <c r="L67" s="8">
        <f t="shared" ca="1" si="2"/>
        <v>0</v>
      </c>
      <c r="M67" s="85">
        <f ca="1">Orçamento!E65</f>
        <v>0</v>
      </c>
      <c r="N67" s="85">
        <f>'DRE 2026'!F64</f>
        <v>0</v>
      </c>
      <c r="O67" s="8">
        <f t="shared" ca="1" si="3"/>
        <v>0</v>
      </c>
      <c r="P67" s="85">
        <f ca="1">Orçamento!F65</f>
        <v>0</v>
      </c>
      <c r="Q67" s="85">
        <f>'DRE 2026'!G64</f>
        <v>0</v>
      </c>
      <c r="R67" s="8">
        <f t="shared" ca="1" si="4"/>
        <v>0</v>
      </c>
      <c r="S67" s="85">
        <f ca="1">Orçamento!G65</f>
        <v>0</v>
      </c>
      <c r="T67" s="85">
        <f>'DRE 2026'!H64</f>
        <v>0</v>
      </c>
      <c r="U67" s="8">
        <f t="shared" ca="1" si="5"/>
        <v>0</v>
      </c>
      <c r="V67" s="85">
        <f ca="1">Orçamento!H65</f>
        <v>0</v>
      </c>
      <c r="W67" s="85">
        <f ca="1">'DRE 2026'!I64</f>
        <v>0</v>
      </c>
      <c r="X67" s="8">
        <f t="shared" ca="1" si="6"/>
        <v>0</v>
      </c>
      <c r="Y67" s="85">
        <f ca="1">Orçamento!I65</f>
        <v>0</v>
      </c>
      <c r="Z67" s="85">
        <f ca="1">'DRE 2026'!J64</f>
        <v>0</v>
      </c>
      <c r="AA67" s="8">
        <f t="shared" ca="1" si="7"/>
        <v>0</v>
      </c>
      <c r="AB67" s="85">
        <f ca="1">Orçamento!J65</f>
        <v>0</v>
      </c>
      <c r="AC67" s="85">
        <f ca="1">'DRE 2026'!K64</f>
        <v>0</v>
      </c>
      <c r="AD67" s="8">
        <f t="shared" ca="1" si="8"/>
        <v>0</v>
      </c>
      <c r="AE67" s="85">
        <f ca="1">Orçamento!K65</f>
        <v>0</v>
      </c>
      <c r="AF67" s="85">
        <f ca="1">'DRE 2026'!L64</f>
        <v>0</v>
      </c>
      <c r="AG67" s="8">
        <f t="shared" ca="1" si="9"/>
        <v>0</v>
      </c>
      <c r="AH67" s="85">
        <f ca="1">Orçamento!L65</f>
        <v>0</v>
      </c>
      <c r="AI67" s="85">
        <f ca="1">'DRE 2026'!M64</f>
        <v>0</v>
      </c>
      <c r="AJ67" s="8">
        <f t="shared" ca="1" si="10"/>
        <v>0</v>
      </c>
      <c r="AK67" s="85">
        <f ca="1">Orçamento!M65</f>
        <v>0</v>
      </c>
      <c r="AL67" s="85">
        <f ca="1">'DRE 2026'!N64</f>
        <v>0</v>
      </c>
      <c r="AM67" s="8">
        <f t="shared" ca="1" si="11"/>
        <v>0</v>
      </c>
      <c r="AN67" s="8"/>
      <c r="AO67" s="85">
        <f t="shared" ca="1" si="19"/>
        <v>0</v>
      </c>
      <c r="AP67" s="85">
        <f t="shared" si="22"/>
        <v>0</v>
      </c>
      <c r="AQ67" s="8">
        <f t="shared" ca="1" si="13"/>
        <v>0</v>
      </c>
      <c r="AR67" s="85">
        <f t="shared" ref="AR67:AS67" ca="1" si="80">IF($Z$7=0,V67,IF($AC$7=0,V67+Y67,IF($AF$7=0,V67+Y67+AB67,IF($AI$7=0,V67+Y67+AB67+AE67,IF($AL$7=0,V67+Y67+AB67+AE67+AH67,V67+Y67+AB67+AE67+AH67+AK67)))))</f>
        <v>0</v>
      </c>
      <c r="AS67" s="85">
        <f t="shared" ca="1" si="80"/>
        <v>0</v>
      </c>
      <c r="AT67" s="8">
        <f t="shared" ca="1" si="15"/>
        <v>0</v>
      </c>
      <c r="AU67" s="85">
        <f t="shared" ca="1" si="16"/>
        <v>0</v>
      </c>
      <c r="AV67" s="85">
        <f t="shared" ca="1" si="17"/>
        <v>0</v>
      </c>
      <c r="AW67" s="8">
        <f t="shared" ca="1" si="18"/>
        <v>0</v>
      </c>
      <c r="AX67" s="8"/>
    </row>
    <row r="68" spans="1:50" ht="12.75" hidden="1" outlineLevel="1">
      <c r="A68" s="5"/>
      <c r="B68" s="5"/>
      <c r="C68" s="84" t="s">
        <v>81</v>
      </c>
      <c r="D68" s="85">
        <f ca="1">Orçamento!B66</f>
        <v>-279.95</v>
      </c>
      <c r="E68" s="85">
        <f>'DRE 2026'!C65</f>
        <v>-449.83</v>
      </c>
      <c r="F68" s="86">
        <f t="shared" ca="1" si="0"/>
        <v>0.60682264690123233</v>
      </c>
      <c r="G68" s="85">
        <f ca="1">Orçamento!C66</f>
        <v>-339.95</v>
      </c>
      <c r="H68" s="85">
        <f>'DRE 2026'!D65</f>
        <v>-459.83</v>
      </c>
      <c r="I68" s="86">
        <f t="shared" ca="1" si="1"/>
        <v>0.35264009413148995</v>
      </c>
      <c r="J68" s="85">
        <f ca="1">Orçamento!D66</f>
        <v>-388.95</v>
      </c>
      <c r="K68" s="85">
        <f>'DRE 2026'!E65</f>
        <v>-391.83</v>
      </c>
      <c r="L68" s="86">
        <f t="shared" ca="1" si="2"/>
        <v>7.4045507134593022E-3</v>
      </c>
      <c r="M68" s="85">
        <f ca="1">Orçamento!E66</f>
        <v>-331.83</v>
      </c>
      <c r="N68" s="85">
        <f>'DRE 2026'!F65</f>
        <v>-540.87</v>
      </c>
      <c r="O68" s="86">
        <f t="shared" ca="1" si="3"/>
        <v>0.62996112467227205</v>
      </c>
      <c r="P68" s="85">
        <f ca="1">Orçamento!F66</f>
        <v>-361.83</v>
      </c>
      <c r="Q68" s="85">
        <f>'DRE 2026'!G65</f>
        <v>-405.83</v>
      </c>
      <c r="R68" s="86">
        <f t="shared" ca="1" si="4"/>
        <v>0.12160406820882735</v>
      </c>
      <c r="S68" s="85">
        <f ca="1">Orçamento!G66</f>
        <v>-441.83</v>
      </c>
      <c r="T68" s="85">
        <f>'DRE 2026'!H65</f>
        <v>-435.83</v>
      </c>
      <c r="U68" s="86">
        <f t="shared" ca="1" si="5"/>
        <v>-1.3579883665663265E-2</v>
      </c>
      <c r="V68" s="85">
        <f ca="1">Orçamento!H66</f>
        <v>-426.83</v>
      </c>
      <c r="W68" s="85">
        <f ca="1">'DRE 2026'!I65</f>
        <v>-455.82</v>
      </c>
      <c r="X68" s="86">
        <f t="shared" ca="1" si="6"/>
        <v>6.7919312138322072E-2</v>
      </c>
      <c r="Y68" s="85">
        <f ca="1">Orçamento!I66</f>
        <v>-389.83</v>
      </c>
      <c r="Z68" s="85">
        <f ca="1">'DRE 2026'!J65</f>
        <v>-617.58000000000004</v>
      </c>
      <c r="AA68" s="86">
        <f t="shared" ca="1" si="7"/>
        <v>0.5842290229074214</v>
      </c>
      <c r="AB68" s="85">
        <f ca="1">Orçamento!J66</f>
        <v>-259.83</v>
      </c>
      <c r="AC68" s="85">
        <f>'DRE 2026'!K65</f>
        <v>0</v>
      </c>
      <c r="AD68" s="86">
        <f t="shared" ca="1" si="8"/>
        <v>-1</v>
      </c>
      <c r="AE68" s="85">
        <f ca="1">Orçamento!K66</f>
        <v>-450.88</v>
      </c>
      <c r="AF68" s="85">
        <f>'DRE 2026'!L65</f>
        <v>0</v>
      </c>
      <c r="AG68" s="86">
        <f t="shared" ca="1" si="9"/>
        <v>-1</v>
      </c>
      <c r="AH68" s="85">
        <f ca="1">Orçamento!L66</f>
        <v>-269.83</v>
      </c>
      <c r="AI68" s="85">
        <f>'DRE 2026'!M65</f>
        <v>0</v>
      </c>
      <c r="AJ68" s="86">
        <f t="shared" ca="1" si="10"/>
        <v>-1</v>
      </c>
      <c r="AK68" s="85">
        <f ca="1">Orçamento!M66</f>
        <v>-395.83</v>
      </c>
      <c r="AL68" s="89">
        <f>'DRE 2026'!N65</f>
        <v>0</v>
      </c>
      <c r="AM68" s="86">
        <f t="shared" ca="1" si="11"/>
        <v>-1</v>
      </c>
      <c r="AN68" s="8"/>
      <c r="AO68" s="85">
        <f t="shared" ca="1" si="19"/>
        <v>-2144.3399999999997</v>
      </c>
      <c r="AP68" s="85">
        <f t="shared" si="22"/>
        <v>-2684.02</v>
      </c>
      <c r="AQ68" s="86">
        <f t="shared" ca="1" si="13"/>
        <v>0.25167650652415213</v>
      </c>
      <c r="AR68" s="85">
        <f t="shared" ref="AR68:AS68" ca="1" si="81">IF($Z$7=0,V68,IF($AC$7=0,V68+Y68,IF($AF$7=0,V68+Y68+AB68,IF($AI$7=0,V68+Y68+AB68+AE68,IF($AL$7=0,V68+Y68+AB68+AE68+AH68,V68+Y68+AB68+AE68+AH68+AK68)))))</f>
        <v>-816.66</v>
      </c>
      <c r="AS68" s="85">
        <f t="shared" ca="1" si="81"/>
        <v>-1073.4000000000001</v>
      </c>
      <c r="AT68" s="86">
        <f t="shared" ca="1" si="15"/>
        <v>0.31437807655572714</v>
      </c>
      <c r="AU68" s="85">
        <f t="shared" ca="1" si="16"/>
        <v>-2960.9999999999995</v>
      </c>
      <c r="AV68" s="85">
        <f t="shared" ca="1" si="17"/>
        <v>-3757.42</v>
      </c>
      <c r="AW68" s="86">
        <f t="shared" ca="1" si="18"/>
        <v>0.26896994258696411</v>
      </c>
      <c r="AX68" s="86"/>
    </row>
    <row r="69" spans="1:50" ht="12.75" hidden="1" outlineLevel="1">
      <c r="A69" s="5"/>
      <c r="B69" s="5"/>
      <c r="C69" s="84" t="s">
        <v>82</v>
      </c>
      <c r="D69" s="85">
        <f ca="1">Orçamento!B67</f>
        <v>-200</v>
      </c>
      <c r="E69" s="85">
        <f>'DRE 2026'!C66</f>
        <v>-585</v>
      </c>
      <c r="F69" s="86">
        <f t="shared" ca="1" si="0"/>
        <v>1.925</v>
      </c>
      <c r="G69" s="85">
        <f ca="1">Orçamento!C67</f>
        <v>-200</v>
      </c>
      <c r="H69" s="85">
        <f>'DRE 2026'!D66</f>
        <v>0</v>
      </c>
      <c r="I69" s="8">
        <f t="shared" ca="1" si="1"/>
        <v>-1</v>
      </c>
      <c r="J69" s="85">
        <f ca="1">Orçamento!D67</f>
        <v>-200</v>
      </c>
      <c r="K69" s="85">
        <f>'DRE 2026'!E66</f>
        <v>0</v>
      </c>
      <c r="L69" s="8">
        <f t="shared" ca="1" si="2"/>
        <v>-1</v>
      </c>
      <c r="M69" s="85">
        <f ca="1">Orçamento!E67</f>
        <v>-200</v>
      </c>
      <c r="N69" s="85">
        <f>'DRE 2026'!F66</f>
        <v>0</v>
      </c>
      <c r="O69" s="8">
        <f t="shared" ca="1" si="3"/>
        <v>-1</v>
      </c>
      <c r="P69" s="85">
        <f ca="1">Orçamento!F67</f>
        <v>-200</v>
      </c>
      <c r="Q69" s="89">
        <f>'DRE 2026'!G66</f>
        <v>0</v>
      </c>
      <c r="R69" s="8">
        <f t="shared" ca="1" si="4"/>
        <v>-1</v>
      </c>
      <c r="S69" s="85">
        <f ca="1">Orçamento!G67</f>
        <v>-200</v>
      </c>
      <c r="T69" s="85">
        <f>'DRE 2026'!H66</f>
        <v>0</v>
      </c>
      <c r="U69" s="8">
        <f t="shared" ca="1" si="5"/>
        <v>-1</v>
      </c>
      <c r="V69" s="85">
        <f ca="1">Orçamento!H67</f>
        <v>-200</v>
      </c>
      <c r="W69" s="85">
        <f ca="1">'DRE 2026'!I66</f>
        <v>0</v>
      </c>
      <c r="X69" s="8">
        <f t="shared" ca="1" si="6"/>
        <v>-1</v>
      </c>
      <c r="Y69" s="85">
        <f ca="1">Orçamento!I67</f>
        <v>-200</v>
      </c>
      <c r="Z69" s="85">
        <f ca="1">'DRE 2026'!J66</f>
        <v>0</v>
      </c>
      <c r="AA69" s="8">
        <f t="shared" ca="1" si="7"/>
        <v>-1</v>
      </c>
      <c r="AB69" s="85">
        <f ca="1">Orçamento!J67</f>
        <v>-200</v>
      </c>
      <c r="AC69" s="85">
        <f ca="1">'DRE 2026'!K66</f>
        <v>0</v>
      </c>
      <c r="AD69" s="8">
        <f t="shared" ca="1" si="8"/>
        <v>-1</v>
      </c>
      <c r="AE69" s="85">
        <f ca="1">Orçamento!K67</f>
        <v>-200</v>
      </c>
      <c r="AF69" s="85">
        <f ca="1">'DRE 2026'!L66</f>
        <v>0</v>
      </c>
      <c r="AG69" s="8">
        <f t="shared" ca="1" si="9"/>
        <v>-1</v>
      </c>
      <c r="AH69" s="85">
        <f ca="1">Orçamento!L67</f>
        <v>-200</v>
      </c>
      <c r="AI69" s="85">
        <f ca="1">'DRE 2026'!M66</f>
        <v>0</v>
      </c>
      <c r="AJ69" s="8">
        <f t="shared" ca="1" si="10"/>
        <v>-1</v>
      </c>
      <c r="AK69" s="85">
        <f ca="1">Orçamento!M67</f>
        <v>-200</v>
      </c>
      <c r="AL69" s="85">
        <f ca="1">'DRE 2026'!N66</f>
        <v>0</v>
      </c>
      <c r="AM69" s="8">
        <f t="shared" ca="1" si="11"/>
        <v>-1</v>
      </c>
      <c r="AN69" s="8"/>
      <c r="AO69" s="85">
        <f t="shared" ca="1" si="19"/>
        <v>-200</v>
      </c>
      <c r="AP69" s="85">
        <f t="shared" si="22"/>
        <v>-585</v>
      </c>
      <c r="AQ69" s="8">
        <f t="shared" ca="1" si="13"/>
        <v>1.925</v>
      </c>
      <c r="AR69" s="85">
        <f t="shared" ref="AR69:AS69" ca="1" si="82">IF($Z$7=0,V69,IF($AC$7=0,V69+Y69,IF($AF$7=0,V69+Y69+AB69,IF($AI$7=0,V69+Y69+AB69+AE69,IF($AL$7=0,V69+Y69+AB69+AE69+AH69,V69+Y69+AB69+AE69+AH69+AK69)))))</f>
        <v>-400</v>
      </c>
      <c r="AS69" s="85">
        <f t="shared" ca="1" si="82"/>
        <v>0</v>
      </c>
      <c r="AT69" s="8">
        <f t="shared" ca="1" si="15"/>
        <v>-1</v>
      </c>
      <c r="AU69" s="85">
        <f t="shared" ca="1" si="16"/>
        <v>-600</v>
      </c>
      <c r="AV69" s="85">
        <f t="shared" ca="1" si="17"/>
        <v>-585</v>
      </c>
      <c r="AW69" s="8">
        <f t="shared" ca="1" si="18"/>
        <v>-2.5000000000000001E-2</v>
      </c>
      <c r="AX69" s="8"/>
    </row>
    <row r="70" spans="1:50" ht="12.75" hidden="1" outlineLevel="1">
      <c r="A70" s="5"/>
      <c r="B70" s="5"/>
      <c r="C70" s="84" t="s">
        <v>83</v>
      </c>
      <c r="D70" s="85">
        <f ca="1">Orçamento!B68</f>
        <v>0</v>
      </c>
      <c r="E70" s="85">
        <f>'DRE 2026'!C67</f>
        <v>0</v>
      </c>
      <c r="F70" s="86">
        <f t="shared" ca="1" si="0"/>
        <v>0</v>
      </c>
      <c r="G70" s="85">
        <f ca="1">Orçamento!C68</f>
        <v>0</v>
      </c>
      <c r="H70" s="85">
        <f>'DRE 2026'!D67</f>
        <v>0</v>
      </c>
      <c r="I70" s="8">
        <f t="shared" ca="1" si="1"/>
        <v>0</v>
      </c>
      <c r="J70" s="85">
        <f ca="1">Orçamento!D68</f>
        <v>0</v>
      </c>
      <c r="K70" s="85">
        <f>'DRE 2026'!E67</f>
        <v>0</v>
      </c>
      <c r="L70" s="8">
        <f t="shared" ca="1" si="2"/>
        <v>0</v>
      </c>
      <c r="M70" s="85">
        <f ca="1">Orçamento!E68</f>
        <v>0</v>
      </c>
      <c r="N70" s="85">
        <f>'DRE 2026'!F67</f>
        <v>0</v>
      </c>
      <c r="O70" s="8">
        <f t="shared" ca="1" si="3"/>
        <v>0</v>
      </c>
      <c r="P70" s="85">
        <f ca="1">Orçamento!F68</f>
        <v>0</v>
      </c>
      <c r="Q70" s="85">
        <f>'DRE 2026'!G67</f>
        <v>0</v>
      </c>
      <c r="R70" s="8">
        <f t="shared" ca="1" si="4"/>
        <v>0</v>
      </c>
      <c r="S70" s="85">
        <f ca="1">Orçamento!G68</f>
        <v>0</v>
      </c>
      <c r="T70" s="85">
        <f>'DRE 2026'!H67</f>
        <v>0</v>
      </c>
      <c r="U70" s="8">
        <f t="shared" ca="1" si="5"/>
        <v>0</v>
      </c>
      <c r="V70" s="85">
        <f ca="1">Orçamento!H68</f>
        <v>0</v>
      </c>
      <c r="W70" s="85">
        <f ca="1">'DRE 2026'!I67</f>
        <v>0</v>
      </c>
      <c r="X70" s="8">
        <f t="shared" ca="1" si="6"/>
        <v>0</v>
      </c>
      <c r="Y70" s="85">
        <f ca="1">Orçamento!I68</f>
        <v>0</v>
      </c>
      <c r="Z70" s="85">
        <f ca="1">'DRE 2026'!J67</f>
        <v>0</v>
      </c>
      <c r="AA70" s="8">
        <f t="shared" ca="1" si="7"/>
        <v>0</v>
      </c>
      <c r="AB70" s="85">
        <f ca="1">Orçamento!J68</f>
        <v>0</v>
      </c>
      <c r="AC70" s="85">
        <f ca="1">'DRE 2026'!K67</f>
        <v>0</v>
      </c>
      <c r="AD70" s="8">
        <f t="shared" ca="1" si="8"/>
        <v>0</v>
      </c>
      <c r="AE70" s="85">
        <f ca="1">Orçamento!K68</f>
        <v>0</v>
      </c>
      <c r="AF70" s="85">
        <f ca="1">'DRE 2026'!L67</f>
        <v>0</v>
      </c>
      <c r="AG70" s="8">
        <f t="shared" ca="1" si="9"/>
        <v>0</v>
      </c>
      <c r="AH70" s="85">
        <f ca="1">Orçamento!L68</f>
        <v>0</v>
      </c>
      <c r="AI70" s="85">
        <f ca="1">'DRE 2026'!M67</f>
        <v>0</v>
      </c>
      <c r="AJ70" s="8">
        <f t="shared" ca="1" si="10"/>
        <v>0</v>
      </c>
      <c r="AK70" s="85">
        <f ca="1">Orçamento!M68</f>
        <v>0</v>
      </c>
      <c r="AL70" s="85">
        <f ca="1">'DRE 2026'!N67</f>
        <v>0</v>
      </c>
      <c r="AM70" s="8">
        <f t="shared" ca="1" si="11"/>
        <v>0</v>
      </c>
      <c r="AN70" s="8"/>
      <c r="AO70" s="85">
        <f t="shared" ca="1" si="19"/>
        <v>0</v>
      </c>
      <c r="AP70" s="85">
        <f t="shared" si="22"/>
        <v>0</v>
      </c>
      <c r="AQ70" s="8">
        <f t="shared" ca="1" si="13"/>
        <v>0</v>
      </c>
      <c r="AR70" s="85">
        <f t="shared" ref="AR70:AS70" ca="1" si="83">IF($Z$7=0,V70,IF($AC$7=0,V70+Y70,IF($AF$7=0,V70+Y70+AB70,IF($AI$7=0,V70+Y70+AB70+AE70,IF($AL$7=0,V70+Y70+AB70+AE70+AH70,V70+Y70+AB70+AE70+AH70+AK70)))))</f>
        <v>0</v>
      </c>
      <c r="AS70" s="85">
        <f t="shared" ca="1" si="83"/>
        <v>0</v>
      </c>
      <c r="AT70" s="8">
        <f t="shared" ca="1" si="15"/>
        <v>0</v>
      </c>
      <c r="AU70" s="85">
        <f t="shared" ca="1" si="16"/>
        <v>0</v>
      </c>
      <c r="AV70" s="85">
        <f t="shared" ca="1" si="17"/>
        <v>0</v>
      </c>
      <c r="AW70" s="8">
        <f t="shared" ca="1" si="18"/>
        <v>0</v>
      </c>
      <c r="AX70" s="8"/>
    </row>
    <row r="71" spans="1:50" ht="12.75" hidden="1" outlineLevel="1">
      <c r="A71" s="5"/>
      <c r="B71" s="5"/>
      <c r="C71" s="84" t="s">
        <v>84</v>
      </c>
      <c r="D71" s="85">
        <f ca="1">Orçamento!B69</f>
        <v>0</v>
      </c>
      <c r="E71" s="85">
        <f>'DRE 2026'!C68</f>
        <v>0</v>
      </c>
      <c r="F71" s="86">
        <f t="shared" ca="1" si="0"/>
        <v>0</v>
      </c>
      <c r="G71" s="85">
        <f ca="1">Orçamento!C69</f>
        <v>0</v>
      </c>
      <c r="H71" s="85">
        <f>'DRE 2026'!D68</f>
        <v>0</v>
      </c>
      <c r="I71" s="8">
        <f t="shared" ca="1" si="1"/>
        <v>0</v>
      </c>
      <c r="J71" s="85">
        <f ca="1">Orçamento!D69</f>
        <v>0</v>
      </c>
      <c r="K71" s="85">
        <f>'DRE 2026'!E68</f>
        <v>0</v>
      </c>
      <c r="L71" s="8">
        <f t="shared" ca="1" si="2"/>
        <v>0</v>
      </c>
      <c r="M71" s="85">
        <f ca="1">Orçamento!E69</f>
        <v>0</v>
      </c>
      <c r="N71" s="85">
        <f>'DRE 2026'!F68</f>
        <v>0</v>
      </c>
      <c r="O71" s="8">
        <f t="shared" ca="1" si="3"/>
        <v>0</v>
      </c>
      <c r="P71" s="85">
        <f ca="1">Orçamento!F69</f>
        <v>0</v>
      </c>
      <c r="Q71" s="85">
        <f>'DRE 2026'!G68</f>
        <v>0</v>
      </c>
      <c r="R71" s="8">
        <f t="shared" ca="1" si="4"/>
        <v>0</v>
      </c>
      <c r="S71" s="85">
        <f ca="1">Orçamento!G69</f>
        <v>0</v>
      </c>
      <c r="T71" s="85">
        <f>'DRE 2026'!H68</f>
        <v>0</v>
      </c>
      <c r="U71" s="8">
        <f t="shared" ca="1" si="5"/>
        <v>0</v>
      </c>
      <c r="V71" s="85">
        <f ca="1">Orçamento!H69</f>
        <v>0</v>
      </c>
      <c r="W71" s="85">
        <f ca="1">'DRE 2026'!I68</f>
        <v>0</v>
      </c>
      <c r="X71" s="8">
        <f t="shared" ca="1" si="6"/>
        <v>0</v>
      </c>
      <c r="Y71" s="85">
        <f ca="1">Orçamento!I69</f>
        <v>0</v>
      </c>
      <c r="Z71" s="85">
        <f ca="1">'DRE 2026'!J68</f>
        <v>0</v>
      </c>
      <c r="AA71" s="8">
        <f t="shared" ca="1" si="7"/>
        <v>0</v>
      </c>
      <c r="AB71" s="85">
        <f ca="1">Orçamento!J69</f>
        <v>0</v>
      </c>
      <c r="AC71" s="85">
        <f ca="1">'DRE 2026'!K68</f>
        <v>0</v>
      </c>
      <c r="AD71" s="8">
        <f t="shared" ca="1" si="8"/>
        <v>0</v>
      </c>
      <c r="AE71" s="85">
        <f ca="1">Orçamento!K69</f>
        <v>0</v>
      </c>
      <c r="AF71" s="85">
        <f ca="1">'DRE 2026'!L68</f>
        <v>0</v>
      </c>
      <c r="AG71" s="8">
        <f t="shared" ca="1" si="9"/>
        <v>0</v>
      </c>
      <c r="AH71" s="85">
        <f ca="1">Orçamento!L69</f>
        <v>0</v>
      </c>
      <c r="AI71" s="85">
        <f ca="1">'DRE 2026'!M68</f>
        <v>0</v>
      </c>
      <c r="AJ71" s="8">
        <f t="shared" ca="1" si="10"/>
        <v>0</v>
      </c>
      <c r="AK71" s="85">
        <f ca="1">Orçamento!M69</f>
        <v>0</v>
      </c>
      <c r="AL71" s="85">
        <f ca="1">'DRE 2026'!N68</f>
        <v>0</v>
      </c>
      <c r="AM71" s="8">
        <f t="shared" ca="1" si="11"/>
        <v>0</v>
      </c>
      <c r="AN71" s="8"/>
      <c r="AO71" s="85">
        <f t="shared" ca="1" si="19"/>
        <v>0</v>
      </c>
      <c r="AP71" s="85">
        <f t="shared" si="22"/>
        <v>0</v>
      </c>
      <c r="AQ71" s="8">
        <f t="shared" ca="1" si="13"/>
        <v>0</v>
      </c>
      <c r="AR71" s="85">
        <f t="shared" ref="AR71:AS71" ca="1" si="84">IF($Z$7=0,V71,IF($AC$7=0,V71+Y71,IF($AF$7=0,V71+Y71+AB71,IF($AI$7=0,V71+Y71+AB71+AE71,IF($AL$7=0,V71+Y71+AB71+AE71+AH71,V71+Y71+AB71+AE71+AH71+AK71)))))</f>
        <v>0</v>
      </c>
      <c r="AS71" s="85">
        <f t="shared" ca="1" si="84"/>
        <v>0</v>
      </c>
      <c r="AT71" s="8">
        <f t="shared" ca="1" si="15"/>
        <v>0</v>
      </c>
      <c r="AU71" s="85">
        <f t="shared" ca="1" si="16"/>
        <v>0</v>
      </c>
      <c r="AV71" s="85">
        <f t="shared" ca="1" si="17"/>
        <v>0</v>
      </c>
      <c r="AW71" s="8">
        <f t="shared" ca="1" si="18"/>
        <v>0</v>
      </c>
      <c r="AX71" s="8"/>
    </row>
    <row r="72" spans="1:50" ht="12.75" hidden="1" outlineLevel="1">
      <c r="A72" s="5"/>
      <c r="B72" s="5"/>
      <c r="C72" s="84" t="s">
        <v>85</v>
      </c>
      <c r="D72" s="85">
        <f ca="1">Orçamento!B70</f>
        <v>-900</v>
      </c>
      <c r="E72" s="85">
        <f>'DRE 2026'!C69</f>
        <v>-887</v>
      </c>
      <c r="F72" s="86">
        <f t="shared" ca="1" si="0"/>
        <v>-1.4444444444444444E-2</v>
      </c>
      <c r="G72" s="85">
        <f ca="1">Orçamento!C70</f>
        <v>-900</v>
      </c>
      <c r="H72" s="85">
        <f>'DRE 2026'!D69</f>
        <v>-887</v>
      </c>
      <c r="I72" s="86">
        <f t="shared" ca="1" si="1"/>
        <v>-1.4444444444444444E-2</v>
      </c>
      <c r="J72" s="85">
        <f ca="1">Orçamento!D70</f>
        <v>-900</v>
      </c>
      <c r="K72" s="85">
        <f>'DRE 2026'!E69</f>
        <v>-2437</v>
      </c>
      <c r="L72" s="86">
        <f t="shared" ca="1" si="2"/>
        <v>1.7077777777777778</v>
      </c>
      <c r="M72" s="85">
        <f ca="1">Orçamento!E70</f>
        <v>-900</v>
      </c>
      <c r="N72" s="85">
        <f>'DRE 2026'!F69</f>
        <v>-887</v>
      </c>
      <c r="O72" s="86">
        <f t="shared" ca="1" si="3"/>
        <v>-1.4444444444444444E-2</v>
      </c>
      <c r="P72" s="85">
        <f ca="1">Orçamento!F70</f>
        <v>-900</v>
      </c>
      <c r="Q72" s="85">
        <f>'DRE 2026'!G69</f>
        <v>-887</v>
      </c>
      <c r="R72" s="86">
        <f t="shared" ca="1" si="4"/>
        <v>-1.4444444444444444E-2</v>
      </c>
      <c r="S72" s="85">
        <f ca="1">Orçamento!G70</f>
        <v>-900</v>
      </c>
      <c r="T72" s="85">
        <f>'DRE 2026'!H69</f>
        <v>-2437</v>
      </c>
      <c r="U72" s="86">
        <f t="shared" ca="1" si="5"/>
        <v>1.7077777777777778</v>
      </c>
      <c r="V72" s="85">
        <f ca="1">Orçamento!H70</f>
        <v>-900</v>
      </c>
      <c r="W72" s="85">
        <f ca="1">'DRE 2026'!I69</f>
        <v>-887</v>
      </c>
      <c r="X72" s="86">
        <f t="shared" ca="1" si="6"/>
        <v>-1.4444444444444444E-2</v>
      </c>
      <c r="Y72" s="85">
        <f ca="1">Orçamento!I70</f>
        <v>-900</v>
      </c>
      <c r="Z72" s="85">
        <f ca="1">'DRE 2026'!J69</f>
        <v>-887</v>
      </c>
      <c r="AA72" s="86">
        <f t="shared" ca="1" si="7"/>
        <v>-1.4444444444444444E-2</v>
      </c>
      <c r="AB72" s="85">
        <f ca="1">Orçamento!J70</f>
        <v>-900</v>
      </c>
      <c r="AC72" s="85">
        <f>'DRE 2026'!K69</f>
        <v>0</v>
      </c>
      <c r="AD72" s="86">
        <f t="shared" ca="1" si="8"/>
        <v>-1</v>
      </c>
      <c r="AE72" s="85">
        <f ca="1">Orçamento!K70</f>
        <v>-900</v>
      </c>
      <c r="AF72" s="85">
        <f>'DRE 2026'!L69</f>
        <v>0</v>
      </c>
      <c r="AG72" s="86">
        <f t="shared" ca="1" si="9"/>
        <v>-1</v>
      </c>
      <c r="AH72" s="85">
        <f ca="1">Orçamento!L70</f>
        <v>-900</v>
      </c>
      <c r="AI72" s="85">
        <f>'DRE 2026'!M69</f>
        <v>0</v>
      </c>
      <c r="AJ72" s="86">
        <f t="shared" ca="1" si="10"/>
        <v>-1</v>
      </c>
      <c r="AK72" s="85">
        <f ca="1">Orçamento!M70</f>
        <v>-900</v>
      </c>
      <c r="AL72" s="89">
        <f>'DRE 2026'!N69</f>
        <v>0</v>
      </c>
      <c r="AM72" s="86">
        <f t="shared" ca="1" si="11"/>
        <v>-1</v>
      </c>
      <c r="AN72" s="8"/>
      <c r="AO72" s="85">
        <f t="shared" ca="1" si="19"/>
        <v>-5400</v>
      </c>
      <c r="AP72" s="85">
        <f t="shared" si="22"/>
        <v>-8422</v>
      </c>
      <c r="AQ72" s="86">
        <f t="shared" ca="1" si="13"/>
        <v>0.55962962962962959</v>
      </c>
      <c r="AR72" s="85">
        <f t="shared" ref="AR72:AS72" ca="1" si="85">IF($Z$7=0,V72,IF($AC$7=0,V72+Y72,IF($AF$7=0,V72+Y72+AB72,IF($AI$7=0,V72+Y72+AB72+AE72,IF($AL$7=0,V72+Y72+AB72+AE72+AH72,V72+Y72+AB72+AE72+AH72+AK72)))))</f>
        <v>-1800</v>
      </c>
      <c r="AS72" s="85">
        <f t="shared" ca="1" si="85"/>
        <v>-1774</v>
      </c>
      <c r="AT72" s="86">
        <f t="shared" ca="1" si="15"/>
        <v>-1.4444444444444444E-2</v>
      </c>
      <c r="AU72" s="85">
        <f t="shared" ca="1" si="16"/>
        <v>-7200</v>
      </c>
      <c r="AV72" s="85">
        <f t="shared" ca="1" si="17"/>
        <v>-10196</v>
      </c>
      <c r="AW72" s="86">
        <f t="shared" ca="1" si="18"/>
        <v>0.4161111111111111</v>
      </c>
      <c r="AX72" s="86"/>
    </row>
    <row r="73" spans="1:50" ht="12.75" hidden="1" outlineLevel="1">
      <c r="A73" s="5"/>
      <c r="B73" s="5"/>
      <c r="C73" s="84" t="s">
        <v>86</v>
      </c>
      <c r="D73" s="85">
        <f ca="1">Orçamento!B71</f>
        <v>-2600</v>
      </c>
      <c r="E73" s="85">
        <f>'DRE 2026'!C70</f>
        <v>-3908.36</v>
      </c>
      <c r="F73" s="86">
        <f t="shared" ca="1" si="0"/>
        <v>0.50321538461538462</v>
      </c>
      <c r="G73" s="85">
        <f ca="1">Orçamento!C71</f>
        <v>-2600</v>
      </c>
      <c r="H73" s="85">
        <f>'DRE 2026'!D70</f>
        <v>-3720.63</v>
      </c>
      <c r="I73" s="86">
        <f t="shared" ca="1" si="1"/>
        <v>0.4310115384615385</v>
      </c>
      <c r="J73" s="85">
        <f ca="1">Orçamento!D71</f>
        <v>-2600</v>
      </c>
      <c r="K73" s="85">
        <f>'DRE 2026'!E70</f>
        <v>-2619.69</v>
      </c>
      <c r="L73" s="86">
        <f t="shared" ca="1" si="2"/>
        <v>7.5730769230769436E-3</v>
      </c>
      <c r="M73" s="85">
        <f ca="1">Orçamento!E71</f>
        <v>-2600</v>
      </c>
      <c r="N73" s="85">
        <f>'DRE 2026'!F70</f>
        <v>-2619.69</v>
      </c>
      <c r="O73" s="86">
        <f t="shared" ca="1" si="3"/>
        <v>7.5730769230769436E-3</v>
      </c>
      <c r="P73" s="85">
        <f ca="1">Orçamento!F71</f>
        <v>-2600</v>
      </c>
      <c r="Q73" s="85">
        <f>'DRE 2026'!G70</f>
        <v>-2619.69</v>
      </c>
      <c r="R73" s="86">
        <f t="shared" ca="1" si="4"/>
        <v>7.5730769230769436E-3</v>
      </c>
      <c r="S73" s="85">
        <f ca="1">Orçamento!G71</f>
        <v>-2600</v>
      </c>
      <c r="T73" s="85">
        <f>'DRE 2026'!H70</f>
        <v>-2619.69</v>
      </c>
      <c r="U73" s="86">
        <f t="shared" ca="1" si="5"/>
        <v>7.5730769230769436E-3</v>
      </c>
      <c r="V73" s="85">
        <f ca="1">Orçamento!H71</f>
        <v>-2600</v>
      </c>
      <c r="W73" s="85">
        <f ca="1">'DRE 2026'!I70</f>
        <v>-4642.8999999999996</v>
      </c>
      <c r="X73" s="86">
        <f t="shared" ca="1" si="6"/>
        <v>0.78573076923076912</v>
      </c>
      <c r="Y73" s="85">
        <f ca="1">Orçamento!I71</f>
        <v>-2600</v>
      </c>
      <c r="Z73" s="85">
        <f ca="1">'DRE 2026'!J70</f>
        <v>-3541.96</v>
      </c>
      <c r="AA73" s="86">
        <f t="shared" ca="1" si="7"/>
        <v>0.36229230769230769</v>
      </c>
      <c r="AB73" s="85">
        <f ca="1">Orçamento!J71</f>
        <v>-2600</v>
      </c>
      <c r="AC73" s="85">
        <f>'DRE 2026'!K70</f>
        <v>0</v>
      </c>
      <c r="AD73" s="86">
        <f t="shared" ca="1" si="8"/>
        <v>-1</v>
      </c>
      <c r="AE73" s="85">
        <f ca="1">Orçamento!K71</f>
        <v>-2600</v>
      </c>
      <c r="AF73" s="85">
        <f>'DRE 2026'!L70</f>
        <v>0</v>
      </c>
      <c r="AG73" s="86">
        <f t="shared" ca="1" si="9"/>
        <v>-1</v>
      </c>
      <c r="AH73" s="85">
        <f ca="1">Orçamento!L71</f>
        <v>-2600</v>
      </c>
      <c r="AI73" s="85">
        <f>'DRE 2026'!M70</f>
        <v>0</v>
      </c>
      <c r="AJ73" s="86">
        <f t="shared" ca="1" si="10"/>
        <v>-1</v>
      </c>
      <c r="AK73" s="85">
        <f ca="1">Orçamento!M71</f>
        <v>-2600</v>
      </c>
      <c r="AL73" s="89">
        <f>'DRE 2026'!N70</f>
        <v>0</v>
      </c>
      <c r="AM73" s="86">
        <f t="shared" ca="1" si="11"/>
        <v>-1</v>
      </c>
      <c r="AN73" s="8"/>
      <c r="AO73" s="85">
        <f t="shared" ca="1" si="19"/>
        <v>-15600</v>
      </c>
      <c r="AP73" s="85">
        <f t="shared" si="22"/>
        <v>-18107.75</v>
      </c>
      <c r="AQ73" s="86">
        <f t="shared" ca="1" si="13"/>
        <v>0.16075320512820512</v>
      </c>
      <c r="AR73" s="85">
        <f t="shared" ref="AR73:AS73" ca="1" si="86">IF($Z$7=0,V73,IF($AC$7=0,V73+Y73,IF($AF$7=0,V73+Y73+AB73,IF($AI$7=0,V73+Y73+AB73+AE73,IF($AL$7=0,V73+Y73+AB73+AE73+AH73,V73+Y73+AB73+AE73+AH73+AK73)))))</f>
        <v>-5200</v>
      </c>
      <c r="AS73" s="85">
        <f t="shared" ca="1" si="86"/>
        <v>-8184.86</v>
      </c>
      <c r="AT73" s="86">
        <f t="shared" ca="1" si="15"/>
        <v>0.57401153846153841</v>
      </c>
      <c r="AU73" s="85">
        <f t="shared" ca="1" si="16"/>
        <v>-20800</v>
      </c>
      <c r="AV73" s="85">
        <f t="shared" ca="1" si="17"/>
        <v>-26292.61</v>
      </c>
      <c r="AW73" s="86">
        <f t="shared" ca="1" si="18"/>
        <v>0.2640677884615385</v>
      </c>
      <c r="AX73" s="86"/>
    </row>
    <row r="74" spans="1:50" ht="12.75" hidden="1" outlineLevel="1">
      <c r="A74" s="5"/>
      <c r="B74" s="5"/>
      <c r="C74" s="84" t="s">
        <v>87</v>
      </c>
      <c r="D74" s="85">
        <f ca="1">Orçamento!B72</f>
        <v>-1621</v>
      </c>
      <c r="E74" s="85">
        <f>'DRE 2026'!C71</f>
        <v>-1621</v>
      </c>
      <c r="F74" s="86">
        <f t="shared" ca="1" si="0"/>
        <v>0</v>
      </c>
      <c r="G74" s="85">
        <f ca="1">Orçamento!C72</f>
        <v>-1621</v>
      </c>
      <c r="H74" s="85">
        <f>'DRE 2026'!D71</f>
        <v>-1621</v>
      </c>
      <c r="I74" s="86">
        <f t="shared" ca="1" si="1"/>
        <v>0</v>
      </c>
      <c r="J74" s="85">
        <f ca="1">Orçamento!D72</f>
        <v>-1621</v>
      </c>
      <c r="K74" s="85">
        <f>'DRE 2026'!E71</f>
        <v>-1621</v>
      </c>
      <c r="L74" s="86">
        <f t="shared" ca="1" si="2"/>
        <v>0</v>
      </c>
      <c r="M74" s="85">
        <f ca="1">Orçamento!E72</f>
        <v>-1621</v>
      </c>
      <c r="N74" s="85">
        <f>'DRE 2026'!F71</f>
        <v>-1621</v>
      </c>
      <c r="O74" s="86">
        <f t="shared" ca="1" si="3"/>
        <v>0</v>
      </c>
      <c r="P74" s="85">
        <f ca="1">Orçamento!F72</f>
        <v>-1621</v>
      </c>
      <c r="Q74" s="85">
        <f>'DRE 2026'!G71</f>
        <v>-1621</v>
      </c>
      <c r="R74" s="86">
        <f t="shared" ca="1" si="4"/>
        <v>0</v>
      </c>
      <c r="S74" s="85">
        <f ca="1">Orçamento!G72</f>
        <v>-1621</v>
      </c>
      <c r="T74" s="85">
        <f>'DRE 2026'!H71</f>
        <v>-1621</v>
      </c>
      <c r="U74" s="86">
        <f t="shared" ca="1" si="5"/>
        <v>0</v>
      </c>
      <c r="V74" s="85">
        <f ca="1">Orçamento!H72</f>
        <v>-1621</v>
      </c>
      <c r="W74" s="85">
        <f ca="1">'DRE 2026'!I71</f>
        <v>-1621</v>
      </c>
      <c r="X74" s="86">
        <f t="shared" ca="1" si="6"/>
        <v>0</v>
      </c>
      <c r="Y74" s="85">
        <f ca="1">Orçamento!I72</f>
        <v>-1621</v>
      </c>
      <c r="Z74" s="85">
        <f ca="1">'DRE 2026'!J71</f>
        <v>-1621</v>
      </c>
      <c r="AA74" s="86">
        <f t="shared" ca="1" si="7"/>
        <v>0</v>
      </c>
      <c r="AB74" s="85">
        <f ca="1">Orçamento!J72</f>
        <v>-1621</v>
      </c>
      <c r="AC74" s="85">
        <f>'DRE 2026'!K71</f>
        <v>0</v>
      </c>
      <c r="AD74" s="86">
        <f t="shared" ca="1" si="8"/>
        <v>-1</v>
      </c>
      <c r="AE74" s="85">
        <f ca="1">Orçamento!K72</f>
        <v>-1621</v>
      </c>
      <c r="AF74" s="85">
        <f>'DRE 2026'!L71</f>
        <v>0</v>
      </c>
      <c r="AG74" s="86">
        <f t="shared" ca="1" si="9"/>
        <v>-1</v>
      </c>
      <c r="AH74" s="85">
        <f ca="1">Orçamento!L72</f>
        <v>-1621</v>
      </c>
      <c r="AI74" s="85">
        <f>'DRE 2026'!M71</f>
        <v>0</v>
      </c>
      <c r="AJ74" s="86">
        <f t="shared" ca="1" si="10"/>
        <v>-1</v>
      </c>
      <c r="AK74" s="85">
        <f ca="1">Orçamento!M72</f>
        <v>-1621</v>
      </c>
      <c r="AL74" s="89">
        <f>'DRE 2026'!N71</f>
        <v>0</v>
      </c>
      <c r="AM74" s="86">
        <f t="shared" ca="1" si="11"/>
        <v>-1</v>
      </c>
      <c r="AN74" s="8"/>
      <c r="AO74" s="85">
        <f t="shared" ca="1" si="19"/>
        <v>-9726</v>
      </c>
      <c r="AP74" s="85">
        <f t="shared" si="22"/>
        <v>-9726</v>
      </c>
      <c r="AQ74" s="86">
        <f t="shared" ca="1" si="13"/>
        <v>0</v>
      </c>
      <c r="AR74" s="85">
        <f t="shared" ref="AR74:AS74" ca="1" si="87">IF($Z$7=0,V74,IF($AC$7=0,V74+Y74,IF($AF$7=0,V74+Y74+AB74,IF($AI$7=0,V74+Y74+AB74+AE74,IF($AL$7=0,V74+Y74+AB74+AE74+AH74,V74+Y74+AB74+AE74+AH74+AK74)))))</f>
        <v>-3242</v>
      </c>
      <c r="AS74" s="85">
        <f t="shared" ca="1" si="87"/>
        <v>-3242</v>
      </c>
      <c r="AT74" s="86">
        <f t="shared" ca="1" si="15"/>
        <v>0</v>
      </c>
      <c r="AU74" s="85">
        <f t="shared" ca="1" si="16"/>
        <v>-12968</v>
      </c>
      <c r="AV74" s="85">
        <f t="shared" ca="1" si="17"/>
        <v>-12968</v>
      </c>
      <c r="AW74" s="86">
        <f t="shared" ca="1" si="18"/>
        <v>0</v>
      </c>
      <c r="AX74" s="86"/>
    </row>
    <row r="75" spans="1:50" ht="12.75" hidden="1" outlineLevel="1">
      <c r="A75" s="5"/>
      <c r="B75" s="5"/>
      <c r="C75" s="84" t="s">
        <v>88</v>
      </c>
      <c r="D75" s="85">
        <f ca="1">Orçamento!B73</f>
        <v>0</v>
      </c>
      <c r="E75" s="85">
        <f>'DRE 2026'!C72</f>
        <v>0</v>
      </c>
      <c r="F75" s="86">
        <f t="shared" ca="1" si="0"/>
        <v>0</v>
      </c>
      <c r="G75" s="85">
        <f ca="1">Orçamento!C73</f>
        <v>0</v>
      </c>
      <c r="H75" s="85">
        <f>'DRE 2026'!D72</f>
        <v>0</v>
      </c>
      <c r="I75" s="8">
        <f t="shared" ca="1" si="1"/>
        <v>0</v>
      </c>
      <c r="J75" s="85">
        <f ca="1">Orçamento!D73</f>
        <v>0</v>
      </c>
      <c r="K75" s="85">
        <f>'DRE 2026'!E72</f>
        <v>0</v>
      </c>
      <c r="L75" s="8">
        <f t="shared" ca="1" si="2"/>
        <v>0</v>
      </c>
      <c r="M75" s="85">
        <f ca="1">Orçamento!E73</f>
        <v>0</v>
      </c>
      <c r="N75" s="85">
        <f>'DRE 2026'!F72</f>
        <v>0</v>
      </c>
      <c r="O75" s="8">
        <f t="shared" ca="1" si="3"/>
        <v>0</v>
      </c>
      <c r="P75" s="85">
        <f ca="1">Orçamento!F73</f>
        <v>0</v>
      </c>
      <c r="Q75" s="85">
        <f>'DRE 2026'!G72</f>
        <v>0</v>
      </c>
      <c r="R75" s="8">
        <f t="shared" ca="1" si="4"/>
        <v>0</v>
      </c>
      <c r="S75" s="85">
        <f ca="1">Orçamento!G73</f>
        <v>0</v>
      </c>
      <c r="T75" s="85">
        <f>'DRE 2026'!H72</f>
        <v>0</v>
      </c>
      <c r="U75" s="8">
        <f t="shared" ca="1" si="5"/>
        <v>0</v>
      </c>
      <c r="V75" s="85">
        <f ca="1">Orçamento!H73</f>
        <v>0</v>
      </c>
      <c r="W75" s="85">
        <f ca="1">'DRE 2026'!I72</f>
        <v>0</v>
      </c>
      <c r="X75" s="8">
        <f t="shared" ca="1" si="6"/>
        <v>0</v>
      </c>
      <c r="Y75" s="85">
        <f ca="1">Orçamento!I73</f>
        <v>0</v>
      </c>
      <c r="Z75" s="85">
        <f ca="1">'DRE 2026'!J72</f>
        <v>0</v>
      </c>
      <c r="AA75" s="8">
        <f t="shared" ca="1" si="7"/>
        <v>0</v>
      </c>
      <c r="AB75" s="85">
        <f ca="1">Orçamento!J73</f>
        <v>0</v>
      </c>
      <c r="AC75" s="85">
        <f ca="1">'DRE 2026'!K72</f>
        <v>0</v>
      </c>
      <c r="AD75" s="8">
        <f t="shared" ca="1" si="8"/>
        <v>0</v>
      </c>
      <c r="AE75" s="85">
        <f ca="1">Orçamento!K73</f>
        <v>0</v>
      </c>
      <c r="AF75" s="85">
        <f ca="1">'DRE 2026'!L72</f>
        <v>0</v>
      </c>
      <c r="AG75" s="8">
        <f t="shared" ca="1" si="9"/>
        <v>0</v>
      </c>
      <c r="AH75" s="85">
        <f ca="1">Orçamento!L73</f>
        <v>0</v>
      </c>
      <c r="AI75" s="85">
        <f ca="1">'DRE 2026'!M72</f>
        <v>0</v>
      </c>
      <c r="AJ75" s="8">
        <f t="shared" ca="1" si="10"/>
        <v>0</v>
      </c>
      <c r="AK75" s="85">
        <f ca="1">Orçamento!M73</f>
        <v>0</v>
      </c>
      <c r="AL75" s="85">
        <f ca="1">'DRE 2026'!N72</f>
        <v>0</v>
      </c>
      <c r="AM75" s="8">
        <f t="shared" ca="1" si="11"/>
        <v>0</v>
      </c>
      <c r="AN75" s="8"/>
      <c r="AO75" s="85">
        <f t="shared" ca="1" si="19"/>
        <v>0</v>
      </c>
      <c r="AP75" s="85">
        <f t="shared" si="22"/>
        <v>0</v>
      </c>
      <c r="AQ75" s="8">
        <f t="shared" ca="1" si="13"/>
        <v>0</v>
      </c>
      <c r="AR75" s="85">
        <f t="shared" ref="AR75:AS75" ca="1" si="88">IF($Z$7=0,V75,IF($AC$7=0,V75+Y75,IF($AF$7=0,V75+Y75+AB75,IF($AI$7=0,V75+Y75+AB75+AE75,IF($AL$7=0,V75+Y75+AB75+AE75+AH75,V75+Y75+AB75+AE75+AH75+AK75)))))</f>
        <v>0</v>
      </c>
      <c r="AS75" s="85">
        <f t="shared" ca="1" si="88"/>
        <v>0</v>
      </c>
      <c r="AT75" s="8">
        <f t="shared" ca="1" si="15"/>
        <v>0</v>
      </c>
      <c r="AU75" s="85">
        <f t="shared" ca="1" si="16"/>
        <v>0</v>
      </c>
      <c r="AV75" s="85">
        <f t="shared" ca="1" si="17"/>
        <v>0</v>
      </c>
      <c r="AW75" s="8">
        <f t="shared" ca="1" si="18"/>
        <v>0</v>
      </c>
      <c r="AX75" s="8"/>
    </row>
    <row r="76" spans="1:50" ht="12.75" hidden="1" outlineLevel="1">
      <c r="A76" s="5"/>
      <c r="B76" s="5"/>
      <c r="C76" s="84" t="s">
        <v>89</v>
      </c>
      <c r="D76" s="85">
        <f ca="1">Orçamento!B74</f>
        <v>-2477.75</v>
      </c>
      <c r="E76" s="85">
        <f>'DRE 2026'!C73</f>
        <v>-6412.5</v>
      </c>
      <c r="F76" s="86">
        <f t="shared" ca="1" si="0"/>
        <v>1.5880334981333872</v>
      </c>
      <c r="G76" s="85">
        <f ca="1">Orçamento!C74</f>
        <v>-9648.5840000000007</v>
      </c>
      <c r="H76" s="126">
        <f>'DRE 2026'!D73</f>
        <v>-15014.82</v>
      </c>
      <c r="I76" s="86">
        <f t="shared" ca="1" si="1"/>
        <v>0.55616824188917235</v>
      </c>
      <c r="J76" s="85">
        <f ca="1">Orçamento!D74</f>
        <v>-9648.5840000000007</v>
      </c>
      <c r="K76" s="85">
        <f>'DRE 2026'!E73</f>
        <v>-5430.25</v>
      </c>
      <c r="L76" s="86">
        <f t="shared" ca="1" si="2"/>
        <v>-0.43719720945581242</v>
      </c>
      <c r="M76" s="85">
        <f ca="1">Orçamento!E74</f>
        <v>-9648.5840000000007</v>
      </c>
      <c r="N76" s="85">
        <f>'DRE 2026'!F73</f>
        <v>-3562.18</v>
      </c>
      <c r="O76" s="86">
        <f t="shared" ca="1" si="3"/>
        <v>-0.63080800250067781</v>
      </c>
      <c r="P76" s="85">
        <f ca="1">Orçamento!F74</f>
        <v>-1916.75</v>
      </c>
      <c r="Q76" s="85">
        <f>'DRE 2026'!G73</f>
        <v>-1666.47</v>
      </c>
      <c r="R76" s="86">
        <f t="shared" ca="1" si="4"/>
        <v>-0.13057519238293985</v>
      </c>
      <c r="S76" s="85">
        <f ca="1">Orçamento!G74</f>
        <v>-1916.75</v>
      </c>
      <c r="T76" s="85">
        <f>'DRE 2026'!H73</f>
        <v>-1696.03</v>
      </c>
      <c r="U76" s="86">
        <f t="shared" ca="1" si="5"/>
        <v>-0.11515325420633887</v>
      </c>
      <c r="V76" s="85">
        <f ca="1">Orçamento!H74</f>
        <v>-2477.75</v>
      </c>
      <c r="W76" s="85">
        <f ca="1">'DRE 2026'!I73</f>
        <v>-2418.2399999999998</v>
      </c>
      <c r="X76" s="86">
        <f t="shared" ca="1" si="6"/>
        <v>-2.4017758046614962E-2</v>
      </c>
      <c r="Y76" s="85">
        <f ca="1">Orçamento!I74</f>
        <v>-3687.75</v>
      </c>
      <c r="Z76" s="85">
        <f ca="1">'DRE 2026'!J73</f>
        <v>-5483.23</v>
      </c>
      <c r="AA76" s="86">
        <f t="shared" ca="1" si="7"/>
        <v>0.48687682191037884</v>
      </c>
      <c r="AB76" s="85">
        <f ca="1">Orçamento!J74</f>
        <v>-1916.75</v>
      </c>
      <c r="AC76" s="85">
        <f>'DRE 2026'!K73</f>
        <v>0</v>
      </c>
      <c r="AD76" s="86">
        <f t="shared" ca="1" si="8"/>
        <v>-1</v>
      </c>
      <c r="AE76" s="85">
        <f ca="1">Orçamento!K74</f>
        <v>-1916.75</v>
      </c>
      <c r="AF76" s="85">
        <f>'DRE 2026'!L73</f>
        <v>0</v>
      </c>
      <c r="AG76" s="86">
        <f t="shared" ca="1" si="9"/>
        <v>-1</v>
      </c>
      <c r="AH76" s="85">
        <f ca="1">Orçamento!L74</f>
        <v>-2477.75</v>
      </c>
      <c r="AI76" s="85">
        <f>'DRE 2026'!M73</f>
        <v>0</v>
      </c>
      <c r="AJ76" s="86">
        <f t="shared" ca="1" si="10"/>
        <v>-1</v>
      </c>
      <c r="AK76" s="85">
        <f ca="1">Orçamento!M74</f>
        <v>-3687.75</v>
      </c>
      <c r="AL76" s="89">
        <f>'DRE 2026'!N73</f>
        <v>0</v>
      </c>
      <c r="AM76" s="86">
        <f t="shared" ca="1" si="11"/>
        <v>-1</v>
      </c>
      <c r="AN76" s="8"/>
      <c r="AO76" s="85">
        <f t="shared" ca="1" si="19"/>
        <v>-35257.002</v>
      </c>
      <c r="AP76" s="85">
        <f t="shared" si="22"/>
        <v>-33782.25</v>
      </c>
      <c r="AQ76" s="86">
        <f t="shared" ca="1" si="13"/>
        <v>-4.1828627402863139E-2</v>
      </c>
      <c r="AR76" s="85">
        <f t="shared" ref="AR76:AS76" ca="1" si="89">IF($Z$7=0,V76,IF($AC$7=0,V76+Y76,IF($AF$7=0,V76+Y76+AB76,IF($AI$7=0,V76+Y76+AB76+AE76,IF($AL$7=0,V76+Y76+AB76+AE76+AH76,V76+Y76+AB76+AE76+AH76+AK76)))))</f>
        <v>-6165.5</v>
      </c>
      <c r="AS76" s="85">
        <f t="shared" ca="1" si="89"/>
        <v>-7901.4699999999993</v>
      </c>
      <c r="AT76" s="86">
        <f t="shared" ca="1" si="15"/>
        <v>0.28156191711945494</v>
      </c>
      <c r="AU76" s="85">
        <f t="shared" ca="1" si="16"/>
        <v>-41422.502</v>
      </c>
      <c r="AV76" s="85">
        <f t="shared" ca="1" si="17"/>
        <v>-41683.72</v>
      </c>
      <c r="AW76" s="86">
        <f t="shared" ca="1" si="18"/>
        <v>6.3061859469522325E-3</v>
      </c>
      <c r="AX76" s="86"/>
    </row>
    <row r="77" spans="1:50" ht="12.75" hidden="1" outlineLevel="1">
      <c r="A77" s="5"/>
      <c r="B77" s="5"/>
      <c r="C77" s="84" t="s">
        <v>90</v>
      </c>
      <c r="D77" s="85">
        <f ca="1">Orçamento!B75</f>
        <v>-160</v>
      </c>
      <c r="E77" s="85">
        <f>'DRE 2026'!C74</f>
        <v>-163.22</v>
      </c>
      <c r="F77" s="86">
        <f t="shared" ca="1" si="0"/>
        <v>2.0124999999999994E-2</v>
      </c>
      <c r="G77" s="85">
        <f ca="1">Orçamento!C75</f>
        <v>-160</v>
      </c>
      <c r="H77" s="85">
        <f>'DRE 2026'!D74</f>
        <v>-252.01</v>
      </c>
      <c r="I77" s="86">
        <f t="shared" ca="1" si="1"/>
        <v>0.57506249999999992</v>
      </c>
      <c r="J77" s="85">
        <f ca="1">Orçamento!D75</f>
        <v>-160</v>
      </c>
      <c r="K77" s="85">
        <f>'DRE 2026'!E74</f>
        <v>-140.56</v>
      </c>
      <c r="L77" s="86">
        <f t="shared" ca="1" si="2"/>
        <v>-0.12149999999999998</v>
      </c>
      <c r="M77" s="85">
        <f ca="1">Orçamento!E75</f>
        <v>-160</v>
      </c>
      <c r="N77" s="85">
        <f>'DRE 2026'!F74</f>
        <v>-97.29</v>
      </c>
      <c r="O77" s="86">
        <f t="shared" ca="1" si="3"/>
        <v>-0.39193749999999994</v>
      </c>
      <c r="P77" s="85">
        <f ca="1">Orçamento!F75</f>
        <v>-160</v>
      </c>
      <c r="Q77" s="85">
        <f>'DRE 2026'!G74</f>
        <v>-362.67</v>
      </c>
      <c r="R77" s="86">
        <f t="shared" ca="1" si="4"/>
        <v>1.2666875000000002</v>
      </c>
      <c r="S77" s="85">
        <f ca="1">Orçamento!G75</f>
        <v>-160</v>
      </c>
      <c r="T77" s="85">
        <f>'DRE 2026'!H74</f>
        <v>-84.02</v>
      </c>
      <c r="U77" s="86">
        <f t="shared" ca="1" si="5"/>
        <v>-0.47487500000000005</v>
      </c>
      <c r="V77" s="85">
        <f ca="1">Orçamento!H75</f>
        <v>-160</v>
      </c>
      <c r="W77" s="85">
        <f ca="1">'DRE 2026'!I74</f>
        <v>-569.97</v>
      </c>
      <c r="X77" s="86">
        <f t="shared" ca="1" si="6"/>
        <v>2.5623125</v>
      </c>
      <c r="Y77" s="85">
        <f ca="1">Orçamento!I75</f>
        <v>-160</v>
      </c>
      <c r="Z77" s="85">
        <f ca="1">'DRE 2026'!J74</f>
        <v>-313.69</v>
      </c>
      <c r="AA77" s="86">
        <f t="shared" ca="1" si="7"/>
        <v>0.96056249999999999</v>
      </c>
      <c r="AB77" s="85">
        <f ca="1">Orçamento!J75</f>
        <v>-160</v>
      </c>
      <c r="AC77" s="85">
        <f>'DRE 2026'!K74</f>
        <v>0</v>
      </c>
      <c r="AD77" s="86">
        <f t="shared" ca="1" si="8"/>
        <v>-1</v>
      </c>
      <c r="AE77" s="85">
        <f ca="1">Orçamento!K75</f>
        <v>-160</v>
      </c>
      <c r="AF77" s="85">
        <f>'DRE 2026'!L74</f>
        <v>0</v>
      </c>
      <c r="AG77" s="86">
        <f t="shared" ca="1" si="9"/>
        <v>-1</v>
      </c>
      <c r="AH77" s="85">
        <f ca="1">Orçamento!L75</f>
        <v>-160</v>
      </c>
      <c r="AI77" s="85">
        <f>'DRE 2026'!M74</f>
        <v>0</v>
      </c>
      <c r="AJ77" s="86">
        <f t="shared" ca="1" si="10"/>
        <v>-1</v>
      </c>
      <c r="AK77" s="85">
        <f ca="1">Orçamento!M75</f>
        <v>-160</v>
      </c>
      <c r="AL77" s="89">
        <f>'DRE 2026'!N74</f>
        <v>0</v>
      </c>
      <c r="AM77" s="86">
        <f t="shared" ca="1" si="11"/>
        <v>-1</v>
      </c>
      <c r="AN77" s="8"/>
      <c r="AO77" s="85">
        <f t="shared" ca="1" si="19"/>
        <v>-960</v>
      </c>
      <c r="AP77" s="85">
        <f t="shared" si="22"/>
        <v>-1099.77</v>
      </c>
      <c r="AQ77" s="86">
        <f t="shared" ca="1" si="13"/>
        <v>0.14559374999999999</v>
      </c>
      <c r="AR77" s="85">
        <f t="shared" ref="AR77:AS77" ca="1" si="90">IF($Z$7=0,V77,IF($AC$7=0,V77+Y77,IF($AF$7=0,V77+Y77+AB77,IF($AI$7=0,V77+Y77+AB77+AE77,IF($AL$7=0,V77+Y77+AB77+AE77+AH77,V77+Y77+AB77+AE77+AH77+AK77)))))</f>
        <v>-320</v>
      </c>
      <c r="AS77" s="85">
        <f t="shared" ca="1" si="90"/>
        <v>-883.66000000000008</v>
      </c>
      <c r="AT77" s="86">
        <f t="shared" ca="1" si="15"/>
        <v>1.7614375000000002</v>
      </c>
      <c r="AU77" s="85">
        <f t="shared" ca="1" si="16"/>
        <v>-1280</v>
      </c>
      <c r="AV77" s="85">
        <f t="shared" ca="1" si="17"/>
        <v>-1983.43</v>
      </c>
      <c r="AW77" s="86">
        <f t="shared" ca="1" si="18"/>
        <v>0.54955468750000003</v>
      </c>
      <c r="AX77" s="86"/>
    </row>
    <row r="78" spans="1:50" ht="12.75" hidden="1" outlineLevel="1">
      <c r="A78" s="5"/>
      <c r="B78" s="5"/>
      <c r="C78" s="84" t="s">
        <v>91</v>
      </c>
      <c r="D78" s="85">
        <f ca="1">Orçamento!B76</f>
        <v>0</v>
      </c>
      <c r="E78" s="85">
        <f>'DRE 2026'!C75</f>
        <v>0</v>
      </c>
      <c r="F78" s="86">
        <f t="shared" ca="1" si="0"/>
        <v>0</v>
      </c>
      <c r="G78" s="85">
        <f ca="1">Orçamento!C76</f>
        <v>170</v>
      </c>
      <c r="H78" s="89">
        <f>'DRE 2026'!D75</f>
        <v>-816.29</v>
      </c>
      <c r="I78" s="86">
        <f t="shared" ca="1" si="1"/>
        <v>-5.801705882352941</v>
      </c>
      <c r="J78" s="85">
        <f ca="1">Orçamento!D76</f>
        <v>0</v>
      </c>
      <c r="K78" s="89">
        <f>'DRE 2026'!E75</f>
        <v>0</v>
      </c>
      <c r="L78" s="86">
        <f t="shared" ca="1" si="2"/>
        <v>0</v>
      </c>
      <c r="M78" s="85">
        <f ca="1">Orçamento!E76</f>
        <v>0</v>
      </c>
      <c r="N78" s="85">
        <f>'DRE 2026'!F75</f>
        <v>0</v>
      </c>
      <c r="O78" s="86">
        <f t="shared" ca="1" si="3"/>
        <v>0</v>
      </c>
      <c r="P78" s="85">
        <f ca="1">Orçamento!F76</f>
        <v>0</v>
      </c>
      <c r="Q78" s="85">
        <f>'DRE 2026'!G75</f>
        <v>0</v>
      </c>
      <c r="R78" s="86">
        <f t="shared" ca="1" si="4"/>
        <v>0</v>
      </c>
      <c r="S78" s="85">
        <f ca="1">Orçamento!G76</f>
        <v>0</v>
      </c>
      <c r="T78" s="85">
        <f>'DRE 2026'!H75</f>
        <v>0</v>
      </c>
      <c r="U78" s="86">
        <f t="shared" ca="1" si="5"/>
        <v>0</v>
      </c>
      <c r="V78" s="85">
        <f ca="1">Orçamento!H76</f>
        <v>0</v>
      </c>
      <c r="W78" s="85">
        <f ca="1">'DRE 2026'!I75</f>
        <v>0</v>
      </c>
      <c r="X78" s="86">
        <f t="shared" ca="1" si="6"/>
        <v>0</v>
      </c>
      <c r="Y78" s="85">
        <f ca="1">Orçamento!I76</f>
        <v>0</v>
      </c>
      <c r="Z78" s="85">
        <f ca="1">'DRE 2026'!J75</f>
        <v>0</v>
      </c>
      <c r="AA78" s="86">
        <f t="shared" ca="1" si="7"/>
        <v>0</v>
      </c>
      <c r="AB78" s="85">
        <f ca="1">Orçamento!J76</f>
        <v>0</v>
      </c>
      <c r="AC78" s="85">
        <f ca="1">'DRE 2026'!K75</f>
        <v>0</v>
      </c>
      <c r="AD78" s="86">
        <f t="shared" ca="1" si="8"/>
        <v>0</v>
      </c>
      <c r="AE78" s="85">
        <f ca="1">Orçamento!K76</f>
        <v>0</v>
      </c>
      <c r="AF78" s="85">
        <f ca="1">'DRE 2026'!L75</f>
        <v>0</v>
      </c>
      <c r="AG78" s="86">
        <f t="shared" ca="1" si="9"/>
        <v>0</v>
      </c>
      <c r="AH78" s="85">
        <f ca="1">Orçamento!L76</f>
        <v>0</v>
      </c>
      <c r="AI78" s="85">
        <f ca="1">'DRE 2026'!M75</f>
        <v>0</v>
      </c>
      <c r="AJ78" s="86">
        <f t="shared" ca="1" si="10"/>
        <v>0</v>
      </c>
      <c r="AK78" s="85">
        <f ca="1">Orçamento!M76</f>
        <v>0</v>
      </c>
      <c r="AL78" s="89">
        <f ca="1">'DRE 2026'!N75</f>
        <v>0</v>
      </c>
      <c r="AM78" s="86">
        <f t="shared" ca="1" si="11"/>
        <v>0</v>
      </c>
      <c r="AN78" s="8"/>
      <c r="AO78" s="85">
        <f t="shared" ca="1" si="19"/>
        <v>170</v>
      </c>
      <c r="AP78" s="85">
        <f t="shared" si="22"/>
        <v>-816.29</v>
      </c>
      <c r="AQ78" s="86">
        <f t="shared" ca="1" si="13"/>
        <v>-5.801705882352941</v>
      </c>
      <c r="AR78" s="85">
        <f t="shared" ref="AR78:AS78" ca="1" si="91">IF($Z$7=0,V78,IF($AC$7=0,V78+Y78,IF($AF$7=0,V78+Y78+AB78,IF($AI$7=0,V78+Y78+AB78+AE78,IF($AL$7=0,V78+Y78+AB78+AE78+AH78,V78+Y78+AB78+AE78+AH78+AK78)))))</f>
        <v>0</v>
      </c>
      <c r="AS78" s="85">
        <f t="shared" ca="1" si="91"/>
        <v>0</v>
      </c>
      <c r="AT78" s="86">
        <f t="shared" ca="1" si="15"/>
        <v>0</v>
      </c>
      <c r="AU78" s="85">
        <f t="shared" ca="1" si="16"/>
        <v>170</v>
      </c>
      <c r="AV78" s="85">
        <f t="shared" ca="1" si="17"/>
        <v>-816.29</v>
      </c>
      <c r="AW78" s="86">
        <f t="shared" ca="1" si="18"/>
        <v>-5.801705882352941</v>
      </c>
      <c r="AX78" s="86"/>
    </row>
    <row r="79" spans="1:50" ht="12.75" hidden="1" outlineLevel="1">
      <c r="A79" s="5"/>
      <c r="B79" s="5"/>
      <c r="C79" s="84" t="s">
        <v>137</v>
      </c>
      <c r="D79" s="85">
        <f ca="1">Orçamento!B77</f>
        <v>-310.52</v>
      </c>
      <c r="E79" s="85">
        <f>'DRE 2026'!C76</f>
        <v>-300.47000000000003</v>
      </c>
      <c r="F79" s="86">
        <f t="shared" ca="1" si="0"/>
        <v>-3.2365065052170405E-2</v>
      </c>
      <c r="G79" s="85">
        <f ca="1">Orçamento!C77</f>
        <v>-310.52</v>
      </c>
      <c r="H79" s="85">
        <f>'DRE 2026'!D76</f>
        <v>-300.47000000000003</v>
      </c>
      <c r="I79" s="86">
        <f t="shared" ca="1" si="1"/>
        <v>-3.2365065052170405E-2</v>
      </c>
      <c r="J79" s="85">
        <f ca="1">Orçamento!D77</f>
        <v>-310.52</v>
      </c>
      <c r="K79" s="85">
        <f>'DRE 2026'!E76</f>
        <v>-304.95999999999998</v>
      </c>
      <c r="L79" s="86">
        <f t="shared" ca="1" si="2"/>
        <v>-1.790544892438491E-2</v>
      </c>
      <c r="M79" s="85">
        <f ca="1">Orçamento!E77</f>
        <v>-310.52</v>
      </c>
      <c r="N79" s="85">
        <f>'DRE 2026'!F76</f>
        <v>-300.47000000000003</v>
      </c>
      <c r="O79" s="86">
        <f t="shared" ca="1" si="3"/>
        <v>-3.2365065052170405E-2</v>
      </c>
      <c r="P79" s="85">
        <f ca="1">Orçamento!F77</f>
        <v>-310.52</v>
      </c>
      <c r="Q79" s="85">
        <f>'DRE 2026'!G76</f>
        <v>-300.47000000000003</v>
      </c>
      <c r="R79" s="86">
        <f t="shared" ca="1" si="4"/>
        <v>-3.2365065052170405E-2</v>
      </c>
      <c r="S79" s="85">
        <f ca="1">Orçamento!G77</f>
        <v>-310.52</v>
      </c>
      <c r="T79" s="85">
        <f>'DRE 2026'!H76</f>
        <v>-300.47000000000003</v>
      </c>
      <c r="U79" s="86">
        <f t="shared" ca="1" si="5"/>
        <v>-3.2365065052170405E-2</v>
      </c>
      <c r="V79" s="85">
        <f ca="1">Orçamento!H77</f>
        <v>-310.52</v>
      </c>
      <c r="W79" s="85">
        <f ca="1">'DRE 2026'!I76</f>
        <v>-305.24</v>
      </c>
      <c r="X79" s="86">
        <f t="shared" ca="1" si="6"/>
        <v>-1.7003735669199965E-2</v>
      </c>
      <c r="Y79" s="85">
        <f ca="1">Orçamento!I77</f>
        <v>-310.52</v>
      </c>
      <c r="Z79" s="85">
        <f ca="1">'DRE 2026'!J76</f>
        <v>-300.47000000000003</v>
      </c>
      <c r="AA79" s="86">
        <f t="shared" ca="1" si="7"/>
        <v>-3.2365065052170405E-2</v>
      </c>
      <c r="AB79" s="85">
        <f ca="1">Orçamento!J77</f>
        <v>-310.52</v>
      </c>
      <c r="AC79" s="85">
        <f>'DRE 2026'!K76</f>
        <v>0</v>
      </c>
      <c r="AD79" s="86">
        <f t="shared" ca="1" si="8"/>
        <v>-1</v>
      </c>
      <c r="AE79" s="85">
        <f ca="1">Orçamento!K77</f>
        <v>-310.52</v>
      </c>
      <c r="AF79" s="85">
        <f>'DRE 2026'!L76</f>
        <v>0</v>
      </c>
      <c r="AG79" s="86">
        <f t="shared" ca="1" si="9"/>
        <v>-1</v>
      </c>
      <c r="AH79" s="85">
        <f ca="1">Orçamento!L77</f>
        <v>-310.52</v>
      </c>
      <c r="AI79" s="85">
        <f>'DRE 2026'!M76</f>
        <v>0</v>
      </c>
      <c r="AJ79" s="86">
        <f t="shared" ca="1" si="10"/>
        <v>-1</v>
      </c>
      <c r="AK79" s="85">
        <f ca="1">Orçamento!M77</f>
        <v>-421.039999999999</v>
      </c>
      <c r="AL79" s="89">
        <f>'DRE 2026'!N76</f>
        <v>0</v>
      </c>
      <c r="AM79" s="86">
        <f t="shared" ca="1" si="11"/>
        <v>-1</v>
      </c>
      <c r="AN79" s="8"/>
      <c r="AO79" s="85">
        <f t="shared" ca="1" si="19"/>
        <v>-1863.12</v>
      </c>
      <c r="AP79" s="85">
        <f t="shared" si="22"/>
        <v>-1807.3100000000002</v>
      </c>
      <c r="AQ79" s="86">
        <f t="shared" ca="1" si="13"/>
        <v>-2.9955129030872794E-2</v>
      </c>
      <c r="AR79" s="85">
        <f t="shared" ref="AR79:AS79" ca="1" si="92">IF($Z$7=0,V79,IF($AC$7=0,V79+Y79,IF($AF$7=0,V79+Y79+AB79,IF($AI$7=0,V79+Y79+AB79+AE79,IF($AL$7=0,V79+Y79+AB79+AE79+AH79,V79+Y79+AB79+AE79+AH79+AK79)))))</f>
        <v>-621.04</v>
      </c>
      <c r="AS79" s="85">
        <f t="shared" ca="1" si="92"/>
        <v>-605.71</v>
      </c>
      <c r="AT79" s="86">
        <f t="shared" ca="1" si="15"/>
        <v>-2.4684400360685185E-2</v>
      </c>
      <c r="AU79" s="85">
        <f t="shared" ca="1" si="16"/>
        <v>-2484.16</v>
      </c>
      <c r="AV79" s="85">
        <f t="shared" ca="1" si="17"/>
        <v>-2413.0200000000004</v>
      </c>
      <c r="AW79" s="86">
        <f t="shared" ca="1" si="18"/>
        <v>-2.86374468633258E-2</v>
      </c>
      <c r="AX79" s="86"/>
    </row>
    <row r="80" spans="1:50" ht="12.75" hidden="1" outlineLevel="1">
      <c r="A80" s="5"/>
      <c r="B80" s="5"/>
      <c r="C80" s="84" t="s">
        <v>93</v>
      </c>
      <c r="D80" s="85">
        <f ca="1">Orçamento!B78</f>
        <v>-1320</v>
      </c>
      <c r="E80" s="85">
        <f>'DRE 2026'!C77</f>
        <v>-1264.0999999999999</v>
      </c>
      <c r="F80" s="86">
        <f t="shared" ca="1" si="0"/>
        <v>-4.234848484848492E-2</v>
      </c>
      <c r="G80" s="85">
        <f ca="1">Orçamento!C78</f>
        <v>-1320</v>
      </c>
      <c r="H80" s="85">
        <f>'DRE 2026'!D77</f>
        <v>-1377.66</v>
      </c>
      <c r="I80" s="86">
        <f t="shared" ca="1" si="1"/>
        <v>4.3681818181818245E-2</v>
      </c>
      <c r="J80" s="85">
        <f ca="1">Orçamento!D78</f>
        <v>-1320</v>
      </c>
      <c r="K80" s="85">
        <f>'DRE 2026'!E77</f>
        <v>-1396.26</v>
      </c>
      <c r="L80" s="86">
        <f t="shared" ca="1" si="2"/>
        <v>5.7772727272727267E-2</v>
      </c>
      <c r="M80" s="85">
        <f ca="1">Orçamento!E78</f>
        <v>-1320</v>
      </c>
      <c r="N80" s="85">
        <f>'DRE 2026'!F77</f>
        <v>-1365</v>
      </c>
      <c r="O80" s="86">
        <f t="shared" ca="1" si="3"/>
        <v>3.4090909090909088E-2</v>
      </c>
      <c r="P80" s="85">
        <f ca="1">Orçamento!F78</f>
        <v>-1320</v>
      </c>
      <c r="Q80" s="85">
        <f>'DRE 2026'!G77</f>
        <v>-1520.99</v>
      </c>
      <c r="R80" s="86">
        <f t="shared" ca="1" si="4"/>
        <v>0.15226515151515152</v>
      </c>
      <c r="S80" s="85">
        <f ca="1">Orçamento!G78</f>
        <v>-1320</v>
      </c>
      <c r="T80" s="85">
        <f>'DRE 2026'!H77</f>
        <v>-1369.9</v>
      </c>
      <c r="U80" s="86">
        <f t="shared" ca="1" si="5"/>
        <v>3.7803030303030373E-2</v>
      </c>
      <c r="V80" s="85">
        <f ca="1">Orçamento!H78</f>
        <v>-1320</v>
      </c>
      <c r="W80" s="85">
        <f ca="1">'DRE 2026'!I77</f>
        <v>-1369.9</v>
      </c>
      <c r="X80" s="86">
        <f t="shared" ca="1" si="6"/>
        <v>3.7803030303030373E-2</v>
      </c>
      <c r="Y80" s="85">
        <f ca="1">Orçamento!I78</f>
        <v>-1320</v>
      </c>
      <c r="Z80" s="85">
        <f ca="1">'DRE 2026'!J77</f>
        <v>0</v>
      </c>
      <c r="AA80" s="86">
        <f t="shared" ca="1" si="7"/>
        <v>-1</v>
      </c>
      <c r="AB80" s="85">
        <f ca="1">Orçamento!J78</f>
        <v>-1320</v>
      </c>
      <c r="AC80" s="85">
        <f>'DRE 2026'!K77</f>
        <v>0</v>
      </c>
      <c r="AD80" s="86">
        <f t="shared" ca="1" si="8"/>
        <v>-1</v>
      </c>
      <c r="AE80" s="85">
        <f ca="1">Orçamento!K78</f>
        <v>-1320</v>
      </c>
      <c r="AF80" s="85">
        <f>'DRE 2026'!L77</f>
        <v>0</v>
      </c>
      <c r="AG80" s="86">
        <f t="shared" ca="1" si="9"/>
        <v>-1</v>
      </c>
      <c r="AH80" s="85">
        <f ca="1">Orçamento!L78</f>
        <v>-1320</v>
      </c>
      <c r="AI80" s="85">
        <f>'DRE 2026'!M77</f>
        <v>0</v>
      </c>
      <c r="AJ80" s="86">
        <f t="shared" ca="1" si="10"/>
        <v>-1</v>
      </c>
      <c r="AK80" s="85">
        <f ca="1">Orçamento!M78</f>
        <v>-1320</v>
      </c>
      <c r="AL80" s="89">
        <f>'DRE 2026'!N77</f>
        <v>0</v>
      </c>
      <c r="AM80" s="86">
        <f t="shared" ca="1" si="11"/>
        <v>-1</v>
      </c>
      <c r="AN80" s="8"/>
      <c r="AO80" s="85">
        <f t="shared" ca="1" si="19"/>
        <v>-7920</v>
      </c>
      <c r="AP80" s="85">
        <f t="shared" si="22"/>
        <v>-8293.91</v>
      </c>
      <c r="AQ80" s="86">
        <f t="shared" ca="1" si="13"/>
        <v>4.7210858585858564E-2</v>
      </c>
      <c r="AR80" s="85">
        <f t="shared" ref="AR80:AS80" ca="1" si="93">IF($Z$7=0,V80,IF($AC$7=0,V80+Y80,IF($AF$7=0,V80+Y80+AB80,IF($AI$7=0,V80+Y80+AB80+AE80,IF($AL$7=0,V80+Y80+AB80+AE80+AH80,V80+Y80+AB80+AE80+AH80+AK80)))))</f>
        <v>-2640</v>
      </c>
      <c r="AS80" s="85">
        <f t="shared" ca="1" si="93"/>
        <v>-1369.9</v>
      </c>
      <c r="AT80" s="86">
        <f t="shared" ca="1" si="15"/>
        <v>-0.48109848484848483</v>
      </c>
      <c r="AU80" s="85">
        <f t="shared" ca="1" si="16"/>
        <v>-10560</v>
      </c>
      <c r="AV80" s="85">
        <f t="shared" ca="1" si="17"/>
        <v>-9663.81</v>
      </c>
      <c r="AW80" s="86">
        <f t="shared" ca="1" si="18"/>
        <v>-8.4866477272727323E-2</v>
      </c>
      <c r="AX80" s="86"/>
    </row>
    <row r="81" spans="1:50" ht="12.75">
      <c r="A81" s="5"/>
      <c r="B81" s="5"/>
      <c r="C81" s="56" t="s">
        <v>94</v>
      </c>
      <c r="D81" s="57">
        <f ca="1">Orçamento!B79</f>
        <v>-160</v>
      </c>
      <c r="E81" s="57">
        <f>'DRE 2026'!C78</f>
        <v>-152.76</v>
      </c>
      <c r="F81" s="60">
        <f t="shared" ca="1" si="0"/>
        <v>-4.5250000000000054E-2</v>
      </c>
      <c r="G81" s="57">
        <f ca="1">Orçamento!C79</f>
        <v>-160</v>
      </c>
      <c r="H81" s="57">
        <f>'DRE 2026'!D78</f>
        <v>-466.99</v>
      </c>
      <c r="I81" s="60">
        <f t="shared" ca="1" si="1"/>
        <v>1.9186875000000001</v>
      </c>
      <c r="J81" s="57">
        <f ca="1">Orçamento!D79</f>
        <v>-160</v>
      </c>
      <c r="K81" s="57">
        <f>'DRE 2026'!E78</f>
        <v>-83.2</v>
      </c>
      <c r="L81" s="60">
        <f t="shared" ca="1" si="2"/>
        <v>-0.48</v>
      </c>
      <c r="M81" s="57">
        <f ca="1">Orçamento!E79</f>
        <v>-160</v>
      </c>
      <c r="N81" s="57">
        <f>'DRE 2026'!F78</f>
        <v>-193.69</v>
      </c>
      <c r="O81" s="60">
        <f t="shared" ca="1" si="3"/>
        <v>0.21056249999999999</v>
      </c>
      <c r="P81" s="57">
        <f ca="1">Orçamento!F79</f>
        <v>-160</v>
      </c>
      <c r="Q81" s="57">
        <f>'DRE 2026'!G78</f>
        <v>-163.77000000000001</v>
      </c>
      <c r="R81" s="60">
        <f t="shared" ca="1" si="4"/>
        <v>2.3562500000000063E-2</v>
      </c>
      <c r="S81" s="57">
        <f ca="1">Orçamento!G79</f>
        <v>-160</v>
      </c>
      <c r="T81" s="57">
        <f>'DRE 2026'!H78</f>
        <v>-162.1</v>
      </c>
      <c r="U81" s="60">
        <f t="shared" ca="1" si="5"/>
        <v>1.3124999999999965E-2</v>
      </c>
      <c r="V81" s="57">
        <f ca="1">Orçamento!H79</f>
        <v>-160</v>
      </c>
      <c r="W81" s="57">
        <f ca="1">'DRE 2026'!I78</f>
        <v>-135.1</v>
      </c>
      <c r="X81" s="60">
        <f t="shared" ca="1" si="6"/>
        <v>-0.15562500000000004</v>
      </c>
      <c r="Y81" s="57">
        <f ca="1">Orçamento!I79</f>
        <v>-160</v>
      </c>
      <c r="Z81" s="57">
        <f ca="1">'DRE 2026'!J78</f>
        <v>-276.86</v>
      </c>
      <c r="AA81" s="60">
        <f t="shared" ca="1" si="7"/>
        <v>0.73037500000000011</v>
      </c>
      <c r="AB81" s="57">
        <f ca="1">Orçamento!J79</f>
        <v>-160</v>
      </c>
      <c r="AC81" s="57">
        <f ca="1">'DRE 2026'!K78</f>
        <v>0</v>
      </c>
      <c r="AD81" s="60">
        <f t="shared" ca="1" si="8"/>
        <v>-1</v>
      </c>
      <c r="AE81" s="57">
        <f ca="1">Orçamento!K79</f>
        <v>-160</v>
      </c>
      <c r="AF81" s="57">
        <f ca="1">'DRE 2026'!L78</f>
        <v>0</v>
      </c>
      <c r="AG81" s="60">
        <f t="shared" ca="1" si="9"/>
        <v>-1</v>
      </c>
      <c r="AH81" s="57">
        <f ca="1">Orçamento!L79</f>
        <v>-160</v>
      </c>
      <c r="AI81" s="57">
        <f ca="1">'DRE 2026'!M78</f>
        <v>0</v>
      </c>
      <c r="AJ81" s="60">
        <f t="shared" ca="1" si="10"/>
        <v>-1</v>
      </c>
      <c r="AK81" s="57">
        <f ca="1">Orçamento!M79</f>
        <v>-160</v>
      </c>
      <c r="AL81" s="57">
        <f ca="1">'DRE 2026'!N78</f>
        <v>0</v>
      </c>
      <c r="AM81" s="60">
        <f t="shared" ca="1" si="11"/>
        <v>-1</v>
      </c>
      <c r="AN81" s="8"/>
      <c r="AO81" s="57">
        <f t="shared" ca="1" si="19"/>
        <v>-960</v>
      </c>
      <c r="AP81" s="57">
        <f t="shared" si="22"/>
        <v>-1222.51</v>
      </c>
      <c r="AQ81" s="60">
        <f t="shared" ca="1" si="13"/>
        <v>0.27344791666666668</v>
      </c>
      <c r="AR81" s="57">
        <f t="shared" ref="AR81:AS81" ca="1" si="94">IF($Z$7=0,V81,IF($AC$7=0,V81+Y81,IF($AF$7=0,V81+Y81+AB81,IF($AI$7=0,V81+Y81+AB81+AE81,IF($AL$7=0,V81+Y81+AB81+AE81+AH81,V81+Y81+AB81+AE81+AH81+AK81)))))</f>
        <v>-320</v>
      </c>
      <c r="AS81" s="57">
        <f t="shared" ca="1" si="94"/>
        <v>-411.96000000000004</v>
      </c>
      <c r="AT81" s="60">
        <f t="shared" ca="1" si="15"/>
        <v>0.2873750000000001</v>
      </c>
      <c r="AU81" s="57">
        <f t="shared" ca="1" si="16"/>
        <v>-1280</v>
      </c>
      <c r="AV81" s="57">
        <f t="shared" ca="1" si="17"/>
        <v>-1634.47</v>
      </c>
      <c r="AW81" s="60">
        <f t="shared" ca="1" si="18"/>
        <v>0.27692968750000002</v>
      </c>
      <c r="AX81" s="60"/>
    </row>
    <row r="82" spans="1:50" ht="12.75" outlineLevel="1">
      <c r="A82" s="5"/>
      <c r="B82" s="5"/>
      <c r="C82" s="108" t="s">
        <v>133</v>
      </c>
      <c r="D82" s="85">
        <f ca="1">Orçamento!B80</f>
        <v>0</v>
      </c>
      <c r="E82" s="85">
        <f>'DRE 2026'!C79</f>
        <v>0</v>
      </c>
      <c r="F82" s="86">
        <f t="shared" ca="1" si="0"/>
        <v>0</v>
      </c>
      <c r="G82" s="85">
        <f ca="1">Orçamento!C80</f>
        <v>0</v>
      </c>
      <c r="H82" s="85">
        <f>'DRE 2026'!D79</f>
        <v>0</v>
      </c>
      <c r="I82" s="86">
        <f t="shared" ca="1" si="1"/>
        <v>0</v>
      </c>
      <c r="J82" s="85">
        <f ca="1">Orçamento!D80</f>
        <v>0</v>
      </c>
      <c r="K82" s="85">
        <f>'DRE 2026'!E79</f>
        <v>0</v>
      </c>
      <c r="L82" s="86">
        <f t="shared" ca="1" si="2"/>
        <v>0</v>
      </c>
      <c r="M82" s="85">
        <f ca="1">Orçamento!E80</f>
        <v>0</v>
      </c>
      <c r="N82" s="85">
        <f>'DRE 2026'!F79</f>
        <v>0</v>
      </c>
      <c r="O82" s="86">
        <f t="shared" ca="1" si="3"/>
        <v>0</v>
      </c>
      <c r="P82" s="85">
        <f ca="1">Orçamento!F80</f>
        <v>0</v>
      </c>
      <c r="Q82" s="85">
        <f>'DRE 2026'!G79</f>
        <v>0</v>
      </c>
      <c r="R82" s="86">
        <f t="shared" ca="1" si="4"/>
        <v>0</v>
      </c>
      <c r="S82" s="85">
        <f ca="1">Orçamento!G80</f>
        <v>0</v>
      </c>
      <c r="T82" s="85">
        <f>'DRE 2026'!H79</f>
        <v>0</v>
      </c>
      <c r="U82" s="86">
        <f t="shared" ca="1" si="5"/>
        <v>0</v>
      </c>
      <c r="V82" s="85">
        <f ca="1">Orçamento!H80</f>
        <v>0</v>
      </c>
      <c r="W82" s="85">
        <f ca="1">'DRE 2026'!I79</f>
        <v>0</v>
      </c>
      <c r="X82" s="86">
        <f t="shared" ca="1" si="6"/>
        <v>0</v>
      </c>
      <c r="Y82" s="85">
        <f ca="1">Orçamento!I80</f>
        <v>0</v>
      </c>
      <c r="Z82" s="85">
        <f ca="1">'DRE 2026'!J79</f>
        <v>0</v>
      </c>
      <c r="AA82" s="86">
        <f t="shared" ca="1" si="7"/>
        <v>0</v>
      </c>
      <c r="AB82" s="85">
        <f ca="1">Orçamento!J80</f>
        <v>0</v>
      </c>
      <c r="AC82" s="85">
        <f ca="1">'DRE 2026'!K79</f>
        <v>0</v>
      </c>
      <c r="AD82" s="86">
        <f t="shared" ca="1" si="8"/>
        <v>0</v>
      </c>
      <c r="AE82" s="85">
        <f ca="1">Orçamento!K80</f>
        <v>0</v>
      </c>
      <c r="AF82" s="85">
        <f ca="1">'DRE 2026'!L79</f>
        <v>0</v>
      </c>
      <c r="AG82" s="86">
        <f t="shared" ca="1" si="9"/>
        <v>0</v>
      </c>
      <c r="AH82" s="85">
        <f ca="1">Orçamento!L80</f>
        <v>0</v>
      </c>
      <c r="AI82" s="85">
        <f ca="1">'DRE 2026'!M79</f>
        <v>0</v>
      </c>
      <c r="AJ82" s="86">
        <f t="shared" ca="1" si="10"/>
        <v>0</v>
      </c>
      <c r="AK82" s="85">
        <f ca="1">Orçamento!M80</f>
        <v>0</v>
      </c>
      <c r="AL82" s="89">
        <f ca="1">'DRE 2026'!N79</f>
        <v>0</v>
      </c>
      <c r="AM82" s="86">
        <f t="shared" ca="1" si="11"/>
        <v>0</v>
      </c>
      <c r="AN82" s="8"/>
      <c r="AO82" s="85">
        <f t="shared" ca="1" si="19"/>
        <v>0</v>
      </c>
      <c r="AP82" s="85">
        <f t="shared" si="22"/>
        <v>0</v>
      </c>
      <c r="AQ82" s="86">
        <f t="shared" ca="1" si="13"/>
        <v>0</v>
      </c>
      <c r="AR82" s="85">
        <f t="shared" ref="AR82:AS82" ca="1" si="95">IF($Z$7=0,V82,IF($AC$7=0,V82+Y82,IF($AF$7=0,V82+Y82+AB82,IF($AI$7=0,V82+Y82+AB82+AE82,IF($AL$7=0,V82+Y82+AB82+AE82+AH82,V82+Y82+AB82+AE82+AH82+AK82)))))</f>
        <v>0</v>
      </c>
      <c r="AS82" s="85">
        <f t="shared" ca="1" si="95"/>
        <v>0</v>
      </c>
      <c r="AT82" s="86">
        <f t="shared" ca="1" si="15"/>
        <v>0</v>
      </c>
      <c r="AU82" s="85">
        <f t="shared" ca="1" si="16"/>
        <v>0</v>
      </c>
      <c r="AV82" s="85">
        <f t="shared" ca="1" si="17"/>
        <v>0</v>
      </c>
      <c r="AW82" s="86">
        <f t="shared" ca="1" si="18"/>
        <v>0</v>
      </c>
      <c r="AX82" s="86"/>
    </row>
    <row r="83" spans="1:50" ht="12.75" outlineLevel="1">
      <c r="A83" s="5"/>
      <c r="B83" s="5"/>
      <c r="C83" s="84" t="s">
        <v>96</v>
      </c>
      <c r="D83" s="85">
        <f ca="1">Orçamento!B81</f>
        <v>0</v>
      </c>
      <c r="E83" s="85">
        <f>'DRE 2026'!C80</f>
        <v>0</v>
      </c>
      <c r="F83" s="86">
        <f t="shared" ca="1" si="0"/>
        <v>0</v>
      </c>
      <c r="G83" s="85">
        <f ca="1">Orçamento!C81</f>
        <v>0</v>
      </c>
      <c r="H83" s="85">
        <f>'DRE 2026'!D80</f>
        <v>0</v>
      </c>
      <c r="I83" s="8">
        <f t="shared" ca="1" si="1"/>
        <v>0</v>
      </c>
      <c r="J83" s="85">
        <f ca="1">Orçamento!D81</f>
        <v>0</v>
      </c>
      <c r="K83" s="85">
        <f>'DRE 2026'!E80</f>
        <v>0</v>
      </c>
      <c r="L83" s="8">
        <f t="shared" ca="1" si="2"/>
        <v>0</v>
      </c>
      <c r="M83" s="85">
        <f ca="1">Orçamento!E81</f>
        <v>0</v>
      </c>
      <c r="N83" s="85">
        <f>'DRE 2026'!F80</f>
        <v>0</v>
      </c>
      <c r="O83" s="8">
        <f t="shared" ca="1" si="3"/>
        <v>0</v>
      </c>
      <c r="P83" s="85">
        <f ca="1">Orçamento!F81</f>
        <v>0</v>
      </c>
      <c r="Q83" s="85">
        <f>'DRE 2026'!G80</f>
        <v>0</v>
      </c>
      <c r="R83" s="8">
        <f t="shared" ca="1" si="4"/>
        <v>0</v>
      </c>
      <c r="S83" s="85">
        <f ca="1">Orçamento!G81</f>
        <v>0</v>
      </c>
      <c r="T83" s="85">
        <f>'DRE 2026'!H80</f>
        <v>0</v>
      </c>
      <c r="U83" s="8">
        <f t="shared" ca="1" si="5"/>
        <v>0</v>
      </c>
      <c r="V83" s="85">
        <f ca="1">Orçamento!H81</f>
        <v>0</v>
      </c>
      <c r="W83" s="85">
        <f ca="1">'DRE 2026'!I80</f>
        <v>0</v>
      </c>
      <c r="X83" s="8">
        <f t="shared" ca="1" si="6"/>
        <v>0</v>
      </c>
      <c r="Y83" s="85">
        <f ca="1">Orçamento!I81</f>
        <v>0</v>
      </c>
      <c r="Z83" s="85">
        <f ca="1">'DRE 2026'!J80</f>
        <v>0</v>
      </c>
      <c r="AA83" s="8">
        <f t="shared" ca="1" si="7"/>
        <v>0</v>
      </c>
      <c r="AB83" s="85">
        <f ca="1">Orçamento!J81</f>
        <v>0</v>
      </c>
      <c r="AC83" s="85">
        <f ca="1">'DRE 2026'!K80</f>
        <v>0</v>
      </c>
      <c r="AD83" s="8">
        <f t="shared" ca="1" si="8"/>
        <v>0</v>
      </c>
      <c r="AE83" s="85">
        <f ca="1">Orçamento!K81</f>
        <v>0</v>
      </c>
      <c r="AF83" s="85">
        <f ca="1">'DRE 2026'!L80</f>
        <v>0</v>
      </c>
      <c r="AG83" s="8">
        <f t="shared" ca="1" si="9"/>
        <v>0</v>
      </c>
      <c r="AH83" s="85">
        <f ca="1">Orçamento!L81</f>
        <v>0</v>
      </c>
      <c r="AI83" s="85">
        <f ca="1">'DRE 2026'!M80</f>
        <v>0</v>
      </c>
      <c r="AJ83" s="8">
        <f t="shared" ca="1" si="10"/>
        <v>0</v>
      </c>
      <c r="AK83" s="85">
        <f ca="1">Orçamento!M81</f>
        <v>0</v>
      </c>
      <c r="AL83" s="85">
        <f ca="1">'DRE 2026'!N80</f>
        <v>0</v>
      </c>
      <c r="AM83" s="8">
        <f t="shared" ca="1" si="11"/>
        <v>0</v>
      </c>
      <c r="AN83" s="8"/>
      <c r="AO83" s="85">
        <f t="shared" ca="1" si="19"/>
        <v>0</v>
      </c>
      <c r="AP83" s="85">
        <f t="shared" si="22"/>
        <v>0</v>
      </c>
      <c r="AQ83" s="8">
        <f t="shared" ca="1" si="13"/>
        <v>0</v>
      </c>
      <c r="AR83" s="85">
        <f t="shared" ref="AR83:AS83" ca="1" si="96">IF($Z$7=0,V83,IF($AC$7=0,V83+Y83,IF($AF$7=0,V83+Y83+AB83,IF($AI$7=0,V83+Y83+AB83+AE83,IF($AL$7=0,V83+Y83+AB83+AE83+AH83,V83+Y83+AB83+AE83+AH83+AK83)))))</f>
        <v>0</v>
      </c>
      <c r="AS83" s="85">
        <f t="shared" ca="1" si="96"/>
        <v>0</v>
      </c>
      <c r="AT83" s="8">
        <f t="shared" ca="1" si="15"/>
        <v>0</v>
      </c>
      <c r="AU83" s="85">
        <f t="shared" ca="1" si="16"/>
        <v>0</v>
      </c>
      <c r="AV83" s="85">
        <f t="shared" ca="1" si="17"/>
        <v>0</v>
      </c>
      <c r="AW83" s="8">
        <f t="shared" ca="1" si="18"/>
        <v>0</v>
      </c>
      <c r="AX83" s="8"/>
    </row>
    <row r="84" spans="1:50" ht="12.75" outlineLevel="1">
      <c r="A84" s="5"/>
      <c r="B84" s="5"/>
      <c r="C84" s="84" t="s">
        <v>97</v>
      </c>
      <c r="D84" s="85">
        <f ca="1">Orçamento!B82</f>
        <v>0</v>
      </c>
      <c r="E84" s="85">
        <f>'DRE 2026'!C81</f>
        <v>0</v>
      </c>
      <c r="F84" s="86">
        <f t="shared" ca="1" si="0"/>
        <v>0</v>
      </c>
      <c r="G84" s="85">
        <f ca="1">Orçamento!C82</f>
        <v>0</v>
      </c>
      <c r="H84" s="85">
        <f>'DRE 2026'!D81</f>
        <v>0</v>
      </c>
      <c r="I84" s="8">
        <f t="shared" ca="1" si="1"/>
        <v>0</v>
      </c>
      <c r="J84" s="85">
        <f ca="1">Orçamento!D82</f>
        <v>0</v>
      </c>
      <c r="K84" s="85">
        <f>'DRE 2026'!E81</f>
        <v>0</v>
      </c>
      <c r="L84" s="8">
        <f t="shared" ca="1" si="2"/>
        <v>0</v>
      </c>
      <c r="M84" s="85">
        <f ca="1">Orçamento!E82</f>
        <v>0</v>
      </c>
      <c r="N84" s="85">
        <f>'DRE 2026'!F81</f>
        <v>0</v>
      </c>
      <c r="O84" s="8">
        <f t="shared" ca="1" si="3"/>
        <v>0</v>
      </c>
      <c r="P84" s="85">
        <f ca="1">Orçamento!F82</f>
        <v>0</v>
      </c>
      <c r="Q84" s="85">
        <f>'DRE 2026'!G81</f>
        <v>0</v>
      </c>
      <c r="R84" s="8">
        <f t="shared" ca="1" si="4"/>
        <v>0</v>
      </c>
      <c r="S84" s="85">
        <f ca="1">Orçamento!G82</f>
        <v>0</v>
      </c>
      <c r="T84" s="85">
        <f>'DRE 2026'!H81</f>
        <v>0</v>
      </c>
      <c r="U84" s="8">
        <f t="shared" ca="1" si="5"/>
        <v>0</v>
      </c>
      <c r="V84" s="85">
        <f ca="1">Orçamento!H82</f>
        <v>0</v>
      </c>
      <c r="W84" s="85">
        <f ca="1">'DRE 2026'!I81</f>
        <v>0</v>
      </c>
      <c r="X84" s="8">
        <f t="shared" ca="1" si="6"/>
        <v>0</v>
      </c>
      <c r="Y84" s="85">
        <f ca="1">Orçamento!I82</f>
        <v>0</v>
      </c>
      <c r="Z84" s="85">
        <f ca="1">'DRE 2026'!J81</f>
        <v>0</v>
      </c>
      <c r="AA84" s="8">
        <f t="shared" ca="1" si="7"/>
        <v>0</v>
      </c>
      <c r="AB84" s="85">
        <f ca="1">Orçamento!J82</f>
        <v>0</v>
      </c>
      <c r="AC84" s="85">
        <f ca="1">'DRE 2026'!K81</f>
        <v>0</v>
      </c>
      <c r="AD84" s="8">
        <f t="shared" ca="1" si="8"/>
        <v>0</v>
      </c>
      <c r="AE84" s="85">
        <f ca="1">Orçamento!K82</f>
        <v>0</v>
      </c>
      <c r="AF84" s="85">
        <f ca="1">'DRE 2026'!L81</f>
        <v>0</v>
      </c>
      <c r="AG84" s="8">
        <f t="shared" ca="1" si="9"/>
        <v>0</v>
      </c>
      <c r="AH84" s="85">
        <f ca="1">Orçamento!L82</f>
        <v>0</v>
      </c>
      <c r="AI84" s="85">
        <f ca="1">'DRE 2026'!M81</f>
        <v>0</v>
      </c>
      <c r="AJ84" s="8">
        <f t="shared" ca="1" si="10"/>
        <v>0</v>
      </c>
      <c r="AK84" s="85">
        <f ca="1">Orçamento!M82</f>
        <v>0</v>
      </c>
      <c r="AL84" s="85">
        <f ca="1">'DRE 2026'!N81</f>
        <v>0</v>
      </c>
      <c r="AM84" s="8">
        <f t="shared" ca="1" si="11"/>
        <v>0</v>
      </c>
      <c r="AN84" s="8"/>
      <c r="AO84" s="85">
        <f t="shared" ca="1" si="19"/>
        <v>0</v>
      </c>
      <c r="AP84" s="85">
        <f t="shared" si="22"/>
        <v>0</v>
      </c>
      <c r="AQ84" s="8">
        <f t="shared" ca="1" si="13"/>
        <v>0</v>
      </c>
      <c r="AR84" s="85">
        <f t="shared" ref="AR84:AS84" ca="1" si="97">IF($Z$7=0,V84,IF($AC$7=0,V84+Y84,IF($AF$7=0,V84+Y84+AB84,IF($AI$7=0,V84+Y84+AB84+AE84,IF($AL$7=0,V84+Y84+AB84+AE84+AH84,V84+Y84+AB84+AE84+AH84+AK84)))))</f>
        <v>0</v>
      </c>
      <c r="AS84" s="85">
        <f t="shared" ca="1" si="97"/>
        <v>0</v>
      </c>
      <c r="AT84" s="8">
        <f t="shared" ca="1" si="15"/>
        <v>0</v>
      </c>
      <c r="AU84" s="85">
        <f t="shared" ca="1" si="16"/>
        <v>0</v>
      </c>
      <c r="AV84" s="85">
        <f t="shared" ca="1" si="17"/>
        <v>0</v>
      </c>
      <c r="AW84" s="8">
        <f t="shared" ca="1" si="18"/>
        <v>0</v>
      </c>
      <c r="AX84" s="8"/>
    </row>
    <row r="85" spans="1:50" ht="12.75" outlineLevel="1">
      <c r="A85" s="5"/>
      <c r="B85" s="5"/>
      <c r="C85" s="84" t="s">
        <v>98</v>
      </c>
      <c r="D85" s="85">
        <f ca="1">Orçamento!B83</f>
        <v>0</v>
      </c>
      <c r="E85" s="85">
        <f>'DRE 2026'!C82</f>
        <v>-1.36</v>
      </c>
      <c r="F85" s="86">
        <f t="shared" ca="1" si="0"/>
        <v>1</v>
      </c>
      <c r="G85" s="85">
        <f ca="1">Orçamento!C83</f>
        <v>0</v>
      </c>
      <c r="H85" s="85">
        <f>'DRE 2026'!D82</f>
        <v>-329.22</v>
      </c>
      <c r="I85" s="86">
        <f t="shared" ca="1" si="1"/>
        <v>1</v>
      </c>
      <c r="J85" s="85">
        <f ca="1">Orçamento!D83</f>
        <v>0</v>
      </c>
      <c r="K85" s="85">
        <f>'DRE 2026'!E82</f>
        <v>0</v>
      </c>
      <c r="L85" s="86">
        <f t="shared" ca="1" si="2"/>
        <v>0</v>
      </c>
      <c r="M85" s="85">
        <f ca="1">Orçamento!E83</f>
        <v>0</v>
      </c>
      <c r="N85" s="85">
        <f>'DRE 2026'!F82</f>
        <v>-46.92</v>
      </c>
      <c r="O85" s="86">
        <f t="shared" ca="1" si="3"/>
        <v>1</v>
      </c>
      <c r="P85" s="85">
        <f ca="1">Orçamento!F83</f>
        <v>0</v>
      </c>
      <c r="Q85" s="85">
        <f>'DRE 2026'!G82</f>
        <v>-0.72</v>
      </c>
      <c r="R85" s="86">
        <f t="shared" ca="1" si="4"/>
        <v>1</v>
      </c>
      <c r="S85" s="85">
        <f ca="1">Orçamento!G83</f>
        <v>0</v>
      </c>
      <c r="T85" s="85">
        <f>'DRE 2026'!H82</f>
        <v>-8.09</v>
      </c>
      <c r="U85" s="86">
        <f t="shared" ca="1" si="5"/>
        <v>1</v>
      </c>
      <c r="V85" s="85">
        <f ca="1">Orçamento!H83</f>
        <v>0</v>
      </c>
      <c r="W85" s="85">
        <f ca="1">'DRE 2026'!I82</f>
        <v>-0.17</v>
      </c>
      <c r="X85" s="86">
        <f t="shared" ca="1" si="6"/>
        <v>1</v>
      </c>
      <c r="Y85" s="85">
        <f ca="1">Orçamento!I83</f>
        <v>0</v>
      </c>
      <c r="Z85" s="85">
        <f ca="1">'DRE 2026'!J82</f>
        <v>-98.81</v>
      </c>
      <c r="AA85" s="86">
        <f t="shared" ca="1" si="7"/>
        <v>1</v>
      </c>
      <c r="AB85" s="85">
        <f ca="1">Orçamento!J83</f>
        <v>0</v>
      </c>
      <c r="AC85" s="85">
        <f>'DRE 2026'!K82</f>
        <v>0</v>
      </c>
      <c r="AD85" s="86">
        <f t="shared" ca="1" si="8"/>
        <v>0</v>
      </c>
      <c r="AE85" s="85">
        <f ca="1">Orçamento!K83</f>
        <v>0</v>
      </c>
      <c r="AF85" s="85">
        <f>'DRE 2026'!L82</f>
        <v>0</v>
      </c>
      <c r="AG85" s="86">
        <f t="shared" ca="1" si="9"/>
        <v>0</v>
      </c>
      <c r="AH85" s="85">
        <f ca="1">Orçamento!L83</f>
        <v>0</v>
      </c>
      <c r="AI85" s="85">
        <f>'DRE 2026'!M82</f>
        <v>0</v>
      </c>
      <c r="AJ85" s="86">
        <f t="shared" ca="1" si="10"/>
        <v>0</v>
      </c>
      <c r="AK85" s="85">
        <f ca="1">Orçamento!M83</f>
        <v>0</v>
      </c>
      <c r="AL85" s="89">
        <f>'DRE 2026'!N82</f>
        <v>0</v>
      </c>
      <c r="AM85" s="86">
        <f t="shared" ca="1" si="11"/>
        <v>0</v>
      </c>
      <c r="AN85" s="8"/>
      <c r="AO85" s="85">
        <f t="shared" ca="1" si="19"/>
        <v>0</v>
      </c>
      <c r="AP85" s="85">
        <f t="shared" si="22"/>
        <v>-386.31000000000006</v>
      </c>
      <c r="AQ85" s="86">
        <f t="shared" ca="1" si="13"/>
        <v>1</v>
      </c>
      <c r="AR85" s="85">
        <f t="shared" ref="AR85:AS85" ca="1" si="98">IF($Z$7=0,V85,IF($AC$7=0,V85+Y85,IF($AF$7=0,V85+Y85+AB85,IF($AI$7=0,V85+Y85+AB85+AE85,IF($AL$7=0,V85+Y85+AB85+AE85+AH85,V85+Y85+AB85+AE85+AH85+AK85)))))</f>
        <v>0</v>
      </c>
      <c r="AS85" s="85">
        <f t="shared" ca="1" si="98"/>
        <v>-98.98</v>
      </c>
      <c r="AT85" s="86">
        <f t="shared" ca="1" si="15"/>
        <v>1</v>
      </c>
      <c r="AU85" s="85">
        <f t="shared" ca="1" si="16"/>
        <v>0</v>
      </c>
      <c r="AV85" s="85">
        <f t="shared" ca="1" si="17"/>
        <v>-485.29000000000008</v>
      </c>
      <c r="AW85" s="86">
        <f t="shared" ca="1" si="18"/>
        <v>1</v>
      </c>
      <c r="AX85" s="86"/>
    </row>
    <row r="86" spans="1:50" ht="12.75" outlineLevel="1">
      <c r="A86" s="5"/>
      <c r="B86" s="5"/>
      <c r="C86" s="84" t="s">
        <v>99</v>
      </c>
      <c r="D86" s="85">
        <f ca="1">Orçamento!B84</f>
        <v>-160</v>
      </c>
      <c r="E86" s="85">
        <f>'DRE 2026'!C83</f>
        <v>-151.39999999999998</v>
      </c>
      <c r="F86" s="86">
        <f t="shared" ca="1" si="0"/>
        <v>-5.3750000000000145E-2</v>
      </c>
      <c r="G86" s="85">
        <f ca="1">Orçamento!C84</f>
        <v>-160</v>
      </c>
      <c r="H86" s="85">
        <f>'DRE 2026'!D83</f>
        <v>-137.77000000000001</v>
      </c>
      <c r="I86" s="86">
        <f t="shared" ca="1" si="1"/>
        <v>-0.13893749999999994</v>
      </c>
      <c r="J86" s="85">
        <f ca="1">Orçamento!D84</f>
        <v>-160</v>
      </c>
      <c r="K86" s="85">
        <f>'DRE 2026'!E83</f>
        <v>-83.2</v>
      </c>
      <c r="L86" s="86">
        <f t="shared" ca="1" si="2"/>
        <v>-0.48</v>
      </c>
      <c r="M86" s="85">
        <f ca="1">Orçamento!E84</f>
        <v>-160</v>
      </c>
      <c r="N86" s="85">
        <f>'DRE 2026'!F83</f>
        <v>-146.77000000000001</v>
      </c>
      <c r="O86" s="86">
        <f t="shared" ca="1" si="3"/>
        <v>-8.2687499999999942E-2</v>
      </c>
      <c r="P86" s="85">
        <f ca="1">Orçamento!F84</f>
        <v>-160</v>
      </c>
      <c r="Q86" s="85">
        <f>'DRE 2026'!G83</f>
        <v>-163.05000000000001</v>
      </c>
      <c r="R86" s="86">
        <f t="shared" ca="1" si="4"/>
        <v>1.9062500000000072E-2</v>
      </c>
      <c r="S86" s="85">
        <f ca="1">Orçamento!G84</f>
        <v>-160</v>
      </c>
      <c r="T86" s="85">
        <f>'DRE 2026'!H83</f>
        <v>-154.01</v>
      </c>
      <c r="U86" s="86">
        <f t="shared" ca="1" si="5"/>
        <v>-3.7437500000000054E-2</v>
      </c>
      <c r="V86" s="85">
        <f ca="1">Orçamento!H84</f>
        <v>-160</v>
      </c>
      <c r="W86" s="85">
        <f ca="1">'DRE 2026'!I83</f>
        <v>-134.93</v>
      </c>
      <c r="X86" s="86">
        <f t="shared" ca="1" si="6"/>
        <v>-0.15668749999999995</v>
      </c>
      <c r="Y86" s="85">
        <f ca="1">Orçamento!I84</f>
        <v>-160</v>
      </c>
      <c r="Z86" s="85">
        <f ca="1">'DRE 2026'!J83</f>
        <v>-178.05</v>
      </c>
      <c r="AA86" s="86">
        <f t="shared" ca="1" si="7"/>
        <v>0.11281250000000007</v>
      </c>
      <c r="AB86" s="85">
        <f ca="1">Orçamento!J84</f>
        <v>-160</v>
      </c>
      <c r="AC86" s="85">
        <f>'DRE 2026'!K83</f>
        <v>0</v>
      </c>
      <c r="AD86" s="86">
        <f t="shared" ca="1" si="8"/>
        <v>-1</v>
      </c>
      <c r="AE86" s="85">
        <f ca="1">Orçamento!K84</f>
        <v>-160</v>
      </c>
      <c r="AF86" s="85">
        <f>'DRE 2026'!L83</f>
        <v>0</v>
      </c>
      <c r="AG86" s="86">
        <f t="shared" ca="1" si="9"/>
        <v>-1</v>
      </c>
      <c r="AH86" s="85">
        <f ca="1">Orçamento!L84</f>
        <v>-160</v>
      </c>
      <c r="AI86" s="85">
        <f>'DRE 2026'!M83</f>
        <v>0</v>
      </c>
      <c r="AJ86" s="86">
        <f t="shared" ca="1" si="10"/>
        <v>-1</v>
      </c>
      <c r="AK86" s="85">
        <f ca="1">Orçamento!M84</f>
        <v>-160</v>
      </c>
      <c r="AL86" s="89">
        <f>'DRE 2026'!N83</f>
        <v>0</v>
      </c>
      <c r="AM86" s="86">
        <f t="shared" ca="1" si="11"/>
        <v>-1</v>
      </c>
      <c r="AN86" s="8"/>
      <c r="AO86" s="85">
        <f t="shared" ca="1" si="19"/>
        <v>-960</v>
      </c>
      <c r="AP86" s="85">
        <f t="shared" si="22"/>
        <v>-836.2</v>
      </c>
      <c r="AQ86" s="86">
        <f t="shared" ca="1" si="13"/>
        <v>-0.12895833333333329</v>
      </c>
      <c r="AR86" s="85">
        <f t="shared" ref="AR86:AS86" ca="1" si="99">IF($Z$7=0,V86,IF($AC$7=0,V86+Y86,IF($AF$7=0,V86+Y86+AB86,IF($AI$7=0,V86+Y86+AB86+AE86,IF($AL$7=0,V86+Y86+AB86+AE86+AH86,V86+Y86+AB86+AE86+AH86+AK86)))))</f>
        <v>-320</v>
      </c>
      <c r="AS86" s="85">
        <f t="shared" ca="1" si="99"/>
        <v>-312.98</v>
      </c>
      <c r="AT86" s="86">
        <f t="shared" ca="1" si="15"/>
        <v>-2.1937499999999943E-2</v>
      </c>
      <c r="AU86" s="85">
        <f t="shared" ca="1" si="16"/>
        <v>-1280</v>
      </c>
      <c r="AV86" s="85">
        <f t="shared" ca="1" si="17"/>
        <v>-1149.18</v>
      </c>
      <c r="AW86" s="86">
        <f t="shared" ca="1" si="18"/>
        <v>-0.10220312499999995</v>
      </c>
      <c r="AX86" s="86"/>
    </row>
    <row r="87" spans="1:50" ht="12.75">
      <c r="A87" s="5"/>
      <c r="B87" s="5"/>
      <c r="C87" s="56" t="s">
        <v>100</v>
      </c>
      <c r="D87" s="57">
        <f ca="1">Orçamento!B85</f>
        <v>0</v>
      </c>
      <c r="E87" s="57">
        <f>'DRE 2026'!C84</f>
        <v>8341.4500000000007</v>
      </c>
      <c r="F87" s="60">
        <f t="shared" ca="1" si="0"/>
        <v>1</v>
      </c>
      <c r="G87" s="57">
        <f ca="1">Orçamento!C85</f>
        <v>0</v>
      </c>
      <c r="H87" s="57">
        <f>'DRE 2026'!D84</f>
        <v>2824.67</v>
      </c>
      <c r="I87" s="8">
        <f t="shared" ca="1" si="1"/>
        <v>1</v>
      </c>
      <c r="J87" s="57">
        <f ca="1">Orçamento!D85</f>
        <v>0</v>
      </c>
      <c r="K87" s="57">
        <f>'DRE 2026'!E84</f>
        <v>4494.84</v>
      </c>
      <c r="L87" s="8">
        <f t="shared" ca="1" si="2"/>
        <v>1</v>
      </c>
      <c r="M87" s="89">
        <f ca="1">Orçamento!E85</f>
        <v>0</v>
      </c>
      <c r="N87" s="57">
        <f>'DRE 2026'!F84</f>
        <v>871.29</v>
      </c>
      <c r="O87" s="8">
        <f t="shared" ca="1" si="3"/>
        <v>1</v>
      </c>
      <c r="P87" s="89">
        <f ca="1">Orçamento!F85</f>
        <v>0</v>
      </c>
      <c r="Q87" s="57">
        <f>'DRE 2026'!G84</f>
        <v>294.24</v>
      </c>
      <c r="R87" s="8">
        <f t="shared" ca="1" si="4"/>
        <v>1</v>
      </c>
      <c r="S87" s="89">
        <f ca="1">Orçamento!G85</f>
        <v>0</v>
      </c>
      <c r="T87" s="57">
        <f>'DRE 2026'!H84</f>
        <v>31.08</v>
      </c>
      <c r="U87" s="8">
        <f t="shared" ca="1" si="5"/>
        <v>1</v>
      </c>
      <c r="V87" s="89">
        <f ca="1">Orçamento!H85</f>
        <v>0</v>
      </c>
      <c r="W87" s="57">
        <f ca="1">'DRE 2026'!I84</f>
        <v>3673.66</v>
      </c>
      <c r="X87" s="8">
        <f t="shared" ca="1" si="6"/>
        <v>1</v>
      </c>
      <c r="Y87" s="89">
        <f ca="1">Orçamento!I85</f>
        <v>0</v>
      </c>
      <c r="Z87" s="57">
        <f ca="1">'DRE 2026'!J84</f>
        <v>476.16</v>
      </c>
      <c r="AA87" s="8">
        <f t="shared" ca="1" si="7"/>
        <v>1</v>
      </c>
      <c r="AB87" s="89">
        <f ca="1">Orçamento!J85</f>
        <v>0</v>
      </c>
      <c r="AC87" s="57">
        <f ca="1">'DRE 2026'!K84</f>
        <v>0</v>
      </c>
      <c r="AD87" s="8">
        <f t="shared" ca="1" si="8"/>
        <v>0</v>
      </c>
      <c r="AE87" s="89">
        <f ca="1">Orçamento!K85</f>
        <v>0</v>
      </c>
      <c r="AF87" s="57">
        <f ca="1">'DRE 2026'!L84</f>
        <v>0</v>
      </c>
      <c r="AG87" s="8">
        <f t="shared" ca="1" si="9"/>
        <v>0</v>
      </c>
      <c r="AH87" s="89">
        <f ca="1">Orçamento!L85</f>
        <v>0</v>
      </c>
      <c r="AI87" s="57">
        <f ca="1">'DRE 2026'!M84</f>
        <v>0</v>
      </c>
      <c r="AJ87" s="8">
        <f t="shared" ca="1" si="10"/>
        <v>0</v>
      </c>
      <c r="AK87" s="89">
        <f ca="1">Orçamento!M85</f>
        <v>0</v>
      </c>
      <c r="AL87" s="57">
        <f ca="1">'DRE 2026'!N84</f>
        <v>0</v>
      </c>
      <c r="AM87" s="8">
        <f t="shared" ca="1" si="11"/>
        <v>0</v>
      </c>
      <c r="AN87" s="8"/>
      <c r="AO87" s="57">
        <f t="shared" ca="1" si="19"/>
        <v>0</v>
      </c>
      <c r="AP87" s="57">
        <f t="shared" si="22"/>
        <v>16857.570000000003</v>
      </c>
      <c r="AQ87" s="8">
        <f t="shared" ca="1" si="13"/>
        <v>1</v>
      </c>
      <c r="AR87" s="57">
        <f t="shared" ref="AR87:AS87" ca="1" si="100">IF($Z$7=0,V87,IF($AC$7=0,V87+Y87,IF($AF$7=0,V87+Y87+AB87,IF($AI$7=0,V87+Y87+AB87+AE87,IF($AL$7=0,V87+Y87+AB87+AE87+AH87,V87+Y87+AB87+AE87+AH87+AK87)))))</f>
        <v>0</v>
      </c>
      <c r="AS87" s="57">
        <f t="shared" ca="1" si="100"/>
        <v>4149.82</v>
      </c>
      <c r="AT87" s="8">
        <f t="shared" ca="1" si="15"/>
        <v>1</v>
      </c>
      <c r="AU87" s="57">
        <f t="shared" ca="1" si="16"/>
        <v>0</v>
      </c>
      <c r="AV87" s="57">
        <f t="shared" ca="1" si="17"/>
        <v>21007.390000000003</v>
      </c>
      <c r="AW87" s="8">
        <f t="shared" ca="1" si="18"/>
        <v>1</v>
      </c>
      <c r="AX87" s="8"/>
    </row>
    <row r="88" spans="1:50" ht="12.75" outlineLevel="1">
      <c r="A88" s="5"/>
      <c r="B88" s="5"/>
      <c r="C88" s="84" t="s">
        <v>101</v>
      </c>
      <c r="D88" s="85">
        <f>Orçamento!B86</f>
        <v>0</v>
      </c>
      <c r="E88" s="85">
        <f>'DRE 2026'!C85</f>
        <v>0</v>
      </c>
      <c r="F88" s="86">
        <f t="shared" si="0"/>
        <v>0</v>
      </c>
      <c r="G88" s="85">
        <f>Orçamento!C86</f>
        <v>0</v>
      </c>
      <c r="H88" s="85">
        <f>'DRE 2026'!D85</f>
        <v>0</v>
      </c>
      <c r="I88" s="8">
        <f t="shared" si="1"/>
        <v>0</v>
      </c>
      <c r="J88" s="85">
        <f>Orçamento!D86</f>
        <v>0</v>
      </c>
      <c r="K88" s="85">
        <f>'DRE 2026'!E85</f>
        <v>0</v>
      </c>
      <c r="L88" s="8">
        <f t="shared" si="2"/>
        <v>0</v>
      </c>
      <c r="M88" s="85">
        <f>Orçamento!E86</f>
        <v>0</v>
      </c>
      <c r="N88" s="85">
        <f>'DRE 2026'!F85</f>
        <v>0</v>
      </c>
      <c r="O88" s="8">
        <f t="shared" si="3"/>
        <v>0</v>
      </c>
      <c r="P88" s="85">
        <f>Orçamento!F86</f>
        <v>0</v>
      </c>
      <c r="Q88" s="85">
        <f>'DRE 2026'!G85</f>
        <v>0</v>
      </c>
      <c r="R88" s="8">
        <f t="shared" si="4"/>
        <v>0</v>
      </c>
      <c r="S88" s="85">
        <f>Orçamento!G86</f>
        <v>0</v>
      </c>
      <c r="T88" s="85">
        <f>'DRE 2026'!H85</f>
        <v>0</v>
      </c>
      <c r="U88" s="8">
        <f t="shared" si="5"/>
        <v>0</v>
      </c>
      <c r="V88" s="85">
        <f>Orçamento!H86</f>
        <v>0</v>
      </c>
      <c r="W88" s="85">
        <f ca="1">'DRE 2026'!I85</f>
        <v>0</v>
      </c>
      <c r="X88" s="8">
        <f t="shared" ca="1" si="6"/>
        <v>0</v>
      </c>
      <c r="Y88" s="85">
        <f>Orçamento!I86</f>
        <v>0</v>
      </c>
      <c r="Z88" s="85">
        <f ca="1">'DRE 2026'!J85</f>
        <v>0</v>
      </c>
      <c r="AA88" s="8">
        <f t="shared" ca="1" si="7"/>
        <v>0</v>
      </c>
      <c r="AB88" s="85">
        <f>Orçamento!J86</f>
        <v>0</v>
      </c>
      <c r="AC88" s="85">
        <f ca="1">'DRE 2026'!K85</f>
        <v>0</v>
      </c>
      <c r="AD88" s="8">
        <f t="shared" ca="1" si="8"/>
        <v>0</v>
      </c>
      <c r="AE88" s="89">
        <f>Orçamento!K86</f>
        <v>0</v>
      </c>
      <c r="AF88" s="85">
        <f ca="1">'DRE 2026'!L85</f>
        <v>0</v>
      </c>
      <c r="AG88" s="8">
        <f t="shared" ca="1" si="9"/>
        <v>0</v>
      </c>
      <c r="AH88" s="85">
        <f>Orçamento!L86</f>
        <v>0</v>
      </c>
      <c r="AI88" s="85">
        <f ca="1">'DRE 2026'!M85</f>
        <v>0</v>
      </c>
      <c r="AJ88" s="8">
        <f t="shared" ca="1" si="10"/>
        <v>0</v>
      </c>
      <c r="AK88" s="85">
        <f>Orçamento!M86</f>
        <v>0</v>
      </c>
      <c r="AL88" s="85">
        <f ca="1">'DRE 2026'!N85</f>
        <v>0</v>
      </c>
      <c r="AM88" s="8">
        <f t="shared" ca="1" si="11"/>
        <v>0</v>
      </c>
      <c r="AN88" s="8"/>
      <c r="AO88" s="85">
        <f t="shared" si="19"/>
        <v>0</v>
      </c>
      <c r="AP88" s="85">
        <f t="shared" si="22"/>
        <v>0</v>
      </c>
      <c r="AQ88" s="8">
        <f t="shared" si="13"/>
        <v>0</v>
      </c>
      <c r="AR88" s="85">
        <f t="shared" ref="AR88:AS88" ca="1" si="101">IF($Z$7=0,V88,IF($AC$7=0,V88+Y88,IF($AF$7=0,V88+Y88+AB88,IF($AI$7=0,V88+Y88+AB88+AE88,IF($AL$7=0,V88+Y88+AB88+AE88+AH88,V88+Y88+AB88+AE88+AH88+AK88)))))</f>
        <v>0</v>
      </c>
      <c r="AS88" s="85">
        <f t="shared" ca="1" si="101"/>
        <v>0</v>
      </c>
      <c r="AT88" s="8">
        <f t="shared" ca="1" si="15"/>
        <v>0</v>
      </c>
      <c r="AU88" s="85">
        <f t="shared" ca="1" si="16"/>
        <v>0</v>
      </c>
      <c r="AV88" s="85">
        <f t="shared" ca="1" si="17"/>
        <v>0</v>
      </c>
      <c r="AW88" s="8">
        <f t="shared" ca="1" si="18"/>
        <v>0</v>
      </c>
      <c r="AX88" s="8"/>
    </row>
    <row r="89" spans="1:50" ht="12.75" outlineLevel="1">
      <c r="A89" s="5"/>
      <c r="B89" s="5"/>
      <c r="C89" s="84" t="s">
        <v>102</v>
      </c>
      <c r="D89" s="85">
        <f>Orçamento!B87</f>
        <v>0</v>
      </c>
      <c r="E89" s="85">
        <f>'DRE 2026'!C86</f>
        <v>8341.4500000000007</v>
      </c>
      <c r="F89" s="86">
        <f t="shared" si="0"/>
        <v>1</v>
      </c>
      <c r="G89" s="85">
        <f>Orçamento!C87</f>
        <v>0</v>
      </c>
      <c r="H89" s="85">
        <f>'DRE 2026'!D86</f>
        <v>2824.67</v>
      </c>
      <c r="I89" s="8">
        <f t="shared" si="1"/>
        <v>1</v>
      </c>
      <c r="J89" s="85">
        <f>Orçamento!D87</f>
        <v>0</v>
      </c>
      <c r="K89" s="85">
        <f>'DRE 2026'!E86</f>
        <v>4494.84</v>
      </c>
      <c r="L89" s="8">
        <f t="shared" si="2"/>
        <v>1</v>
      </c>
      <c r="M89" s="85">
        <f>Orçamento!E87</f>
        <v>0</v>
      </c>
      <c r="N89" s="85">
        <f>'DRE 2026'!F86</f>
        <v>871.29</v>
      </c>
      <c r="O89" s="8">
        <f t="shared" si="3"/>
        <v>1</v>
      </c>
      <c r="P89" s="85">
        <f>Orçamento!F87</f>
        <v>0</v>
      </c>
      <c r="Q89" s="85">
        <f>'DRE 2026'!G86</f>
        <v>294.24</v>
      </c>
      <c r="R89" s="8">
        <f t="shared" si="4"/>
        <v>1</v>
      </c>
      <c r="S89" s="85">
        <f>Orçamento!G87</f>
        <v>0</v>
      </c>
      <c r="T89" s="85">
        <f>'DRE 2026'!H86</f>
        <v>31.08</v>
      </c>
      <c r="U89" s="8">
        <f t="shared" si="5"/>
        <v>1</v>
      </c>
      <c r="V89" s="85">
        <f>Orçamento!H87</f>
        <v>0</v>
      </c>
      <c r="W89" s="85">
        <f ca="1">'DRE 2026'!I86</f>
        <v>3673.66</v>
      </c>
      <c r="X89" s="8">
        <f t="shared" ca="1" si="6"/>
        <v>1</v>
      </c>
      <c r="Y89" s="85">
        <f>Orçamento!I87</f>
        <v>0</v>
      </c>
      <c r="Z89" s="85">
        <f ca="1">'DRE 2026'!J86</f>
        <v>476.16</v>
      </c>
      <c r="AA89" s="8">
        <f t="shared" ca="1" si="7"/>
        <v>1</v>
      </c>
      <c r="AB89" s="85">
        <f>Orçamento!J87</f>
        <v>0</v>
      </c>
      <c r="AC89" s="85">
        <f>'DRE 2026'!K86</f>
        <v>0</v>
      </c>
      <c r="AD89" s="8">
        <f t="shared" si="8"/>
        <v>0</v>
      </c>
      <c r="AE89" s="89">
        <f>Orçamento!K87</f>
        <v>0</v>
      </c>
      <c r="AF89" s="85">
        <f>'DRE 2026'!L86</f>
        <v>0</v>
      </c>
      <c r="AG89" s="8">
        <f t="shared" si="9"/>
        <v>0</v>
      </c>
      <c r="AH89" s="85">
        <f>Orçamento!L87</f>
        <v>0</v>
      </c>
      <c r="AI89" s="85">
        <f>'DRE 2026'!M86</f>
        <v>0</v>
      </c>
      <c r="AJ89" s="8">
        <f t="shared" si="10"/>
        <v>0</v>
      </c>
      <c r="AK89" s="85">
        <f>Orçamento!M87</f>
        <v>0</v>
      </c>
      <c r="AL89" s="85">
        <f>'DRE 2026'!N86</f>
        <v>0</v>
      </c>
      <c r="AM89" s="8">
        <f t="shared" si="11"/>
        <v>0</v>
      </c>
      <c r="AN89" s="8"/>
      <c r="AO89" s="85">
        <f t="shared" si="19"/>
        <v>0</v>
      </c>
      <c r="AP89" s="85">
        <f t="shared" si="22"/>
        <v>16857.570000000003</v>
      </c>
      <c r="AQ89" s="8">
        <f t="shared" si="13"/>
        <v>1</v>
      </c>
      <c r="AR89" s="85">
        <f t="shared" ref="AR89:AS89" ca="1" si="102">IF($Z$7=0,V89,IF($AC$7=0,V89+Y89,IF($AF$7=0,V89+Y89+AB89,IF($AI$7=0,V89+Y89+AB89+AE89,IF($AL$7=0,V89+Y89+AB89+AE89+AH89,V89+Y89+AB89+AE89+AH89+AK89)))))</f>
        <v>0</v>
      </c>
      <c r="AS89" s="85">
        <f t="shared" ca="1" si="102"/>
        <v>4149.82</v>
      </c>
      <c r="AT89" s="8">
        <f t="shared" ca="1" si="15"/>
        <v>1</v>
      </c>
      <c r="AU89" s="85">
        <f t="shared" ca="1" si="16"/>
        <v>0</v>
      </c>
      <c r="AV89" s="85">
        <f t="shared" ca="1" si="17"/>
        <v>21007.390000000003</v>
      </c>
      <c r="AW89" s="8">
        <f t="shared" ca="1" si="18"/>
        <v>1</v>
      </c>
      <c r="AX89" s="8"/>
    </row>
    <row r="90" spans="1:50" ht="12.75" collapsed="1">
      <c r="A90" s="5"/>
      <c r="B90" s="5"/>
      <c r="C90" s="113" t="s">
        <v>103</v>
      </c>
      <c r="D90" s="114">
        <f ca="1">Orçamento!B88</f>
        <v>94806.536858646505</v>
      </c>
      <c r="E90" s="114">
        <f>'DRE 2026'!C87</f>
        <v>66219.726938300053</v>
      </c>
      <c r="F90" s="115">
        <f t="shared" ca="1" si="0"/>
        <v>-0.30152783623948276</v>
      </c>
      <c r="G90" s="114">
        <f ca="1">Orçamento!C88</f>
        <v>51694.181429861797</v>
      </c>
      <c r="H90" s="114">
        <f>'DRE 2026'!D87</f>
        <v>76294.539286600018</v>
      </c>
      <c r="I90" s="116">
        <f t="shared" ca="1" si="1"/>
        <v>0.47588253022471722</v>
      </c>
      <c r="J90" s="114">
        <f ca="1">Orçamento!D88</f>
        <v>111063.825860836</v>
      </c>
      <c r="K90" s="114">
        <f>'DRE 2026'!E87</f>
        <v>110649.46181680005</v>
      </c>
      <c r="L90" s="116">
        <f t="shared" ca="1" si="2"/>
        <v>-3.7308641299207673E-3</v>
      </c>
      <c r="M90" s="114">
        <f ca="1">Orçamento!E88</f>
        <v>72645.976734371405</v>
      </c>
      <c r="N90" s="114">
        <f>'DRE 2026'!F87</f>
        <v>16104.72427470002</v>
      </c>
      <c r="O90" s="116">
        <f t="shared" ca="1" si="3"/>
        <v>-0.77831223422617568</v>
      </c>
      <c r="P90" s="114">
        <f ca="1">Orçamento!F88</f>
        <v>113329.549339873</v>
      </c>
      <c r="Q90" s="114">
        <f>'DRE 2026'!G87</f>
        <v>72804.361778899969</v>
      </c>
      <c r="R90" s="116">
        <f t="shared" ca="1" si="4"/>
        <v>-0.35758712354391198</v>
      </c>
      <c r="S90" s="114">
        <f ca="1">Orçamento!G88</f>
        <v>87033.486707468794</v>
      </c>
      <c r="T90" s="114">
        <f>'DRE 2026'!H87</f>
        <v>91027.29277530004</v>
      </c>
      <c r="U90" s="116">
        <f t="shared" ca="1" si="5"/>
        <v>4.5888154306111671E-2</v>
      </c>
      <c r="V90" s="114">
        <f ca="1">Orçamento!H88</f>
        <v>119658.973387993</v>
      </c>
      <c r="W90" s="114">
        <f ca="1">'DRE 2026'!I87</f>
        <v>56332.9032335999</v>
      </c>
      <c r="X90" s="116">
        <f t="shared" ca="1" si="6"/>
        <v>-0.52922123900444107</v>
      </c>
      <c r="Y90" s="114">
        <f ca="1">Orçamento!I88</f>
        <v>130446.710809528</v>
      </c>
      <c r="Z90" s="114">
        <f ca="1">'DRE 2026'!J87</f>
        <v>154695.67907649899</v>
      </c>
      <c r="AA90" s="116">
        <f t="shared" ca="1" si="7"/>
        <v>0.18589175699783003</v>
      </c>
      <c r="AB90" s="114">
        <f ca="1">Orçamento!J88</f>
        <v>99059.998349595597</v>
      </c>
      <c r="AC90" s="114">
        <f ca="1">'DRE 2026'!K87</f>
        <v>0</v>
      </c>
      <c r="AD90" s="116">
        <f t="shared" ca="1" si="8"/>
        <v>-1</v>
      </c>
      <c r="AE90" s="114">
        <f ca="1">Orçamento!K88</f>
        <v>76346.047243842404</v>
      </c>
      <c r="AF90" s="114">
        <f ca="1">'DRE 2026'!L87</f>
        <v>0</v>
      </c>
      <c r="AG90" s="116">
        <f t="shared" ca="1" si="9"/>
        <v>-1</v>
      </c>
      <c r="AH90" s="114">
        <f ca="1">Orçamento!L88</f>
        <v>117121.439873</v>
      </c>
      <c r="AI90" s="114">
        <f ca="1">'DRE 2026'!M87</f>
        <v>0</v>
      </c>
      <c r="AJ90" s="116">
        <f t="shared" ca="1" si="10"/>
        <v>-1</v>
      </c>
      <c r="AK90" s="114">
        <f ca="1">Orçamento!M88</f>
        <v>110166.14363029601</v>
      </c>
      <c r="AL90" s="114">
        <f ca="1">'DRE 2026'!N87</f>
        <v>0</v>
      </c>
      <c r="AM90" s="116">
        <f t="shared" ca="1" si="11"/>
        <v>-1</v>
      </c>
      <c r="AN90" s="8"/>
      <c r="AO90" s="114">
        <f t="shared" ca="1" si="19"/>
        <v>530573.55693105748</v>
      </c>
      <c r="AP90" s="114">
        <f t="shared" si="22"/>
        <v>433100.1068706002</v>
      </c>
      <c r="AQ90" s="117">
        <f t="shared" ca="1" si="13"/>
        <v>-0.18371335847241055</v>
      </c>
      <c r="AR90" s="114">
        <f t="shared" ref="AR90:AS90" ca="1" si="103">IF($Z$7=0,V90,IF($AC$7=0,V90+Y90,IF($AF$7=0,V90+Y90+AB90,IF($AI$7=0,V90+Y90+AB90+AE90,IF($AL$7=0,V90+Y90+AB90+AE90+AH90,V90+Y90+AB90+AE90+AH90+AK90)))))</f>
        <v>250105.68419752101</v>
      </c>
      <c r="AS90" s="114">
        <f t="shared" ca="1" si="103"/>
        <v>211028.58231009889</v>
      </c>
      <c r="AT90" s="117">
        <f t="shared" ca="1" si="15"/>
        <v>-0.15624235815672613</v>
      </c>
      <c r="AU90" s="114">
        <f t="shared" ca="1" si="16"/>
        <v>780679.24112857855</v>
      </c>
      <c r="AV90" s="114">
        <f t="shared" ca="1" si="17"/>
        <v>644128.68918069906</v>
      </c>
      <c r="AW90" s="117">
        <f t="shared" ca="1" si="18"/>
        <v>-0.17491249255004784</v>
      </c>
      <c r="AX90" s="117"/>
    </row>
    <row r="91" spans="1:50" ht="12.75" hidden="1" outlineLevel="1">
      <c r="A91" s="5"/>
      <c r="B91" s="5"/>
      <c r="C91" s="84" t="s">
        <v>104</v>
      </c>
      <c r="D91" s="85">
        <f ca="1">Orçamento!B89</f>
        <v>0</v>
      </c>
      <c r="E91" s="85">
        <f>'DRE 2026'!C88</f>
        <v>0</v>
      </c>
      <c r="F91" s="86">
        <f t="shared" ca="1" si="0"/>
        <v>0</v>
      </c>
      <c r="G91" s="89">
        <f ca="1">Orçamento!C89</f>
        <v>0</v>
      </c>
      <c r="H91" s="85">
        <f>'DRE 2026'!D88</f>
        <v>0</v>
      </c>
      <c r="I91" s="8">
        <f t="shared" ca="1" si="1"/>
        <v>0</v>
      </c>
      <c r="J91" s="89">
        <f ca="1">Orçamento!D89</f>
        <v>0</v>
      </c>
      <c r="K91" s="85">
        <f>'DRE 2026'!E88</f>
        <v>0</v>
      </c>
      <c r="L91" s="8">
        <f t="shared" ca="1" si="2"/>
        <v>0</v>
      </c>
      <c r="M91" s="89">
        <f ca="1">Orçamento!E89</f>
        <v>0</v>
      </c>
      <c r="N91" s="85">
        <f>'DRE 2026'!F88</f>
        <v>0</v>
      </c>
      <c r="O91" s="8">
        <f t="shared" ca="1" si="3"/>
        <v>0</v>
      </c>
      <c r="P91" s="85">
        <f ca="1">Orçamento!F89</f>
        <v>0</v>
      </c>
      <c r="Q91" s="85">
        <f>'DRE 2026'!G88</f>
        <v>509.43</v>
      </c>
      <c r="R91" s="8">
        <f t="shared" ca="1" si="4"/>
        <v>1</v>
      </c>
      <c r="S91" s="85">
        <f ca="1">Orçamento!G89</f>
        <v>0</v>
      </c>
      <c r="T91" s="85">
        <f>'DRE 2026'!H88</f>
        <v>476.73</v>
      </c>
      <c r="U91" s="8">
        <f t="shared" ca="1" si="5"/>
        <v>1</v>
      </c>
      <c r="V91" s="85">
        <f ca="1">Orçamento!H89</f>
        <v>0</v>
      </c>
      <c r="W91" s="85">
        <f ca="1">'DRE 2026'!I88</f>
        <v>650.72</v>
      </c>
      <c r="X91" s="8">
        <f t="shared" ca="1" si="6"/>
        <v>1</v>
      </c>
      <c r="Y91" s="85">
        <f ca="1">Orçamento!I89</f>
        <v>0</v>
      </c>
      <c r="Z91" s="85">
        <f ca="1">'DRE 2026'!J88</f>
        <v>906.01</v>
      </c>
      <c r="AA91" s="8">
        <f t="shared" ca="1" si="7"/>
        <v>1</v>
      </c>
      <c r="AB91" s="85">
        <f ca="1">Orçamento!J89</f>
        <v>0</v>
      </c>
      <c r="AC91" s="85">
        <f ca="1">'DRE 2026'!K88</f>
        <v>1147.25</v>
      </c>
      <c r="AD91" s="8">
        <f t="shared" ca="1" si="8"/>
        <v>1</v>
      </c>
      <c r="AE91" s="89">
        <f ca="1">Orçamento!K89</f>
        <v>0</v>
      </c>
      <c r="AF91" s="85">
        <f ca="1">'DRE 2026'!L88</f>
        <v>0</v>
      </c>
      <c r="AG91" s="8">
        <f t="shared" ca="1" si="9"/>
        <v>0</v>
      </c>
      <c r="AH91" s="85">
        <f ca="1">Orçamento!L89</f>
        <v>0</v>
      </c>
      <c r="AI91" s="85">
        <f ca="1">'DRE 2026'!M88</f>
        <v>0</v>
      </c>
      <c r="AJ91" s="8">
        <f t="shared" ca="1" si="10"/>
        <v>0</v>
      </c>
      <c r="AK91" s="85">
        <f ca="1">Orçamento!M89</f>
        <v>0</v>
      </c>
      <c r="AL91" s="85">
        <f ca="1">'DRE 2026'!N88</f>
        <v>0</v>
      </c>
      <c r="AM91" s="8">
        <f t="shared" ca="1" si="11"/>
        <v>0</v>
      </c>
      <c r="AN91" s="8"/>
      <c r="AO91" s="85">
        <f t="shared" ca="1" si="19"/>
        <v>0</v>
      </c>
      <c r="AP91" s="85">
        <f t="shared" si="22"/>
        <v>986.16000000000008</v>
      </c>
      <c r="AQ91" s="8">
        <f t="shared" ca="1" si="13"/>
        <v>1</v>
      </c>
      <c r="AR91" s="85">
        <f t="shared" ref="AR91:AS91" ca="1" si="104">IF($Z$7=0,V91,IF($AC$7=0,V91+Y91,IF($AF$7=0,V91+Y91+AB91,IF($AI$7=0,V91+Y91+AB91+AE91,IF($AL$7=0,V91+Y91+AB91+AE91+AH91,V91+Y91+AB91+AE91+AH91+AK91)))))</f>
        <v>0</v>
      </c>
      <c r="AS91" s="85">
        <f t="shared" ca="1" si="104"/>
        <v>1556.73</v>
      </c>
      <c r="AT91" s="8">
        <f t="shared" ca="1" si="15"/>
        <v>1</v>
      </c>
      <c r="AU91" s="85">
        <f t="shared" ca="1" si="16"/>
        <v>0</v>
      </c>
      <c r="AV91" s="85">
        <f t="shared" ca="1" si="17"/>
        <v>2542.8900000000003</v>
      </c>
      <c r="AW91" s="8">
        <f t="shared" ca="1" si="18"/>
        <v>1</v>
      </c>
      <c r="AX91" s="8"/>
    </row>
    <row r="92" spans="1:50" ht="12.75" hidden="1" outlineLevel="1">
      <c r="A92" s="5"/>
      <c r="B92" s="5"/>
      <c r="C92" s="84" t="s">
        <v>105</v>
      </c>
      <c r="D92" s="85">
        <f>Orçamento!B90</f>
        <v>0</v>
      </c>
      <c r="E92" s="85">
        <f>'DRE 2026'!C89</f>
        <v>0</v>
      </c>
      <c r="F92" s="86">
        <f t="shared" si="0"/>
        <v>0</v>
      </c>
      <c r="G92" s="89">
        <f>Orçamento!C90</f>
        <v>0</v>
      </c>
      <c r="H92" s="85">
        <f>'DRE 2026'!D89</f>
        <v>0</v>
      </c>
      <c r="I92" s="8">
        <f t="shared" si="1"/>
        <v>0</v>
      </c>
      <c r="J92" s="89">
        <f>Orçamento!D90</f>
        <v>0</v>
      </c>
      <c r="K92" s="85">
        <f>'DRE 2026'!E89</f>
        <v>0</v>
      </c>
      <c r="L92" s="8">
        <f t="shared" si="2"/>
        <v>0</v>
      </c>
      <c r="M92" s="89">
        <f>Orçamento!E90</f>
        <v>0</v>
      </c>
      <c r="N92" s="85">
        <f>'DRE 2026'!F89</f>
        <v>0</v>
      </c>
      <c r="O92" s="8">
        <f t="shared" si="3"/>
        <v>0</v>
      </c>
      <c r="P92" s="85">
        <f>Orçamento!F90</f>
        <v>0</v>
      </c>
      <c r="Q92" s="85">
        <f>'DRE 2026'!G89</f>
        <v>0</v>
      </c>
      <c r="R92" s="8">
        <f t="shared" si="4"/>
        <v>0</v>
      </c>
      <c r="S92" s="85">
        <f>Orçamento!G90</f>
        <v>0</v>
      </c>
      <c r="T92" s="85">
        <f>'DRE 2026'!H89</f>
        <v>0</v>
      </c>
      <c r="U92" s="8">
        <f t="shared" si="5"/>
        <v>0</v>
      </c>
      <c r="V92" s="85">
        <f>Orçamento!H90</f>
        <v>0</v>
      </c>
      <c r="W92" s="85">
        <f ca="1">'DRE 2026'!I89</f>
        <v>0</v>
      </c>
      <c r="X92" s="8">
        <f t="shared" ca="1" si="6"/>
        <v>0</v>
      </c>
      <c r="Y92" s="85">
        <f>Orçamento!I90</f>
        <v>0</v>
      </c>
      <c r="Z92" s="85">
        <f ca="1">'DRE 2026'!J89</f>
        <v>0</v>
      </c>
      <c r="AA92" s="8">
        <f t="shared" ca="1" si="7"/>
        <v>0</v>
      </c>
      <c r="AB92" s="85">
        <f>Orçamento!J90</f>
        <v>0</v>
      </c>
      <c r="AC92" s="85">
        <f ca="1">'DRE 2026'!K89</f>
        <v>0</v>
      </c>
      <c r="AD92" s="8">
        <f t="shared" ca="1" si="8"/>
        <v>0</v>
      </c>
      <c r="AE92" s="89">
        <f>Orçamento!K90</f>
        <v>0</v>
      </c>
      <c r="AF92" s="85">
        <f ca="1">'DRE 2026'!L89</f>
        <v>0</v>
      </c>
      <c r="AG92" s="8">
        <f t="shared" ca="1" si="9"/>
        <v>0</v>
      </c>
      <c r="AH92" s="85">
        <f>Orçamento!L90</f>
        <v>0</v>
      </c>
      <c r="AI92" s="85">
        <f ca="1">'DRE 2026'!M89</f>
        <v>0</v>
      </c>
      <c r="AJ92" s="8">
        <f t="shared" ca="1" si="10"/>
        <v>0</v>
      </c>
      <c r="AK92" s="85">
        <f>Orçamento!M90</f>
        <v>0</v>
      </c>
      <c r="AL92" s="85">
        <f ca="1">'DRE 2026'!N89</f>
        <v>0</v>
      </c>
      <c r="AM92" s="8">
        <f t="shared" ca="1" si="11"/>
        <v>0</v>
      </c>
      <c r="AN92" s="8"/>
      <c r="AO92" s="85">
        <f t="shared" si="19"/>
        <v>0</v>
      </c>
      <c r="AP92" s="85">
        <f t="shared" si="22"/>
        <v>0</v>
      </c>
      <c r="AQ92" s="8">
        <f t="shared" si="13"/>
        <v>0</v>
      </c>
      <c r="AR92" s="85">
        <f t="shared" ref="AR92:AS92" ca="1" si="105">IF($Z$7=0,V92,IF($AC$7=0,V92+Y92,IF($AF$7=0,V92+Y92+AB92,IF($AI$7=0,V92+Y92+AB92+AE92,IF($AL$7=0,V92+Y92+AB92+AE92+AH92,V92+Y92+AB92+AE92+AH92+AK92)))))</f>
        <v>0</v>
      </c>
      <c r="AS92" s="85">
        <f t="shared" ca="1" si="105"/>
        <v>0</v>
      </c>
      <c r="AT92" s="8">
        <f t="shared" ca="1" si="15"/>
        <v>0</v>
      </c>
      <c r="AU92" s="85">
        <f t="shared" ca="1" si="16"/>
        <v>0</v>
      </c>
      <c r="AV92" s="85">
        <f t="shared" ca="1" si="17"/>
        <v>0</v>
      </c>
      <c r="AW92" s="8">
        <f t="shared" ca="1" si="18"/>
        <v>0</v>
      </c>
      <c r="AX92" s="8"/>
    </row>
    <row r="93" spans="1:50" ht="12.75" collapsed="1">
      <c r="A93" s="5"/>
      <c r="B93" s="5"/>
      <c r="C93" s="113" t="s">
        <v>106</v>
      </c>
      <c r="D93" s="114">
        <f ca="1">Orçamento!B91</f>
        <v>94806.536858646505</v>
      </c>
      <c r="E93" s="114">
        <f>'DRE 2026'!C90</f>
        <v>66219.726938300053</v>
      </c>
      <c r="F93" s="115">
        <f t="shared" ca="1" si="0"/>
        <v>-0.30152783623948276</v>
      </c>
      <c r="G93" s="114">
        <f ca="1">Orçamento!C91</f>
        <v>51694.181429861797</v>
      </c>
      <c r="H93" s="114">
        <f>'DRE 2026'!D90</f>
        <v>76294.539286600018</v>
      </c>
      <c r="I93" s="116">
        <f t="shared" ca="1" si="1"/>
        <v>0.47588253022471722</v>
      </c>
      <c r="J93" s="114">
        <f ca="1">Orçamento!D91</f>
        <v>111063.825860836</v>
      </c>
      <c r="K93" s="114">
        <f>'DRE 2026'!E90</f>
        <v>110649.46181680005</v>
      </c>
      <c r="L93" s="116">
        <f t="shared" ca="1" si="2"/>
        <v>-3.7308641299207673E-3</v>
      </c>
      <c r="M93" s="114">
        <f ca="1">Orçamento!E91</f>
        <v>72645.976734371405</v>
      </c>
      <c r="N93" s="114">
        <f>'DRE 2026'!F90</f>
        <v>16104.72427470002</v>
      </c>
      <c r="O93" s="116">
        <f t="shared" ca="1" si="3"/>
        <v>-0.77831223422617568</v>
      </c>
      <c r="P93" s="114">
        <f ca="1">Orçamento!F91</f>
        <v>113329.549339873</v>
      </c>
      <c r="Q93" s="114">
        <f>'DRE 2026'!G90</f>
        <v>73313.791778899962</v>
      </c>
      <c r="R93" s="116">
        <f t="shared" ca="1" si="4"/>
        <v>-0.35309200287178943</v>
      </c>
      <c r="S93" s="114">
        <f ca="1">Orçamento!G91</f>
        <v>87033.486707468794</v>
      </c>
      <c r="T93" s="114">
        <f>'DRE 2026'!H90</f>
        <v>91504.022775300036</v>
      </c>
      <c r="U93" s="116">
        <f t="shared" ca="1" si="5"/>
        <v>5.1365701145092729E-2</v>
      </c>
      <c r="V93" s="114">
        <f ca="1">Orçamento!H91</f>
        <v>119658.973387993</v>
      </c>
      <c r="W93" s="114">
        <f ca="1">'DRE 2026'!I90</f>
        <v>56983.623233599901</v>
      </c>
      <c r="X93" s="116">
        <f t="shared" ca="1" si="6"/>
        <v>-0.52378311780403564</v>
      </c>
      <c r="Y93" s="114">
        <f ca="1">Orçamento!I91</f>
        <v>130446.710809528</v>
      </c>
      <c r="Z93" s="114">
        <f ca="1">'DRE 2026'!J90</f>
        <v>155601.68907649899</v>
      </c>
      <c r="AA93" s="116">
        <f t="shared" ca="1" si="7"/>
        <v>0.19283719850706765</v>
      </c>
      <c r="AB93" s="114">
        <f ca="1">Orçamento!J91</f>
        <v>99059.998349595597</v>
      </c>
      <c r="AC93" s="114">
        <f ca="1">'DRE 2026'!K90</f>
        <v>1147.25</v>
      </c>
      <c r="AD93" s="116">
        <f t="shared" ca="1" si="8"/>
        <v>-0.98841863497765059</v>
      </c>
      <c r="AE93" s="114">
        <f ca="1">Orçamento!K91</f>
        <v>76346.047243842404</v>
      </c>
      <c r="AF93" s="114">
        <f ca="1">'DRE 2026'!L90</f>
        <v>0</v>
      </c>
      <c r="AG93" s="116">
        <f t="shared" ca="1" si="9"/>
        <v>-1</v>
      </c>
      <c r="AH93" s="114">
        <f ca="1">Orçamento!L91</f>
        <v>117121.439873</v>
      </c>
      <c r="AI93" s="114">
        <f ca="1">'DRE 2026'!M90</f>
        <v>0</v>
      </c>
      <c r="AJ93" s="116">
        <f t="shared" ca="1" si="10"/>
        <v>-1</v>
      </c>
      <c r="AK93" s="114">
        <f ca="1">Orçamento!M91</f>
        <v>110166.14363029601</v>
      </c>
      <c r="AL93" s="114">
        <f ca="1">'DRE 2026'!N90</f>
        <v>0</v>
      </c>
      <c r="AM93" s="116">
        <f t="shared" ca="1" si="11"/>
        <v>-1</v>
      </c>
      <c r="AN93" s="8"/>
      <c r="AO93" s="114">
        <f t="shared" ca="1" si="19"/>
        <v>530573.55693105748</v>
      </c>
      <c r="AP93" s="114">
        <f t="shared" si="22"/>
        <v>434086.26687060017</v>
      </c>
      <c r="AQ93" s="117">
        <f t="shared" ca="1" si="13"/>
        <v>-0.18185469064564563</v>
      </c>
      <c r="AR93" s="114">
        <f t="shared" ref="AR93:AS93" ca="1" si="106">IF($Z$7=0,V93,IF($AC$7=0,V93+Y93,IF($AF$7=0,V93+Y93+AB93,IF($AI$7=0,V93+Y93+AB93+AE93,IF($AL$7=0,V93+Y93+AB93+AE93+AH93,V93+Y93+AB93+AE93+AH93+AK93)))))</f>
        <v>250105.68419752101</v>
      </c>
      <c r="AS93" s="114">
        <f t="shared" ca="1" si="106"/>
        <v>212585.3123100989</v>
      </c>
      <c r="AT93" s="117">
        <f t="shared" ca="1" si="15"/>
        <v>-0.15001806939257881</v>
      </c>
      <c r="AU93" s="114">
        <f t="shared" ca="1" si="16"/>
        <v>780679.24112857855</v>
      </c>
      <c r="AV93" s="114">
        <f t="shared" ca="1" si="17"/>
        <v>646671.57918069907</v>
      </c>
      <c r="AW93" s="117">
        <f t="shared" ca="1" si="18"/>
        <v>-0.17165521367540537</v>
      </c>
      <c r="AX93" s="117"/>
    </row>
    <row r="94" spans="1:50" ht="12.75" hidden="1" outlineLevel="1">
      <c r="A94" s="5"/>
      <c r="B94" s="5"/>
      <c r="C94" s="84" t="s">
        <v>108</v>
      </c>
      <c r="D94" s="85">
        <f>Orçamento!B92</f>
        <v>0</v>
      </c>
      <c r="E94" s="85">
        <f>'DRE 2026'!C91</f>
        <v>-2473.88</v>
      </c>
      <c r="F94" s="86">
        <f t="shared" si="0"/>
        <v>1</v>
      </c>
      <c r="G94" s="89">
        <f>Orçamento!C92</f>
        <v>0</v>
      </c>
      <c r="H94" s="85">
        <f>'DRE 2026'!D91</f>
        <v>-748.56999999999994</v>
      </c>
      <c r="I94" s="8">
        <f t="shared" si="1"/>
        <v>1</v>
      </c>
      <c r="J94" s="89">
        <f>Orçamento!D92</f>
        <v>0</v>
      </c>
      <c r="K94" s="85">
        <f>'DRE 2026'!E91</f>
        <v>-1079.99</v>
      </c>
      <c r="L94" s="8">
        <f t="shared" si="2"/>
        <v>1</v>
      </c>
      <c r="M94" s="89">
        <f>Orçamento!E92</f>
        <v>0</v>
      </c>
      <c r="N94" s="85">
        <f>'DRE 2026'!F91</f>
        <v>-343.01</v>
      </c>
      <c r="O94" s="8">
        <f t="shared" si="3"/>
        <v>1</v>
      </c>
      <c r="P94" s="85">
        <f>Orçamento!F92</f>
        <v>0</v>
      </c>
      <c r="Q94" s="85">
        <f>'DRE 2026'!G91</f>
        <v>-191.18</v>
      </c>
      <c r="R94" s="8">
        <f t="shared" si="4"/>
        <v>1</v>
      </c>
      <c r="S94" s="85">
        <f>Orçamento!G92</f>
        <v>0</v>
      </c>
      <c r="T94" s="85">
        <f>'DRE 2026'!H91</f>
        <v>-19.29</v>
      </c>
      <c r="U94" s="8">
        <f t="shared" si="5"/>
        <v>1</v>
      </c>
      <c r="V94" s="85">
        <f>Orçamento!H92</f>
        <v>0</v>
      </c>
      <c r="W94" s="85">
        <f ca="1">'DRE 2026'!I91</f>
        <v>-6.33</v>
      </c>
      <c r="X94" s="8">
        <f t="shared" ca="1" si="6"/>
        <v>1</v>
      </c>
      <c r="Y94" s="85">
        <f>Orçamento!I92</f>
        <v>0</v>
      </c>
      <c r="Z94" s="85">
        <f ca="1">'DRE 2026'!J91</f>
        <v>-8.65</v>
      </c>
      <c r="AA94" s="8">
        <f t="shared" ca="1" si="7"/>
        <v>1</v>
      </c>
      <c r="AB94" s="85">
        <f>Orçamento!J92</f>
        <v>0</v>
      </c>
      <c r="AC94" s="85">
        <f ca="1">'DRE 2026'!K91</f>
        <v>0</v>
      </c>
      <c r="AD94" s="8">
        <f t="shared" ca="1" si="8"/>
        <v>0</v>
      </c>
      <c r="AE94" s="89">
        <f>Orçamento!K92</f>
        <v>0</v>
      </c>
      <c r="AF94" s="85">
        <f ca="1">'DRE 2026'!L91</f>
        <v>0</v>
      </c>
      <c r="AG94" s="8">
        <f t="shared" ca="1" si="9"/>
        <v>0</v>
      </c>
      <c r="AH94" s="85">
        <f>Orçamento!L92</f>
        <v>0</v>
      </c>
      <c r="AI94" s="85">
        <f ca="1">'DRE 2026'!M91</f>
        <v>0</v>
      </c>
      <c r="AJ94" s="8">
        <f t="shared" ca="1" si="10"/>
        <v>0</v>
      </c>
      <c r="AK94" s="85">
        <f>Orçamento!M92</f>
        <v>0</v>
      </c>
      <c r="AL94" s="85">
        <f ca="1">'DRE 2026'!N91</f>
        <v>0</v>
      </c>
      <c r="AM94" s="8">
        <f t="shared" ca="1" si="11"/>
        <v>0</v>
      </c>
      <c r="AN94" s="8"/>
      <c r="AO94" s="85">
        <f t="shared" si="19"/>
        <v>0</v>
      </c>
      <c r="AP94" s="85">
        <f t="shared" si="22"/>
        <v>-4855.92</v>
      </c>
      <c r="AQ94" s="8">
        <f t="shared" si="13"/>
        <v>1</v>
      </c>
      <c r="AR94" s="85">
        <f t="shared" ref="AR94:AS94" ca="1" si="107">IF($Z$7=0,V94,IF($AC$7=0,V94+Y94,IF($AF$7=0,V94+Y94+AB94,IF($AI$7=0,V94+Y94+AB94+AE94,IF($AL$7=0,V94+Y94+AB94+AE94+AH94,V94+Y94+AB94+AE94+AH94+AK94)))))</f>
        <v>0</v>
      </c>
      <c r="AS94" s="85">
        <f t="shared" ca="1" si="107"/>
        <v>-14.98</v>
      </c>
      <c r="AT94" s="8">
        <f t="shared" ca="1" si="15"/>
        <v>1</v>
      </c>
      <c r="AU94" s="85">
        <f t="shared" ca="1" si="16"/>
        <v>0</v>
      </c>
      <c r="AV94" s="85">
        <f t="shared" ca="1" si="17"/>
        <v>-4870.8999999999996</v>
      </c>
      <c r="AW94" s="8">
        <f t="shared" ca="1" si="18"/>
        <v>1</v>
      </c>
      <c r="AX94" s="8"/>
    </row>
    <row r="95" spans="1:50" ht="12.75" hidden="1" outlineLevel="1">
      <c r="A95" s="5"/>
      <c r="B95" s="5"/>
      <c r="C95" s="84" t="s">
        <v>138</v>
      </c>
      <c r="D95" s="85">
        <f>Orçamento!B93</f>
        <v>0</v>
      </c>
      <c r="E95" s="85">
        <f>'DRE 2026'!C92</f>
        <v>0</v>
      </c>
      <c r="F95" s="86">
        <f t="shared" si="0"/>
        <v>0</v>
      </c>
      <c r="G95" s="89">
        <f>Orçamento!C93</f>
        <v>0</v>
      </c>
      <c r="H95" s="85">
        <f>'DRE 2026'!D92</f>
        <v>0</v>
      </c>
      <c r="I95" s="8">
        <f t="shared" si="1"/>
        <v>0</v>
      </c>
      <c r="J95" s="89">
        <f>Orçamento!D93</f>
        <v>0</v>
      </c>
      <c r="K95" s="85">
        <f>'DRE 2026'!E92</f>
        <v>0</v>
      </c>
      <c r="L95" s="8">
        <f t="shared" si="2"/>
        <v>0</v>
      </c>
      <c r="M95" s="89">
        <f>Orçamento!E93</f>
        <v>0</v>
      </c>
      <c r="N95" s="85">
        <f>'DRE 2026'!F92</f>
        <v>0</v>
      </c>
      <c r="O95" s="8">
        <f t="shared" si="3"/>
        <v>0</v>
      </c>
      <c r="P95" s="85">
        <f>Orçamento!F93</f>
        <v>0</v>
      </c>
      <c r="Q95" s="85">
        <f>'DRE 2026'!G92</f>
        <v>0</v>
      </c>
      <c r="R95" s="8">
        <f t="shared" si="4"/>
        <v>0</v>
      </c>
      <c r="S95" s="85">
        <f>Orçamento!G93</f>
        <v>0</v>
      </c>
      <c r="T95" s="85">
        <f>'DRE 2026'!H92</f>
        <v>0</v>
      </c>
      <c r="U95" s="8">
        <f t="shared" si="5"/>
        <v>0</v>
      </c>
      <c r="V95" s="85">
        <f>Orçamento!H93</f>
        <v>0</v>
      </c>
      <c r="W95" s="85">
        <f>'DRE 2026'!I92</f>
        <v>0</v>
      </c>
      <c r="X95" s="8">
        <f t="shared" si="6"/>
        <v>0</v>
      </c>
      <c r="Y95" s="85">
        <f>Orçamento!I93</f>
        <v>0</v>
      </c>
      <c r="Z95" s="85">
        <f>'DRE 2026'!J92</f>
        <v>0</v>
      </c>
      <c r="AA95" s="8">
        <f t="shared" si="7"/>
        <v>0</v>
      </c>
      <c r="AB95" s="85">
        <f>Orçamento!J93</f>
        <v>0</v>
      </c>
      <c r="AC95" s="85">
        <f>'DRE 2026'!K92</f>
        <v>0</v>
      </c>
      <c r="AD95" s="8">
        <f t="shared" si="8"/>
        <v>0</v>
      </c>
      <c r="AE95" s="89">
        <f>Orçamento!K93</f>
        <v>0</v>
      </c>
      <c r="AF95" s="85">
        <f>'DRE 2026'!L92</f>
        <v>0</v>
      </c>
      <c r="AG95" s="8">
        <f t="shared" si="9"/>
        <v>0</v>
      </c>
      <c r="AH95" s="85">
        <f>Orçamento!L93</f>
        <v>0</v>
      </c>
      <c r="AI95" s="85">
        <f>'DRE 2026'!M92</f>
        <v>0</v>
      </c>
      <c r="AJ95" s="8">
        <f t="shared" si="10"/>
        <v>0</v>
      </c>
      <c r="AK95" s="85">
        <f>Orçamento!M93</f>
        <v>0</v>
      </c>
      <c r="AL95" s="85">
        <f>'DRE 2026'!N92</f>
        <v>0</v>
      </c>
      <c r="AM95" s="8">
        <f t="shared" si="11"/>
        <v>0</v>
      </c>
      <c r="AN95" s="8"/>
      <c r="AO95" s="85">
        <f t="shared" si="19"/>
        <v>0</v>
      </c>
      <c r="AP95" s="85">
        <f t="shared" si="22"/>
        <v>0</v>
      </c>
      <c r="AQ95" s="8">
        <f t="shared" si="13"/>
        <v>0</v>
      </c>
      <c r="AR95" s="85">
        <f t="shared" ref="AR95:AS95" ca="1" si="108">IF($Z$7=0,V95,IF($AC$7=0,V95+Y95,IF($AF$7=0,V95+Y95+AB95,IF($AI$7=0,V95+Y95+AB95+AE95,IF($AL$7=0,V95+Y95+AB95+AE95+AH95,V95+Y95+AB95+AE95+AH95+AK95)))))</f>
        <v>0</v>
      </c>
      <c r="AS95" s="85">
        <f t="shared" ca="1" si="108"/>
        <v>0</v>
      </c>
      <c r="AT95" s="8">
        <f t="shared" ca="1" si="15"/>
        <v>0</v>
      </c>
      <c r="AU95" s="85">
        <f t="shared" ca="1" si="16"/>
        <v>0</v>
      </c>
      <c r="AV95" s="85">
        <f t="shared" ca="1" si="17"/>
        <v>0</v>
      </c>
      <c r="AW95" s="8">
        <f t="shared" ca="1" si="18"/>
        <v>0</v>
      </c>
      <c r="AX95" s="8"/>
    </row>
    <row r="96" spans="1:50" ht="12.75" collapsed="1">
      <c r="A96" s="5"/>
      <c r="B96" s="5"/>
      <c r="C96" s="113" t="s">
        <v>110</v>
      </c>
      <c r="D96" s="114">
        <f ca="1">Orçamento!B94</f>
        <v>94806.536858646505</v>
      </c>
      <c r="E96" s="114">
        <f>'DRE 2026'!C93</f>
        <v>63745.846938300056</v>
      </c>
      <c r="F96" s="115">
        <f t="shared" ca="1" si="0"/>
        <v>-0.32762181754046071</v>
      </c>
      <c r="G96" s="114">
        <f ca="1">Orçamento!C94</f>
        <v>51694.181429861797</v>
      </c>
      <c r="H96" s="114">
        <f>'DRE 2026'!D93</f>
        <v>75545.969286600011</v>
      </c>
      <c r="I96" s="116">
        <f t="shared" ca="1" si="1"/>
        <v>0.4614017902401667</v>
      </c>
      <c r="J96" s="114">
        <f ca="1">Orçamento!D94</f>
        <v>111063.825860836</v>
      </c>
      <c r="K96" s="114">
        <f>'DRE 2026'!E93</f>
        <v>109569.47181680004</v>
      </c>
      <c r="L96" s="116">
        <f t="shared" ca="1" si="2"/>
        <v>-1.3454912366411761E-2</v>
      </c>
      <c r="M96" s="114">
        <f ca="1">Orçamento!E94</f>
        <v>72645.976734371405</v>
      </c>
      <c r="N96" s="114">
        <f>'DRE 2026'!F93</f>
        <v>15761.71427470002</v>
      </c>
      <c r="O96" s="116">
        <f t="shared" ca="1" si="3"/>
        <v>-0.78303389969781234</v>
      </c>
      <c r="P96" s="114">
        <f ca="1">Orçamento!F94</f>
        <v>113329.549339873</v>
      </c>
      <c r="Q96" s="114">
        <f>'DRE 2026'!G93</f>
        <v>73122.611778899969</v>
      </c>
      <c r="R96" s="116">
        <f t="shared" ca="1" si="4"/>
        <v>-0.35477894154853867</v>
      </c>
      <c r="S96" s="114">
        <f ca="1">Orçamento!G94</f>
        <v>87033.486707468794</v>
      </c>
      <c r="T96" s="114">
        <f>'DRE 2026'!H93</f>
        <v>91484.732775300043</v>
      </c>
      <c r="U96" s="116">
        <f t="shared" ca="1" si="5"/>
        <v>5.1144062316984762E-2</v>
      </c>
      <c r="V96" s="114">
        <f ca="1">Orçamento!H94</f>
        <v>119658.973387993</v>
      </c>
      <c r="W96" s="114">
        <f ca="1">'DRE 2026'!I93</f>
        <v>56977.293233599899</v>
      </c>
      <c r="X96" s="116">
        <f t="shared" ca="1" si="6"/>
        <v>-0.52383601814089109</v>
      </c>
      <c r="Y96" s="114">
        <f ca="1">Orçamento!I94</f>
        <v>130446.710809528</v>
      </c>
      <c r="Z96" s="114">
        <f ca="1">'DRE 2026'!J93</f>
        <v>155593.03907649999</v>
      </c>
      <c r="AA96" s="116">
        <f t="shared" ca="1" si="7"/>
        <v>0.19277088790448269</v>
      </c>
      <c r="AB96" s="114">
        <f ca="1">Orçamento!J94</f>
        <v>99059.998349595597</v>
      </c>
      <c r="AC96" s="114">
        <f ca="1">'DRE 2026'!K93</f>
        <v>1147.25</v>
      </c>
      <c r="AD96" s="116">
        <f t="shared" ca="1" si="8"/>
        <v>-0.98841863497765059</v>
      </c>
      <c r="AE96" s="114">
        <f ca="1">Orçamento!K94</f>
        <v>76346.047243842404</v>
      </c>
      <c r="AF96" s="114">
        <f ca="1">'DRE 2026'!L93</f>
        <v>0</v>
      </c>
      <c r="AG96" s="116">
        <f t="shared" ca="1" si="9"/>
        <v>-1</v>
      </c>
      <c r="AH96" s="114">
        <f ca="1">Orçamento!L94</f>
        <v>117121.439873</v>
      </c>
      <c r="AI96" s="114">
        <f ca="1">'DRE 2026'!M93</f>
        <v>0</v>
      </c>
      <c r="AJ96" s="116">
        <f t="shared" ca="1" si="10"/>
        <v>-1</v>
      </c>
      <c r="AK96" s="114">
        <f ca="1">Orçamento!M94</f>
        <v>110166.14363029601</v>
      </c>
      <c r="AL96" s="114">
        <f ca="1">'DRE 2026'!N93</f>
        <v>0</v>
      </c>
      <c r="AM96" s="116">
        <f t="shared" ca="1" si="11"/>
        <v>-1</v>
      </c>
      <c r="AN96" s="8"/>
      <c r="AO96" s="114">
        <f t="shared" ca="1" si="19"/>
        <v>530573.55693105748</v>
      </c>
      <c r="AP96" s="114">
        <f t="shared" si="22"/>
        <v>429230.34687060013</v>
      </c>
      <c r="AQ96" s="117">
        <f t="shared" ca="1" si="13"/>
        <v>-0.19100689948938757</v>
      </c>
      <c r="AR96" s="114">
        <f t="shared" ref="AR96:AS96" ca="1" si="109">IF($Z$7=0,V96,IF($AC$7=0,V96+Y96,IF($AF$7=0,V96+Y96+AB96,IF($AI$7=0,V96+Y96+AB96+AE96,IF($AL$7=0,V96+Y96+AB96+AE96+AH96,V96+Y96+AB96+AE96+AH96+AK96)))))</f>
        <v>250105.68419752101</v>
      </c>
      <c r="AS96" s="114">
        <f t="shared" ca="1" si="109"/>
        <v>212570.33231009988</v>
      </c>
      <c r="AT96" s="117">
        <f t="shared" ca="1" si="15"/>
        <v>-0.15007796407289001</v>
      </c>
      <c r="AU96" s="114">
        <f t="shared" ca="1" si="16"/>
        <v>780679.24112857855</v>
      </c>
      <c r="AV96" s="114">
        <f t="shared" ca="1" si="17"/>
        <v>641800.67918069998</v>
      </c>
      <c r="AW96" s="117">
        <f t="shared" ca="1" si="18"/>
        <v>-0.17789452393675875</v>
      </c>
      <c r="AX96" s="117"/>
    </row>
    <row r="97" spans="1:50" ht="12.75" hidden="1" outlineLevel="1">
      <c r="A97" s="5"/>
      <c r="B97" s="5"/>
      <c r="C97" s="84" t="s">
        <v>111</v>
      </c>
      <c r="D97" s="85">
        <f>Orçamento!B95</f>
        <v>0</v>
      </c>
      <c r="E97" s="85">
        <f>'DRE 2026'!C94</f>
        <v>0</v>
      </c>
      <c r="F97" s="86">
        <f t="shared" si="0"/>
        <v>0</v>
      </c>
      <c r="G97" s="89">
        <f>Orçamento!C95</f>
        <v>0</v>
      </c>
      <c r="H97" s="85">
        <f>'DRE 2026'!D94</f>
        <v>0</v>
      </c>
      <c r="I97" s="8">
        <f t="shared" si="1"/>
        <v>0</v>
      </c>
      <c r="J97" s="89">
        <f>Orçamento!D95</f>
        <v>0</v>
      </c>
      <c r="K97" s="85">
        <f>'DRE 2026'!E94</f>
        <v>0</v>
      </c>
      <c r="L97" s="8">
        <f t="shared" si="2"/>
        <v>0</v>
      </c>
      <c r="M97" s="89">
        <f>Orçamento!E95</f>
        <v>0</v>
      </c>
      <c r="N97" s="85">
        <f>'DRE 2026'!F94</f>
        <v>0</v>
      </c>
      <c r="O97" s="8">
        <f t="shared" si="3"/>
        <v>0</v>
      </c>
      <c r="P97" s="85">
        <f>Orçamento!F95</f>
        <v>0</v>
      </c>
      <c r="Q97" s="85">
        <f>'DRE 2026'!G94</f>
        <v>0</v>
      </c>
      <c r="R97" s="8">
        <f t="shared" si="4"/>
        <v>0</v>
      </c>
      <c r="S97" s="85">
        <f>Orçamento!G95</f>
        <v>0</v>
      </c>
      <c r="T97" s="85">
        <f>'DRE 2026'!H94</f>
        <v>0</v>
      </c>
      <c r="U97" s="8">
        <f t="shared" si="5"/>
        <v>0</v>
      </c>
      <c r="V97" s="85">
        <f>Orçamento!H95</f>
        <v>0</v>
      </c>
      <c r="W97" s="85">
        <f ca="1">'DRE 2026'!I94</f>
        <v>0</v>
      </c>
      <c r="X97" s="8">
        <f t="shared" ca="1" si="6"/>
        <v>0</v>
      </c>
      <c r="Y97" s="85">
        <f>Orçamento!I95</f>
        <v>0</v>
      </c>
      <c r="Z97" s="85">
        <f ca="1">'DRE 2026'!J94</f>
        <v>0</v>
      </c>
      <c r="AA97" s="8">
        <f t="shared" ca="1" si="7"/>
        <v>0</v>
      </c>
      <c r="AB97" s="85">
        <f>Orçamento!J95</f>
        <v>0</v>
      </c>
      <c r="AC97" s="85">
        <f ca="1">'DRE 2026'!K94</f>
        <v>0</v>
      </c>
      <c r="AD97" s="8">
        <f t="shared" ca="1" si="8"/>
        <v>0</v>
      </c>
      <c r="AE97" s="89">
        <f>Orçamento!K95</f>
        <v>0</v>
      </c>
      <c r="AF97" s="85">
        <f ca="1">'DRE 2026'!L94</f>
        <v>0</v>
      </c>
      <c r="AG97" s="8">
        <f t="shared" ca="1" si="9"/>
        <v>0</v>
      </c>
      <c r="AH97" s="85">
        <f>Orçamento!L95</f>
        <v>0</v>
      </c>
      <c r="AI97" s="85">
        <f ca="1">'DRE 2026'!M94</f>
        <v>0</v>
      </c>
      <c r="AJ97" s="8">
        <f t="shared" ca="1" si="10"/>
        <v>0</v>
      </c>
      <c r="AK97" s="85">
        <f>Orçamento!M95</f>
        <v>0</v>
      </c>
      <c r="AL97" s="85">
        <f ca="1">'DRE 2026'!N94</f>
        <v>0</v>
      </c>
      <c r="AM97" s="8">
        <f t="shared" ca="1" si="11"/>
        <v>0</v>
      </c>
      <c r="AN97" s="8"/>
      <c r="AO97" s="85">
        <f t="shared" si="19"/>
        <v>0</v>
      </c>
      <c r="AP97" s="85">
        <f t="shared" si="22"/>
        <v>0</v>
      </c>
      <c r="AQ97" s="8">
        <f t="shared" si="13"/>
        <v>0</v>
      </c>
      <c r="AR97" s="85">
        <f t="shared" ref="AR97:AS97" ca="1" si="110">IF($Z$7=0,V97,IF($AC$7=0,V97+Y97,IF($AF$7=0,V97+Y97+AB97,IF($AI$7=0,V97+Y97+AB97+AE97,IF($AL$7=0,V97+Y97+AB97+AE97+AH97,V97+Y97+AB97+AE97+AH97+AK97)))))</f>
        <v>0</v>
      </c>
      <c r="AS97" s="85">
        <f t="shared" ca="1" si="110"/>
        <v>0</v>
      </c>
      <c r="AT97" s="8">
        <f t="shared" ca="1" si="15"/>
        <v>0</v>
      </c>
      <c r="AU97" s="85">
        <f t="shared" ca="1" si="16"/>
        <v>0</v>
      </c>
      <c r="AV97" s="85">
        <f t="shared" ca="1" si="17"/>
        <v>0</v>
      </c>
      <c r="AW97" s="8">
        <f t="shared" ca="1" si="18"/>
        <v>0</v>
      </c>
      <c r="AX97" s="8"/>
    </row>
    <row r="98" spans="1:50" ht="12.75" hidden="1" outlineLevel="1">
      <c r="A98" s="5"/>
      <c r="B98" s="5"/>
      <c r="C98" s="84" t="s">
        <v>112</v>
      </c>
      <c r="D98" s="85">
        <f>Orçamento!B96</f>
        <v>0</v>
      </c>
      <c r="E98" s="85">
        <f>'DRE 2026'!C95</f>
        <v>-20124.999969</v>
      </c>
      <c r="F98" s="86">
        <f t="shared" si="0"/>
        <v>1</v>
      </c>
      <c r="G98" s="89">
        <f>Orçamento!C96</f>
        <v>0</v>
      </c>
      <c r="H98" s="85">
        <f>'DRE 2026'!D95</f>
        <v>-750</v>
      </c>
      <c r="I98" s="8">
        <f t="shared" si="1"/>
        <v>1</v>
      </c>
      <c r="J98" s="89">
        <f>Orçamento!D96</f>
        <v>0</v>
      </c>
      <c r="K98" s="85">
        <f>'DRE 2026'!E95</f>
        <v>0</v>
      </c>
      <c r="L98" s="8">
        <f t="shared" si="2"/>
        <v>0</v>
      </c>
      <c r="M98" s="89">
        <f>Orçamento!E96</f>
        <v>0</v>
      </c>
      <c r="N98" s="85">
        <f>'DRE 2026'!F95</f>
        <v>0</v>
      </c>
      <c r="O98" s="8">
        <f t="shared" si="3"/>
        <v>0</v>
      </c>
      <c r="P98" s="85">
        <f>Orçamento!F96</f>
        <v>0</v>
      </c>
      <c r="Q98" s="85">
        <f>'DRE 2026'!G95</f>
        <v>0</v>
      </c>
      <c r="R98" s="8">
        <f t="shared" si="4"/>
        <v>0</v>
      </c>
      <c r="S98" s="85">
        <f>Orçamento!G96</f>
        <v>0</v>
      </c>
      <c r="T98" s="85">
        <f>'DRE 2026'!H95</f>
        <v>0</v>
      </c>
      <c r="U98" s="8">
        <f t="shared" si="5"/>
        <v>0</v>
      </c>
      <c r="V98" s="85">
        <f>Orçamento!H96</f>
        <v>0</v>
      </c>
      <c r="W98" s="85">
        <f ca="1">'DRE 2026'!I95</f>
        <v>0</v>
      </c>
      <c r="X98" s="8">
        <f t="shared" ca="1" si="6"/>
        <v>0</v>
      </c>
      <c r="Y98" s="85">
        <f>Orçamento!I96</f>
        <v>0</v>
      </c>
      <c r="Z98" s="85">
        <f ca="1">'DRE 2026'!J95</f>
        <v>-12600</v>
      </c>
      <c r="AA98" s="8">
        <f t="shared" ca="1" si="7"/>
        <v>1</v>
      </c>
      <c r="AB98" s="85">
        <f>Orçamento!J96</f>
        <v>0</v>
      </c>
      <c r="AC98" s="85">
        <f ca="1">'DRE 2026'!K95</f>
        <v>0</v>
      </c>
      <c r="AD98" s="8">
        <f t="shared" ca="1" si="8"/>
        <v>0</v>
      </c>
      <c r="AE98" s="89">
        <f>Orçamento!K96</f>
        <v>0</v>
      </c>
      <c r="AF98" s="85">
        <f ca="1">'DRE 2026'!L95</f>
        <v>0</v>
      </c>
      <c r="AG98" s="8">
        <f t="shared" ca="1" si="9"/>
        <v>0</v>
      </c>
      <c r="AH98" s="85">
        <f>Orçamento!L96</f>
        <v>0</v>
      </c>
      <c r="AI98" s="85">
        <f ca="1">'DRE 2026'!M95</f>
        <v>0</v>
      </c>
      <c r="AJ98" s="8">
        <f t="shared" ca="1" si="10"/>
        <v>0</v>
      </c>
      <c r="AK98" s="85">
        <f>Orçamento!M96</f>
        <v>0</v>
      </c>
      <c r="AL98" s="85">
        <f ca="1">'DRE 2026'!N95</f>
        <v>0</v>
      </c>
      <c r="AM98" s="8">
        <f t="shared" ca="1" si="11"/>
        <v>0</v>
      </c>
      <c r="AN98" s="8"/>
      <c r="AO98" s="85">
        <f t="shared" si="19"/>
        <v>0</v>
      </c>
      <c r="AP98" s="85">
        <f t="shared" si="22"/>
        <v>-20874.999969</v>
      </c>
      <c r="AQ98" s="8">
        <f t="shared" si="13"/>
        <v>1</v>
      </c>
      <c r="AR98" s="85">
        <f t="shared" ref="AR98:AS98" ca="1" si="111">IF($Z$7=0,V98,IF($AC$7=0,V98+Y98,IF($AF$7=0,V98+Y98+AB98,IF($AI$7=0,V98+Y98+AB98+AE98,IF($AL$7=0,V98+Y98+AB98+AE98+AH98,V98+Y98+AB98+AE98+AH98+AK98)))))</f>
        <v>0</v>
      </c>
      <c r="AS98" s="85">
        <f t="shared" ca="1" si="111"/>
        <v>-12600</v>
      </c>
      <c r="AT98" s="8">
        <f t="shared" ca="1" si="15"/>
        <v>1</v>
      </c>
      <c r="AU98" s="85">
        <f t="shared" ca="1" si="16"/>
        <v>0</v>
      </c>
      <c r="AV98" s="85">
        <f t="shared" ca="1" si="17"/>
        <v>-33474.999968999997</v>
      </c>
      <c r="AW98" s="8">
        <f t="shared" ca="1" si="18"/>
        <v>1</v>
      </c>
      <c r="AX98" s="8"/>
    </row>
    <row r="99" spans="1:50" ht="12.75" hidden="1" outlineLevel="1">
      <c r="A99" s="5"/>
      <c r="B99" s="5"/>
      <c r="C99" s="84" t="s">
        <v>113</v>
      </c>
      <c r="D99" s="85">
        <f>Orçamento!B97</f>
        <v>0</v>
      </c>
      <c r="E99" s="85">
        <f>'DRE 2026'!C96</f>
        <v>0</v>
      </c>
      <c r="F99" s="86">
        <f t="shared" si="0"/>
        <v>0</v>
      </c>
      <c r="G99" s="89">
        <f>Orçamento!C97</f>
        <v>0</v>
      </c>
      <c r="H99" s="85">
        <f>'DRE 2026'!D96</f>
        <v>0</v>
      </c>
      <c r="I99" s="8">
        <f t="shared" si="1"/>
        <v>0</v>
      </c>
      <c r="J99" s="89">
        <f>Orçamento!D97</f>
        <v>0</v>
      </c>
      <c r="K99" s="85">
        <f>'DRE 2026'!E96</f>
        <v>0</v>
      </c>
      <c r="L99" s="8">
        <f t="shared" si="2"/>
        <v>0</v>
      </c>
      <c r="M99" s="89">
        <f>Orçamento!E97</f>
        <v>0</v>
      </c>
      <c r="N99" s="85">
        <f>'DRE 2026'!F96</f>
        <v>0</v>
      </c>
      <c r="O99" s="8">
        <f t="shared" si="3"/>
        <v>0</v>
      </c>
      <c r="P99" s="85">
        <f>Orçamento!F97</f>
        <v>0</v>
      </c>
      <c r="Q99" s="85">
        <f>'DRE 2026'!G96</f>
        <v>0</v>
      </c>
      <c r="R99" s="8">
        <f t="shared" si="4"/>
        <v>0</v>
      </c>
      <c r="S99" s="85">
        <f>Orçamento!G97</f>
        <v>0</v>
      </c>
      <c r="T99" s="85">
        <f>'DRE 2026'!H96</f>
        <v>0</v>
      </c>
      <c r="U99" s="8">
        <f t="shared" si="5"/>
        <v>0</v>
      </c>
      <c r="V99" s="85">
        <f>Orçamento!H97</f>
        <v>0</v>
      </c>
      <c r="W99" s="85">
        <f ca="1">'DRE 2026'!I96</f>
        <v>0</v>
      </c>
      <c r="X99" s="8">
        <f t="shared" ca="1" si="6"/>
        <v>0</v>
      </c>
      <c r="Y99" s="85">
        <f>Orçamento!I97</f>
        <v>0</v>
      </c>
      <c r="Z99" s="85">
        <f ca="1">'DRE 2026'!J96</f>
        <v>0</v>
      </c>
      <c r="AA99" s="8">
        <f t="shared" ca="1" si="7"/>
        <v>0</v>
      </c>
      <c r="AB99" s="85">
        <f>Orçamento!J97</f>
        <v>0</v>
      </c>
      <c r="AC99" s="85">
        <f ca="1">'DRE 2026'!K96</f>
        <v>0</v>
      </c>
      <c r="AD99" s="8">
        <f t="shared" ca="1" si="8"/>
        <v>0</v>
      </c>
      <c r="AE99" s="89">
        <f>Orçamento!K97</f>
        <v>0</v>
      </c>
      <c r="AF99" s="85">
        <f ca="1">'DRE 2026'!L96</f>
        <v>0</v>
      </c>
      <c r="AG99" s="8">
        <f t="shared" ca="1" si="9"/>
        <v>0</v>
      </c>
      <c r="AH99" s="85">
        <f>Orçamento!L97</f>
        <v>0</v>
      </c>
      <c r="AI99" s="85">
        <f ca="1">'DRE 2026'!M96</f>
        <v>0</v>
      </c>
      <c r="AJ99" s="8">
        <f t="shared" ca="1" si="10"/>
        <v>0</v>
      </c>
      <c r="AK99" s="85">
        <f>Orçamento!M97</f>
        <v>0</v>
      </c>
      <c r="AL99" s="85">
        <f ca="1">'DRE 2026'!N96</f>
        <v>0</v>
      </c>
      <c r="AM99" s="8">
        <f t="shared" ca="1" si="11"/>
        <v>0</v>
      </c>
      <c r="AN99" s="8"/>
      <c r="AO99" s="85">
        <f t="shared" si="19"/>
        <v>0</v>
      </c>
      <c r="AP99" s="85">
        <f t="shared" si="22"/>
        <v>0</v>
      </c>
      <c r="AQ99" s="8">
        <f t="shared" si="13"/>
        <v>0</v>
      </c>
      <c r="AR99" s="85">
        <f t="shared" ref="AR99:AS99" ca="1" si="112">IF($Z$7=0,V99,IF($AC$7=0,V99+Y99,IF($AF$7=0,V99+Y99+AB99,IF($AI$7=0,V99+Y99+AB99+AE99,IF($AL$7=0,V99+Y99+AB99+AE99+AH99,V99+Y99+AB99+AE99+AH99+AK99)))))</f>
        <v>0</v>
      </c>
      <c r="AS99" s="85">
        <f t="shared" ca="1" si="112"/>
        <v>0</v>
      </c>
      <c r="AT99" s="8">
        <f t="shared" ca="1" si="15"/>
        <v>0</v>
      </c>
      <c r="AU99" s="85">
        <f t="shared" ca="1" si="16"/>
        <v>0</v>
      </c>
      <c r="AV99" s="85">
        <f t="shared" ca="1" si="17"/>
        <v>0</v>
      </c>
      <c r="AW99" s="8">
        <f t="shared" ca="1" si="18"/>
        <v>0</v>
      </c>
      <c r="AX99" s="8"/>
    </row>
    <row r="100" spans="1:50" ht="12.75">
      <c r="A100" s="5"/>
      <c r="B100" s="5"/>
      <c r="C100" s="113" t="s">
        <v>114</v>
      </c>
      <c r="D100" s="114">
        <f ca="1">Orçamento!B98</f>
        <v>94806.536858646505</v>
      </c>
      <c r="E100" s="114">
        <f>'DRE 2026'!C97</f>
        <v>43620.846969300052</v>
      </c>
      <c r="F100" s="115">
        <f t="shared" ca="1" si="0"/>
        <v>-0.53989620953735151</v>
      </c>
      <c r="G100" s="114">
        <f ca="1">Orçamento!C98</f>
        <v>51694.181429861797</v>
      </c>
      <c r="H100" s="114">
        <f>'DRE 2026'!D97</f>
        <v>74795.969286600011</v>
      </c>
      <c r="I100" s="116">
        <f t="shared" ca="1" si="1"/>
        <v>0.44689338756785446</v>
      </c>
      <c r="J100" s="114">
        <f ca="1">Orçamento!D98</f>
        <v>111063.825860836</v>
      </c>
      <c r="K100" s="114">
        <f>'DRE 2026'!E97</f>
        <v>109569.47181680004</v>
      </c>
      <c r="L100" s="116">
        <f t="shared" ca="1" si="2"/>
        <v>-1.3454912366411761E-2</v>
      </c>
      <c r="M100" s="114">
        <f ca="1">Orçamento!E98</f>
        <v>72645.976734371405</v>
      </c>
      <c r="N100" s="114">
        <f>'DRE 2026'!F97</f>
        <v>15761.71427470002</v>
      </c>
      <c r="O100" s="116">
        <f t="shared" ca="1" si="3"/>
        <v>-0.78303389969781234</v>
      </c>
      <c r="P100" s="114">
        <f ca="1">Orçamento!F98</f>
        <v>113329.549339873</v>
      </c>
      <c r="Q100" s="114">
        <f>'DRE 2026'!G97</f>
        <v>73122.611778899969</v>
      </c>
      <c r="R100" s="116">
        <f t="shared" ca="1" si="4"/>
        <v>-0.35477894154853867</v>
      </c>
      <c r="S100" s="114">
        <f ca="1">Orçamento!G98</f>
        <v>87033.486707468794</v>
      </c>
      <c r="T100" s="114">
        <f>'DRE 2026'!H97</f>
        <v>91484.732775300043</v>
      </c>
      <c r="U100" s="116">
        <f t="shared" ca="1" si="5"/>
        <v>5.1144062316984762E-2</v>
      </c>
      <c r="V100" s="114">
        <f ca="1">Orçamento!H98</f>
        <v>119658.973387993</v>
      </c>
      <c r="W100" s="114">
        <f ca="1">'DRE 2026'!I97</f>
        <v>56977.293233599899</v>
      </c>
      <c r="X100" s="116">
        <f t="shared" ca="1" si="6"/>
        <v>-0.52383601814089109</v>
      </c>
      <c r="Y100" s="114">
        <f ca="1">Orçamento!I98</f>
        <v>130446.710809528</v>
      </c>
      <c r="Z100" s="114">
        <f ca="1">'DRE 2026'!J97</f>
        <v>142993.03907649999</v>
      </c>
      <c r="AA100" s="116">
        <f t="shared" ca="1" si="7"/>
        <v>9.6179721122225434E-2</v>
      </c>
      <c r="AB100" s="114">
        <f ca="1">Orçamento!J98</f>
        <v>99059.998349595597</v>
      </c>
      <c r="AC100" s="114">
        <f ca="1">'DRE 2026'!K97</f>
        <v>1147.25</v>
      </c>
      <c r="AD100" s="116">
        <f t="shared" ca="1" si="8"/>
        <v>-0.98841863497765059</v>
      </c>
      <c r="AE100" s="114">
        <f ca="1">Orçamento!K98</f>
        <v>76346.047243842404</v>
      </c>
      <c r="AF100" s="114">
        <f ca="1">'DRE 2026'!L97</f>
        <v>0</v>
      </c>
      <c r="AG100" s="116">
        <f t="shared" ca="1" si="9"/>
        <v>-1</v>
      </c>
      <c r="AH100" s="114">
        <f ca="1">Orçamento!L98</f>
        <v>117121.439873</v>
      </c>
      <c r="AI100" s="114">
        <f ca="1">'DRE 2026'!M97</f>
        <v>0</v>
      </c>
      <c r="AJ100" s="116">
        <f t="shared" ca="1" si="10"/>
        <v>-1</v>
      </c>
      <c r="AK100" s="114">
        <f ca="1">Orçamento!M98</f>
        <v>110166.14363029601</v>
      </c>
      <c r="AL100" s="114">
        <f ca="1">'DRE 2026'!N97</f>
        <v>0</v>
      </c>
      <c r="AM100" s="116">
        <f t="shared" ca="1" si="11"/>
        <v>-1</v>
      </c>
      <c r="AN100" s="8"/>
      <c r="AO100" s="114">
        <f t="shared" ca="1" si="19"/>
        <v>530573.55693105748</v>
      </c>
      <c r="AP100" s="114">
        <f t="shared" si="22"/>
        <v>408355.34690160013</v>
      </c>
      <c r="AQ100" s="117">
        <f t="shared" ca="1" si="13"/>
        <v>-0.23035111424774291</v>
      </c>
      <c r="AR100" s="114">
        <f t="shared" ref="AR100:AS100" ca="1" si="113">IF($Z$7=0,V100,IF($AC$7=0,V100+Y100,IF($AF$7=0,V100+Y100+AB100,IF($AI$7=0,V100+Y100+AB100+AE100,IF($AL$7=0,V100+Y100+AB100+AE100+AH100,V100+Y100+AB100+AE100+AH100+AK100)))))</f>
        <v>250105.68419752101</v>
      </c>
      <c r="AS100" s="114">
        <f t="shared" ca="1" si="113"/>
        <v>199970.33231009988</v>
      </c>
      <c r="AT100" s="117">
        <f t="shared" ca="1" si="15"/>
        <v>-0.2004566671416661</v>
      </c>
      <c r="AU100" s="114">
        <f t="shared" ca="1" si="16"/>
        <v>780679.24112857855</v>
      </c>
      <c r="AV100" s="114">
        <f t="shared" ca="1" si="17"/>
        <v>608325.67921169999</v>
      </c>
      <c r="AW100" s="117">
        <f t="shared" ca="1" si="18"/>
        <v>-0.22077385030466282</v>
      </c>
      <c r="AX100" s="117"/>
    </row>
    <row r="101" spans="1:50" ht="14.25">
      <c r="A101" s="5"/>
      <c r="B101" s="5"/>
      <c r="C101" s="7"/>
      <c r="D101" s="127">
        <f>Orçamento!B99</f>
        <v>0</v>
      </c>
      <c r="E101" s="5">
        <f>'DRE 2026'!C98</f>
        <v>0</v>
      </c>
      <c r="F101" s="60">
        <f t="shared" si="0"/>
        <v>0</v>
      </c>
      <c r="G101" s="127">
        <f>Orçamento!C99</f>
        <v>0</v>
      </c>
      <c r="H101" s="5">
        <f>'DRE 2026'!D98</f>
        <v>0</v>
      </c>
      <c r="I101" s="8">
        <f t="shared" si="1"/>
        <v>0</v>
      </c>
      <c r="J101" s="127">
        <f>Orçamento!D99</f>
        <v>0</v>
      </c>
      <c r="K101" s="5">
        <f>'DRE 2026'!E98</f>
        <v>0</v>
      </c>
      <c r="L101" s="8">
        <f t="shared" si="2"/>
        <v>0</v>
      </c>
      <c r="M101" s="127">
        <f>Orçamento!E99</f>
        <v>0</v>
      </c>
      <c r="N101" s="5">
        <f>'DRE 2026'!F98</f>
        <v>0</v>
      </c>
      <c r="O101" s="8">
        <f t="shared" si="3"/>
        <v>0</v>
      </c>
      <c r="P101" s="127">
        <f>Orçamento!F99</f>
        <v>0</v>
      </c>
      <c r="Q101" s="89">
        <f>'DRE 2026'!G98</f>
        <v>0</v>
      </c>
      <c r="R101" s="8">
        <f t="shared" si="4"/>
        <v>0</v>
      </c>
      <c r="S101" s="127">
        <f>Orçamento!G99</f>
        <v>0</v>
      </c>
      <c r="T101" s="89">
        <f>'DRE 2026'!H98</f>
        <v>0</v>
      </c>
      <c r="U101" s="8">
        <f t="shared" si="5"/>
        <v>0</v>
      </c>
      <c r="V101" s="127">
        <f>Orçamento!H99</f>
        <v>0</v>
      </c>
      <c r="W101" s="89">
        <f>'DRE 2026'!I98</f>
        <v>0</v>
      </c>
      <c r="X101" s="8">
        <f t="shared" si="6"/>
        <v>0</v>
      </c>
      <c r="Y101" s="127">
        <f>Orçamento!I99</f>
        <v>0</v>
      </c>
      <c r="Z101" s="89">
        <f>'DRE 2026'!J98</f>
        <v>0</v>
      </c>
      <c r="AA101" s="8">
        <f t="shared" si="7"/>
        <v>0</v>
      </c>
      <c r="AB101" s="89">
        <f>Orçamento!J99</f>
        <v>0</v>
      </c>
      <c r="AC101" s="89">
        <f>'DRE 2026'!K98</f>
        <v>0</v>
      </c>
      <c r="AD101" s="8">
        <f t="shared" si="8"/>
        <v>0</v>
      </c>
      <c r="AE101" s="89">
        <f>Orçamento!K99</f>
        <v>0</v>
      </c>
      <c r="AF101" s="89">
        <f>'DRE 2026'!L98</f>
        <v>0</v>
      </c>
      <c r="AG101" s="8">
        <f t="shared" si="9"/>
        <v>0</v>
      </c>
      <c r="AH101" s="89">
        <f>Orçamento!L99</f>
        <v>0</v>
      </c>
      <c r="AI101" s="89">
        <f>'DRE 2026'!M98</f>
        <v>0</v>
      </c>
      <c r="AJ101" s="8">
        <f t="shared" si="10"/>
        <v>0</v>
      </c>
      <c r="AK101" s="89">
        <f>Orçamento!M99</f>
        <v>0</v>
      </c>
      <c r="AL101" s="89">
        <f>'DRE 2026'!N98</f>
        <v>0</v>
      </c>
      <c r="AM101" s="8">
        <f t="shared" si="11"/>
        <v>0</v>
      </c>
      <c r="AN101" s="8"/>
      <c r="AO101" s="128">
        <f t="shared" si="19"/>
        <v>0</v>
      </c>
      <c r="AP101" s="89">
        <f t="shared" si="22"/>
        <v>0</v>
      </c>
      <c r="AQ101" s="8">
        <f t="shared" si="13"/>
        <v>0</v>
      </c>
      <c r="AR101" s="128">
        <f t="shared" ref="AR101:AS101" ca="1" si="114">IF($Z$7=0,V101,IF($AC$7=0,V101+Y101,IF($AF$7=0,V101+Y101+AB101,IF($AI$7=0,V101+Y101+AB101+AE101,IF($AL$7=0,V101+Y101+AB101+AE101+AH101,V101+Y101+AB101+AE101+AH101+AK101)))))</f>
        <v>0</v>
      </c>
      <c r="AS101" s="89">
        <f t="shared" ca="1" si="114"/>
        <v>0</v>
      </c>
      <c r="AT101" s="8">
        <f t="shared" ca="1" si="15"/>
        <v>0</v>
      </c>
      <c r="AU101" s="128">
        <f t="shared" ca="1" si="16"/>
        <v>0</v>
      </c>
      <c r="AV101" s="89">
        <f t="shared" ca="1" si="17"/>
        <v>0</v>
      </c>
      <c r="AW101" s="8">
        <f t="shared" ca="1" si="18"/>
        <v>0</v>
      </c>
      <c r="AX101" s="8"/>
    </row>
    <row r="102" spans="1:50" ht="12.75">
      <c r="A102" s="5"/>
      <c r="B102" s="5"/>
      <c r="C102" s="129" t="s">
        <v>115</v>
      </c>
      <c r="D102" s="114">
        <f ca="1">Orçamento!B100</f>
        <v>-700</v>
      </c>
      <c r="E102" s="114">
        <f>'DRE 2026'!C99</f>
        <v>-384.14</v>
      </c>
      <c r="F102" s="115">
        <f t="shared" ca="1" si="0"/>
        <v>-0.45122857142857142</v>
      </c>
      <c r="G102" s="114">
        <f ca="1">Orçamento!C100</f>
        <v>-700</v>
      </c>
      <c r="H102" s="114">
        <f>'DRE 2026'!D99</f>
        <v>-384.14</v>
      </c>
      <c r="I102" s="130">
        <f t="shared" ca="1" si="1"/>
        <v>-0.45122857142857142</v>
      </c>
      <c r="J102" s="114">
        <f ca="1">Orçamento!D100</f>
        <v>-1150</v>
      </c>
      <c r="K102" s="114">
        <f>'DRE 2026'!E99</f>
        <v>-913.77</v>
      </c>
      <c r="L102" s="130">
        <f t="shared" ca="1" si="2"/>
        <v>-0.20541739130434783</v>
      </c>
      <c r="M102" s="114">
        <f ca="1">Orçamento!E100</f>
        <v>-1150</v>
      </c>
      <c r="N102" s="114">
        <f>'DRE 2026'!F99</f>
        <v>-1194.46</v>
      </c>
      <c r="O102" s="130">
        <f t="shared" ca="1" si="3"/>
        <v>3.8660869565217422E-2</v>
      </c>
      <c r="P102" s="114">
        <f ca="1">Orçamento!F100</f>
        <v>-1150</v>
      </c>
      <c r="Q102" s="114">
        <f>'DRE 2026'!G99</f>
        <v>-913.72</v>
      </c>
      <c r="R102" s="130">
        <f t="shared" ca="1" si="4"/>
        <v>-0.20546086956521736</v>
      </c>
      <c r="S102" s="114">
        <f ca="1">Orçamento!G100</f>
        <v>-1150</v>
      </c>
      <c r="T102" s="114">
        <f>'DRE 2026'!H99</f>
        <v>-416.82</v>
      </c>
      <c r="U102" s="130">
        <f t="shared" ca="1" si="5"/>
        <v>-0.63754782608695659</v>
      </c>
      <c r="V102" s="114">
        <f ca="1">Orçamento!H100</f>
        <v>-1150</v>
      </c>
      <c r="W102" s="114">
        <f ca="1">'DRE 2026'!I99</f>
        <v>-1256.71</v>
      </c>
      <c r="X102" s="130">
        <f t="shared" ca="1" si="6"/>
        <v>9.279130434782612E-2</v>
      </c>
      <c r="Y102" s="114">
        <f ca="1">Orçamento!I100</f>
        <v>-1150</v>
      </c>
      <c r="Z102" s="114">
        <f ca="1">'DRE 2026'!J99</f>
        <v>-1214.69</v>
      </c>
      <c r="AA102" s="130">
        <f t="shared" ca="1" si="7"/>
        <v>5.6252173913043525E-2</v>
      </c>
      <c r="AB102" s="114">
        <f ca="1">Orçamento!J100</f>
        <v>-1150</v>
      </c>
      <c r="AC102" s="114">
        <f>'DRE 2026'!K99</f>
        <v>0</v>
      </c>
      <c r="AD102" s="130">
        <f t="shared" ca="1" si="8"/>
        <v>-1</v>
      </c>
      <c r="AE102" s="114">
        <f ca="1">Orçamento!K100</f>
        <v>-1150</v>
      </c>
      <c r="AF102" s="114">
        <f>'DRE 2026'!L99</f>
        <v>0</v>
      </c>
      <c r="AG102" s="130">
        <f t="shared" ca="1" si="9"/>
        <v>-1</v>
      </c>
      <c r="AH102" s="114">
        <f ca="1">Orçamento!L100</f>
        <v>-1150</v>
      </c>
      <c r="AI102" s="114">
        <f>'DRE 2026'!M99</f>
        <v>0</v>
      </c>
      <c r="AJ102" s="130">
        <f t="shared" ca="1" si="10"/>
        <v>-1</v>
      </c>
      <c r="AK102" s="114">
        <f ca="1">Orçamento!M100</f>
        <v>-1150</v>
      </c>
      <c r="AL102" s="114">
        <f>'DRE 2026'!N99</f>
        <v>0</v>
      </c>
      <c r="AM102" s="130">
        <f t="shared" ca="1" si="11"/>
        <v>-1</v>
      </c>
      <c r="AN102" s="8"/>
      <c r="AO102" s="114">
        <f t="shared" ca="1" si="19"/>
        <v>-6000</v>
      </c>
      <c r="AP102" s="114">
        <f t="shared" si="22"/>
        <v>-4207.05</v>
      </c>
      <c r="AQ102" s="131">
        <f t="shared" ca="1" si="13"/>
        <v>-0.29882499999999995</v>
      </c>
      <c r="AR102" s="114">
        <f t="shared" ref="AR102:AS102" ca="1" si="115">IF($Z$7=0,V102,IF($AC$7=0,V102+Y102,IF($AF$7=0,V102+Y102+AB102,IF($AI$7=0,V102+Y102+AB102+AE102,IF($AL$7=0,V102+Y102+AB102+AE102+AH102,V102+Y102+AB102+AE102+AH102+AK102)))))</f>
        <v>-2300</v>
      </c>
      <c r="AS102" s="114">
        <f t="shared" ca="1" si="115"/>
        <v>-2471.4</v>
      </c>
      <c r="AT102" s="131">
        <f t="shared" ca="1" si="15"/>
        <v>7.4521739130434819E-2</v>
      </c>
      <c r="AU102" s="114">
        <f t="shared" ca="1" si="16"/>
        <v>-8300</v>
      </c>
      <c r="AV102" s="114">
        <f t="shared" ca="1" si="17"/>
        <v>-6678.4500000000007</v>
      </c>
      <c r="AW102" s="131">
        <f t="shared" ca="1" si="18"/>
        <v>-0.19536746987951797</v>
      </c>
      <c r="AX102" s="131"/>
    </row>
    <row r="103" spans="1:50" ht="12.75" outlineLevel="1">
      <c r="A103" s="5"/>
      <c r="B103" s="5"/>
      <c r="C103" s="84" t="s">
        <v>116</v>
      </c>
      <c r="D103" s="85">
        <f ca="1">Orçamento!B101</f>
        <v>-700</v>
      </c>
      <c r="E103" s="85">
        <f>'DRE 2026'!C100</f>
        <v>-384.14</v>
      </c>
      <c r="F103" s="86">
        <f t="shared" ca="1" si="0"/>
        <v>-0.45122857142857142</v>
      </c>
      <c r="G103" s="89">
        <f ca="1">Orçamento!C101</f>
        <v>-700</v>
      </c>
      <c r="H103" s="85">
        <f>'DRE 2026'!D100</f>
        <v>-384.14</v>
      </c>
      <c r="I103" s="8">
        <f t="shared" ca="1" si="1"/>
        <v>-0.45122857142857142</v>
      </c>
      <c r="J103" s="89">
        <f ca="1">Orçamento!D101</f>
        <v>-1150</v>
      </c>
      <c r="K103" s="85">
        <f>'DRE 2026'!E100</f>
        <v>-913.77</v>
      </c>
      <c r="L103" s="8">
        <f t="shared" ca="1" si="2"/>
        <v>-0.20541739130434783</v>
      </c>
      <c r="M103" s="89">
        <f ca="1">Orçamento!E101</f>
        <v>-1150</v>
      </c>
      <c r="N103" s="85">
        <f>'DRE 2026'!F100</f>
        <v>-1194.46</v>
      </c>
      <c r="O103" s="8">
        <f t="shared" ca="1" si="3"/>
        <v>3.8660869565217422E-2</v>
      </c>
      <c r="P103" s="85">
        <f ca="1">Orçamento!F101</f>
        <v>-1150</v>
      </c>
      <c r="Q103" s="85">
        <f>'DRE 2026'!G100</f>
        <v>-913.72</v>
      </c>
      <c r="R103" s="8">
        <f t="shared" ca="1" si="4"/>
        <v>-0.20546086956521736</v>
      </c>
      <c r="S103" s="85">
        <f ca="1">Orçamento!G101</f>
        <v>-1150</v>
      </c>
      <c r="T103" s="85">
        <f>'DRE 2026'!H100</f>
        <v>-416.82</v>
      </c>
      <c r="U103" s="8">
        <f t="shared" ca="1" si="5"/>
        <v>-0.63754782608695659</v>
      </c>
      <c r="V103" s="85">
        <f ca="1">Orçamento!H101</f>
        <v>-1150</v>
      </c>
      <c r="W103" s="85">
        <f ca="1">'DRE 2026'!I100</f>
        <v>-1256.71</v>
      </c>
      <c r="X103" s="8">
        <f t="shared" ca="1" si="6"/>
        <v>9.279130434782612E-2</v>
      </c>
      <c r="Y103" s="85">
        <f ca="1">Orçamento!I101</f>
        <v>-1150</v>
      </c>
      <c r="Z103" s="85">
        <f ca="1">'DRE 2026'!J100</f>
        <v>-1214.69</v>
      </c>
      <c r="AA103" s="8">
        <f t="shared" ca="1" si="7"/>
        <v>5.6252173913043525E-2</v>
      </c>
      <c r="AB103" s="85">
        <f ca="1">Orçamento!J101</f>
        <v>-1150</v>
      </c>
      <c r="AC103" s="85">
        <f>'DRE 2026'!K100</f>
        <v>0</v>
      </c>
      <c r="AD103" s="8">
        <f t="shared" ca="1" si="8"/>
        <v>-1</v>
      </c>
      <c r="AE103" s="89">
        <f ca="1">Orçamento!K101</f>
        <v>-1150</v>
      </c>
      <c r="AF103" s="85">
        <f>'DRE 2026'!L100</f>
        <v>0</v>
      </c>
      <c r="AG103" s="8">
        <f t="shared" ca="1" si="9"/>
        <v>-1</v>
      </c>
      <c r="AH103" s="85">
        <f ca="1">Orçamento!L101</f>
        <v>-1150</v>
      </c>
      <c r="AI103" s="85">
        <f>'DRE 2026'!M100</f>
        <v>0</v>
      </c>
      <c r="AJ103" s="8">
        <f t="shared" ca="1" si="10"/>
        <v>-1</v>
      </c>
      <c r="AK103" s="85">
        <f ca="1">Orçamento!M101</f>
        <v>-1150</v>
      </c>
      <c r="AL103" s="89">
        <f>'DRE 2026'!N100</f>
        <v>0</v>
      </c>
      <c r="AM103" s="8">
        <f t="shared" ca="1" si="11"/>
        <v>-1</v>
      </c>
      <c r="AN103" s="8"/>
      <c r="AO103" s="85">
        <f t="shared" ca="1" si="19"/>
        <v>-6000</v>
      </c>
      <c r="AP103" s="85">
        <f t="shared" si="22"/>
        <v>-4207.05</v>
      </c>
      <c r="AQ103" s="8">
        <f t="shared" ca="1" si="13"/>
        <v>-0.29882499999999995</v>
      </c>
      <c r="AR103" s="85">
        <f t="shared" ref="AR103:AS103" ca="1" si="116">IF($Z$7=0,V103,IF($AC$7=0,V103+Y103,IF($AF$7=0,V103+Y103+AB103,IF($AI$7=0,V103+Y103+AB103+AE103,IF($AL$7=0,V103+Y103+AB103+AE103+AH103,V103+Y103+AB103+AE103+AH103+AK103)))))</f>
        <v>-2300</v>
      </c>
      <c r="AS103" s="85">
        <f t="shared" ca="1" si="116"/>
        <v>-2471.4</v>
      </c>
      <c r="AT103" s="8">
        <f t="shared" ca="1" si="15"/>
        <v>7.4521739130434819E-2</v>
      </c>
      <c r="AU103" s="85">
        <f t="shared" ca="1" si="16"/>
        <v>-8300</v>
      </c>
      <c r="AV103" s="85">
        <f t="shared" ca="1" si="17"/>
        <v>-6678.4500000000007</v>
      </c>
      <c r="AW103" s="8">
        <f t="shared" ca="1" si="18"/>
        <v>-0.19536746987951797</v>
      </c>
      <c r="AX103" s="8"/>
    </row>
    <row r="104" spans="1:50" ht="12.75">
      <c r="A104" s="5"/>
      <c r="B104" s="5"/>
      <c r="C104" s="129" t="s">
        <v>117</v>
      </c>
      <c r="D104" s="114">
        <f ca="1">Orçamento!B102</f>
        <v>94106.536858646505</v>
      </c>
      <c r="E104" s="114">
        <f>'DRE 2026'!C101</f>
        <v>43236.706969300052</v>
      </c>
      <c r="F104" s="115">
        <f t="shared" ca="1" si="0"/>
        <v>-0.54055575295216629</v>
      </c>
      <c r="G104" s="114">
        <f ca="1">Orçamento!C102</f>
        <v>50994.181429861797</v>
      </c>
      <c r="H104" s="114">
        <f>'DRE 2026'!D101</f>
        <v>74411.829286600012</v>
      </c>
      <c r="I104" s="116">
        <f t="shared" ca="1" si="1"/>
        <v>0.45922195827277307</v>
      </c>
      <c r="J104" s="114">
        <f ca="1">Orçamento!D102</f>
        <v>109913.825860836</v>
      </c>
      <c r="K104" s="114">
        <f>'DRE 2026'!E101</f>
        <v>108655.70181680004</v>
      </c>
      <c r="L104" s="116">
        <f t="shared" ca="1" si="2"/>
        <v>-1.1446458479471943E-2</v>
      </c>
      <c r="M104" s="114">
        <f ca="1">Orçamento!E102</f>
        <v>71495.976734371405</v>
      </c>
      <c r="N104" s="114">
        <f>'DRE 2026'!F101</f>
        <v>14567.254274700019</v>
      </c>
      <c r="O104" s="116">
        <f t="shared" ca="1" si="3"/>
        <v>-0.79625071311604489</v>
      </c>
      <c r="P104" s="114">
        <f ca="1">Orçamento!F102</f>
        <v>112179.549339873</v>
      </c>
      <c r="Q104" s="114">
        <f>'DRE 2026'!G101</f>
        <v>72208.891778899968</v>
      </c>
      <c r="R104" s="116">
        <f t="shared" ca="1" si="4"/>
        <v>-0.35630966424970206</v>
      </c>
      <c r="S104" s="114">
        <f ca="1">Orçamento!G102</f>
        <v>85883.486707468794</v>
      </c>
      <c r="T104" s="114">
        <f>'DRE 2026'!H101</f>
        <v>91067.912775300036</v>
      </c>
      <c r="U104" s="116">
        <f t="shared" ca="1" si="5"/>
        <v>6.0365807986931468E-2</v>
      </c>
      <c r="V104" s="114">
        <f ca="1">Orçamento!H102</f>
        <v>118508.973387993</v>
      </c>
      <c r="W104" s="114">
        <f ca="1">'DRE 2026'!I101</f>
        <v>55720.5832335999</v>
      </c>
      <c r="X104" s="116">
        <f t="shared" ca="1" si="6"/>
        <v>-0.52981971203840206</v>
      </c>
      <c r="Y104" s="114">
        <f ca="1">Orçamento!I102</f>
        <v>129296.710809528</v>
      </c>
      <c r="Z104" s="114">
        <f ca="1">'DRE 2026'!J101</f>
        <v>141778.34907649999</v>
      </c>
      <c r="AA104" s="116">
        <f t="shared" ca="1" si="7"/>
        <v>9.6534847551993611E-2</v>
      </c>
      <c r="AB104" s="114">
        <f ca="1">Orçamento!J102</f>
        <v>97909.998349595597</v>
      </c>
      <c r="AC104" s="114">
        <f ca="1">'DRE 2026'!K101</f>
        <v>1147.25</v>
      </c>
      <c r="AD104" s="116">
        <f t="shared" ca="1" si="8"/>
        <v>-0.98828260627782205</v>
      </c>
      <c r="AE104" s="114">
        <f ca="1">Orçamento!K102</f>
        <v>75196.047243842404</v>
      </c>
      <c r="AF104" s="114">
        <f ca="1">'DRE 2026'!L101</f>
        <v>0</v>
      </c>
      <c r="AG104" s="116">
        <f t="shared" ca="1" si="9"/>
        <v>-1</v>
      </c>
      <c r="AH104" s="114">
        <f ca="1">Orçamento!L102</f>
        <v>115971.439873</v>
      </c>
      <c r="AI104" s="114">
        <f ca="1">'DRE 2026'!M101</f>
        <v>0</v>
      </c>
      <c r="AJ104" s="116">
        <f t="shared" ca="1" si="10"/>
        <v>-1</v>
      </c>
      <c r="AK104" s="114">
        <f ca="1">Orçamento!M102</f>
        <v>109016.14363029601</v>
      </c>
      <c r="AL104" s="114">
        <f ca="1">'DRE 2026'!N101</f>
        <v>0</v>
      </c>
      <c r="AM104" s="116">
        <f t="shared" ca="1" si="11"/>
        <v>-1</v>
      </c>
      <c r="AN104" s="8"/>
      <c r="AO104" s="114">
        <f t="shared" ca="1" si="19"/>
        <v>524573.55693105748</v>
      </c>
      <c r="AP104" s="114">
        <f t="shared" si="22"/>
        <v>404148.29690160014</v>
      </c>
      <c r="AQ104" s="117">
        <f t="shared" ca="1" si="13"/>
        <v>-0.22956791938577326</v>
      </c>
      <c r="AR104" s="114">
        <f t="shared" ref="AR104:AS104" ca="1" si="117">IF($Z$7=0,V104,IF($AC$7=0,V104+Y104,IF($AF$7=0,V104+Y104+AB104,IF($AI$7=0,V104+Y104+AB104+AE104,IF($AL$7=0,V104+Y104+AB104+AE104+AH104,V104+Y104+AB104+AE104+AH104+AK104)))))</f>
        <v>247805.68419752101</v>
      </c>
      <c r="AS104" s="114">
        <f t="shared" ca="1" si="117"/>
        <v>197498.93231009989</v>
      </c>
      <c r="AT104" s="117">
        <f t="shared" ca="1" si="15"/>
        <v>-0.20300886983416655</v>
      </c>
      <c r="AU104" s="114">
        <f t="shared" ca="1" si="16"/>
        <v>772379.24112857855</v>
      </c>
      <c r="AV104" s="114">
        <f t="shared" ca="1" si="17"/>
        <v>601647.22921170003</v>
      </c>
      <c r="AW104" s="117">
        <f t="shared" ca="1" si="18"/>
        <v>-0.22104686768563298</v>
      </c>
      <c r="AX104" s="117"/>
    </row>
    <row r="105" spans="1:50" ht="12.75">
      <c r="A105" s="5"/>
      <c r="B105" s="5"/>
      <c r="C105" s="7"/>
      <c r="D105" s="5"/>
      <c r="E105" s="5"/>
      <c r="F105" s="8"/>
      <c r="G105" s="5"/>
      <c r="H105" s="5"/>
      <c r="I105" s="8"/>
      <c r="J105" s="5"/>
      <c r="K105" s="5"/>
      <c r="L105" s="8"/>
      <c r="M105" s="12"/>
      <c r="N105" s="12"/>
      <c r="O105" s="8"/>
      <c r="P105" s="12"/>
      <c r="Q105" s="12"/>
      <c r="R105" s="8"/>
      <c r="S105" s="12"/>
      <c r="T105" s="12"/>
      <c r="U105" s="8"/>
      <c r="V105" s="12"/>
      <c r="W105" s="12"/>
      <c r="X105" s="8"/>
      <c r="Y105" s="18"/>
      <c r="Z105" s="18"/>
      <c r="AA105" s="8"/>
      <c r="AB105" s="18"/>
      <c r="AC105" s="18"/>
      <c r="AD105" s="8"/>
      <c r="AE105" s="18"/>
      <c r="AF105" s="18"/>
      <c r="AG105" s="8" t="str">
        <f t="shared" ref="AG105:AG108" si="118">IFERROR(AF105/AE105,"")</f>
        <v/>
      </c>
      <c r="AH105" s="12"/>
      <c r="AI105" s="12"/>
      <c r="AJ105" s="8" t="str">
        <f t="shared" ref="AJ105:AJ106" si="119">IFERROR(AI105/AH105,"")</f>
        <v/>
      </c>
      <c r="AK105" s="12"/>
      <c r="AL105" s="12"/>
      <c r="AM105" s="8" t="str">
        <f t="shared" ref="AM105:AM106" si="120">IFERROR(AL105/AK105,"")</f>
        <v/>
      </c>
      <c r="AN105" s="8"/>
      <c r="AO105" s="18"/>
      <c r="AP105" s="18"/>
      <c r="AQ105" s="8"/>
      <c r="AR105" s="8"/>
      <c r="AS105" s="8"/>
      <c r="AT105" s="8"/>
      <c r="AU105" s="8"/>
      <c r="AV105" s="8"/>
      <c r="AW105" s="8"/>
      <c r="AX105" s="8"/>
    </row>
    <row r="106" spans="1:50" ht="12.75">
      <c r="A106" s="5"/>
      <c r="B106" s="5"/>
      <c r="C106" s="7"/>
      <c r="D106" s="5"/>
      <c r="E106" s="5"/>
      <c r="F106" s="8"/>
      <c r="G106" s="5"/>
      <c r="H106" s="5"/>
      <c r="I106" s="8"/>
      <c r="J106" s="5"/>
      <c r="K106" s="5"/>
      <c r="L106" s="8"/>
      <c r="M106" s="12"/>
      <c r="N106" s="12"/>
      <c r="O106" s="8"/>
      <c r="P106" s="12"/>
      <c r="Q106" s="12"/>
      <c r="R106" s="8"/>
      <c r="S106" s="12"/>
      <c r="T106" s="12"/>
      <c r="U106" s="8"/>
      <c r="V106" s="12"/>
      <c r="W106" s="12"/>
      <c r="X106" s="8"/>
      <c r="Y106" s="18"/>
      <c r="Z106" s="18"/>
      <c r="AA106" s="8"/>
      <c r="AB106" s="18"/>
      <c r="AC106" s="18"/>
      <c r="AD106" s="8"/>
      <c r="AE106" s="18"/>
      <c r="AF106" s="18"/>
      <c r="AG106" s="8" t="str">
        <f t="shared" si="118"/>
        <v/>
      </c>
      <c r="AH106" s="12"/>
      <c r="AI106" s="12"/>
      <c r="AJ106" s="8" t="str">
        <f t="shared" si="119"/>
        <v/>
      </c>
      <c r="AK106" s="12"/>
      <c r="AL106" s="12"/>
      <c r="AM106" s="8" t="str">
        <f t="shared" si="120"/>
        <v/>
      </c>
      <c r="AN106" s="8"/>
      <c r="AO106" s="18"/>
      <c r="AP106" s="18"/>
      <c r="AQ106" s="8"/>
      <c r="AR106" s="8"/>
      <c r="AS106" s="8"/>
      <c r="AT106" s="8"/>
      <c r="AU106" s="8"/>
      <c r="AV106" s="8"/>
      <c r="AW106" s="8"/>
      <c r="AX106" s="8"/>
    </row>
    <row r="107" spans="1:50" ht="12.75">
      <c r="A107" s="5"/>
      <c r="B107" s="5"/>
      <c r="C107" s="7"/>
      <c r="D107" s="5"/>
      <c r="E107" s="5"/>
      <c r="F107" s="8"/>
      <c r="G107" s="5"/>
      <c r="H107" s="5"/>
      <c r="I107" s="8"/>
      <c r="J107" s="5"/>
      <c r="K107" s="5"/>
      <c r="L107" s="8"/>
      <c r="M107" s="12"/>
      <c r="N107" s="12"/>
      <c r="O107" s="8"/>
      <c r="P107" s="12"/>
      <c r="Q107" s="12"/>
      <c r="R107" s="8"/>
      <c r="S107" s="12"/>
      <c r="T107" s="12"/>
      <c r="U107" s="8"/>
      <c r="V107" s="12"/>
      <c r="W107" s="12"/>
      <c r="X107" s="8"/>
      <c r="Y107" s="18"/>
      <c r="Z107" s="18"/>
      <c r="AA107" s="8"/>
      <c r="AB107" s="18"/>
      <c r="AC107" s="18"/>
      <c r="AD107" s="8"/>
      <c r="AE107" s="18"/>
      <c r="AF107" s="18"/>
      <c r="AG107" s="8" t="str">
        <f t="shared" si="118"/>
        <v/>
      </c>
      <c r="AH107" s="12"/>
      <c r="AI107" s="12"/>
      <c r="AJ107" s="8"/>
      <c r="AK107" s="12"/>
      <c r="AL107" s="12"/>
      <c r="AM107" s="8"/>
      <c r="AN107" s="8"/>
      <c r="AO107" s="18"/>
      <c r="AP107" s="18"/>
      <c r="AQ107" s="8"/>
      <c r="AR107" s="8"/>
      <c r="AS107" s="8"/>
      <c r="AT107" s="8"/>
      <c r="AU107" s="8"/>
      <c r="AV107" s="8"/>
      <c r="AW107" s="8"/>
      <c r="AX107" s="8"/>
    </row>
    <row r="108" spans="1:50" ht="12.75">
      <c r="A108" s="5"/>
      <c r="B108" s="5"/>
      <c r="C108" s="7"/>
      <c r="D108" s="5"/>
      <c r="E108" s="5"/>
      <c r="F108" s="8"/>
      <c r="G108" s="5"/>
      <c r="H108" s="5"/>
      <c r="I108" s="8"/>
      <c r="J108" s="5"/>
      <c r="K108" s="5"/>
      <c r="L108" s="8"/>
      <c r="M108" s="12"/>
      <c r="N108" s="12"/>
      <c r="O108" s="8"/>
      <c r="P108" s="12"/>
      <c r="Q108" s="12"/>
      <c r="R108" s="8"/>
      <c r="S108" s="12"/>
      <c r="T108" s="12"/>
      <c r="U108" s="8"/>
      <c r="V108" s="12"/>
      <c r="W108" s="12"/>
      <c r="X108" s="8"/>
      <c r="Y108" s="18"/>
      <c r="Z108" s="18"/>
      <c r="AA108" s="8"/>
      <c r="AB108" s="18"/>
      <c r="AC108" s="18"/>
      <c r="AD108" s="8"/>
      <c r="AE108" s="18"/>
      <c r="AF108" s="18"/>
      <c r="AG108" s="8" t="str">
        <f t="shared" si="118"/>
        <v/>
      </c>
      <c r="AH108" s="12"/>
      <c r="AI108" s="12"/>
      <c r="AJ108" s="8"/>
      <c r="AK108" s="12"/>
      <c r="AL108" s="12"/>
      <c r="AM108" s="8"/>
      <c r="AN108" s="8"/>
      <c r="AO108" s="18"/>
      <c r="AP108" s="18"/>
      <c r="AQ108" s="8"/>
      <c r="AR108" s="8"/>
      <c r="AS108" s="8"/>
      <c r="AT108" s="8"/>
      <c r="AU108" s="8"/>
      <c r="AV108" s="8"/>
      <c r="AW108" s="8"/>
      <c r="AX108" s="8"/>
    </row>
    <row r="109" spans="1:50" ht="12.75">
      <c r="A109" s="5"/>
      <c r="B109" s="5"/>
      <c r="C109" s="7"/>
      <c r="D109" s="5"/>
      <c r="E109" s="5"/>
      <c r="F109" s="8"/>
      <c r="G109" s="5"/>
      <c r="H109" s="5"/>
      <c r="I109" s="8"/>
      <c r="J109" s="5"/>
      <c r="K109" s="5"/>
      <c r="L109" s="8"/>
      <c r="M109" s="12"/>
      <c r="N109" s="12"/>
      <c r="O109" s="8"/>
      <c r="P109" s="12"/>
      <c r="Q109" s="12"/>
      <c r="R109" s="8"/>
      <c r="S109" s="12"/>
      <c r="T109" s="12"/>
      <c r="U109" s="8"/>
      <c r="V109" s="12"/>
      <c r="W109" s="12"/>
      <c r="X109" s="8"/>
      <c r="Y109" s="18"/>
      <c r="Z109" s="18"/>
      <c r="AA109" s="8"/>
      <c r="AB109" s="18"/>
      <c r="AC109" s="18"/>
      <c r="AD109" s="8"/>
      <c r="AE109" s="18"/>
      <c r="AF109" s="18"/>
      <c r="AG109" s="8"/>
      <c r="AH109" s="12"/>
      <c r="AI109" s="12"/>
      <c r="AJ109" s="8"/>
      <c r="AK109" s="12"/>
      <c r="AL109" s="12"/>
      <c r="AM109" s="8"/>
      <c r="AN109" s="8"/>
      <c r="AO109" s="18"/>
      <c r="AP109" s="18"/>
      <c r="AQ109" s="8"/>
      <c r="AR109" s="8"/>
      <c r="AS109" s="8"/>
      <c r="AT109" s="8"/>
      <c r="AU109" s="8"/>
      <c r="AV109" s="8"/>
      <c r="AW109" s="8"/>
      <c r="AX109" s="8"/>
    </row>
    <row r="110" spans="1:50" ht="12.75">
      <c r="A110" s="5"/>
      <c r="B110" s="5"/>
      <c r="C110" s="7"/>
      <c r="D110" s="5"/>
      <c r="E110" s="5"/>
      <c r="F110" s="8"/>
      <c r="G110" s="5"/>
      <c r="H110" s="5"/>
      <c r="I110" s="8"/>
      <c r="J110" s="5"/>
      <c r="K110" s="5"/>
      <c r="L110" s="8"/>
      <c r="M110" s="12"/>
      <c r="N110" s="12"/>
      <c r="O110" s="8"/>
      <c r="P110" s="12"/>
      <c r="Q110" s="12"/>
      <c r="R110" s="8"/>
      <c r="S110" s="12"/>
      <c r="T110" s="12"/>
      <c r="U110" s="8"/>
      <c r="V110" s="12"/>
      <c r="W110" s="12"/>
      <c r="X110" s="8"/>
      <c r="Y110" s="18"/>
      <c r="Z110" s="18"/>
      <c r="AA110" s="8"/>
      <c r="AB110" s="18"/>
      <c r="AC110" s="18"/>
      <c r="AD110" s="8"/>
      <c r="AE110" s="18"/>
      <c r="AF110" s="18"/>
      <c r="AG110" s="8"/>
      <c r="AH110" s="12"/>
      <c r="AI110" s="12"/>
      <c r="AJ110" s="8"/>
      <c r="AK110" s="12"/>
      <c r="AL110" s="12"/>
      <c r="AM110" s="8"/>
      <c r="AN110" s="8"/>
      <c r="AO110" s="18"/>
      <c r="AP110" s="18"/>
      <c r="AQ110" s="8"/>
      <c r="AR110" s="8"/>
      <c r="AS110" s="8"/>
      <c r="AT110" s="8"/>
      <c r="AU110" s="8"/>
      <c r="AV110" s="8"/>
      <c r="AW110" s="8"/>
      <c r="AX110" s="8"/>
    </row>
    <row r="111" spans="1:50" ht="12.75">
      <c r="A111" s="5"/>
      <c r="B111" s="5"/>
      <c r="C111" s="7"/>
      <c r="D111" s="5"/>
      <c r="E111" s="5"/>
      <c r="F111" s="8"/>
      <c r="G111" s="5"/>
      <c r="H111" s="5"/>
      <c r="I111" s="8"/>
      <c r="J111" s="5"/>
      <c r="K111" s="5"/>
      <c r="L111" s="8"/>
      <c r="M111" s="12"/>
      <c r="N111" s="12"/>
      <c r="O111" s="8"/>
      <c r="P111" s="12"/>
      <c r="Q111" s="12"/>
      <c r="R111" s="8"/>
      <c r="S111" s="12"/>
      <c r="T111" s="12"/>
      <c r="U111" s="8"/>
      <c r="V111" s="12"/>
      <c r="W111" s="12"/>
      <c r="X111" s="8"/>
      <c r="Y111" s="18"/>
      <c r="Z111" s="18"/>
      <c r="AA111" s="8"/>
      <c r="AB111" s="18"/>
      <c r="AC111" s="18"/>
      <c r="AD111" s="8"/>
      <c r="AE111" s="18"/>
      <c r="AF111" s="18"/>
      <c r="AG111" s="8"/>
      <c r="AH111" s="12"/>
      <c r="AI111" s="12"/>
      <c r="AJ111" s="8"/>
      <c r="AK111" s="12"/>
      <c r="AL111" s="12"/>
      <c r="AM111" s="8"/>
      <c r="AN111" s="8"/>
      <c r="AO111" s="18"/>
      <c r="AP111" s="18"/>
      <c r="AQ111" s="8"/>
      <c r="AR111" s="8"/>
      <c r="AS111" s="8"/>
      <c r="AT111" s="8"/>
      <c r="AU111" s="8"/>
      <c r="AV111" s="8"/>
      <c r="AW111" s="8"/>
      <c r="AX111" s="8"/>
    </row>
    <row r="112" spans="1:50" ht="12.75">
      <c r="A112" s="5"/>
      <c r="B112" s="5"/>
      <c r="C112" s="7"/>
      <c r="D112" s="5"/>
      <c r="E112" s="5"/>
      <c r="F112" s="8"/>
      <c r="G112" s="5"/>
      <c r="H112" s="5"/>
      <c r="I112" s="8"/>
      <c r="J112" s="5"/>
      <c r="K112" s="5"/>
      <c r="L112" s="8"/>
      <c r="M112" s="12"/>
      <c r="N112" s="12"/>
      <c r="O112" s="8"/>
      <c r="P112" s="12"/>
      <c r="Q112" s="12"/>
      <c r="R112" s="8"/>
      <c r="S112" s="12"/>
      <c r="T112" s="12"/>
      <c r="U112" s="8"/>
      <c r="V112" s="12"/>
      <c r="W112" s="12"/>
      <c r="X112" s="8"/>
      <c r="Y112" s="18"/>
      <c r="Z112" s="18"/>
      <c r="AA112" s="8"/>
      <c r="AB112" s="18"/>
      <c r="AC112" s="18"/>
      <c r="AD112" s="8"/>
      <c r="AE112" s="18"/>
      <c r="AF112" s="18"/>
      <c r="AG112" s="8"/>
      <c r="AH112" s="12"/>
      <c r="AI112" s="12"/>
      <c r="AJ112" s="8"/>
      <c r="AK112" s="12"/>
      <c r="AL112" s="12"/>
      <c r="AM112" s="8"/>
      <c r="AN112" s="8"/>
      <c r="AO112" s="18"/>
      <c r="AP112" s="18"/>
      <c r="AQ112" s="8"/>
      <c r="AR112" s="8"/>
      <c r="AS112" s="8"/>
      <c r="AT112" s="8"/>
      <c r="AU112" s="8"/>
      <c r="AV112" s="8"/>
      <c r="AW112" s="8"/>
      <c r="AX112" s="8"/>
    </row>
    <row r="113" spans="1:50" ht="12.75">
      <c r="A113" s="5"/>
      <c r="B113" s="5"/>
      <c r="C113" s="7"/>
      <c r="D113" s="5"/>
      <c r="E113" s="5"/>
      <c r="F113" s="8"/>
      <c r="G113" s="5"/>
      <c r="H113" s="5"/>
      <c r="I113" s="8"/>
      <c r="J113" s="5"/>
      <c r="K113" s="5"/>
      <c r="L113" s="8"/>
      <c r="M113" s="12"/>
      <c r="N113" s="12"/>
      <c r="O113" s="8"/>
      <c r="P113" s="12"/>
      <c r="Q113" s="12"/>
      <c r="R113" s="8"/>
      <c r="S113" s="12"/>
      <c r="T113" s="12"/>
      <c r="U113" s="8"/>
      <c r="V113" s="12"/>
      <c r="W113" s="12"/>
      <c r="X113" s="8"/>
      <c r="Y113" s="18"/>
      <c r="Z113" s="18"/>
      <c r="AA113" s="8"/>
      <c r="AB113" s="18"/>
      <c r="AC113" s="18"/>
      <c r="AD113" s="8"/>
      <c r="AE113" s="18"/>
      <c r="AF113" s="18"/>
      <c r="AG113" s="8"/>
      <c r="AH113" s="12"/>
      <c r="AI113" s="12"/>
      <c r="AJ113" s="8"/>
      <c r="AK113" s="12"/>
      <c r="AL113" s="12"/>
      <c r="AM113" s="8"/>
      <c r="AN113" s="8"/>
      <c r="AO113" s="18"/>
      <c r="AP113" s="18"/>
      <c r="AQ113" s="8"/>
      <c r="AR113" s="8"/>
      <c r="AS113" s="8"/>
      <c r="AT113" s="8"/>
      <c r="AU113" s="8"/>
      <c r="AV113" s="8"/>
      <c r="AW113" s="8"/>
      <c r="AX113" s="8"/>
    </row>
    <row r="114" spans="1:50" ht="12.75">
      <c r="A114" s="5"/>
      <c r="B114" s="5"/>
      <c r="C114" s="7"/>
      <c r="D114" s="5"/>
      <c r="E114" s="5"/>
      <c r="F114" s="8"/>
      <c r="G114" s="5"/>
      <c r="H114" s="5"/>
      <c r="I114" s="8"/>
      <c r="J114" s="5"/>
      <c r="K114" s="5"/>
      <c r="L114" s="8"/>
      <c r="M114" s="12"/>
      <c r="N114" s="12"/>
      <c r="O114" s="8"/>
      <c r="P114" s="12"/>
      <c r="Q114" s="12"/>
      <c r="R114" s="8"/>
      <c r="S114" s="12"/>
      <c r="T114" s="12"/>
      <c r="U114" s="8"/>
      <c r="V114" s="12"/>
      <c r="W114" s="12"/>
      <c r="X114" s="8"/>
      <c r="Y114" s="18"/>
      <c r="Z114" s="18"/>
      <c r="AA114" s="8"/>
      <c r="AB114" s="18"/>
      <c r="AC114" s="18"/>
      <c r="AD114" s="8"/>
      <c r="AE114" s="18"/>
      <c r="AF114" s="18"/>
      <c r="AG114" s="8"/>
      <c r="AH114" s="12"/>
      <c r="AI114" s="12"/>
      <c r="AJ114" s="8"/>
      <c r="AK114" s="12"/>
      <c r="AL114" s="12"/>
      <c r="AM114" s="8"/>
      <c r="AN114" s="8"/>
      <c r="AO114" s="18"/>
      <c r="AP114" s="18"/>
      <c r="AQ114" s="8"/>
      <c r="AR114" s="8"/>
      <c r="AS114" s="8"/>
      <c r="AT114" s="8"/>
      <c r="AU114" s="8"/>
      <c r="AV114" s="8"/>
      <c r="AW114" s="8"/>
      <c r="AX114" s="8"/>
    </row>
    <row r="115" spans="1:50" ht="12.75">
      <c r="A115" s="5"/>
      <c r="B115" s="5"/>
      <c r="C115" s="7"/>
      <c r="D115" s="5"/>
      <c r="E115" s="5"/>
      <c r="F115" s="8"/>
      <c r="G115" s="5"/>
      <c r="H115" s="5"/>
      <c r="I115" s="8"/>
      <c r="J115" s="5"/>
      <c r="K115" s="5"/>
      <c r="L115" s="8"/>
      <c r="M115" s="12"/>
      <c r="N115" s="12"/>
      <c r="O115" s="8"/>
      <c r="P115" s="12"/>
      <c r="Q115" s="12"/>
      <c r="R115" s="8"/>
      <c r="S115" s="12"/>
      <c r="T115" s="12"/>
      <c r="U115" s="8"/>
      <c r="V115" s="12"/>
      <c r="W115" s="12"/>
      <c r="X115" s="8"/>
      <c r="Y115" s="18"/>
      <c r="Z115" s="18"/>
      <c r="AA115" s="8"/>
      <c r="AB115" s="18"/>
      <c r="AC115" s="18"/>
      <c r="AD115" s="8"/>
      <c r="AE115" s="18"/>
      <c r="AF115" s="18"/>
      <c r="AG115" s="8"/>
      <c r="AH115" s="12"/>
      <c r="AI115" s="12"/>
      <c r="AJ115" s="8"/>
      <c r="AK115" s="12"/>
      <c r="AL115" s="12"/>
      <c r="AM115" s="8"/>
      <c r="AN115" s="8"/>
      <c r="AO115" s="18"/>
      <c r="AP115" s="18"/>
      <c r="AQ115" s="8"/>
      <c r="AR115" s="8"/>
      <c r="AS115" s="8"/>
      <c r="AT115" s="8"/>
      <c r="AU115" s="8"/>
      <c r="AV115" s="8"/>
      <c r="AW115" s="8"/>
      <c r="AX115" s="8"/>
    </row>
    <row r="116" spans="1:50" ht="12.75">
      <c r="A116" s="5"/>
      <c r="B116" s="5"/>
      <c r="C116" s="7"/>
      <c r="D116" s="5"/>
      <c r="E116" s="5"/>
      <c r="F116" s="8"/>
      <c r="G116" s="5"/>
      <c r="H116" s="5"/>
      <c r="I116" s="8"/>
      <c r="J116" s="5"/>
      <c r="K116" s="5"/>
      <c r="L116" s="8"/>
      <c r="M116" s="12"/>
      <c r="N116" s="12"/>
      <c r="O116" s="8"/>
      <c r="P116" s="12"/>
      <c r="Q116" s="12"/>
      <c r="R116" s="8"/>
      <c r="S116" s="12"/>
      <c r="T116" s="12"/>
      <c r="U116" s="8"/>
      <c r="V116" s="12"/>
      <c r="W116" s="12"/>
      <c r="X116" s="8"/>
      <c r="Y116" s="18"/>
      <c r="Z116" s="18"/>
      <c r="AA116" s="8"/>
      <c r="AB116" s="18"/>
      <c r="AC116" s="18"/>
      <c r="AD116" s="8"/>
      <c r="AE116" s="18"/>
      <c r="AF116" s="18"/>
      <c r="AG116" s="8"/>
      <c r="AH116" s="12"/>
      <c r="AI116" s="12"/>
      <c r="AJ116" s="8"/>
      <c r="AK116" s="12"/>
      <c r="AL116" s="12"/>
      <c r="AM116" s="8"/>
      <c r="AN116" s="8"/>
      <c r="AO116" s="18"/>
      <c r="AP116" s="18"/>
      <c r="AQ116" s="8"/>
      <c r="AR116" s="8"/>
      <c r="AS116" s="8"/>
      <c r="AT116" s="8"/>
      <c r="AU116" s="8"/>
      <c r="AV116" s="8"/>
      <c r="AW116" s="8"/>
      <c r="AX116" s="8"/>
    </row>
    <row r="117" spans="1:50" ht="12.75">
      <c r="A117" s="5"/>
      <c r="B117" s="5"/>
      <c r="C117" s="7"/>
      <c r="D117" s="5"/>
      <c r="E117" s="5"/>
      <c r="F117" s="8"/>
      <c r="G117" s="5"/>
      <c r="H117" s="5"/>
      <c r="I117" s="8"/>
      <c r="J117" s="5"/>
      <c r="K117" s="5"/>
      <c r="L117" s="8"/>
      <c r="M117" s="12"/>
      <c r="N117" s="12"/>
      <c r="O117" s="8"/>
      <c r="P117" s="12"/>
      <c r="Q117" s="12"/>
      <c r="R117" s="8"/>
      <c r="S117" s="12"/>
      <c r="T117" s="12"/>
      <c r="U117" s="8"/>
      <c r="V117" s="12"/>
      <c r="W117" s="12"/>
      <c r="X117" s="8"/>
      <c r="Y117" s="18"/>
      <c r="Z117" s="18"/>
      <c r="AA117" s="8"/>
      <c r="AB117" s="18"/>
      <c r="AC117" s="18"/>
      <c r="AD117" s="8"/>
      <c r="AE117" s="18"/>
      <c r="AF117" s="18"/>
      <c r="AG117" s="8"/>
      <c r="AH117" s="12"/>
      <c r="AI117" s="12"/>
      <c r="AJ117" s="8"/>
      <c r="AK117" s="12"/>
      <c r="AL117" s="12"/>
      <c r="AM117" s="8"/>
      <c r="AN117" s="8"/>
      <c r="AO117" s="18"/>
      <c r="AP117" s="18"/>
      <c r="AQ117" s="8"/>
      <c r="AR117" s="8"/>
      <c r="AS117" s="8"/>
      <c r="AT117" s="8"/>
      <c r="AU117" s="8"/>
      <c r="AV117" s="8"/>
      <c r="AW117" s="8"/>
      <c r="AX117" s="8"/>
    </row>
    <row r="118" spans="1:50" ht="12.75">
      <c r="A118" s="5"/>
      <c r="B118" s="5"/>
      <c r="C118" s="7"/>
      <c r="D118" s="5"/>
      <c r="E118" s="5"/>
      <c r="F118" s="8"/>
      <c r="G118" s="5"/>
      <c r="H118" s="5"/>
      <c r="I118" s="8"/>
      <c r="J118" s="5"/>
      <c r="K118" s="5"/>
      <c r="L118" s="8"/>
      <c r="M118" s="12"/>
      <c r="N118" s="12"/>
      <c r="O118" s="8"/>
      <c r="P118" s="12"/>
      <c r="Q118" s="12"/>
      <c r="R118" s="8"/>
      <c r="S118" s="12"/>
      <c r="T118" s="12"/>
      <c r="U118" s="8"/>
      <c r="V118" s="12"/>
      <c r="W118" s="12"/>
      <c r="X118" s="8"/>
      <c r="Y118" s="18"/>
      <c r="Z118" s="18"/>
      <c r="AA118" s="8"/>
      <c r="AB118" s="18"/>
      <c r="AC118" s="18"/>
      <c r="AD118" s="8"/>
      <c r="AE118" s="18"/>
      <c r="AF118" s="18"/>
      <c r="AG118" s="8"/>
      <c r="AH118" s="12"/>
      <c r="AI118" s="12"/>
      <c r="AJ118" s="8"/>
      <c r="AK118" s="12"/>
      <c r="AL118" s="12"/>
      <c r="AM118" s="8"/>
      <c r="AN118" s="8"/>
      <c r="AO118" s="18"/>
      <c r="AP118" s="18"/>
      <c r="AQ118" s="8"/>
      <c r="AR118" s="8"/>
      <c r="AS118" s="8"/>
      <c r="AT118" s="8"/>
      <c r="AU118" s="8"/>
      <c r="AV118" s="8"/>
      <c r="AW118" s="8"/>
      <c r="AX118" s="8"/>
    </row>
    <row r="119" spans="1:50" ht="12.75">
      <c r="A119" s="5"/>
      <c r="B119" s="5"/>
      <c r="C119" s="7"/>
      <c r="D119" s="5"/>
      <c r="E119" s="5"/>
      <c r="F119" s="8"/>
      <c r="G119" s="5"/>
      <c r="H119" s="5"/>
      <c r="I119" s="8"/>
      <c r="J119" s="5"/>
      <c r="K119" s="5"/>
      <c r="L119" s="8"/>
      <c r="M119" s="12"/>
      <c r="N119" s="12"/>
      <c r="O119" s="8"/>
      <c r="P119" s="12"/>
      <c r="Q119" s="12"/>
      <c r="R119" s="8"/>
      <c r="S119" s="12"/>
      <c r="T119" s="12"/>
      <c r="U119" s="8"/>
      <c r="V119" s="12"/>
      <c r="W119" s="12"/>
      <c r="X119" s="8"/>
      <c r="Y119" s="18"/>
      <c r="Z119" s="18"/>
      <c r="AA119" s="8"/>
      <c r="AB119" s="18"/>
      <c r="AC119" s="18"/>
      <c r="AD119" s="8"/>
      <c r="AE119" s="18"/>
      <c r="AF119" s="18"/>
      <c r="AG119" s="8"/>
      <c r="AH119" s="12"/>
      <c r="AI119" s="12"/>
      <c r="AJ119" s="8"/>
      <c r="AK119" s="12"/>
      <c r="AL119" s="12"/>
      <c r="AM119" s="8"/>
      <c r="AN119" s="8"/>
      <c r="AO119" s="18"/>
      <c r="AP119" s="18"/>
      <c r="AQ119" s="8"/>
      <c r="AR119" s="8"/>
      <c r="AS119" s="8"/>
      <c r="AT119" s="8"/>
      <c r="AU119" s="8"/>
      <c r="AV119" s="8"/>
      <c r="AW119" s="8"/>
      <c r="AX119" s="8"/>
    </row>
    <row r="120" spans="1:50" ht="12.75">
      <c r="A120" s="5"/>
      <c r="B120" s="5"/>
      <c r="C120" s="7"/>
      <c r="D120" s="5"/>
      <c r="E120" s="5"/>
      <c r="F120" s="8"/>
      <c r="G120" s="5"/>
      <c r="H120" s="5"/>
      <c r="I120" s="8"/>
      <c r="J120" s="5"/>
      <c r="K120" s="5"/>
      <c r="L120" s="8"/>
      <c r="M120" s="12"/>
      <c r="N120" s="12"/>
      <c r="O120" s="8"/>
      <c r="P120" s="12"/>
      <c r="Q120" s="12"/>
      <c r="R120" s="8"/>
      <c r="S120" s="12"/>
      <c r="T120" s="12"/>
      <c r="U120" s="8"/>
      <c r="V120" s="12"/>
      <c r="W120" s="12"/>
      <c r="X120" s="8"/>
      <c r="Y120" s="18"/>
      <c r="Z120" s="18"/>
      <c r="AA120" s="8"/>
      <c r="AB120" s="18"/>
      <c r="AC120" s="18"/>
      <c r="AD120" s="8"/>
      <c r="AE120" s="18"/>
      <c r="AF120" s="18"/>
      <c r="AG120" s="8"/>
      <c r="AH120" s="12"/>
      <c r="AI120" s="12"/>
      <c r="AJ120" s="8"/>
      <c r="AK120" s="12"/>
      <c r="AL120" s="12"/>
      <c r="AM120" s="8"/>
      <c r="AN120" s="8"/>
      <c r="AO120" s="18"/>
      <c r="AP120" s="18"/>
      <c r="AQ120" s="8"/>
      <c r="AR120" s="8"/>
      <c r="AS120" s="8"/>
      <c r="AT120" s="8"/>
      <c r="AU120" s="8"/>
      <c r="AV120" s="8"/>
      <c r="AW120" s="8"/>
      <c r="AX120" s="8"/>
    </row>
    <row r="121" spans="1:50" ht="12.75">
      <c r="A121" s="5"/>
      <c r="B121" s="5"/>
      <c r="C121" s="7"/>
      <c r="D121" s="5"/>
      <c r="E121" s="5"/>
      <c r="F121" s="8"/>
      <c r="G121" s="5"/>
      <c r="H121" s="5"/>
      <c r="I121" s="8"/>
      <c r="J121" s="5"/>
      <c r="K121" s="5"/>
      <c r="L121" s="8"/>
      <c r="M121" s="12"/>
      <c r="N121" s="12"/>
      <c r="O121" s="8"/>
      <c r="P121" s="12"/>
      <c r="Q121" s="12"/>
      <c r="R121" s="8"/>
      <c r="S121" s="12"/>
      <c r="T121" s="12"/>
      <c r="U121" s="8"/>
      <c r="V121" s="12"/>
      <c r="W121" s="12"/>
      <c r="X121" s="8"/>
      <c r="Y121" s="18"/>
      <c r="Z121" s="18"/>
      <c r="AA121" s="8"/>
      <c r="AB121" s="18"/>
      <c r="AC121" s="18"/>
      <c r="AD121" s="8"/>
      <c r="AE121" s="18"/>
      <c r="AF121" s="18"/>
      <c r="AG121" s="8"/>
      <c r="AH121" s="12"/>
      <c r="AI121" s="12"/>
      <c r="AJ121" s="8"/>
      <c r="AK121" s="12"/>
      <c r="AL121" s="12"/>
      <c r="AM121" s="8"/>
      <c r="AN121" s="8"/>
      <c r="AO121" s="18"/>
      <c r="AP121" s="18"/>
      <c r="AQ121" s="8"/>
      <c r="AR121" s="8"/>
      <c r="AS121" s="8"/>
      <c r="AT121" s="8"/>
      <c r="AU121" s="8"/>
      <c r="AV121" s="8"/>
      <c r="AW121" s="8"/>
      <c r="AX121" s="8"/>
    </row>
    <row r="122" spans="1:50" ht="12.75">
      <c r="A122" s="5"/>
      <c r="B122" s="5"/>
      <c r="C122" s="7"/>
      <c r="D122" s="5"/>
      <c r="E122" s="5"/>
      <c r="F122" s="8"/>
      <c r="G122" s="5"/>
      <c r="H122" s="5"/>
      <c r="I122" s="8"/>
      <c r="J122" s="5"/>
      <c r="K122" s="5"/>
      <c r="L122" s="8"/>
      <c r="M122" s="12"/>
      <c r="N122" s="12"/>
      <c r="O122" s="8"/>
      <c r="P122" s="12"/>
      <c r="Q122" s="12"/>
      <c r="R122" s="8"/>
      <c r="S122" s="12"/>
      <c r="T122" s="12"/>
      <c r="U122" s="8"/>
      <c r="V122" s="12"/>
      <c r="W122" s="12"/>
      <c r="X122" s="8"/>
      <c r="Y122" s="18"/>
      <c r="Z122" s="18"/>
      <c r="AA122" s="8"/>
      <c r="AB122" s="18"/>
      <c r="AC122" s="18"/>
      <c r="AD122" s="8"/>
      <c r="AE122" s="18"/>
      <c r="AF122" s="18"/>
      <c r="AG122" s="8"/>
      <c r="AH122" s="12"/>
      <c r="AI122" s="12"/>
      <c r="AJ122" s="8"/>
      <c r="AK122" s="12"/>
      <c r="AL122" s="12"/>
      <c r="AM122" s="8"/>
      <c r="AN122" s="8"/>
      <c r="AO122" s="18"/>
      <c r="AP122" s="18"/>
      <c r="AQ122" s="8"/>
      <c r="AR122" s="8"/>
      <c r="AS122" s="8"/>
      <c r="AT122" s="8"/>
      <c r="AU122" s="8"/>
      <c r="AV122" s="8"/>
      <c r="AW122" s="8"/>
      <c r="AX122" s="8"/>
    </row>
    <row r="123" spans="1:50" ht="12.75">
      <c r="A123" s="5"/>
      <c r="B123" s="5"/>
      <c r="C123" s="7"/>
      <c r="D123" s="5"/>
      <c r="E123" s="5"/>
      <c r="F123" s="8"/>
      <c r="G123" s="5"/>
      <c r="H123" s="5"/>
      <c r="I123" s="8"/>
      <c r="J123" s="5"/>
      <c r="K123" s="5"/>
      <c r="L123" s="8"/>
      <c r="M123" s="12"/>
      <c r="N123" s="12"/>
      <c r="O123" s="8"/>
      <c r="P123" s="12"/>
      <c r="Q123" s="12"/>
      <c r="R123" s="8"/>
      <c r="S123" s="12"/>
      <c r="T123" s="12"/>
      <c r="U123" s="8"/>
      <c r="V123" s="12"/>
      <c r="W123" s="12"/>
      <c r="X123" s="8"/>
      <c r="Y123" s="18"/>
      <c r="Z123" s="18"/>
      <c r="AA123" s="8"/>
      <c r="AB123" s="18"/>
      <c r="AC123" s="18"/>
      <c r="AD123" s="8"/>
      <c r="AE123" s="18"/>
      <c r="AF123" s="18"/>
      <c r="AG123" s="8"/>
      <c r="AH123" s="12"/>
      <c r="AI123" s="12"/>
      <c r="AJ123" s="8"/>
      <c r="AK123" s="12"/>
      <c r="AL123" s="12"/>
      <c r="AM123" s="8"/>
      <c r="AN123" s="8"/>
      <c r="AO123" s="18"/>
      <c r="AP123" s="18"/>
      <c r="AQ123" s="8"/>
      <c r="AR123" s="8"/>
      <c r="AS123" s="8"/>
      <c r="AT123" s="8"/>
      <c r="AU123" s="8"/>
      <c r="AV123" s="8"/>
      <c r="AW123" s="8"/>
      <c r="AX123" s="8"/>
    </row>
    <row r="124" spans="1:50" ht="12.75">
      <c r="A124" s="5"/>
      <c r="B124" s="5"/>
      <c r="C124" s="7"/>
      <c r="D124" s="5"/>
      <c r="E124" s="5"/>
      <c r="F124" s="8"/>
      <c r="G124" s="5"/>
      <c r="H124" s="5"/>
      <c r="I124" s="8"/>
      <c r="J124" s="5"/>
      <c r="K124" s="5"/>
      <c r="L124" s="8"/>
      <c r="M124" s="12"/>
      <c r="N124" s="12"/>
      <c r="O124" s="8"/>
      <c r="P124" s="12"/>
      <c r="Q124" s="12"/>
      <c r="R124" s="8"/>
      <c r="S124" s="12"/>
      <c r="T124" s="12"/>
      <c r="U124" s="8"/>
      <c r="V124" s="12"/>
      <c r="W124" s="12"/>
      <c r="X124" s="8"/>
      <c r="Y124" s="18"/>
      <c r="Z124" s="18"/>
      <c r="AA124" s="8"/>
      <c r="AB124" s="18"/>
      <c r="AC124" s="18"/>
      <c r="AD124" s="8"/>
      <c r="AE124" s="18"/>
      <c r="AF124" s="18"/>
      <c r="AG124" s="8"/>
      <c r="AH124" s="12"/>
      <c r="AI124" s="12"/>
      <c r="AJ124" s="8"/>
      <c r="AK124" s="12"/>
      <c r="AL124" s="12"/>
      <c r="AM124" s="8"/>
      <c r="AN124" s="8"/>
      <c r="AO124" s="18"/>
      <c r="AP124" s="18"/>
      <c r="AQ124" s="8"/>
      <c r="AR124" s="8"/>
      <c r="AS124" s="8"/>
      <c r="AT124" s="8"/>
      <c r="AU124" s="8"/>
      <c r="AV124" s="8"/>
      <c r="AW124" s="8"/>
      <c r="AX124" s="8"/>
    </row>
    <row r="125" spans="1:50" ht="12.75">
      <c r="A125" s="5"/>
      <c r="B125" s="5"/>
      <c r="C125" s="7"/>
      <c r="D125" s="5"/>
      <c r="E125" s="5"/>
      <c r="F125" s="8"/>
      <c r="G125" s="5"/>
      <c r="H125" s="5"/>
      <c r="I125" s="8"/>
      <c r="J125" s="5"/>
      <c r="K125" s="5"/>
      <c r="L125" s="8"/>
      <c r="M125" s="12"/>
      <c r="N125" s="12"/>
      <c r="O125" s="8"/>
      <c r="P125" s="12"/>
      <c r="Q125" s="12"/>
      <c r="R125" s="8"/>
      <c r="S125" s="12"/>
      <c r="T125" s="12"/>
      <c r="U125" s="8"/>
      <c r="V125" s="12"/>
      <c r="W125" s="12"/>
      <c r="X125" s="8"/>
      <c r="Y125" s="18"/>
      <c r="Z125" s="18"/>
      <c r="AA125" s="8"/>
      <c r="AB125" s="18"/>
      <c r="AC125" s="18"/>
      <c r="AD125" s="8"/>
      <c r="AE125" s="18"/>
      <c r="AF125" s="18"/>
      <c r="AG125" s="8"/>
      <c r="AH125" s="12"/>
      <c r="AI125" s="12"/>
      <c r="AJ125" s="8"/>
      <c r="AK125" s="12"/>
      <c r="AL125" s="12"/>
      <c r="AM125" s="8"/>
      <c r="AN125" s="8"/>
      <c r="AO125" s="18"/>
      <c r="AP125" s="18"/>
      <c r="AQ125" s="8"/>
      <c r="AR125" s="8"/>
      <c r="AS125" s="8"/>
      <c r="AT125" s="8"/>
      <c r="AU125" s="8"/>
      <c r="AV125" s="8"/>
      <c r="AW125" s="8"/>
      <c r="AX125" s="8"/>
    </row>
    <row r="126" spans="1:50" ht="12.75">
      <c r="A126" s="5"/>
      <c r="B126" s="5"/>
      <c r="C126" s="7"/>
      <c r="D126" s="5"/>
      <c r="E126" s="5"/>
      <c r="F126" s="8"/>
      <c r="G126" s="5"/>
      <c r="H126" s="5"/>
      <c r="I126" s="8"/>
      <c r="J126" s="5"/>
      <c r="K126" s="5"/>
      <c r="L126" s="8"/>
      <c r="M126" s="12"/>
      <c r="N126" s="12"/>
      <c r="O126" s="8"/>
      <c r="P126" s="12"/>
      <c r="Q126" s="12"/>
      <c r="R126" s="8"/>
      <c r="S126" s="12"/>
      <c r="T126" s="12"/>
      <c r="U126" s="8"/>
      <c r="V126" s="12"/>
      <c r="W126" s="12"/>
      <c r="X126" s="8"/>
      <c r="Y126" s="18"/>
      <c r="Z126" s="18"/>
      <c r="AA126" s="8"/>
      <c r="AB126" s="18"/>
      <c r="AC126" s="18"/>
      <c r="AD126" s="8"/>
      <c r="AE126" s="18"/>
      <c r="AF126" s="18"/>
      <c r="AG126" s="8"/>
      <c r="AH126" s="12"/>
      <c r="AI126" s="12"/>
      <c r="AJ126" s="8"/>
      <c r="AK126" s="12"/>
      <c r="AL126" s="12"/>
      <c r="AM126" s="8"/>
      <c r="AN126" s="8"/>
      <c r="AO126" s="18"/>
      <c r="AP126" s="18"/>
      <c r="AQ126" s="8"/>
      <c r="AR126" s="8"/>
      <c r="AS126" s="8"/>
      <c r="AT126" s="8"/>
      <c r="AU126" s="8"/>
      <c r="AV126" s="8"/>
      <c r="AW126" s="8"/>
      <c r="AX126" s="8"/>
    </row>
    <row r="127" spans="1:50" ht="12.75">
      <c r="A127" s="5"/>
      <c r="B127" s="5"/>
      <c r="C127" s="7"/>
      <c r="D127" s="5"/>
      <c r="E127" s="5"/>
      <c r="F127" s="8"/>
      <c r="G127" s="5"/>
      <c r="H127" s="5"/>
      <c r="I127" s="8"/>
      <c r="J127" s="5"/>
      <c r="K127" s="5"/>
      <c r="L127" s="8"/>
      <c r="M127" s="12"/>
      <c r="N127" s="12"/>
      <c r="O127" s="8"/>
      <c r="P127" s="12"/>
      <c r="Q127" s="12"/>
      <c r="R127" s="8"/>
      <c r="S127" s="12"/>
      <c r="T127" s="12"/>
      <c r="U127" s="8"/>
      <c r="V127" s="12"/>
      <c r="W127" s="12"/>
      <c r="X127" s="8"/>
      <c r="Y127" s="18"/>
      <c r="Z127" s="18"/>
      <c r="AA127" s="8"/>
      <c r="AB127" s="18"/>
      <c r="AC127" s="18"/>
      <c r="AD127" s="8"/>
      <c r="AE127" s="18"/>
      <c r="AF127" s="18"/>
      <c r="AG127" s="8"/>
      <c r="AH127" s="12"/>
      <c r="AI127" s="12"/>
      <c r="AJ127" s="8"/>
      <c r="AK127" s="12"/>
      <c r="AL127" s="12"/>
      <c r="AM127" s="8"/>
      <c r="AN127" s="8"/>
      <c r="AO127" s="18"/>
      <c r="AP127" s="18"/>
      <c r="AQ127" s="8"/>
      <c r="AR127" s="8"/>
      <c r="AS127" s="8"/>
      <c r="AT127" s="8"/>
      <c r="AU127" s="8"/>
      <c r="AV127" s="8"/>
      <c r="AW127" s="8"/>
      <c r="AX127" s="8"/>
    </row>
    <row r="128" spans="1:50" ht="12.75">
      <c r="A128" s="5"/>
      <c r="B128" s="5"/>
      <c r="C128" s="7"/>
      <c r="D128" s="5"/>
      <c r="E128" s="5"/>
      <c r="F128" s="8"/>
      <c r="G128" s="5"/>
      <c r="H128" s="5"/>
      <c r="I128" s="8"/>
      <c r="J128" s="5"/>
      <c r="K128" s="5"/>
      <c r="L128" s="8"/>
      <c r="M128" s="12"/>
      <c r="N128" s="12"/>
      <c r="O128" s="8"/>
      <c r="P128" s="12"/>
      <c r="Q128" s="12"/>
      <c r="R128" s="8"/>
      <c r="S128" s="12"/>
      <c r="T128" s="12"/>
      <c r="U128" s="8"/>
      <c r="V128" s="12"/>
      <c r="W128" s="12"/>
      <c r="X128" s="8"/>
      <c r="Y128" s="18"/>
      <c r="Z128" s="18"/>
      <c r="AA128" s="8"/>
      <c r="AB128" s="18"/>
      <c r="AC128" s="18"/>
      <c r="AD128" s="8"/>
      <c r="AE128" s="18"/>
      <c r="AF128" s="18"/>
      <c r="AG128" s="8"/>
      <c r="AH128" s="12"/>
      <c r="AI128" s="12"/>
      <c r="AJ128" s="8"/>
      <c r="AK128" s="12"/>
      <c r="AL128" s="12"/>
      <c r="AM128" s="8"/>
      <c r="AN128" s="8"/>
      <c r="AO128" s="18"/>
      <c r="AP128" s="18"/>
      <c r="AQ128" s="8"/>
      <c r="AR128" s="8"/>
      <c r="AS128" s="8"/>
      <c r="AT128" s="8"/>
      <c r="AU128" s="8"/>
      <c r="AV128" s="8"/>
      <c r="AW128" s="8"/>
      <c r="AX128" s="8"/>
    </row>
    <row r="129" spans="1:50" ht="12.75">
      <c r="A129" s="5"/>
      <c r="B129" s="5"/>
      <c r="C129" s="7"/>
      <c r="D129" s="5"/>
      <c r="E129" s="5"/>
      <c r="F129" s="8"/>
      <c r="G129" s="5"/>
      <c r="H129" s="5"/>
      <c r="I129" s="8"/>
      <c r="J129" s="5"/>
      <c r="K129" s="5"/>
      <c r="L129" s="8"/>
      <c r="M129" s="12"/>
      <c r="N129" s="12"/>
      <c r="O129" s="8"/>
      <c r="P129" s="12"/>
      <c r="Q129" s="12"/>
      <c r="R129" s="8"/>
      <c r="S129" s="12"/>
      <c r="T129" s="12"/>
      <c r="U129" s="8"/>
      <c r="V129" s="12"/>
      <c r="W129" s="12"/>
      <c r="X129" s="8"/>
      <c r="Y129" s="18"/>
      <c r="Z129" s="18"/>
      <c r="AA129" s="8"/>
      <c r="AB129" s="18"/>
      <c r="AC129" s="18"/>
      <c r="AD129" s="8"/>
      <c r="AE129" s="18"/>
      <c r="AF129" s="18"/>
      <c r="AG129" s="8"/>
      <c r="AH129" s="12"/>
      <c r="AI129" s="12"/>
      <c r="AJ129" s="8"/>
      <c r="AK129" s="12"/>
      <c r="AL129" s="12"/>
      <c r="AM129" s="8"/>
      <c r="AN129" s="8"/>
      <c r="AO129" s="18"/>
      <c r="AP129" s="18"/>
      <c r="AQ129" s="8"/>
      <c r="AR129" s="8"/>
      <c r="AS129" s="8"/>
      <c r="AT129" s="8"/>
      <c r="AU129" s="8"/>
      <c r="AV129" s="8"/>
      <c r="AW129" s="8"/>
      <c r="AX129" s="8"/>
    </row>
    <row r="130" spans="1:50" ht="12.75">
      <c r="A130" s="5"/>
      <c r="B130" s="5"/>
      <c r="C130" s="7"/>
      <c r="D130" s="5"/>
      <c r="E130" s="5"/>
      <c r="F130" s="8"/>
      <c r="G130" s="5"/>
      <c r="H130" s="5"/>
      <c r="I130" s="8"/>
      <c r="J130" s="5"/>
      <c r="K130" s="5"/>
      <c r="L130" s="8"/>
      <c r="M130" s="12"/>
      <c r="N130" s="12"/>
      <c r="O130" s="8"/>
      <c r="P130" s="12"/>
      <c r="Q130" s="12"/>
      <c r="R130" s="8"/>
      <c r="S130" s="12"/>
      <c r="T130" s="12"/>
      <c r="U130" s="8"/>
      <c r="V130" s="12"/>
      <c r="W130" s="12"/>
      <c r="X130" s="8"/>
      <c r="Y130" s="18"/>
      <c r="Z130" s="18"/>
      <c r="AA130" s="8"/>
      <c r="AB130" s="18"/>
      <c r="AC130" s="18"/>
      <c r="AD130" s="8"/>
      <c r="AE130" s="18"/>
      <c r="AF130" s="18"/>
      <c r="AG130" s="8"/>
      <c r="AH130" s="12"/>
      <c r="AI130" s="12"/>
      <c r="AJ130" s="8"/>
      <c r="AK130" s="12"/>
      <c r="AL130" s="12"/>
      <c r="AM130" s="8"/>
      <c r="AN130" s="8"/>
      <c r="AO130" s="18"/>
      <c r="AP130" s="18"/>
      <c r="AQ130" s="8"/>
      <c r="AR130" s="8"/>
      <c r="AS130" s="8"/>
      <c r="AT130" s="8"/>
      <c r="AU130" s="8"/>
      <c r="AV130" s="8"/>
      <c r="AW130" s="8"/>
      <c r="AX130" s="8"/>
    </row>
    <row r="131" spans="1:50" ht="12.75">
      <c r="A131" s="5"/>
      <c r="B131" s="5"/>
      <c r="C131" s="7"/>
      <c r="D131" s="5"/>
      <c r="E131" s="5"/>
      <c r="F131" s="8"/>
      <c r="G131" s="5"/>
      <c r="H131" s="5"/>
      <c r="I131" s="8"/>
      <c r="J131" s="5"/>
      <c r="K131" s="5"/>
      <c r="L131" s="8"/>
      <c r="M131" s="12"/>
      <c r="N131" s="12"/>
      <c r="O131" s="8"/>
      <c r="P131" s="12"/>
      <c r="Q131" s="12"/>
      <c r="R131" s="8"/>
      <c r="S131" s="12"/>
      <c r="T131" s="12"/>
      <c r="U131" s="8"/>
      <c r="V131" s="12"/>
      <c r="W131" s="12"/>
      <c r="X131" s="8"/>
      <c r="Y131" s="18"/>
      <c r="Z131" s="18"/>
      <c r="AA131" s="8"/>
      <c r="AB131" s="18"/>
      <c r="AC131" s="18"/>
      <c r="AD131" s="8"/>
      <c r="AE131" s="18"/>
      <c r="AF131" s="18"/>
      <c r="AG131" s="8"/>
      <c r="AH131" s="12"/>
      <c r="AI131" s="12"/>
      <c r="AJ131" s="8"/>
      <c r="AK131" s="12"/>
      <c r="AL131" s="12"/>
      <c r="AM131" s="8"/>
      <c r="AN131" s="8"/>
      <c r="AO131" s="18"/>
      <c r="AP131" s="18"/>
      <c r="AQ131" s="8"/>
      <c r="AR131" s="8"/>
      <c r="AS131" s="8"/>
      <c r="AT131" s="8"/>
      <c r="AU131" s="8"/>
      <c r="AV131" s="8"/>
      <c r="AW131" s="8"/>
      <c r="AX131" s="8"/>
    </row>
    <row r="132" spans="1:50" ht="12.75">
      <c r="A132" s="5"/>
      <c r="B132" s="5"/>
      <c r="C132" s="7"/>
      <c r="D132" s="5"/>
      <c r="E132" s="5"/>
      <c r="F132" s="8"/>
      <c r="G132" s="5"/>
      <c r="H132" s="5"/>
      <c r="I132" s="8"/>
      <c r="J132" s="5"/>
      <c r="K132" s="5"/>
      <c r="L132" s="8"/>
      <c r="M132" s="12"/>
      <c r="N132" s="12"/>
      <c r="O132" s="8"/>
      <c r="P132" s="12"/>
      <c r="Q132" s="12"/>
      <c r="R132" s="8"/>
      <c r="S132" s="12"/>
      <c r="T132" s="12"/>
      <c r="U132" s="8"/>
      <c r="V132" s="12"/>
      <c r="W132" s="12"/>
      <c r="X132" s="8"/>
      <c r="Y132" s="18"/>
      <c r="Z132" s="18"/>
      <c r="AA132" s="8"/>
      <c r="AB132" s="18"/>
      <c r="AC132" s="18"/>
      <c r="AD132" s="8"/>
      <c r="AE132" s="18"/>
      <c r="AF132" s="18"/>
      <c r="AG132" s="8"/>
      <c r="AH132" s="12"/>
      <c r="AI132" s="12"/>
      <c r="AJ132" s="8"/>
      <c r="AK132" s="12"/>
      <c r="AL132" s="12"/>
      <c r="AM132" s="8"/>
      <c r="AN132" s="8"/>
      <c r="AO132" s="18"/>
      <c r="AP132" s="18"/>
      <c r="AQ132" s="8"/>
      <c r="AR132" s="8"/>
      <c r="AS132" s="8"/>
      <c r="AT132" s="8"/>
      <c r="AU132" s="8"/>
      <c r="AV132" s="8"/>
      <c r="AW132" s="8"/>
      <c r="AX132" s="8"/>
    </row>
    <row r="133" spans="1:50" ht="12.75">
      <c r="A133" s="5"/>
      <c r="B133" s="5"/>
      <c r="C133" s="7"/>
      <c r="D133" s="5"/>
      <c r="E133" s="5"/>
      <c r="F133" s="8"/>
      <c r="G133" s="5"/>
      <c r="H133" s="5"/>
      <c r="I133" s="8"/>
      <c r="J133" s="5"/>
      <c r="K133" s="5"/>
      <c r="L133" s="8"/>
      <c r="M133" s="12"/>
      <c r="N133" s="12"/>
      <c r="O133" s="8"/>
      <c r="P133" s="12"/>
      <c r="Q133" s="12"/>
      <c r="R133" s="8"/>
      <c r="S133" s="12"/>
      <c r="T133" s="12"/>
      <c r="U133" s="8"/>
      <c r="V133" s="12"/>
      <c r="W133" s="12"/>
      <c r="X133" s="8"/>
      <c r="Y133" s="18"/>
      <c r="Z133" s="18"/>
      <c r="AA133" s="8"/>
      <c r="AB133" s="18"/>
      <c r="AC133" s="18"/>
      <c r="AD133" s="8"/>
      <c r="AE133" s="18"/>
      <c r="AF133" s="18"/>
      <c r="AG133" s="8"/>
      <c r="AH133" s="12"/>
      <c r="AI133" s="12"/>
      <c r="AJ133" s="8"/>
      <c r="AK133" s="12"/>
      <c r="AL133" s="12"/>
      <c r="AM133" s="8"/>
      <c r="AN133" s="8"/>
      <c r="AO133" s="18"/>
      <c r="AP133" s="18"/>
      <c r="AQ133" s="8"/>
      <c r="AR133" s="8"/>
      <c r="AS133" s="8"/>
      <c r="AT133" s="8"/>
      <c r="AU133" s="8"/>
      <c r="AV133" s="8"/>
      <c r="AW133" s="8"/>
      <c r="AX133" s="8"/>
    </row>
    <row r="134" spans="1:50" ht="12.75">
      <c r="A134" s="5"/>
      <c r="B134" s="5"/>
      <c r="C134" s="7"/>
      <c r="D134" s="5"/>
      <c r="E134" s="5"/>
      <c r="F134" s="8"/>
      <c r="G134" s="5"/>
      <c r="H134" s="5"/>
      <c r="I134" s="8"/>
      <c r="J134" s="5"/>
      <c r="K134" s="5"/>
      <c r="L134" s="8"/>
      <c r="M134" s="12"/>
      <c r="N134" s="12"/>
      <c r="O134" s="8"/>
      <c r="P134" s="12"/>
      <c r="Q134" s="12"/>
      <c r="R134" s="8"/>
      <c r="S134" s="12"/>
      <c r="T134" s="12"/>
      <c r="U134" s="8"/>
      <c r="V134" s="12"/>
      <c r="W134" s="12"/>
      <c r="X134" s="8"/>
      <c r="Y134" s="18"/>
      <c r="Z134" s="18"/>
      <c r="AA134" s="8"/>
      <c r="AB134" s="18"/>
      <c r="AC134" s="18"/>
      <c r="AD134" s="8"/>
      <c r="AE134" s="18"/>
      <c r="AF134" s="18"/>
      <c r="AG134" s="8"/>
      <c r="AH134" s="12"/>
      <c r="AI134" s="12"/>
      <c r="AJ134" s="8"/>
      <c r="AK134" s="12"/>
      <c r="AL134" s="12"/>
      <c r="AM134" s="8"/>
      <c r="AN134" s="8"/>
      <c r="AO134" s="18"/>
      <c r="AP134" s="18"/>
      <c r="AQ134" s="8"/>
      <c r="AR134" s="8"/>
      <c r="AS134" s="8"/>
      <c r="AT134" s="8"/>
      <c r="AU134" s="8"/>
      <c r="AV134" s="8"/>
      <c r="AW134" s="8"/>
      <c r="AX134" s="8"/>
    </row>
    <row r="135" spans="1:50" ht="12.75">
      <c r="A135" s="5"/>
      <c r="B135" s="5"/>
      <c r="C135" s="7"/>
      <c r="D135" s="5"/>
      <c r="E135" s="5"/>
      <c r="F135" s="8"/>
      <c r="G135" s="5"/>
      <c r="H135" s="5"/>
      <c r="I135" s="8"/>
      <c r="J135" s="5"/>
      <c r="K135" s="5"/>
      <c r="L135" s="8"/>
      <c r="M135" s="12"/>
      <c r="N135" s="12"/>
      <c r="O135" s="8"/>
      <c r="P135" s="12"/>
      <c r="Q135" s="12"/>
      <c r="R135" s="8"/>
      <c r="S135" s="12"/>
      <c r="T135" s="12"/>
      <c r="U135" s="8"/>
      <c r="V135" s="12"/>
      <c r="W135" s="12"/>
      <c r="X135" s="8"/>
      <c r="Y135" s="18"/>
      <c r="Z135" s="18"/>
      <c r="AA135" s="8"/>
      <c r="AB135" s="18"/>
      <c r="AC135" s="18"/>
      <c r="AD135" s="8"/>
      <c r="AE135" s="18"/>
      <c r="AF135" s="18"/>
      <c r="AG135" s="8"/>
      <c r="AH135" s="12"/>
      <c r="AI135" s="12"/>
      <c r="AJ135" s="8"/>
      <c r="AK135" s="12"/>
      <c r="AL135" s="12"/>
      <c r="AM135" s="8"/>
      <c r="AN135" s="8"/>
      <c r="AO135" s="18"/>
      <c r="AP135" s="18"/>
      <c r="AQ135" s="8"/>
      <c r="AR135" s="8"/>
      <c r="AS135" s="8"/>
      <c r="AT135" s="8"/>
      <c r="AU135" s="8"/>
      <c r="AV135" s="8"/>
      <c r="AW135" s="8"/>
      <c r="AX135" s="8"/>
    </row>
    <row r="136" spans="1:50" ht="12.75">
      <c r="A136" s="5"/>
      <c r="B136" s="5"/>
      <c r="C136" s="7"/>
      <c r="D136" s="5"/>
      <c r="E136" s="5"/>
      <c r="F136" s="8"/>
      <c r="G136" s="5"/>
      <c r="H136" s="5"/>
      <c r="I136" s="8"/>
      <c r="J136" s="5"/>
      <c r="K136" s="5"/>
      <c r="L136" s="8"/>
      <c r="M136" s="12"/>
      <c r="N136" s="12"/>
      <c r="O136" s="8"/>
      <c r="P136" s="12"/>
      <c r="Q136" s="12"/>
      <c r="R136" s="8"/>
      <c r="S136" s="12"/>
      <c r="T136" s="12"/>
      <c r="U136" s="8"/>
      <c r="V136" s="12"/>
      <c r="W136" s="12"/>
      <c r="X136" s="8"/>
      <c r="Y136" s="18"/>
      <c r="Z136" s="18"/>
      <c r="AA136" s="8"/>
      <c r="AB136" s="18"/>
      <c r="AC136" s="18"/>
      <c r="AD136" s="8"/>
      <c r="AE136" s="18"/>
      <c r="AF136" s="18"/>
      <c r="AG136" s="8"/>
      <c r="AH136" s="12"/>
      <c r="AI136" s="12"/>
      <c r="AJ136" s="8"/>
      <c r="AK136" s="12"/>
      <c r="AL136" s="12"/>
      <c r="AM136" s="8"/>
      <c r="AN136" s="8"/>
      <c r="AO136" s="18"/>
      <c r="AP136" s="18"/>
      <c r="AQ136" s="8"/>
      <c r="AR136" s="8"/>
      <c r="AS136" s="8"/>
      <c r="AT136" s="8"/>
      <c r="AU136" s="8"/>
      <c r="AV136" s="8"/>
      <c r="AW136" s="8"/>
      <c r="AX136" s="8"/>
    </row>
    <row r="137" spans="1:50" ht="12.75">
      <c r="A137" s="5"/>
      <c r="B137" s="5"/>
      <c r="C137" s="7"/>
      <c r="D137" s="5"/>
      <c r="E137" s="5"/>
      <c r="F137" s="8"/>
      <c r="G137" s="5"/>
      <c r="H137" s="5"/>
      <c r="I137" s="8"/>
      <c r="J137" s="5"/>
      <c r="K137" s="5"/>
      <c r="L137" s="8"/>
      <c r="M137" s="12"/>
      <c r="N137" s="12"/>
      <c r="O137" s="8"/>
      <c r="P137" s="12"/>
      <c r="Q137" s="12"/>
      <c r="R137" s="8"/>
      <c r="S137" s="12"/>
      <c r="T137" s="12"/>
      <c r="U137" s="8"/>
      <c r="V137" s="12"/>
      <c r="W137" s="12"/>
      <c r="X137" s="8"/>
      <c r="Y137" s="18"/>
      <c r="Z137" s="18"/>
      <c r="AA137" s="8"/>
      <c r="AB137" s="18"/>
      <c r="AC137" s="18"/>
      <c r="AD137" s="8"/>
      <c r="AE137" s="18"/>
      <c r="AF137" s="18"/>
      <c r="AG137" s="8"/>
      <c r="AH137" s="12"/>
      <c r="AI137" s="12"/>
      <c r="AJ137" s="8"/>
      <c r="AK137" s="12"/>
      <c r="AL137" s="12"/>
      <c r="AM137" s="8"/>
      <c r="AN137" s="8"/>
      <c r="AO137" s="18"/>
      <c r="AP137" s="18"/>
      <c r="AQ137" s="8"/>
      <c r="AR137" s="8"/>
      <c r="AS137" s="8"/>
      <c r="AT137" s="8"/>
      <c r="AU137" s="8"/>
      <c r="AV137" s="8"/>
      <c r="AW137" s="8"/>
      <c r="AX137" s="8"/>
    </row>
    <row r="138" spans="1:50" ht="12.75">
      <c r="A138" s="5"/>
      <c r="B138" s="5"/>
      <c r="C138" s="7"/>
      <c r="D138" s="5"/>
      <c r="E138" s="5"/>
      <c r="F138" s="8"/>
      <c r="G138" s="5"/>
      <c r="H138" s="5"/>
      <c r="I138" s="8"/>
      <c r="J138" s="5"/>
      <c r="K138" s="5"/>
      <c r="L138" s="8"/>
      <c r="M138" s="12"/>
      <c r="N138" s="12"/>
      <c r="O138" s="8"/>
      <c r="P138" s="12"/>
      <c r="Q138" s="12"/>
      <c r="R138" s="8"/>
      <c r="S138" s="12"/>
      <c r="T138" s="12"/>
      <c r="U138" s="8"/>
      <c r="V138" s="12"/>
      <c r="W138" s="12"/>
      <c r="X138" s="8"/>
      <c r="Y138" s="18"/>
      <c r="Z138" s="18"/>
      <c r="AA138" s="8"/>
      <c r="AB138" s="18"/>
      <c r="AC138" s="18"/>
      <c r="AD138" s="8"/>
      <c r="AE138" s="18"/>
      <c r="AF138" s="18"/>
      <c r="AG138" s="8"/>
      <c r="AH138" s="12"/>
      <c r="AI138" s="12"/>
      <c r="AJ138" s="8"/>
      <c r="AK138" s="12"/>
      <c r="AL138" s="12"/>
      <c r="AM138" s="8"/>
      <c r="AN138" s="8"/>
      <c r="AO138" s="18"/>
      <c r="AP138" s="18"/>
      <c r="AQ138" s="8"/>
      <c r="AR138" s="8"/>
      <c r="AS138" s="8"/>
      <c r="AT138" s="8"/>
      <c r="AU138" s="8"/>
      <c r="AV138" s="8"/>
      <c r="AW138" s="8"/>
      <c r="AX138" s="8"/>
    </row>
    <row r="139" spans="1:50" ht="12.75">
      <c r="A139" s="5"/>
      <c r="B139" s="5"/>
      <c r="C139" s="7"/>
      <c r="D139" s="5"/>
      <c r="E139" s="5"/>
      <c r="F139" s="8"/>
      <c r="G139" s="5"/>
      <c r="H139" s="5"/>
      <c r="I139" s="8"/>
      <c r="J139" s="5"/>
      <c r="K139" s="5"/>
      <c r="L139" s="8"/>
      <c r="M139" s="12"/>
      <c r="N139" s="12"/>
      <c r="O139" s="8"/>
      <c r="P139" s="12"/>
      <c r="Q139" s="12"/>
      <c r="R139" s="8"/>
      <c r="S139" s="12"/>
      <c r="T139" s="12"/>
      <c r="U139" s="8"/>
      <c r="V139" s="12"/>
      <c r="W139" s="12"/>
      <c r="X139" s="8"/>
      <c r="Y139" s="18"/>
      <c r="Z139" s="18"/>
      <c r="AA139" s="8"/>
      <c r="AB139" s="18"/>
      <c r="AC139" s="18"/>
      <c r="AD139" s="8"/>
      <c r="AE139" s="18"/>
      <c r="AF139" s="18"/>
      <c r="AG139" s="8"/>
      <c r="AH139" s="12"/>
      <c r="AI139" s="12"/>
      <c r="AJ139" s="8"/>
      <c r="AK139" s="12"/>
      <c r="AL139" s="12"/>
      <c r="AM139" s="8"/>
      <c r="AN139" s="8"/>
      <c r="AO139" s="18"/>
      <c r="AP139" s="18"/>
      <c r="AQ139" s="8"/>
      <c r="AR139" s="8"/>
      <c r="AS139" s="8"/>
      <c r="AT139" s="8"/>
      <c r="AU139" s="8"/>
      <c r="AV139" s="8"/>
      <c r="AW139" s="8"/>
      <c r="AX139" s="8"/>
    </row>
    <row r="140" spans="1:50" ht="12.75">
      <c r="A140" s="5"/>
      <c r="B140" s="5"/>
      <c r="C140" s="7"/>
      <c r="D140" s="5"/>
      <c r="E140" s="5"/>
      <c r="F140" s="8"/>
      <c r="G140" s="5"/>
      <c r="H140" s="5"/>
      <c r="I140" s="8"/>
      <c r="J140" s="5"/>
      <c r="K140" s="5"/>
      <c r="L140" s="8"/>
      <c r="M140" s="12"/>
      <c r="N140" s="12"/>
      <c r="O140" s="8"/>
      <c r="P140" s="12"/>
      <c r="Q140" s="12"/>
      <c r="R140" s="8"/>
      <c r="S140" s="12"/>
      <c r="T140" s="12"/>
      <c r="U140" s="8"/>
      <c r="V140" s="12"/>
      <c r="W140" s="12"/>
      <c r="X140" s="8"/>
      <c r="Y140" s="18"/>
      <c r="Z140" s="18"/>
      <c r="AA140" s="8"/>
      <c r="AB140" s="18"/>
      <c r="AC140" s="18"/>
      <c r="AD140" s="8"/>
      <c r="AE140" s="18"/>
      <c r="AF140" s="18"/>
      <c r="AG140" s="8"/>
      <c r="AH140" s="12"/>
      <c r="AI140" s="12"/>
      <c r="AJ140" s="8"/>
      <c r="AK140" s="12"/>
      <c r="AL140" s="12"/>
      <c r="AM140" s="8"/>
      <c r="AN140" s="8"/>
      <c r="AO140" s="18"/>
      <c r="AP140" s="18"/>
      <c r="AQ140" s="8"/>
      <c r="AR140" s="8"/>
      <c r="AS140" s="8"/>
      <c r="AT140" s="8"/>
      <c r="AU140" s="8"/>
      <c r="AV140" s="8"/>
      <c r="AW140" s="8"/>
      <c r="AX140" s="8"/>
    </row>
    <row r="141" spans="1:50" ht="12.75">
      <c r="A141" s="5"/>
      <c r="B141" s="5"/>
      <c r="C141" s="7"/>
      <c r="D141" s="5"/>
      <c r="E141" s="5"/>
      <c r="F141" s="8"/>
      <c r="G141" s="5"/>
      <c r="H141" s="5"/>
      <c r="I141" s="8"/>
      <c r="J141" s="5"/>
      <c r="K141" s="5"/>
      <c r="L141" s="8"/>
      <c r="M141" s="12"/>
      <c r="N141" s="12"/>
      <c r="O141" s="8"/>
      <c r="P141" s="12"/>
      <c r="Q141" s="12"/>
      <c r="R141" s="8"/>
      <c r="S141" s="12"/>
      <c r="T141" s="12"/>
      <c r="U141" s="8"/>
      <c r="V141" s="12"/>
      <c r="W141" s="12"/>
      <c r="X141" s="8"/>
      <c r="Y141" s="18"/>
      <c r="Z141" s="18"/>
      <c r="AA141" s="8"/>
      <c r="AB141" s="18"/>
      <c r="AC141" s="18"/>
      <c r="AD141" s="8"/>
      <c r="AE141" s="18"/>
      <c r="AF141" s="18"/>
      <c r="AG141" s="8"/>
      <c r="AH141" s="12"/>
      <c r="AI141" s="12"/>
      <c r="AJ141" s="8"/>
      <c r="AK141" s="12"/>
      <c r="AL141" s="12"/>
      <c r="AM141" s="8"/>
      <c r="AN141" s="8"/>
      <c r="AO141" s="18"/>
      <c r="AP141" s="18"/>
      <c r="AQ141" s="8"/>
      <c r="AR141" s="8"/>
      <c r="AS141" s="8"/>
      <c r="AT141" s="8"/>
      <c r="AU141" s="8"/>
      <c r="AV141" s="8"/>
      <c r="AW141" s="8"/>
      <c r="AX141" s="8"/>
    </row>
    <row r="142" spans="1:50" ht="12.75">
      <c r="A142" s="5"/>
      <c r="B142" s="5"/>
      <c r="C142" s="7"/>
      <c r="D142" s="5"/>
      <c r="E142" s="5"/>
      <c r="F142" s="8"/>
      <c r="G142" s="5"/>
      <c r="H142" s="5"/>
      <c r="I142" s="8"/>
      <c r="J142" s="5"/>
      <c r="K142" s="5"/>
      <c r="L142" s="8"/>
      <c r="M142" s="12"/>
      <c r="N142" s="12"/>
      <c r="O142" s="8"/>
      <c r="P142" s="12"/>
      <c r="Q142" s="12"/>
      <c r="R142" s="8"/>
      <c r="S142" s="12"/>
      <c r="T142" s="12"/>
      <c r="U142" s="8"/>
      <c r="V142" s="12"/>
      <c r="W142" s="12"/>
      <c r="X142" s="8"/>
      <c r="Y142" s="18"/>
      <c r="Z142" s="18"/>
      <c r="AA142" s="8"/>
      <c r="AB142" s="18"/>
      <c r="AC142" s="18"/>
      <c r="AD142" s="8"/>
      <c r="AE142" s="18"/>
      <c r="AF142" s="18"/>
      <c r="AG142" s="8"/>
      <c r="AH142" s="12"/>
      <c r="AI142" s="12"/>
      <c r="AJ142" s="8"/>
      <c r="AK142" s="12"/>
      <c r="AL142" s="12"/>
      <c r="AM142" s="8"/>
      <c r="AN142" s="8"/>
      <c r="AO142" s="18"/>
      <c r="AP142" s="18"/>
      <c r="AQ142" s="8"/>
      <c r="AR142" s="8"/>
      <c r="AS142" s="8"/>
      <c r="AT142" s="8"/>
      <c r="AU142" s="8"/>
      <c r="AV142" s="8"/>
      <c r="AW142" s="8"/>
      <c r="AX142" s="8"/>
    </row>
    <row r="143" spans="1:50" ht="12.75">
      <c r="A143" s="5"/>
      <c r="B143" s="5"/>
      <c r="C143" s="7"/>
      <c r="D143" s="5"/>
      <c r="E143" s="5"/>
      <c r="F143" s="8"/>
      <c r="G143" s="5"/>
      <c r="H143" s="5"/>
      <c r="I143" s="8"/>
      <c r="J143" s="5"/>
      <c r="K143" s="5"/>
      <c r="L143" s="8"/>
      <c r="M143" s="12"/>
      <c r="N143" s="12"/>
      <c r="O143" s="8"/>
      <c r="P143" s="12"/>
      <c r="Q143" s="12"/>
      <c r="R143" s="8"/>
      <c r="S143" s="12"/>
      <c r="T143" s="12"/>
      <c r="U143" s="8"/>
      <c r="V143" s="12"/>
      <c r="W143" s="12"/>
      <c r="X143" s="8"/>
      <c r="Y143" s="18"/>
      <c r="Z143" s="18"/>
      <c r="AA143" s="8"/>
      <c r="AB143" s="18"/>
      <c r="AC143" s="18"/>
      <c r="AD143" s="8"/>
      <c r="AE143" s="18"/>
      <c r="AF143" s="18"/>
      <c r="AG143" s="8"/>
      <c r="AH143" s="12"/>
      <c r="AI143" s="12"/>
      <c r="AJ143" s="8"/>
      <c r="AK143" s="12"/>
      <c r="AL143" s="12"/>
      <c r="AM143" s="8"/>
      <c r="AN143" s="8"/>
      <c r="AO143" s="18"/>
      <c r="AP143" s="18"/>
      <c r="AQ143" s="8"/>
      <c r="AR143" s="8"/>
      <c r="AS143" s="8"/>
      <c r="AT143" s="8"/>
      <c r="AU143" s="8"/>
      <c r="AV143" s="8"/>
      <c r="AW143" s="8"/>
      <c r="AX143" s="8"/>
    </row>
    <row r="144" spans="1:50" ht="12.75">
      <c r="A144" s="5"/>
      <c r="B144" s="5"/>
      <c r="C144" s="7"/>
      <c r="D144" s="5"/>
      <c r="E144" s="5"/>
      <c r="F144" s="8"/>
      <c r="G144" s="5"/>
      <c r="H144" s="5"/>
      <c r="I144" s="8"/>
      <c r="J144" s="5"/>
      <c r="K144" s="5"/>
      <c r="L144" s="8"/>
      <c r="M144" s="12"/>
      <c r="N144" s="12"/>
      <c r="O144" s="8"/>
      <c r="P144" s="12"/>
      <c r="Q144" s="12"/>
      <c r="R144" s="8"/>
      <c r="S144" s="12"/>
      <c r="T144" s="12"/>
      <c r="U144" s="8"/>
      <c r="V144" s="12"/>
      <c r="W144" s="12"/>
      <c r="X144" s="8"/>
      <c r="Y144" s="18"/>
      <c r="Z144" s="18"/>
      <c r="AA144" s="8"/>
      <c r="AB144" s="18"/>
      <c r="AC144" s="18"/>
      <c r="AD144" s="8"/>
      <c r="AE144" s="18"/>
      <c r="AF144" s="18"/>
      <c r="AG144" s="8"/>
      <c r="AH144" s="12"/>
      <c r="AI144" s="12"/>
      <c r="AJ144" s="8"/>
      <c r="AK144" s="12"/>
      <c r="AL144" s="12"/>
      <c r="AM144" s="8"/>
      <c r="AN144" s="8"/>
      <c r="AO144" s="18"/>
      <c r="AP144" s="18"/>
      <c r="AQ144" s="8"/>
      <c r="AR144" s="8"/>
      <c r="AS144" s="8"/>
      <c r="AT144" s="8"/>
      <c r="AU144" s="8"/>
      <c r="AV144" s="8"/>
      <c r="AW144" s="8"/>
      <c r="AX144" s="8"/>
    </row>
    <row r="145" spans="1:50" ht="12.75">
      <c r="A145" s="5"/>
      <c r="B145" s="5"/>
      <c r="C145" s="7"/>
      <c r="D145" s="5"/>
      <c r="E145" s="5"/>
      <c r="F145" s="8"/>
      <c r="G145" s="5"/>
      <c r="H145" s="5"/>
      <c r="I145" s="8"/>
      <c r="J145" s="5"/>
      <c r="K145" s="5"/>
      <c r="L145" s="8"/>
      <c r="M145" s="12"/>
      <c r="N145" s="12"/>
      <c r="O145" s="8"/>
      <c r="P145" s="12"/>
      <c r="Q145" s="12"/>
      <c r="R145" s="8"/>
      <c r="S145" s="12"/>
      <c r="T145" s="12"/>
      <c r="U145" s="8"/>
      <c r="V145" s="12"/>
      <c r="W145" s="12"/>
      <c r="X145" s="8"/>
      <c r="Y145" s="18"/>
      <c r="Z145" s="18"/>
      <c r="AA145" s="8"/>
      <c r="AB145" s="18"/>
      <c r="AC145" s="18"/>
      <c r="AD145" s="8"/>
      <c r="AE145" s="18"/>
      <c r="AF145" s="18"/>
      <c r="AG145" s="8"/>
      <c r="AH145" s="12"/>
      <c r="AI145" s="12"/>
      <c r="AJ145" s="8"/>
      <c r="AK145" s="12"/>
      <c r="AL145" s="12"/>
      <c r="AM145" s="8"/>
      <c r="AN145" s="8"/>
      <c r="AO145" s="18"/>
      <c r="AP145" s="18"/>
      <c r="AQ145" s="8"/>
      <c r="AR145" s="8"/>
      <c r="AS145" s="8"/>
      <c r="AT145" s="8"/>
      <c r="AU145" s="8"/>
      <c r="AV145" s="8"/>
      <c r="AW145" s="8"/>
      <c r="AX145" s="8"/>
    </row>
    <row r="146" spans="1:50" ht="12.75">
      <c r="A146" s="5"/>
      <c r="B146" s="5"/>
      <c r="C146" s="7"/>
      <c r="D146" s="5"/>
      <c r="E146" s="5"/>
      <c r="F146" s="8"/>
      <c r="G146" s="5"/>
      <c r="H146" s="5"/>
      <c r="I146" s="8"/>
      <c r="J146" s="5"/>
      <c r="K146" s="5"/>
      <c r="L146" s="8"/>
      <c r="M146" s="12"/>
      <c r="N146" s="12"/>
      <c r="O146" s="8"/>
      <c r="P146" s="12"/>
      <c r="Q146" s="12"/>
      <c r="R146" s="8"/>
      <c r="S146" s="12"/>
      <c r="T146" s="12"/>
      <c r="U146" s="8"/>
      <c r="V146" s="12"/>
      <c r="W146" s="12"/>
      <c r="X146" s="8"/>
      <c r="Y146" s="18"/>
      <c r="Z146" s="18"/>
      <c r="AA146" s="8"/>
      <c r="AB146" s="18"/>
      <c r="AC146" s="18"/>
      <c r="AD146" s="8"/>
      <c r="AE146" s="18"/>
      <c r="AF146" s="18"/>
      <c r="AG146" s="8"/>
      <c r="AH146" s="12"/>
      <c r="AI146" s="12"/>
      <c r="AJ146" s="8"/>
      <c r="AK146" s="12"/>
      <c r="AL146" s="12"/>
      <c r="AM146" s="8"/>
      <c r="AN146" s="8"/>
      <c r="AO146" s="18"/>
      <c r="AP146" s="18"/>
      <c r="AQ146" s="8"/>
      <c r="AR146" s="8"/>
      <c r="AS146" s="8"/>
      <c r="AT146" s="8"/>
      <c r="AU146" s="8"/>
      <c r="AV146" s="8"/>
      <c r="AW146" s="8"/>
      <c r="AX146" s="8"/>
    </row>
    <row r="147" spans="1:50" ht="12.75">
      <c r="A147" s="5"/>
      <c r="B147" s="5"/>
      <c r="C147" s="7"/>
      <c r="D147" s="5"/>
      <c r="E147" s="5"/>
      <c r="F147" s="8"/>
      <c r="G147" s="5"/>
      <c r="H147" s="5"/>
      <c r="I147" s="8"/>
      <c r="J147" s="5"/>
      <c r="K147" s="5"/>
      <c r="L147" s="8"/>
      <c r="M147" s="12"/>
      <c r="N147" s="12"/>
      <c r="O147" s="8"/>
      <c r="P147" s="12"/>
      <c r="Q147" s="12"/>
      <c r="R147" s="8"/>
      <c r="S147" s="12"/>
      <c r="T147" s="12"/>
      <c r="U147" s="8"/>
      <c r="V147" s="12"/>
      <c r="W147" s="12"/>
      <c r="X147" s="8"/>
      <c r="Y147" s="18"/>
      <c r="Z147" s="18"/>
      <c r="AA147" s="8"/>
      <c r="AB147" s="18"/>
      <c r="AC147" s="18"/>
      <c r="AD147" s="8"/>
      <c r="AE147" s="18"/>
      <c r="AF147" s="18"/>
      <c r="AG147" s="8"/>
      <c r="AH147" s="12"/>
      <c r="AI147" s="12"/>
      <c r="AJ147" s="8"/>
      <c r="AK147" s="12"/>
      <c r="AL147" s="12"/>
      <c r="AM147" s="8"/>
      <c r="AN147" s="8"/>
      <c r="AO147" s="18"/>
      <c r="AP147" s="18"/>
      <c r="AQ147" s="8"/>
      <c r="AR147" s="8"/>
      <c r="AS147" s="8"/>
      <c r="AT147" s="8"/>
      <c r="AU147" s="8"/>
      <c r="AV147" s="8"/>
      <c r="AW147" s="8"/>
      <c r="AX147" s="8"/>
    </row>
    <row r="148" spans="1:50" ht="12.75">
      <c r="A148" s="5"/>
      <c r="B148" s="5"/>
      <c r="C148" s="7"/>
      <c r="D148" s="5"/>
      <c r="E148" s="5"/>
      <c r="F148" s="8"/>
      <c r="G148" s="5"/>
      <c r="H148" s="5"/>
      <c r="I148" s="8"/>
      <c r="J148" s="5"/>
      <c r="K148" s="5"/>
      <c r="L148" s="8"/>
      <c r="M148" s="12"/>
      <c r="N148" s="12"/>
      <c r="O148" s="8"/>
      <c r="P148" s="12"/>
      <c r="Q148" s="12"/>
      <c r="R148" s="8"/>
      <c r="S148" s="12"/>
      <c r="T148" s="12"/>
      <c r="U148" s="8"/>
      <c r="V148" s="12"/>
      <c r="W148" s="12"/>
      <c r="X148" s="8"/>
      <c r="Y148" s="18"/>
      <c r="Z148" s="18"/>
      <c r="AA148" s="8"/>
      <c r="AB148" s="18"/>
      <c r="AC148" s="18"/>
      <c r="AD148" s="8"/>
      <c r="AE148" s="18"/>
      <c r="AF148" s="18"/>
      <c r="AG148" s="8"/>
      <c r="AH148" s="12"/>
      <c r="AI148" s="12"/>
      <c r="AJ148" s="8"/>
      <c r="AK148" s="12"/>
      <c r="AL148" s="12"/>
      <c r="AM148" s="8"/>
      <c r="AN148" s="8"/>
      <c r="AO148" s="18"/>
      <c r="AP148" s="18"/>
      <c r="AQ148" s="8"/>
      <c r="AR148" s="8"/>
      <c r="AS148" s="8"/>
      <c r="AT148" s="8"/>
      <c r="AU148" s="8"/>
      <c r="AV148" s="8"/>
      <c r="AW148" s="8"/>
      <c r="AX148" s="8"/>
    </row>
    <row r="149" spans="1:50" ht="12.75">
      <c r="A149" s="5"/>
      <c r="B149" s="5"/>
      <c r="C149" s="7"/>
      <c r="D149" s="5"/>
      <c r="E149" s="5"/>
      <c r="F149" s="8"/>
      <c r="G149" s="5"/>
      <c r="H149" s="5"/>
      <c r="I149" s="8"/>
      <c r="J149" s="5"/>
      <c r="K149" s="5"/>
      <c r="L149" s="8"/>
      <c r="M149" s="12"/>
      <c r="N149" s="12"/>
      <c r="O149" s="8"/>
      <c r="P149" s="12"/>
      <c r="Q149" s="12"/>
      <c r="R149" s="8"/>
      <c r="S149" s="12"/>
      <c r="T149" s="12"/>
      <c r="U149" s="8"/>
      <c r="V149" s="12"/>
      <c r="W149" s="12"/>
      <c r="X149" s="8"/>
      <c r="Y149" s="18"/>
      <c r="Z149" s="18"/>
      <c r="AA149" s="8"/>
      <c r="AB149" s="18"/>
      <c r="AC149" s="18"/>
      <c r="AD149" s="8"/>
      <c r="AE149" s="18"/>
      <c r="AF149" s="18"/>
      <c r="AG149" s="8"/>
      <c r="AH149" s="12"/>
      <c r="AI149" s="12"/>
      <c r="AJ149" s="8"/>
      <c r="AK149" s="12"/>
      <c r="AL149" s="12"/>
      <c r="AM149" s="8"/>
      <c r="AN149" s="8"/>
      <c r="AO149" s="18"/>
      <c r="AP149" s="18"/>
      <c r="AQ149" s="8"/>
      <c r="AR149" s="8"/>
      <c r="AS149" s="8"/>
      <c r="AT149" s="8"/>
      <c r="AU149" s="8"/>
      <c r="AV149" s="8"/>
      <c r="AW149" s="8"/>
      <c r="AX149" s="8"/>
    </row>
    <row r="150" spans="1:50" ht="12.75">
      <c r="A150" s="5"/>
      <c r="B150" s="5"/>
      <c r="C150" s="7"/>
      <c r="D150" s="5"/>
      <c r="E150" s="5"/>
      <c r="F150" s="8"/>
      <c r="G150" s="5"/>
      <c r="H150" s="5"/>
      <c r="I150" s="8"/>
      <c r="J150" s="5"/>
      <c r="K150" s="5"/>
      <c r="L150" s="8"/>
      <c r="M150" s="12"/>
      <c r="N150" s="12"/>
      <c r="O150" s="8"/>
      <c r="P150" s="12"/>
      <c r="Q150" s="12"/>
      <c r="R150" s="8"/>
      <c r="S150" s="12"/>
      <c r="T150" s="12"/>
      <c r="U150" s="8"/>
      <c r="V150" s="12"/>
      <c r="W150" s="12"/>
      <c r="X150" s="8"/>
      <c r="Y150" s="18"/>
      <c r="Z150" s="18"/>
      <c r="AA150" s="8"/>
      <c r="AB150" s="18"/>
      <c r="AC150" s="18"/>
      <c r="AD150" s="8"/>
      <c r="AE150" s="18"/>
      <c r="AF150" s="18"/>
      <c r="AG150" s="8"/>
      <c r="AH150" s="12"/>
      <c r="AI150" s="12"/>
      <c r="AJ150" s="8"/>
      <c r="AK150" s="12"/>
      <c r="AL150" s="12"/>
      <c r="AM150" s="8"/>
      <c r="AN150" s="8"/>
      <c r="AO150" s="18"/>
      <c r="AP150" s="18"/>
      <c r="AQ150" s="8"/>
      <c r="AR150" s="8"/>
      <c r="AS150" s="8"/>
      <c r="AT150" s="8"/>
      <c r="AU150" s="8"/>
      <c r="AV150" s="8"/>
      <c r="AW150" s="8"/>
      <c r="AX150" s="8"/>
    </row>
    <row r="151" spans="1:50" ht="12.75">
      <c r="A151" s="5"/>
      <c r="B151" s="5"/>
      <c r="C151" s="7"/>
      <c r="D151" s="5"/>
      <c r="E151" s="5"/>
      <c r="F151" s="8"/>
      <c r="G151" s="5"/>
      <c r="H151" s="5"/>
      <c r="I151" s="8"/>
      <c r="J151" s="5"/>
      <c r="K151" s="5"/>
      <c r="L151" s="8"/>
      <c r="M151" s="12"/>
      <c r="N151" s="12"/>
      <c r="O151" s="8"/>
      <c r="P151" s="12"/>
      <c r="Q151" s="12"/>
      <c r="R151" s="8"/>
      <c r="S151" s="12"/>
      <c r="T151" s="12"/>
      <c r="U151" s="8"/>
      <c r="V151" s="12"/>
      <c r="W151" s="12"/>
      <c r="X151" s="8"/>
      <c r="Y151" s="18"/>
      <c r="Z151" s="18"/>
      <c r="AA151" s="8"/>
      <c r="AB151" s="18"/>
      <c r="AC151" s="18"/>
      <c r="AD151" s="8"/>
      <c r="AE151" s="18"/>
      <c r="AF151" s="18"/>
      <c r="AG151" s="8"/>
      <c r="AH151" s="12"/>
      <c r="AI151" s="12"/>
      <c r="AJ151" s="8"/>
      <c r="AK151" s="12"/>
      <c r="AL151" s="12"/>
      <c r="AM151" s="8"/>
      <c r="AN151" s="8"/>
      <c r="AO151" s="18"/>
      <c r="AP151" s="18"/>
      <c r="AQ151" s="8"/>
      <c r="AR151" s="8"/>
      <c r="AS151" s="8"/>
      <c r="AT151" s="8"/>
      <c r="AU151" s="8"/>
      <c r="AV151" s="8"/>
      <c r="AW151" s="8"/>
      <c r="AX151" s="8"/>
    </row>
    <row r="152" spans="1:50" ht="12.75">
      <c r="A152" s="5"/>
      <c r="B152" s="5"/>
      <c r="C152" s="7"/>
      <c r="D152" s="5"/>
      <c r="E152" s="5"/>
      <c r="F152" s="8"/>
      <c r="G152" s="5"/>
      <c r="H152" s="5"/>
      <c r="I152" s="8"/>
      <c r="J152" s="5"/>
      <c r="K152" s="5"/>
      <c r="L152" s="8"/>
      <c r="M152" s="12"/>
      <c r="N152" s="12"/>
      <c r="O152" s="8"/>
      <c r="P152" s="12"/>
      <c r="Q152" s="12"/>
      <c r="R152" s="8"/>
      <c r="S152" s="12"/>
      <c r="T152" s="12"/>
      <c r="U152" s="8"/>
      <c r="V152" s="12"/>
      <c r="W152" s="12"/>
      <c r="X152" s="8"/>
      <c r="Y152" s="18"/>
      <c r="Z152" s="18"/>
      <c r="AA152" s="8"/>
      <c r="AB152" s="18"/>
      <c r="AC152" s="18"/>
      <c r="AD152" s="8"/>
      <c r="AE152" s="18"/>
      <c r="AF152" s="18"/>
      <c r="AG152" s="8"/>
      <c r="AH152" s="12"/>
      <c r="AI152" s="12"/>
      <c r="AJ152" s="8"/>
      <c r="AK152" s="12"/>
      <c r="AL152" s="12"/>
      <c r="AM152" s="8"/>
      <c r="AN152" s="8"/>
      <c r="AO152" s="18"/>
      <c r="AP152" s="18"/>
      <c r="AQ152" s="8"/>
      <c r="AR152" s="8"/>
      <c r="AS152" s="8"/>
      <c r="AT152" s="8"/>
      <c r="AU152" s="8"/>
      <c r="AV152" s="8"/>
      <c r="AW152" s="8"/>
      <c r="AX152" s="8"/>
    </row>
    <row r="153" spans="1:50" ht="12.75">
      <c r="A153" s="5"/>
      <c r="B153" s="5"/>
      <c r="C153" s="7"/>
      <c r="D153" s="5"/>
      <c r="E153" s="5"/>
      <c r="F153" s="8"/>
      <c r="G153" s="5"/>
      <c r="H153" s="5"/>
      <c r="I153" s="8"/>
      <c r="J153" s="5"/>
      <c r="K153" s="5"/>
      <c r="L153" s="8"/>
      <c r="M153" s="12"/>
      <c r="N153" s="12"/>
      <c r="O153" s="8"/>
      <c r="P153" s="12"/>
      <c r="Q153" s="12"/>
      <c r="R153" s="8"/>
      <c r="S153" s="12"/>
      <c r="T153" s="12"/>
      <c r="U153" s="8"/>
      <c r="V153" s="12"/>
      <c r="W153" s="12"/>
      <c r="X153" s="8"/>
      <c r="Y153" s="18"/>
      <c r="Z153" s="18"/>
      <c r="AA153" s="8"/>
      <c r="AB153" s="18"/>
      <c r="AC153" s="18"/>
      <c r="AD153" s="8"/>
      <c r="AE153" s="18"/>
      <c r="AF153" s="18"/>
      <c r="AG153" s="8"/>
      <c r="AH153" s="12"/>
      <c r="AI153" s="12"/>
      <c r="AJ153" s="8"/>
      <c r="AK153" s="12"/>
      <c r="AL153" s="12"/>
      <c r="AM153" s="8"/>
      <c r="AN153" s="8"/>
      <c r="AO153" s="18"/>
      <c r="AP153" s="18"/>
      <c r="AQ153" s="8"/>
      <c r="AR153" s="8"/>
      <c r="AS153" s="8"/>
      <c r="AT153" s="8"/>
      <c r="AU153" s="8"/>
      <c r="AV153" s="8"/>
      <c r="AW153" s="8"/>
      <c r="AX153" s="8"/>
    </row>
    <row r="154" spans="1:50" ht="12.75">
      <c r="A154" s="5"/>
      <c r="B154" s="5"/>
      <c r="C154" s="7"/>
      <c r="D154" s="5"/>
      <c r="E154" s="5"/>
      <c r="F154" s="8"/>
      <c r="G154" s="5"/>
      <c r="H154" s="5"/>
      <c r="I154" s="8"/>
      <c r="J154" s="5"/>
      <c r="K154" s="5"/>
      <c r="L154" s="8"/>
      <c r="M154" s="12"/>
      <c r="N154" s="12"/>
      <c r="O154" s="8"/>
      <c r="P154" s="12"/>
      <c r="Q154" s="12"/>
      <c r="R154" s="8"/>
      <c r="S154" s="12"/>
      <c r="T154" s="12"/>
      <c r="U154" s="8"/>
      <c r="V154" s="12"/>
      <c r="W154" s="12"/>
      <c r="X154" s="8"/>
      <c r="Y154" s="18"/>
      <c r="Z154" s="18"/>
      <c r="AA154" s="8"/>
      <c r="AB154" s="18"/>
      <c r="AC154" s="18"/>
      <c r="AD154" s="8"/>
      <c r="AE154" s="18"/>
      <c r="AF154" s="18"/>
      <c r="AG154" s="8"/>
      <c r="AH154" s="12"/>
      <c r="AI154" s="12"/>
      <c r="AJ154" s="8"/>
      <c r="AK154" s="12"/>
      <c r="AL154" s="12"/>
      <c r="AM154" s="8"/>
      <c r="AN154" s="8"/>
      <c r="AO154" s="18"/>
      <c r="AP154" s="18"/>
      <c r="AQ154" s="8"/>
      <c r="AR154" s="8"/>
      <c r="AS154" s="8"/>
      <c r="AT154" s="8"/>
      <c r="AU154" s="8"/>
      <c r="AV154" s="8"/>
      <c r="AW154" s="8"/>
      <c r="AX154" s="8"/>
    </row>
    <row r="155" spans="1:50" ht="12.75">
      <c r="A155" s="5"/>
      <c r="B155" s="5"/>
      <c r="C155" s="7"/>
      <c r="D155" s="5"/>
      <c r="E155" s="5"/>
      <c r="F155" s="8"/>
      <c r="G155" s="5"/>
      <c r="H155" s="5"/>
      <c r="I155" s="8"/>
      <c r="J155" s="5"/>
      <c r="K155" s="5"/>
      <c r="L155" s="8"/>
      <c r="M155" s="12"/>
      <c r="N155" s="12"/>
      <c r="O155" s="8"/>
      <c r="P155" s="12"/>
      <c r="Q155" s="12"/>
      <c r="R155" s="8"/>
      <c r="S155" s="12"/>
      <c r="T155" s="12"/>
      <c r="U155" s="8"/>
      <c r="V155" s="12"/>
      <c r="W155" s="12"/>
      <c r="X155" s="8"/>
      <c r="Y155" s="18"/>
      <c r="Z155" s="18"/>
      <c r="AA155" s="8"/>
      <c r="AB155" s="18"/>
      <c r="AC155" s="18"/>
      <c r="AD155" s="8"/>
      <c r="AE155" s="18"/>
      <c r="AF155" s="18"/>
      <c r="AG155" s="8"/>
      <c r="AH155" s="12"/>
      <c r="AI155" s="12"/>
      <c r="AJ155" s="8"/>
      <c r="AK155" s="12"/>
      <c r="AL155" s="12"/>
      <c r="AM155" s="8"/>
      <c r="AN155" s="8"/>
      <c r="AO155" s="18"/>
      <c r="AP155" s="18"/>
      <c r="AQ155" s="8"/>
      <c r="AR155" s="8"/>
      <c r="AS155" s="8"/>
      <c r="AT155" s="8"/>
      <c r="AU155" s="8"/>
      <c r="AV155" s="8"/>
      <c r="AW155" s="8"/>
      <c r="AX155" s="8"/>
    </row>
    <row r="156" spans="1:50" ht="12.75">
      <c r="A156" s="5"/>
      <c r="B156" s="5"/>
      <c r="C156" s="7"/>
      <c r="D156" s="5"/>
      <c r="E156" s="5"/>
      <c r="F156" s="8"/>
      <c r="G156" s="5"/>
      <c r="H156" s="5"/>
      <c r="I156" s="8"/>
      <c r="J156" s="5"/>
      <c r="K156" s="5"/>
      <c r="L156" s="8"/>
      <c r="M156" s="12"/>
      <c r="N156" s="12"/>
      <c r="O156" s="8"/>
      <c r="P156" s="12"/>
      <c r="Q156" s="12"/>
      <c r="R156" s="8"/>
      <c r="S156" s="12"/>
      <c r="T156" s="12"/>
      <c r="U156" s="8"/>
      <c r="V156" s="12"/>
      <c r="W156" s="12"/>
      <c r="X156" s="8"/>
      <c r="Y156" s="18"/>
      <c r="Z156" s="18"/>
      <c r="AA156" s="8"/>
      <c r="AB156" s="18"/>
      <c r="AC156" s="18"/>
      <c r="AD156" s="8"/>
      <c r="AE156" s="18"/>
      <c r="AF156" s="18"/>
      <c r="AG156" s="8"/>
      <c r="AH156" s="12"/>
      <c r="AI156" s="12"/>
      <c r="AJ156" s="8"/>
      <c r="AK156" s="12"/>
      <c r="AL156" s="12"/>
      <c r="AM156" s="8"/>
      <c r="AN156" s="8"/>
      <c r="AO156" s="18"/>
      <c r="AP156" s="18"/>
      <c r="AQ156" s="8"/>
      <c r="AR156" s="8"/>
      <c r="AS156" s="8"/>
      <c r="AT156" s="8"/>
      <c r="AU156" s="8"/>
      <c r="AV156" s="8"/>
      <c r="AW156" s="8"/>
      <c r="AX156" s="8"/>
    </row>
    <row r="157" spans="1:50" ht="12.75">
      <c r="A157" s="5"/>
      <c r="B157" s="5"/>
      <c r="C157" s="7"/>
      <c r="D157" s="5"/>
      <c r="E157" s="5"/>
      <c r="F157" s="8"/>
      <c r="G157" s="5"/>
      <c r="H157" s="5"/>
      <c r="I157" s="8"/>
      <c r="J157" s="5"/>
      <c r="K157" s="5"/>
      <c r="L157" s="8"/>
      <c r="M157" s="12"/>
      <c r="N157" s="12"/>
      <c r="O157" s="8"/>
      <c r="P157" s="12"/>
      <c r="Q157" s="12"/>
      <c r="R157" s="8"/>
      <c r="S157" s="12"/>
      <c r="T157" s="12"/>
      <c r="U157" s="8"/>
      <c r="V157" s="12"/>
      <c r="W157" s="12"/>
      <c r="X157" s="8"/>
      <c r="Y157" s="18"/>
      <c r="Z157" s="18"/>
      <c r="AA157" s="8"/>
      <c r="AB157" s="18"/>
      <c r="AC157" s="18"/>
      <c r="AD157" s="8"/>
      <c r="AE157" s="18"/>
      <c r="AF157" s="18"/>
      <c r="AG157" s="8"/>
      <c r="AH157" s="12"/>
      <c r="AI157" s="12"/>
      <c r="AJ157" s="8"/>
      <c r="AK157" s="12"/>
      <c r="AL157" s="12"/>
      <c r="AM157" s="8"/>
      <c r="AN157" s="8"/>
      <c r="AO157" s="18"/>
      <c r="AP157" s="18"/>
      <c r="AQ157" s="8"/>
      <c r="AR157" s="8"/>
      <c r="AS157" s="8"/>
      <c r="AT157" s="8"/>
      <c r="AU157" s="8"/>
      <c r="AV157" s="8"/>
      <c r="AW157" s="8"/>
      <c r="AX157" s="8"/>
    </row>
    <row r="158" spans="1:50" ht="12.75">
      <c r="A158" s="5"/>
      <c r="B158" s="5"/>
      <c r="C158" s="7"/>
      <c r="D158" s="5"/>
      <c r="E158" s="5"/>
      <c r="F158" s="8"/>
      <c r="G158" s="5"/>
      <c r="H158" s="5"/>
      <c r="I158" s="8"/>
      <c r="J158" s="5"/>
      <c r="K158" s="5"/>
      <c r="L158" s="8"/>
      <c r="M158" s="12"/>
      <c r="N158" s="12"/>
      <c r="O158" s="8"/>
      <c r="P158" s="12"/>
      <c r="Q158" s="12"/>
      <c r="R158" s="8"/>
      <c r="S158" s="12"/>
      <c r="T158" s="12"/>
      <c r="U158" s="8"/>
      <c r="V158" s="12"/>
      <c r="W158" s="12"/>
      <c r="X158" s="8"/>
      <c r="Y158" s="18"/>
      <c r="Z158" s="18"/>
      <c r="AA158" s="8"/>
      <c r="AB158" s="18"/>
      <c r="AC158" s="18"/>
      <c r="AD158" s="8"/>
      <c r="AE158" s="18"/>
      <c r="AF158" s="18"/>
      <c r="AG158" s="8"/>
      <c r="AH158" s="12"/>
      <c r="AI158" s="12"/>
      <c r="AJ158" s="8"/>
      <c r="AK158" s="12"/>
      <c r="AL158" s="12"/>
      <c r="AM158" s="8"/>
      <c r="AN158" s="8"/>
      <c r="AO158" s="18"/>
      <c r="AP158" s="18"/>
      <c r="AQ158" s="8"/>
      <c r="AR158" s="8"/>
      <c r="AS158" s="8"/>
      <c r="AT158" s="8"/>
      <c r="AU158" s="8"/>
      <c r="AV158" s="8"/>
      <c r="AW158" s="8"/>
      <c r="AX158" s="8"/>
    </row>
    <row r="159" spans="1:50" ht="12.75">
      <c r="A159" s="5"/>
      <c r="B159" s="5"/>
      <c r="C159" s="7"/>
      <c r="D159" s="5"/>
      <c r="E159" s="5"/>
      <c r="F159" s="8"/>
      <c r="G159" s="5"/>
      <c r="H159" s="5"/>
      <c r="I159" s="8"/>
      <c r="J159" s="5"/>
      <c r="K159" s="5"/>
      <c r="L159" s="8"/>
      <c r="M159" s="12"/>
      <c r="N159" s="12"/>
      <c r="O159" s="8"/>
      <c r="P159" s="12"/>
      <c r="Q159" s="12"/>
      <c r="R159" s="8"/>
      <c r="S159" s="12"/>
      <c r="T159" s="12"/>
      <c r="U159" s="8"/>
      <c r="V159" s="12"/>
      <c r="W159" s="12"/>
      <c r="X159" s="8"/>
      <c r="Y159" s="18"/>
      <c r="Z159" s="18"/>
      <c r="AA159" s="8"/>
      <c r="AB159" s="18"/>
      <c r="AC159" s="18"/>
      <c r="AD159" s="8"/>
      <c r="AE159" s="18"/>
      <c r="AF159" s="18"/>
      <c r="AG159" s="8"/>
      <c r="AH159" s="12"/>
      <c r="AI159" s="12"/>
      <c r="AJ159" s="8"/>
      <c r="AK159" s="12"/>
      <c r="AL159" s="12"/>
      <c r="AM159" s="8"/>
      <c r="AN159" s="8"/>
      <c r="AO159" s="18"/>
      <c r="AP159" s="18"/>
      <c r="AQ159" s="8"/>
      <c r="AR159" s="8"/>
      <c r="AS159" s="8"/>
      <c r="AT159" s="8"/>
      <c r="AU159" s="8"/>
      <c r="AV159" s="8"/>
      <c r="AW159" s="8"/>
      <c r="AX159" s="8"/>
    </row>
    <row r="160" spans="1:50" ht="12.75">
      <c r="A160" s="5"/>
      <c r="B160" s="5"/>
      <c r="C160" s="7"/>
      <c r="D160" s="5"/>
      <c r="E160" s="5"/>
      <c r="F160" s="8"/>
      <c r="G160" s="5"/>
      <c r="H160" s="5"/>
      <c r="I160" s="8"/>
      <c r="J160" s="5"/>
      <c r="K160" s="5"/>
      <c r="L160" s="8"/>
      <c r="M160" s="12"/>
      <c r="N160" s="12"/>
      <c r="O160" s="8"/>
      <c r="P160" s="12"/>
      <c r="Q160" s="12"/>
      <c r="R160" s="8"/>
      <c r="S160" s="12"/>
      <c r="T160" s="12"/>
      <c r="U160" s="8"/>
      <c r="V160" s="12"/>
      <c r="W160" s="12"/>
      <c r="X160" s="8"/>
      <c r="Y160" s="18"/>
      <c r="Z160" s="18"/>
      <c r="AA160" s="8"/>
      <c r="AB160" s="18"/>
      <c r="AC160" s="18"/>
      <c r="AD160" s="8"/>
      <c r="AE160" s="18"/>
      <c r="AF160" s="18"/>
      <c r="AG160" s="8"/>
      <c r="AH160" s="12"/>
      <c r="AI160" s="12"/>
      <c r="AJ160" s="8"/>
      <c r="AK160" s="12"/>
      <c r="AL160" s="12"/>
      <c r="AM160" s="8"/>
      <c r="AN160" s="8"/>
      <c r="AO160" s="18"/>
      <c r="AP160" s="18"/>
      <c r="AQ160" s="8"/>
      <c r="AR160" s="8"/>
      <c r="AS160" s="8"/>
      <c r="AT160" s="8"/>
      <c r="AU160" s="8"/>
      <c r="AV160" s="8"/>
      <c r="AW160" s="8"/>
      <c r="AX160" s="8"/>
    </row>
    <row r="161" spans="1:50" ht="12.75">
      <c r="A161" s="5"/>
      <c r="B161" s="5"/>
      <c r="C161" s="7"/>
      <c r="D161" s="5"/>
      <c r="E161" s="5"/>
      <c r="F161" s="8"/>
      <c r="G161" s="5"/>
      <c r="H161" s="5"/>
      <c r="I161" s="8"/>
      <c r="J161" s="5"/>
      <c r="K161" s="5"/>
      <c r="L161" s="8"/>
      <c r="M161" s="12"/>
      <c r="N161" s="12"/>
      <c r="O161" s="8"/>
      <c r="P161" s="12"/>
      <c r="Q161" s="12"/>
      <c r="R161" s="8"/>
      <c r="S161" s="12"/>
      <c r="T161" s="12"/>
      <c r="U161" s="8"/>
      <c r="V161" s="12"/>
      <c r="W161" s="12"/>
      <c r="X161" s="8"/>
      <c r="Y161" s="18"/>
      <c r="Z161" s="18"/>
      <c r="AA161" s="8"/>
      <c r="AB161" s="18"/>
      <c r="AC161" s="18"/>
      <c r="AD161" s="8"/>
      <c r="AE161" s="18"/>
      <c r="AF161" s="18"/>
      <c r="AG161" s="8"/>
      <c r="AH161" s="12"/>
      <c r="AI161" s="12"/>
      <c r="AJ161" s="8"/>
      <c r="AK161" s="12"/>
      <c r="AL161" s="12"/>
      <c r="AM161" s="8"/>
      <c r="AN161" s="8"/>
      <c r="AO161" s="18"/>
      <c r="AP161" s="18"/>
      <c r="AQ161" s="8"/>
      <c r="AR161" s="8"/>
      <c r="AS161" s="8"/>
      <c r="AT161" s="8"/>
      <c r="AU161" s="8"/>
      <c r="AV161" s="8"/>
      <c r="AW161" s="8"/>
      <c r="AX161" s="8"/>
    </row>
    <row r="162" spans="1:50" ht="12.75">
      <c r="A162" s="5"/>
      <c r="B162" s="5"/>
      <c r="C162" s="7"/>
      <c r="D162" s="5"/>
      <c r="E162" s="5"/>
      <c r="F162" s="8"/>
      <c r="G162" s="5"/>
      <c r="H162" s="5"/>
      <c r="I162" s="8"/>
      <c r="J162" s="5"/>
      <c r="K162" s="5"/>
      <c r="L162" s="8"/>
      <c r="M162" s="12"/>
      <c r="N162" s="12"/>
      <c r="O162" s="8"/>
      <c r="P162" s="12"/>
      <c r="Q162" s="12"/>
      <c r="R162" s="8"/>
      <c r="S162" s="12"/>
      <c r="T162" s="12"/>
      <c r="U162" s="8"/>
      <c r="V162" s="12"/>
      <c r="W162" s="12"/>
      <c r="X162" s="8"/>
      <c r="Y162" s="18"/>
      <c r="Z162" s="18"/>
      <c r="AA162" s="8"/>
      <c r="AB162" s="18"/>
      <c r="AC162" s="18"/>
      <c r="AD162" s="8"/>
      <c r="AE162" s="18"/>
      <c r="AF162" s="18"/>
      <c r="AG162" s="8"/>
      <c r="AH162" s="12"/>
      <c r="AI162" s="12"/>
      <c r="AJ162" s="8"/>
      <c r="AK162" s="12"/>
      <c r="AL162" s="12"/>
      <c r="AM162" s="8"/>
      <c r="AN162" s="8"/>
      <c r="AO162" s="18"/>
      <c r="AP162" s="18"/>
      <c r="AQ162" s="8"/>
      <c r="AR162" s="8"/>
      <c r="AS162" s="8"/>
      <c r="AT162" s="8"/>
      <c r="AU162" s="8"/>
      <c r="AV162" s="8"/>
      <c r="AW162" s="8"/>
      <c r="AX162" s="8"/>
    </row>
    <row r="163" spans="1:50" ht="12.75">
      <c r="A163" s="5"/>
      <c r="B163" s="5"/>
      <c r="C163" s="7"/>
      <c r="D163" s="5"/>
      <c r="E163" s="5"/>
      <c r="F163" s="8"/>
      <c r="G163" s="5"/>
      <c r="H163" s="5"/>
      <c r="I163" s="8"/>
      <c r="J163" s="5"/>
      <c r="K163" s="5"/>
      <c r="L163" s="8"/>
      <c r="M163" s="12"/>
      <c r="N163" s="12"/>
      <c r="O163" s="8"/>
      <c r="P163" s="12"/>
      <c r="Q163" s="12"/>
      <c r="R163" s="8"/>
      <c r="S163" s="12"/>
      <c r="T163" s="12"/>
      <c r="U163" s="8"/>
      <c r="V163" s="12"/>
      <c r="W163" s="12"/>
      <c r="X163" s="8"/>
      <c r="Y163" s="18"/>
      <c r="Z163" s="18"/>
      <c r="AA163" s="8"/>
      <c r="AB163" s="18"/>
      <c r="AC163" s="18"/>
      <c r="AD163" s="8"/>
      <c r="AE163" s="18"/>
      <c r="AF163" s="18"/>
      <c r="AG163" s="8"/>
      <c r="AH163" s="12"/>
      <c r="AI163" s="12"/>
      <c r="AJ163" s="8"/>
      <c r="AK163" s="12"/>
      <c r="AL163" s="12"/>
      <c r="AM163" s="8"/>
      <c r="AN163" s="8"/>
      <c r="AO163" s="18"/>
      <c r="AP163" s="18"/>
      <c r="AQ163" s="8"/>
      <c r="AR163" s="8"/>
      <c r="AS163" s="8"/>
      <c r="AT163" s="8"/>
      <c r="AU163" s="8"/>
      <c r="AV163" s="8"/>
      <c r="AW163" s="8"/>
      <c r="AX163" s="8"/>
    </row>
    <row r="164" spans="1:50" ht="12.75">
      <c r="A164" s="5"/>
      <c r="B164" s="5"/>
      <c r="C164" s="7"/>
      <c r="D164" s="5"/>
      <c r="E164" s="5"/>
      <c r="F164" s="8"/>
      <c r="G164" s="5"/>
      <c r="H164" s="5"/>
      <c r="I164" s="8"/>
      <c r="J164" s="5"/>
      <c r="K164" s="5"/>
      <c r="L164" s="8"/>
      <c r="M164" s="12"/>
      <c r="N164" s="12"/>
      <c r="O164" s="8"/>
      <c r="P164" s="12"/>
      <c r="Q164" s="12"/>
      <c r="R164" s="8"/>
      <c r="S164" s="12"/>
      <c r="T164" s="12"/>
      <c r="U164" s="8"/>
      <c r="V164" s="12"/>
      <c r="W164" s="12"/>
      <c r="X164" s="8"/>
      <c r="Y164" s="18"/>
      <c r="Z164" s="18"/>
      <c r="AA164" s="8"/>
      <c r="AB164" s="18"/>
      <c r="AC164" s="18"/>
      <c r="AD164" s="8"/>
      <c r="AE164" s="18"/>
      <c r="AF164" s="18"/>
      <c r="AG164" s="8"/>
      <c r="AH164" s="12"/>
      <c r="AI164" s="12"/>
      <c r="AJ164" s="8"/>
      <c r="AK164" s="12"/>
      <c r="AL164" s="12"/>
      <c r="AM164" s="8"/>
      <c r="AN164" s="8"/>
      <c r="AO164" s="18"/>
      <c r="AP164" s="18"/>
      <c r="AQ164" s="8"/>
      <c r="AR164" s="8"/>
      <c r="AS164" s="8"/>
      <c r="AT164" s="8"/>
      <c r="AU164" s="8"/>
      <c r="AV164" s="8"/>
      <c r="AW164" s="8"/>
      <c r="AX164" s="8"/>
    </row>
    <row r="165" spans="1:50" ht="12.75">
      <c r="A165" s="5"/>
      <c r="B165" s="5"/>
      <c r="C165" s="7"/>
      <c r="D165" s="5"/>
      <c r="E165" s="5"/>
      <c r="F165" s="8"/>
      <c r="G165" s="5"/>
      <c r="H165" s="5"/>
      <c r="I165" s="8"/>
      <c r="J165" s="5"/>
      <c r="K165" s="5"/>
      <c r="L165" s="8"/>
      <c r="M165" s="12"/>
      <c r="N165" s="12"/>
      <c r="O165" s="8"/>
      <c r="P165" s="12"/>
      <c r="Q165" s="12"/>
      <c r="R165" s="8"/>
      <c r="S165" s="12"/>
      <c r="T165" s="12"/>
      <c r="U165" s="8"/>
      <c r="V165" s="12"/>
      <c r="W165" s="12"/>
      <c r="X165" s="8"/>
      <c r="Y165" s="18"/>
      <c r="Z165" s="18"/>
      <c r="AA165" s="8"/>
      <c r="AB165" s="18"/>
      <c r="AC165" s="18"/>
      <c r="AD165" s="8"/>
      <c r="AE165" s="18"/>
      <c r="AF165" s="18"/>
      <c r="AG165" s="8"/>
      <c r="AH165" s="12"/>
      <c r="AI165" s="12"/>
      <c r="AJ165" s="8"/>
      <c r="AK165" s="12"/>
      <c r="AL165" s="12"/>
      <c r="AM165" s="8"/>
      <c r="AN165" s="8"/>
      <c r="AO165" s="18"/>
      <c r="AP165" s="18"/>
      <c r="AQ165" s="8"/>
      <c r="AR165" s="8"/>
      <c r="AS165" s="8"/>
      <c r="AT165" s="8"/>
      <c r="AU165" s="8"/>
      <c r="AV165" s="8"/>
      <c r="AW165" s="8"/>
      <c r="AX165" s="8"/>
    </row>
    <row r="166" spans="1:50" ht="12.75">
      <c r="A166" s="5"/>
      <c r="B166" s="5"/>
      <c r="C166" s="7"/>
      <c r="D166" s="5"/>
      <c r="E166" s="5"/>
      <c r="F166" s="8"/>
      <c r="G166" s="5"/>
      <c r="H166" s="5"/>
      <c r="I166" s="8"/>
      <c r="J166" s="5"/>
      <c r="K166" s="5"/>
      <c r="L166" s="8"/>
      <c r="M166" s="12"/>
      <c r="N166" s="12"/>
      <c r="O166" s="8"/>
      <c r="P166" s="12"/>
      <c r="Q166" s="12"/>
      <c r="R166" s="8"/>
      <c r="S166" s="12"/>
      <c r="T166" s="12"/>
      <c r="U166" s="8"/>
      <c r="V166" s="12"/>
      <c r="W166" s="12"/>
      <c r="X166" s="8"/>
      <c r="Y166" s="18"/>
      <c r="Z166" s="18"/>
      <c r="AA166" s="8"/>
      <c r="AB166" s="18"/>
      <c r="AC166" s="18"/>
      <c r="AD166" s="8"/>
      <c r="AE166" s="18"/>
      <c r="AF166" s="18"/>
      <c r="AG166" s="8"/>
      <c r="AH166" s="12"/>
      <c r="AI166" s="12"/>
      <c r="AJ166" s="8"/>
      <c r="AK166" s="12"/>
      <c r="AL166" s="12"/>
      <c r="AM166" s="8"/>
      <c r="AN166" s="8"/>
      <c r="AO166" s="18"/>
      <c r="AP166" s="18"/>
      <c r="AQ166" s="8"/>
      <c r="AR166" s="8"/>
      <c r="AS166" s="8"/>
      <c r="AT166" s="8"/>
      <c r="AU166" s="8"/>
      <c r="AV166" s="8"/>
      <c r="AW166" s="8"/>
      <c r="AX166" s="8"/>
    </row>
    <row r="167" spans="1:50" ht="12.75">
      <c r="A167" s="5"/>
      <c r="B167" s="5"/>
      <c r="C167" s="7"/>
      <c r="D167" s="5"/>
      <c r="E167" s="5"/>
      <c r="F167" s="8"/>
      <c r="G167" s="5"/>
      <c r="H167" s="5"/>
      <c r="I167" s="8"/>
      <c r="J167" s="5"/>
      <c r="K167" s="5"/>
      <c r="L167" s="8"/>
      <c r="M167" s="12"/>
      <c r="N167" s="12"/>
      <c r="O167" s="8"/>
      <c r="P167" s="12"/>
      <c r="Q167" s="12"/>
      <c r="R167" s="8"/>
      <c r="S167" s="12"/>
      <c r="T167" s="12"/>
      <c r="U167" s="8"/>
      <c r="V167" s="12"/>
      <c r="W167" s="12"/>
      <c r="X167" s="8"/>
      <c r="Y167" s="18"/>
      <c r="Z167" s="18"/>
      <c r="AA167" s="8"/>
      <c r="AB167" s="18"/>
      <c r="AC167" s="18"/>
      <c r="AD167" s="8"/>
      <c r="AE167" s="18"/>
      <c r="AF167" s="18"/>
      <c r="AG167" s="8"/>
      <c r="AH167" s="12"/>
      <c r="AI167" s="12"/>
      <c r="AJ167" s="8"/>
      <c r="AK167" s="12"/>
      <c r="AL167" s="12"/>
      <c r="AM167" s="8"/>
      <c r="AN167" s="8"/>
      <c r="AO167" s="18"/>
      <c r="AP167" s="18"/>
      <c r="AQ167" s="8"/>
      <c r="AR167" s="8"/>
      <c r="AS167" s="8"/>
      <c r="AT167" s="8"/>
      <c r="AU167" s="8"/>
      <c r="AV167" s="8"/>
      <c r="AW167" s="8"/>
      <c r="AX167" s="8"/>
    </row>
    <row r="168" spans="1:50" ht="12.75">
      <c r="A168" s="5"/>
      <c r="B168" s="5"/>
      <c r="C168" s="7"/>
      <c r="D168" s="5"/>
      <c r="E168" s="5"/>
      <c r="F168" s="8"/>
      <c r="G168" s="5"/>
      <c r="H168" s="5"/>
      <c r="I168" s="8"/>
      <c r="J168" s="5"/>
      <c r="K168" s="5"/>
      <c r="L168" s="8"/>
      <c r="M168" s="12"/>
      <c r="N168" s="12"/>
      <c r="O168" s="8"/>
      <c r="P168" s="12"/>
      <c r="Q168" s="12"/>
      <c r="R168" s="8"/>
      <c r="S168" s="12"/>
      <c r="T168" s="12"/>
      <c r="U168" s="8"/>
      <c r="V168" s="12"/>
      <c r="W168" s="12"/>
      <c r="X168" s="8"/>
      <c r="Y168" s="18"/>
      <c r="Z168" s="18"/>
      <c r="AA168" s="8"/>
      <c r="AB168" s="18"/>
      <c r="AC168" s="18"/>
      <c r="AD168" s="8"/>
      <c r="AE168" s="18"/>
      <c r="AF168" s="18"/>
      <c r="AG168" s="8"/>
      <c r="AH168" s="12"/>
      <c r="AI168" s="12"/>
      <c r="AJ168" s="8"/>
      <c r="AK168" s="12"/>
      <c r="AL168" s="12"/>
      <c r="AM168" s="8"/>
      <c r="AN168" s="8"/>
      <c r="AO168" s="18"/>
      <c r="AP168" s="18"/>
      <c r="AQ168" s="8"/>
      <c r="AR168" s="8"/>
      <c r="AS168" s="8"/>
      <c r="AT168" s="8"/>
      <c r="AU168" s="8"/>
      <c r="AV168" s="8"/>
      <c r="AW168" s="8"/>
      <c r="AX168" s="8"/>
    </row>
    <row r="169" spans="1:50" ht="12.75">
      <c r="A169" s="5"/>
      <c r="B169" s="5"/>
      <c r="C169" s="7"/>
      <c r="D169" s="5"/>
      <c r="E169" s="5"/>
      <c r="F169" s="8"/>
      <c r="G169" s="5"/>
      <c r="H169" s="5"/>
      <c r="I169" s="8"/>
      <c r="J169" s="5"/>
      <c r="K169" s="5"/>
      <c r="L169" s="8"/>
      <c r="M169" s="12"/>
      <c r="N169" s="12"/>
      <c r="O169" s="8"/>
      <c r="P169" s="12"/>
      <c r="Q169" s="12"/>
      <c r="R169" s="8"/>
      <c r="S169" s="12"/>
      <c r="T169" s="12"/>
      <c r="U169" s="8"/>
      <c r="V169" s="12"/>
      <c r="W169" s="12"/>
      <c r="X169" s="8"/>
      <c r="Y169" s="18"/>
      <c r="Z169" s="18"/>
      <c r="AA169" s="8"/>
      <c r="AB169" s="18"/>
      <c r="AC169" s="18"/>
      <c r="AD169" s="8"/>
      <c r="AE169" s="18"/>
      <c r="AF169" s="18"/>
      <c r="AG169" s="8"/>
      <c r="AH169" s="12"/>
      <c r="AI169" s="12"/>
      <c r="AJ169" s="8"/>
      <c r="AK169" s="12"/>
      <c r="AL169" s="12"/>
      <c r="AM169" s="8"/>
      <c r="AN169" s="8"/>
      <c r="AO169" s="18"/>
      <c r="AP169" s="18"/>
      <c r="AQ169" s="8"/>
      <c r="AR169" s="8"/>
      <c r="AS169" s="8"/>
      <c r="AT169" s="8"/>
      <c r="AU169" s="8"/>
      <c r="AV169" s="8"/>
      <c r="AW169" s="8"/>
      <c r="AX169" s="8"/>
    </row>
    <row r="170" spans="1:50" ht="12.75">
      <c r="A170" s="5"/>
      <c r="B170" s="5"/>
      <c r="C170" s="7"/>
      <c r="D170" s="5"/>
      <c r="E170" s="5"/>
      <c r="F170" s="8"/>
      <c r="G170" s="5"/>
      <c r="H170" s="5"/>
      <c r="I170" s="8"/>
      <c r="J170" s="5"/>
      <c r="K170" s="5"/>
      <c r="L170" s="8"/>
      <c r="M170" s="12"/>
      <c r="N170" s="12"/>
      <c r="O170" s="8"/>
      <c r="P170" s="12"/>
      <c r="Q170" s="12"/>
      <c r="R170" s="8"/>
      <c r="S170" s="12"/>
      <c r="T170" s="12"/>
      <c r="U170" s="8"/>
      <c r="V170" s="12"/>
      <c r="W170" s="12"/>
      <c r="X170" s="8"/>
      <c r="Y170" s="18"/>
      <c r="Z170" s="18"/>
      <c r="AA170" s="8"/>
      <c r="AB170" s="18"/>
      <c r="AC170" s="18"/>
      <c r="AD170" s="8"/>
      <c r="AE170" s="18"/>
      <c r="AF170" s="18"/>
      <c r="AG170" s="8"/>
      <c r="AH170" s="12"/>
      <c r="AI170" s="12"/>
      <c r="AJ170" s="8"/>
      <c r="AK170" s="12"/>
      <c r="AL170" s="12"/>
      <c r="AM170" s="8"/>
      <c r="AN170" s="8"/>
      <c r="AO170" s="18"/>
      <c r="AP170" s="18"/>
      <c r="AQ170" s="8"/>
      <c r="AR170" s="8"/>
      <c r="AS170" s="8"/>
      <c r="AT170" s="8"/>
      <c r="AU170" s="8"/>
      <c r="AV170" s="8"/>
      <c r="AW170" s="8"/>
      <c r="AX170" s="8"/>
    </row>
    <row r="171" spans="1:50" ht="12.75">
      <c r="A171" s="5"/>
      <c r="B171" s="5"/>
      <c r="C171" s="7"/>
      <c r="D171" s="5"/>
      <c r="E171" s="5"/>
      <c r="F171" s="8"/>
      <c r="G171" s="5"/>
      <c r="H171" s="5"/>
      <c r="I171" s="8"/>
      <c r="J171" s="5"/>
      <c r="K171" s="5"/>
      <c r="L171" s="8"/>
      <c r="M171" s="12"/>
      <c r="N171" s="12"/>
      <c r="O171" s="8"/>
      <c r="P171" s="12"/>
      <c r="Q171" s="12"/>
      <c r="R171" s="8"/>
      <c r="S171" s="12"/>
      <c r="T171" s="12"/>
      <c r="U171" s="8"/>
      <c r="V171" s="12"/>
      <c r="W171" s="12"/>
      <c r="X171" s="8"/>
      <c r="Y171" s="18"/>
      <c r="Z171" s="18"/>
      <c r="AA171" s="8"/>
      <c r="AB171" s="18"/>
      <c r="AC171" s="18"/>
      <c r="AD171" s="8"/>
      <c r="AE171" s="18"/>
      <c r="AF171" s="18"/>
      <c r="AG171" s="8"/>
      <c r="AH171" s="12"/>
      <c r="AI171" s="12"/>
      <c r="AJ171" s="8"/>
      <c r="AK171" s="12"/>
      <c r="AL171" s="12"/>
      <c r="AM171" s="8"/>
      <c r="AN171" s="8"/>
      <c r="AO171" s="18"/>
      <c r="AP171" s="18"/>
      <c r="AQ171" s="8"/>
      <c r="AR171" s="8"/>
      <c r="AS171" s="8"/>
      <c r="AT171" s="8"/>
      <c r="AU171" s="8"/>
      <c r="AV171" s="8"/>
      <c r="AW171" s="8"/>
      <c r="AX171" s="8"/>
    </row>
    <row r="172" spans="1:50" ht="12.75">
      <c r="A172" s="5"/>
      <c r="B172" s="5"/>
      <c r="C172" s="7"/>
      <c r="D172" s="5"/>
      <c r="E172" s="5"/>
      <c r="F172" s="8"/>
      <c r="G172" s="5"/>
      <c r="H172" s="5"/>
      <c r="I172" s="8"/>
      <c r="J172" s="5"/>
      <c r="K172" s="5"/>
      <c r="L172" s="8"/>
      <c r="M172" s="12"/>
      <c r="N172" s="12"/>
      <c r="O172" s="8"/>
      <c r="P172" s="12"/>
      <c r="Q172" s="12"/>
      <c r="R172" s="8"/>
      <c r="S172" s="12"/>
      <c r="T172" s="12"/>
      <c r="U172" s="8"/>
      <c r="V172" s="12"/>
      <c r="W172" s="12"/>
      <c r="X172" s="8"/>
      <c r="Y172" s="18"/>
      <c r="Z172" s="18"/>
      <c r="AA172" s="8"/>
      <c r="AB172" s="18"/>
      <c r="AC172" s="18"/>
      <c r="AD172" s="8"/>
      <c r="AE172" s="18"/>
      <c r="AF172" s="18"/>
      <c r="AG172" s="8"/>
      <c r="AH172" s="12"/>
      <c r="AI172" s="12"/>
      <c r="AJ172" s="8"/>
      <c r="AK172" s="12"/>
      <c r="AL172" s="12"/>
      <c r="AM172" s="8"/>
      <c r="AN172" s="8"/>
      <c r="AO172" s="18"/>
      <c r="AP172" s="18"/>
      <c r="AQ172" s="8"/>
      <c r="AR172" s="8"/>
      <c r="AS172" s="8"/>
      <c r="AT172" s="8"/>
      <c r="AU172" s="8"/>
      <c r="AV172" s="8"/>
      <c r="AW172" s="8"/>
      <c r="AX172" s="8"/>
    </row>
    <row r="173" spans="1:50" ht="12.75">
      <c r="A173" s="5"/>
      <c r="B173" s="5"/>
      <c r="C173" s="7"/>
      <c r="D173" s="5"/>
      <c r="E173" s="5"/>
      <c r="F173" s="8"/>
      <c r="G173" s="5"/>
      <c r="H173" s="5"/>
      <c r="I173" s="8"/>
      <c r="J173" s="5"/>
      <c r="K173" s="5"/>
      <c r="L173" s="8"/>
      <c r="M173" s="12"/>
      <c r="N173" s="12"/>
      <c r="O173" s="8"/>
      <c r="P173" s="12"/>
      <c r="Q173" s="12"/>
      <c r="R173" s="8"/>
      <c r="S173" s="12"/>
      <c r="T173" s="12"/>
      <c r="U173" s="8"/>
      <c r="V173" s="12"/>
      <c r="W173" s="12"/>
      <c r="X173" s="8"/>
      <c r="Y173" s="18"/>
      <c r="Z173" s="18"/>
      <c r="AA173" s="8"/>
      <c r="AB173" s="18"/>
      <c r="AC173" s="18"/>
      <c r="AD173" s="8"/>
      <c r="AE173" s="18"/>
      <c r="AF173" s="18"/>
      <c r="AG173" s="8"/>
      <c r="AH173" s="12"/>
      <c r="AI173" s="12"/>
      <c r="AJ173" s="8"/>
      <c r="AK173" s="12"/>
      <c r="AL173" s="12"/>
      <c r="AM173" s="8"/>
      <c r="AN173" s="8"/>
      <c r="AO173" s="18"/>
      <c r="AP173" s="18"/>
      <c r="AQ173" s="8"/>
      <c r="AR173" s="8"/>
      <c r="AS173" s="8"/>
      <c r="AT173" s="8"/>
      <c r="AU173" s="8"/>
      <c r="AV173" s="8"/>
      <c r="AW173" s="8"/>
      <c r="AX173" s="8"/>
    </row>
    <row r="174" spans="1:50" ht="12.75">
      <c r="A174" s="5"/>
      <c r="B174" s="5"/>
      <c r="C174" s="7"/>
      <c r="D174" s="5"/>
      <c r="E174" s="5"/>
      <c r="F174" s="8"/>
      <c r="G174" s="5"/>
      <c r="H174" s="5"/>
      <c r="I174" s="8"/>
      <c r="J174" s="5"/>
      <c r="K174" s="5"/>
      <c r="L174" s="8"/>
      <c r="M174" s="12"/>
      <c r="N174" s="12"/>
      <c r="O174" s="8"/>
      <c r="P174" s="12"/>
      <c r="Q174" s="12"/>
      <c r="R174" s="8"/>
      <c r="S174" s="12"/>
      <c r="T174" s="12"/>
      <c r="U174" s="8"/>
      <c r="V174" s="12"/>
      <c r="W174" s="12"/>
      <c r="X174" s="8"/>
      <c r="Y174" s="18"/>
      <c r="Z174" s="18"/>
      <c r="AA174" s="8"/>
      <c r="AB174" s="18"/>
      <c r="AC174" s="18"/>
      <c r="AD174" s="8"/>
      <c r="AE174" s="18"/>
      <c r="AF174" s="18"/>
      <c r="AG174" s="8"/>
      <c r="AH174" s="12"/>
      <c r="AI174" s="12"/>
      <c r="AJ174" s="8"/>
      <c r="AK174" s="12"/>
      <c r="AL174" s="12"/>
      <c r="AM174" s="8"/>
      <c r="AN174" s="8"/>
      <c r="AO174" s="18"/>
      <c r="AP174" s="18"/>
      <c r="AQ174" s="8"/>
      <c r="AR174" s="8"/>
      <c r="AS174" s="8"/>
      <c r="AT174" s="8"/>
      <c r="AU174" s="8"/>
      <c r="AV174" s="8"/>
      <c r="AW174" s="8"/>
      <c r="AX174" s="8"/>
    </row>
    <row r="175" spans="1:50" ht="12.75">
      <c r="A175" s="5"/>
      <c r="B175" s="5"/>
      <c r="C175" s="7"/>
      <c r="D175" s="5"/>
      <c r="E175" s="5"/>
      <c r="F175" s="8"/>
      <c r="G175" s="5"/>
      <c r="H175" s="5"/>
      <c r="I175" s="8"/>
      <c r="J175" s="5"/>
      <c r="K175" s="5"/>
      <c r="L175" s="8"/>
      <c r="M175" s="12"/>
      <c r="N175" s="12"/>
      <c r="O175" s="8"/>
      <c r="P175" s="12"/>
      <c r="Q175" s="12"/>
      <c r="R175" s="8"/>
      <c r="S175" s="12"/>
      <c r="T175" s="12"/>
      <c r="U175" s="8"/>
      <c r="V175" s="12"/>
      <c r="W175" s="12"/>
      <c r="X175" s="8"/>
      <c r="Y175" s="18"/>
      <c r="Z175" s="18"/>
      <c r="AA175" s="8"/>
      <c r="AB175" s="18"/>
      <c r="AC175" s="18"/>
      <c r="AD175" s="8"/>
      <c r="AE175" s="18"/>
      <c r="AF175" s="18"/>
      <c r="AG175" s="8"/>
      <c r="AH175" s="12"/>
      <c r="AI175" s="12"/>
      <c r="AJ175" s="8"/>
      <c r="AK175" s="12"/>
      <c r="AL175" s="12"/>
      <c r="AM175" s="8"/>
      <c r="AN175" s="8"/>
      <c r="AO175" s="18"/>
      <c r="AP175" s="18"/>
      <c r="AQ175" s="8"/>
      <c r="AR175" s="8"/>
      <c r="AS175" s="8"/>
      <c r="AT175" s="8"/>
      <c r="AU175" s="8"/>
      <c r="AV175" s="8"/>
      <c r="AW175" s="8"/>
      <c r="AX175" s="8"/>
    </row>
    <row r="176" spans="1:50" ht="12.75">
      <c r="A176" s="5"/>
      <c r="B176" s="5"/>
      <c r="C176" s="7"/>
      <c r="D176" s="5"/>
      <c r="E176" s="5"/>
      <c r="F176" s="8"/>
      <c r="G176" s="5"/>
      <c r="H176" s="5"/>
      <c r="I176" s="8"/>
      <c r="J176" s="5"/>
      <c r="K176" s="5"/>
      <c r="L176" s="8"/>
      <c r="M176" s="12"/>
      <c r="N176" s="12"/>
      <c r="O176" s="8"/>
      <c r="P176" s="12"/>
      <c r="Q176" s="12"/>
      <c r="R176" s="8"/>
      <c r="S176" s="12"/>
      <c r="T176" s="12"/>
      <c r="U176" s="8"/>
      <c r="V176" s="12"/>
      <c r="W176" s="12"/>
      <c r="X176" s="8"/>
      <c r="Y176" s="18"/>
      <c r="Z176" s="18"/>
      <c r="AA176" s="8"/>
      <c r="AB176" s="18"/>
      <c r="AC176" s="18"/>
      <c r="AD176" s="8"/>
      <c r="AE176" s="18"/>
      <c r="AF176" s="18"/>
      <c r="AG176" s="8"/>
      <c r="AH176" s="12"/>
      <c r="AI176" s="12"/>
      <c r="AJ176" s="8"/>
      <c r="AK176" s="12"/>
      <c r="AL176" s="12"/>
      <c r="AM176" s="8"/>
      <c r="AN176" s="8"/>
      <c r="AO176" s="18"/>
      <c r="AP176" s="18"/>
      <c r="AQ176" s="8"/>
      <c r="AR176" s="8"/>
      <c r="AS176" s="8"/>
      <c r="AT176" s="8"/>
      <c r="AU176" s="8"/>
      <c r="AV176" s="8"/>
      <c r="AW176" s="8"/>
      <c r="AX176" s="8"/>
    </row>
    <row r="177" spans="1:50" ht="12.75">
      <c r="A177" s="5"/>
      <c r="B177" s="5"/>
      <c r="C177" s="7"/>
      <c r="D177" s="5"/>
      <c r="E177" s="5"/>
      <c r="F177" s="8"/>
      <c r="G177" s="5"/>
      <c r="H177" s="5"/>
      <c r="I177" s="8"/>
      <c r="J177" s="5"/>
      <c r="K177" s="5"/>
      <c r="L177" s="8"/>
      <c r="M177" s="12"/>
      <c r="N177" s="12"/>
      <c r="O177" s="8"/>
      <c r="P177" s="12"/>
      <c r="Q177" s="12"/>
      <c r="R177" s="8"/>
      <c r="S177" s="12"/>
      <c r="T177" s="12"/>
      <c r="U177" s="8"/>
      <c r="V177" s="12"/>
      <c r="W177" s="12"/>
      <c r="X177" s="8"/>
      <c r="Y177" s="18"/>
      <c r="Z177" s="18"/>
      <c r="AA177" s="8"/>
      <c r="AB177" s="18"/>
      <c r="AC177" s="18"/>
      <c r="AD177" s="8"/>
      <c r="AE177" s="18"/>
      <c r="AF177" s="18"/>
      <c r="AG177" s="8"/>
      <c r="AH177" s="12"/>
      <c r="AI177" s="12"/>
      <c r="AJ177" s="8"/>
      <c r="AK177" s="12"/>
      <c r="AL177" s="12"/>
      <c r="AM177" s="8"/>
      <c r="AN177" s="8"/>
      <c r="AO177" s="18"/>
      <c r="AP177" s="18"/>
      <c r="AQ177" s="8"/>
      <c r="AR177" s="8"/>
      <c r="AS177" s="8"/>
      <c r="AT177" s="8"/>
      <c r="AU177" s="8"/>
      <c r="AV177" s="8"/>
      <c r="AW177" s="8"/>
      <c r="AX177" s="8"/>
    </row>
    <row r="178" spans="1:50" ht="12.75">
      <c r="A178" s="5"/>
      <c r="B178" s="5"/>
      <c r="C178" s="7"/>
      <c r="D178" s="5"/>
      <c r="E178" s="5"/>
      <c r="F178" s="8"/>
      <c r="G178" s="5"/>
      <c r="H178" s="5"/>
      <c r="I178" s="8"/>
      <c r="J178" s="5"/>
      <c r="K178" s="5"/>
      <c r="L178" s="8"/>
      <c r="M178" s="12"/>
      <c r="N178" s="12"/>
      <c r="O178" s="8"/>
      <c r="P178" s="12"/>
      <c r="Q178" s="12"/>
      <c r="R178" s="8"/>
      <c r="S178" s="12"/>
      <c r="T178" s="12"/>
      <c r="U178" s="8"/>
      <c r="V178" s="12"/>
      <c r="W178" s="12"/>
      <c r="X178" s="8"/>
      <c r="Y178" s="18"/>
      <c r="Z178" s="18"/>
      <c r="AA178" s="8"/>
      <c r="AB178" s="18"/>
      <c r="AC178" s="18"/>
      <c r="AD178" s="8"/>
      <c r="AE178" s="18"/>
      <c r="AF178" s="18"/>
      <c r="AG178" s="8"/>
      <c r="AH178" s="12"/>
      <c r="AI178" s="12"/>
      <c r="AJ178" s="8"/>
      <c r="AK178" s="12"/>
      <c r="AL178" s="12"/>
      <c r="AM178" s="8"/>
      <c r="AN178" s="8"/>
      <c r="AO178" s="18"/>
      <c r="AP178" s="18"/>
      <c r="AQ178" s="8"/>
      <c r="AR178" s="8"/>
      <c r="AS178" s="8"/>
      <c r="AT178" s="8"/>
      <c r="AU178" s="8"/>
      <c r="AV178" s="8"/>
      <c r="AW178" s="8"/>
      <c r="AX178" s="8"/>
    </row>
    <row r="179" spans="1:50" ht="12.75">
      <c r="A179" s="5"/>
      <c r="B179" s="5"/>
      <c r="C179" s="7"/>
      <c r="D179" s="5"/>
      <c r="E179" s="5"/>
      <c r="F179" s="8"/>
      <c r="G179" s="5"/>
      <c r="H179" s="5"/>
      <c r="I179" s="8"/>
      <c r="J179" s="5"/>
      <c r="K179" s="5"/>
      <c r="L179" s="8"/>
      <c r="M179" s="12"/>
      <c r="N179" s="12"/>
      <c r="O179" s="8"/>
      <c r="P179" s="12"/>
      <c r="Q179" s="12"/>
      <c r="R179" s="8"/>
      <c r="S179" s="12"/>
      <c r="T179" s="12"/>
      <c r="U179" s="8"/>
      <c r="V179" s="12"/>
      <c r="W179" s="12"/>
      <c r="X179" s="8"/>
      <c r="Y179" s="18"/>
      <c r="Z179" s="18"/>
      <c r="AA179" s="8"/>
      <c r="AB179" s="18"/>
      <c r="AC179" s="18"/>
      <c r="AD179" s="8"/>
      <c r="AE179" s="18"/>
      <c r="AF179" s="18"/>
      <c r="AG179" s="8"/>
      <c r="AH179" s="12"/>
      <c r="AI179" s="12"/>
      <c r="AJ179" s="8"/>
      <c r="AK179" s="12"/>
      <c r="AL179" s="12"/>
      <c r="AM179" s="8"/>
      <c r="AN179" s="8"/>
      <c r="AO179" s="18"/>
      <c r="AP179" s="18"/>
      <c r="AQ179" s="8"/>
      <c r="AR179" s="8"/>
      <c r="AS179" s="8"/>
      <c r="AT179" s="8"/>
      <c r="AU179" s="8"/>
      <c r="AV179" s="8"/>
      <c r="AW179" s="8"/>
      <c r="AX179" s="8"/>
    </row>
    <row r="180" spans="1:50" ht="12.75">
      <c r="A180" s="5"/>
      <c r="B180" s="5"/>
      <c r="C180" s="7"/>
      <c r="D180" s="5"/>
      <c r="E180" s="5"/>
      <c r="F180" s="8"/>
      <c r="G180" s="5"/>
      <c r="H180" s="5"/>
      <c r="I180" s="8"/>
      <c r="J180" s="5"/>
      <c r="K180" s="5"/>
      <c r="L180" s="8"/>
      <c r="M180" s="12"/>
      <c r="N180" s="12"/>
      <c r="O180" s="8"/>
      <c r="P180" s="12"/>
      <c r="Q180" s="12"/>
      <c r="R180" s="8"/>
      <c r="S180" s="12"/>
      <c r="T180" s="12"/>
      <c r="U180" s="8"/>
      <c r="V180" s="12"/>
      <c r="W180" s="12"/>
      <c r="X180" s="8"/>
      <c r="Y180" s="18"/>
      <c r="Z180" s="18"/>
      <c r="AA180" s="8"/>
      <c r="AB180" s="18"/>
      <c r="AC180" s="18"/>
      <c r="AD180" s="8"/>
      <c r="AE180" s="18"/>
      <c r="AF180" s="18"/>
      <c r="AG180" s="8"/>
      <c r="AH180" s="12"/>
      <c r="AI180" s="12"/>
      <c r="AJ180" s="8"/>
      <c r="AK180" s="12"/>
      <c r="AL180" s="12"/>
      <c r="AM180" s="8"/>
      <c r="AN180" s="8"/>
      <c r="AO180" s="18"/>
      <c r="AP180" s="18"/>
      <c r="AQ180" s="8"/>
      <c r="AR180" s="8"/>
      <c r="AS180" s="8"/>
      <c r="AT180" s="8"/>
      <c r="AU180" s="8"/>
      <c r="AV180" s="8"/>
      <c r="AW180" s="8"/>
      <c r="AX180" s="8"/>
    </row>
    <row r="181" spans="1:50" ht="12.75">
      <c r="A181" s="5"/>
      <c r="B181" s="5"/>
      <c r="C181" s="7"/>
      <c r="D181" s="5"/>
      <c r="E181" s="5"/>
      <c r="F181" s="8"/>
      <c r="G181" s="5"/>
      <c r="H181" s="5"/>
      <c r="I181" s="8"/>
      <c r="J181" s="5"/>
      <c r="K181" s="5"/>
      <c r="L181" s="8"/>
      <c r="M181" s="12"/>
      <c r="N181" s="12"/>
      <c r="O181" s="8"/>
      <c r="P181" s="12"/>
      <c r="Q181" s="12"/>
      <c r="R181" s="8"/>
      <c r="S181" s="12"/>
      <c r="T181" s="12"/>
      <c r="U181" s="8"/>
      <c r="V181" s="12"/>
      <c r="W181" s="12"/>
      <c r="X181" s="8"/>
      <c r="Y181" s="18"/>
      <c r="Z181" s="18"/>
      <c r="AA181" s="8"/>
      <c r="AB181" s="18"/>
      <c r="AC181" s="18"/>
      <c r="AD181" s="8"/>
      <c r="AE181" s="18"/>
      <c r="AF181" s="18"/>
      <c r="AG181" s="8"/>
      <c r="AH181" s="12"/>
      <c r="AI181" s="12"/>
      <c r="AJ181" s="8"/>
      <c r="AK181" s="12"/>
      <c r="AL181" s="12"/>
      <c r="AM181" s="8"/>
      <c r="AN181" s="8"/>
      <c r="AO181" s="18"/>
      <c r="AP181" s="18"/>
      <c r="AQ181" s="8"/>
      <c r="AR181" s="8"/>
      <c r="AS181" s="8"/>
      <c r="AT181" s="8"/>
      <c r="AU181" s="8"/>
      <c r="AV181" s="8"/>
      <c r="AW181" s="8"/>
      <c r="AX181" s="8"/>
    </row>
    <row r="182" spans="1:50" ht="12.75">
      <c r="A182" s="5"/>
      <c r="B182" s="5"/>
      <c r="C182" s="7"/>
      <c r="D182" s="5"/>
      <c r="E182" s="5"/>
      <c r="F182" s="8"/>
      <c r="G182" s="5"/>
      <c r="H182" s="5"/>
      <c r="I182" s="8"/>
      <c r="J182" s="5"/>
      <c r="K182" s="5"/>
      <c r="L182" s="8"/>
      <c r="M182" s="12"/>
      <c r="N182" s="12"/>
      <c r="O182" s="8"/>
      <c r="P182" s="12"/>
      <c r="Q182" s="12"/>
      <c r="R182" s="8"/>
      <c r="S182" s="12"/>
      <c r="T182" s="12"/>
      <c r="U182" s="8"/>
      <c r="V182" s="12"/>
      <c r="W182" s="12"/>
      <c r="X182" s="8"/>
      <c r="Y182" s="18"/>
      <c r="Z182" s="18"/>
      <c r="AA182" s="8"/>
      <c r="AB182" s="18"/>
      <c r="AC182" s="18"/>
      <c r="AD182" s="8"/>
      <c r="AE182" s="18"/>
      <c r="AF182" s="18"/>
      <c r="AG182" s="8"/>
      <c r="AH182" s="12"/>
      <c r="AI182" s="12"/>
      <c r="AJ182" s="8"/>
      <c r="AK182" s="12"/>
      <c r="AL182" s="12"/>
      <c r="AM182" s="8"/>
      <c r="AN182" s="8"/>
      <c r="AO182" s="18"/>
      <c r="AP182" s="18"/>
      <c r="AQ182" s="8"/>
      <c r="AR182" s="8"/>
      <c r="AS182" s="8"/>
      <c r="AT182" s="8"/>
      <c r="AU182" s="8"/>
      <c r="AV182" s="8"/>
      <c r="AW182" s="8"/>
      <c r="AX182" s="8"/>
    </row>
    <row r="183" spans="1:50" ht="12.75">
      <c r="A183" s="5"/>
      <c r="B183" s="5"/>
      <c r="C183" s="7"/>
      <c r="D183" s="5"/>
      <c r="E183" s="5"/>
      <c r="F183" s="8"/>
      <c r="G183" s="5"/>
      <c r="H183" s="5"/>
      <c r="I183" s="8"/>
      <c r="J183" s="5"/>
      <c r="K183" s="5"/>
      <c r="L183" s="8"/>
      <c r="M183" s="12"/>
      <c r="N183" s="12"/>
      <c r="O183" s="8"/>
      <c r="P183" s="12"/>
      <c r="Q183" s="12"/>
      <c r="R183" s="8"/>
      <c r="S183" s="12"/>
      <c r="T183" s="12"/>
      <c r="U183" s="8"/>
      <c r="V183" s="12"/>
      <c r="W183" s="12"/>
      <c r="X183" s="8"/>
      <c r="Y183" s="18"/>
      <c r="Z183" s="18"/>
      <c r="AA183" s="8"/>
      <c r="AB183" s="18"/>
      <c r="AC183" s="18"/>
      <c r="AD183" s="8"/>
      <c r="AE183" s="18"/>
      <c r="AF183" s="18"/>
      <c r="AG183" s="8"/>
      <c r="AH183" s="12"/>
      <c r="AI183" s="12"/>
      <c r="AJ183" s="8"/>
      <c r="AK183" s="12"/>
      <c r="AL183" s="12"/>
      <c r="AM183" s="8"/>
      <c r="AN183" s="8"/>
      <c r="AO183" s="18"/>
      <c r="AP183" s="18"/>
      <c r="AQ183" s="8"/>
      <c r="AR183" s="8"/>
      <c r="AS183" s="8"/>
      <c r="AT183" s="8"/>
      <c r="AU183" s="8"/>
      <c r="AV183" s="8"/>
      <c r="AW183" s="8"/>
      <c r="AX183" s="8"/>
    </row>
    <row r="184" spans="1:50" ht="12.75">
      <c r="A184" s="5"/>
      <c r="B184" s="5"/>
      <c r="C184" s="7"/>
      <c r="D184" s="5"/>
      <c r="E184" s="5"/>
      <c r="F184" s="8"/>
      <c r="G184" s="5"/>
      <c r="H184" s="5"/>
      <c r="I184" s="8"/>
      <c r="J184" s="5"/>
      <c r="K184" s="5"/>
      <c r="L184" s="8"/>
      <c r="M184" s="12"/>
      <c r="N184" s="12"/>
      <c r="O184" s="8"/>
      <c r="P184" s="12"/>
      <c r="Q184" s="12"/>
      <c r="R184" s="8"/>
      <c r="S184" s="12"/>
      <c r="T184" s="12"/>
      <c r="U184" s="8"/>
      <c r="V184" s="12"/>
      <c r="W184" s="12"/>
      <c r="X184" s="8"/>
      <c r="Y184" s="18"/>
      <c r="Z184" s="18"/>
      <c r="AA184" s="8"/>
      <c r="AB184" s="18"/>
      <c r="AC184" s="18"/>
      <c r="AD184" s="8"/>
      <c r="AE184" s="18"/>
      <c r="AF184" s="18"/>
      <c r="AG184" s="8"/>
      <c r="AH184" s="12"/>
      <c r="AI184" s="12"/>
      <c r="AJ184" s="8"/>
      <c r="AK184" s="12"/>
      <c r="AL184" s="12"/>
      <c r="AM184" s="8"/>
      <c r="AN184" s="8"/>
      <c r="AO184" s="18"/>
      <c r="AP184" s="18"/>
      <c r="AQ184" s="8"/>
      <c r="AR184" s="8"/>
      <c r="AS184" s="8"/>
      <c r="AT184" s="8"/>
      <c r="AU184" s="8"/>
      <c r="AV184" s="8"/>
      <c r="AW184" s="8"/>
      <c r="AX184" s="8"/>
    </row>
    <row r="185" spans="1:50" ht="12.75">
      <c r="A185" s="5"/>
      <c r="B185" s="5"/>
      <c r="C185" s="7"/>
      <c r="D185" s="5"/>
      <c r="E185" s="5"/>
      <c r="F185" s="8"/>
      <c r="G185" s="5"/>
      <c r="H185" s="5"/>
      <c r="I185" s="8"/>
      <c r="J185" s="5"/>
      <c r="K185" s="5"/>
      <c r="L185" s="8"/>
      <c r="M185" s="12"/>
      <c r="N185" s="12"/>
      <c r="O185" s="8"/>
      <c r="P185" s="12"/>
      <c r="Q185" s="12"/>
      <c r="R185" s="8"/>
      <c r="S185" s="12"/>
      <c r="T185" s="12"/>
      <c r="U185" s="8"/>
      <c r="V185" s="12"/>
      <c r="W185" s="12"/>
      <c r="X185" s="8"/>
      <c r="Y185" s="18"/>
      <c r="Z185" s="18"/>
      <c r="AA185" s="8"/>
      <c r="AB185" s="18"/>
      <c r="AC185" s="18"/>
      <c r="AD185" s="8"/>
      <c r="AE185" s="18"/>
      <c r="AF185" s="18"/>
      <c r="AG185" s="8"/>
      <c r="AH185" s="12"/>
      <c r="AI185" s="12"/>
      <c r="AJ185" s="8"/>
      <c r="AK185" s="12"/>
      <c r="AL185" s="12"/>
      <c r="AM185" s="8"/>
      <c r="AN185" s="8"/>
      <c r="AO185" s="18"/>
      <c r="AP185" s="18"/>
      <c r="AQ185" s="8"/>
      <c r="AR185" s="8"/>
      <c r="AS185" s="8"/>
      <c r="AT185" s="8"/>
      <c r="AU185" s="8"/>
      <c r="AV185" s="8"/>
      <c r="AW185" s="8"/>
      <c r="AX185" s="8"/>
    </row>
    <row r="186" spans="1:50" ht="12.75">
      <c r="A186" s="5"/>
      <c r="B186" s="5"/>
      <c r="C186" s="7"/>
      <c r="D186" s="5"/>
      <c r="E186" s="5"/>
      <c r="F186" s="8"/>
      <c r="G186" s="5"/>
      <c r="H186" s="5"/>
      <c r="I186" s="8"/>
      <c r="J186" s="5"/>
      <c r="K186" s="5"/>
      <c r="L186" s="8"/>
      <c r="M186" s="12"/>
      <c r="N186" s="12"/>
      <c r="O186" s="8"/>
      <c r="P186" s="12"/>
      <c r="Q186" s="12"/>
      <c r="R186" s="8"/>
      <c r="S186" s="12"/>
      <c r="T186" s="12"/>
      <c r="U186" s="8"/>
      <c r="V186" s="12"/>
      <c r="W186" s="12"/>
      <c r="X186" s="8"/>
      <c r="Y186" s="18"/>
      <c r="Z186" s="18"/>
      <c r="AA186" s="8"/>
      <c r="AB186" s="18"/>
      <c r="AC186" s="18"/>
      <c r="AD186" s="8"/>
      <c r="AE186" s="18"/>
      <c r="AF186" s="18"/>
      <c r="AG186" s="8"/>
      <c r="AH186" s="12"/>
      <c r="AI186" s="12"/>
      <c r="AJ186" s="8"/>
      <c r="AK186" s="12"/>
      <c r="AL186" s="12"/>
      <c r="AM186" s="8"/>
      <c r="AN186" s="8"/>
      <c r="AO186" s="18"/>
      <c r="AP186" s="18"/>
      <c r="AQ186" s="8"/>
      <c r="AR186" s="8"/>
      <c r="AS186" s="8"/>
      <c r="AT186" s="8"/>
      <c r="AU186" s="8"/>
      <c r="AV186" s="8"/>
      <c r="AW186" s="8"/>
      <c r="AX186" s="8"/>
    </row>
    <row r="187" spans="1:50" ht="12.75">
      <c r="A187" s="5"/>
      <c r="B187" s="5"/>
      <c r="C187" s="7"/>
      <c r="D187" s="5"/>
      <c r="E187" s="5"/>
      <c r="F187" s="8"/>
      <c r="G187" s="5"/>
      <c r="H187" s="5"/>
      <c r="I187" s="8"/>
      <c r="J187" s="5"/>
      <c r="K187" s="5"/>
      <c r="L187" s="8"/>
      <c r="M187" s="12"/>
      <c r="N187" s="12"/>
      <c r="O187" s="8"/>
      <c r="P187" s="12"/>
      <c r="Q187" s="12"/>
      <c r="R187" s="8"/>
      <c r="S187" s="12"/>
      <c r="T187" s="12"/>
      <c r="U187" s="8"/>
      <c r="V187" s="12"/>
      <c r="W187" s="12"/>
      <c r="X187" s="8"/>
      <c r="Y187" s="18"/>
      <c r="Z187" s="18"/>
      <c r="AA187" s="8"/>
      <c r="AB187" s="18"/>
      <c r="AC187" s="18"/>
      <c r="AD187" s="8"/>
      <c r="AE187" s="18"/>
      <c r="AF187" s="18"/>
      <c r="AG187" s="8"/>
      <c r="AH187" s="12"/>
      <c r="AI187" s="12"/>
      <c r="AJ187" s="8"/>
      <c r="AK187" s="12"/>
      <c r="AL187" s="12"/>
      <c r="AM187" s="8"/>
      <c r="AN187" s="8"/>
      <c r="AO187" s="18"/>
      <c r="AP187" s="18"/>
      <c r="AQ187" s="8"/>
      <c r="AR187" s="8"/>
      <c r="AS187" s="8"/>
      <c r="AT187" s="8"/>
      <c r="AU187" s="8"/>
      <c r="AV187" s="8"/>
      <c r="AW187" s="8"/>
      <c r="AX187" s="8"/>
    </row>
    <row r="188" spans="1:50" ht="12.75">
      <c r="A188" s="5"/>
      <c r="B188" s="5"/>
      <c r="C188" s="7"/>
      <c r="D188" s="5"/>
      <c r="E188" s="5"/>
      <c r="F188" s="8"/>
      <c r="G188" s="5"/>
      <c r="H188" s="5"/>
      <c r="I188" s="8"/>
      <c r="J188" s="5"/>
      <c r="K188" s="5"/>
      <c r="L188" s="8"/>
      <c r="M188" s="12"/>
      <c r="N188" s="12"/>
      <c r="O188" s="8"/>
      <c r="P188" s="12"/>
      <c r="Q188" s="12"/>
      <c r="R188" s="8"/>
      <c r="S188" s="12"/>
      <c r="T188" s="12"/>
      <c r="U188" s="8"/>
      <c r="V188" s="12"/>
      <c r="W188" s="12"/>
      <c r="X188" s="8"/>
      <c r="Y188" s="18"/>
      <c r="Z188" s="18"/>
      <c r="AA188" s="8"/>
      <c r="AB188" s="18"/>
      <c r="AC188" s="18"/>
      <c r="AD188" s="8"/>
      <c r="AE188" s="18"/>
      <c r="AF188" s="18"/>
      <c r="AG188" s="8"/>
      <c r="AH188" s="12"/>
      <c r="AI188" s="12"/>
      <c r="AJ188" s="8"/>
      <c r="AK188" s="12"/>
      <c r="AL188" s="12"/>
      <c r="AM188" s="8"/>
      <c r="AN188" s="8"/>
      <c r="AO188" s="18"/>
      <c r="AP188" s="18"/>
      <c r="AQ188" s="8"/>
      <c r="AR188" s="8"/>
      <c r="AS188" s="8"/>
      <c r="AT188" s="8"/>
      <c r="AU188" s="8"/>
      <c r="AV188" s="8"/>
      <c r="AW188" s="8"/>
      <c r="AX188" s="8"/>
    </row>
    <row r="189" spans="1:50" ht="12.75">
      <c r="A189" s="5"/>
      <c r="B189" s="5"/>
      <c r="C189" s="7"/>
      <c r="D189" s="5"/>
      <c r="E189" s="5"/>
      <c r="F189" s="8"/>
      <c r="G189" s="5"/>
      <c r="H189" s="5"/>
      <c r="I189" s="8"/>
      <c r="J189" s="5"/>
      <c r="K189" s="5"/>
      <c r="L189" s="8"/>
      <c r="M189" s="12"/>
      <c r="N189" s="12"/>
      <c r="O189" s="8"/>
      <c r="P189" s="12"/>
      <c r="Q189" s="12"/>
      <c r="R189" s="8"/>
      <c r="S189" s="12"/>
      <c r="T189" s="12"/>
      <c r="U189" s="8"/>
      <c r="V189" s="12"/>
      <c r="W189" s="12"/>
      <c r="X189" s="8"/>
      <c r="Y189" s="18"/>
      <c r="Z189" s="18"/>
      <c r="AA189" s="8"/>
      <c r="AB189" s="18"/>
      <c r="AC189" s="18"/>
      <c r="AD189" s="8"/>
      <c r="AE189" s="18"/>
      <c r="AF189" s="18"/>
      <c r="AG189" s="8"/>
      <c r="AH189" s="12"/>
      <c r="AI189" s="12"/>
      <c r="AJ189" s="8"/>
      <c r="AK189" s="12"/>
      <c r="AL189" s="12"/>
      <c r="AM189" s="8"/>
      <c r="AN189" s="8"/>
      <c r="AO189" s="18"/>
      <c r="AP189" s="18"/>
      <c r="AQ189" s="8"/>
      <c r="AR189" s="8"/>
      <c r="AS189" s="8"/>
      <c r="AT189" s="8"/>
      <c r="AU189" s="8"/>
      <c r="AV189" s="8"/>
      <c r="AW189" s="8"/>
      <c r="AX189" s="8"/>
    </row>
    <row r="190" spans="1:50" ht="12.75">
      <c r="A190" s="5"/>
      <c r="B190" s="5"/>
      <c r="C190" s="7"/>
      <c r="D190" s="5"/>
      <c r="E190" s="5"/>
      <c r="F190" s="8"/>
      <c r="G190" s="5"/>
      <c r="H190" s="5"/>
      <c r="I190" s="8"/>
      <c r="J190" s="5"/>
      <c r="K190" s="5"/>
      <c r="L190" s="8"/>
      <c r="M190" s="12"/>
      <c r="N190" s="12"/>
      <c r="O190" s="8"/>
      <c r="P190" s="12"/>
      <c r="Q190" s="12"/>
      <c r="R190" s="8"/>
      <c r="S190" s="12"/>
      <c r="T190" s="12"/>
      <c r="U190" s="8"/>
      <c r="V190" s="12"/>
      <c r="W190" s="12"/>
      <c r="X190" s="8"/>
      <c r="Y190" s="18"/>
      <c r="Z190" s="18"/>
      <c r="AA190" s="8"/>
      <c r="AB190" s="18"/>
      <c r="AC190" s="18"/>
      <c r="AD190" s="8"/>
      <c r="AE190" s="18"/>
      <c r="AF190" s="18"/>
      <c r="AG190" s="8"/>
      <c r="AH190" s="12"/>
      <c r="AI190" s="12"/>
      <c r="AJ190" s="8"/>
      <c r="AK190" s="12"/>
      <c r="AL190" s="12"/>
      <c r="AM190" s="8"/>
      <c r="AN190" s="8"/>
      <c r="AO190" s="18"/>
      <c r="AP190" s="18"/>
      <c r="AQ190" s="8"/>
      <c r="AR190" s="8"/>
      <c r="AS190" s="8"/>
      <c r="AT190" s="8"/>
      <c r="AU190" s="8"/>
      <c r="AV190" s="8"/>
      <c r="AW190" s="8"/>
      <c r="AX190" s="8"/>
    </row>
    <row r="191" spans="1:50" ht="12.75">
      <c r="A191" s="5"/>
      <c r="B191" s="5"/>
      <c r="C191" s="7"/>
      <c r="D191" s="5"/>
      <c r="E191" s="5"/>
      <c r="F191" s="8"/>
      <c r="G191" s="5"/>
      <c r="H191" s="5"/>
      <c r="I191" s="8"/>
      <c r="J191" s="5"/>
      <c r="K191" s="5"/>
      <c r="L191" s="8"/>
      <c r="M191" s="12"/>
      <c r="N191" s="12"/>
      <c r="O191" s="8"/>
      <c r="P191" s="12"/>
      <c r="Q191" s="12"/>
      <c r="R191" s="8"/>
      <c r="S191" s="12"/>
      <c r="T191" s="12"/>
      <c r="U191" s="8"/>
      <c r="V191" s="12"/>
      <c r="W191" s="12"/>
      <c r="X191" s="8"/>
      <c r="Y191" s="18"/>
      <c r="Z191" s="18"/>
      <c r="AA191" s="8"/>
      <c r="AB191" s="18"/>
      <c r="AC191" s="18"/>
      <c r="AD191" s="8"/>
      <c r="AE191" s="18"/>
      <c r="AF191" s="18"/>
      <c r="AG191" s="8"/>
      <c r="AH191" s="12"/>
      <c r="AI191" s="12"/>
      <c r="AJ191" s="8"/>
      <c r="AK191" s="12"/>
      <c r="AL191" s="12"/>
      <c r="AM191" s="8"/>
      <c r="AN191" s="8"/>
      <c r="AO191" s="18"/>
      <c r="AP191" s="18"/>
      <c r="AQ191" s="8"/>
      <c r="AR191" s="8"/>
      <c r="AS191" s="8"/>
      <c r="AT191" s="8"/>
      <c r="AU191" s="8"/>
      <c r="AV191" s="8"/>
      <c r="AW191" s="8"/>
      <c r="AX191" s="8"/>
    </row>
    <row r="192" spans="1:50" ht="12.75">
      <c r="A192" s="5"/>
      <c r="B192" s="5"/>
      <c r="C192" s="7"/>
      <c r="D192" s="5"/>
      <c r="E192" s="5"/>
      <c r="F192" s="8"/>
      <c r="G192" s="5"/>
      <c r="H192" s="5"/>
      <c r="I192" s="8"/>
      <c r="J192" s="5"/>
      <c r="K192" s="5"/>
      <c r="L192" s="8"/>
      <c r="M192" s="12"/>
      <c r="N192" s="12"/>
      <c r="O192" s="8"/>
      <c r="P192" s="12"/>
      <c r="Q192" s="12"/>
      <c r="R192" s="8"/>
      <c r="S192" s="12"/>
      <c r="T192" s="12"/>
      <c r="U192" s="8"/>
      <c r="V192" s="12"/>
      <c r="W192" s="12"/>
      <c r="X192" s="8"/>
      <c r="Y192" s="18"/>
      <c r="Z192" s="18"/>
      <c r="AA192" s="8"/>
      <c r="AB192" s="18"/>
      <c r="AC192" s="18"/>
      <c r="AD192" s="8"/>
      <c r="AE192" s="18"/>
      <c r="AF192" s="18"/>
      <c r="AG192" s="8"/>
      <c r="AH192" s="12"/>
      <c r="AI192" s="12"/>
      <c r="AJ192" s="8"/>
      <c r="AK192" s="12"/>
      <c r="AL192" s="12"/>
      <c r="AM192" s="8"/>
      <c r="AN192" s="8"/>
      <c r="AO192" s="18"/>
      <c r="AP192" s="18"/>
      <c r="AQ192" s="8"/>
      <c r="AR192" s="8"/>
      <c r="AS192" s="8"/>
      <c r="AT192" s="8"/>
      <c r="AU192" s="8"/>
      <c r="AV192" s="8"/>
      <c r="AW192" s="8"/>
      <c r="AX192" s="8"/>
    </row>
    <row r="193" spans="1:50" ht="12.75">
      <c r="A193" s="5"/>
      <c r="B193" s="5"/>
      <c r="C193" s="7"/>
      <c r="D193" s="5"/>
      <c r="E193" s="5"/>
      <c r="F193" s="8"/>
      <c r="G193" s="5"/>
      <c r="H193" s="5"/>
      <c r="I193" s="8"/>
      <c r="J193" s="5"/>
      <c r="K193" s="5"/>
      <c r="L193" s="8"/>
      <c r="M193" s="12"/>
      <c r="N193" s="12"/>
      <c r="O193" s="8"/>
      <c r="P193" s="12"/>
      <c r="Q193" s="12"/>
      <c r="R193" s="8"/>
      <c r="S193" s="12"/>
      <c r="T193" s="12"/>
      <c r="U193" s="8"/>
      <c r="V193" s="12"/>
      <c r="W193" s="12"/>
      <c r="X193" s="8"/>
      <c r="Y193" s="18"/>
      <c r="Z193" s="18"/>
      <c r="AA193" s="8"/>
      <c r="AB193" s="18"/>
      <c r="AC193" s="18"/>
      <c r="AD193" s="8"/>
      <c r="AE193" s="18"/>
      <c r="AF193" s="18"/>
      <c r="AG193" s="8"/>
      <c r="AH193" s="12"/>
      <c r="AI193" s="12"/>
      <c r="AJ193" s="8"/>
      <c r="AK193" s="12"/>
      <c r="AL193" s="12"/>
      <c r="AM193" s="8"/>
      <c r="AN193" s="8"/>
      <c r="AO193" s="18"/>
      <c r="AP193" s="18"/>
      <c r="AQ193" s="8"/>
      <c r="AR193" s="8"/>
      <c r="AS193" s="8"/>
      <c r="AT193" s="8"/>
      <c r="AU193" s="8"/>
      <c r="AV193" s="8"/>
      <c r="AW193" s="8"/>
      <c r="AX193" s="8"/>
    </row>
    <row r="194" spans="1:50" ht="12.75">
      <c r="A194" s="5"/>
      <c r="B194" s="5"/>
      <c r="C194" s="7"/>
      <c r="D194" s="5"/>
      <c r="E194" s="5"/>
      <c r="F194" s="8"/>
      <c r="G194" s="5"/>
      <c r="H194" s="5"/>
      <c r="I194" s="8"/>
      <c r="J194" s="5"/>
      <c r="K194" s="5"/>
      <c r="L194" s="8"/>
      <c r="M194" s="12"/>
      <c r="N194" s="12"/>
      <c r="O194" s="8"/>
      <c r="P194" s="12"/>
      <c r="Q194" s="12"/>
      <c r="R194" s="8"/>
      <c r="S194" s="12"/>
      <c r="T194" s="12"/>
      <c r="U194" s="8"/>
      <c r="V194" s="12"/>
      <c r="W194" s="12"/>
      <c r="X194" s="8"/>
      <c r="Y194" s="18"/>
      <c r="Z194" s="18"/>
      <c r="AA194" s="8"/>
      <c r="AB194" s="18"/>
      <c r="AC194" s="18"/>
      <c r="AD194" s="8"/>
      <c r="AE194" s="18"/>
      <c r="AF194" s="18"/>
      <c r="AG194" s="8"/>
      <c r="AH194" s="12"/>
      <c r="AI194" s="12"/>
      <c r="AJ194" s="8"/>
      <c r="AK194" s="12"/>
      <c r="AL194" s="12"/>
      <c r="AM194" s="8"/>
      <c r="AN194" s="8"/>
      <c r="AO194" s="18"/>
      <c r="AP194" s="18"/>
      <c r="AQ194" s="8"/>
      <c r="AR194" s="8"/>
      <c r="AS194" s="8"/>
      <c r="AT194" s="8"/>
      <c r="AU194" s="8"/>
      <c r="AV194" s="8"/>
      <c r="AW194" s="8"/>
      <c r="AX194" s="8"/>
    </row>
    <row r="195" spans="1:50" ht="12.75">
      <c r="A195" s="5"/>
      <c r="B195" s="5"/>
      <c r="C195" s="7"/>
      <c r="D195" s="5"/>
      <c r="E195" s="5"/>
      <c r="F195" s="8"/>
      <c r="G195" s="5"/>
      <c r="H195" s="5"/>
      <c r="I195" s="8"/>
      <c r="J195" s="5"/>
      <c r="K195" s="5"/>
      <c r="L195" s="8"/>
      <c r="M195" s="12"/>
      <c r="N195" s="12"/>
      <c r="O195" s="8"/>
      <c r="P195" s="12"/>
      <c r="Q195" s="12"/>
      <c r="R195" s="8"/>
      <c r="S195" s="12"/>
      <c r="T195" s="12"/>
      <c r="U195" s="8"/>
      <c r="V195" s="12"/>
      <c r="W195" s="12"/>
      <c r="X195" s="8"/>
      <c r="Y195" s="18"/>
      <c r="Z195" s="18"/>
      <c r="AA195" s="8"/>
      <c r="AB195" s="18"/>
      <c r="AC195" s="18"/>
      <c r="AD195" s="8"/>
      <c r="AE195" s="18"/>
      <c r="AF195" s="18"/>
      <c r="AG195" s="8"/>
      <c r="AH195" s="12"/>
      <c r="AI195" s="12"/>
      <c r="AJ195" s="8"/>
      <c r="AK195" s="12"/>
      <c r="AL195" s="12"/>
      <c r="AM195" s="8"/>
      <c r="AN195" s="8"/>
      <c r="AO195" s="18"/>
      <c r="AP195" s="18"/>
      <c r="AQ195" s="8"/>
      <c r="AR195" s="8"/>
      <c r="AS195" s="8"/>
      <c r="AT195" s="8"/>
      <c r="AU195" s="8"/>
      <c r="AV195" s="8"/>
      <c r="AW195" s="8"/>
      <c r="AX195" s="8"/>
    </row>
    <row r="196" spans="1:50" ht="12.75">
      <c r="A196" s="5"/>
      <c r="B196" s="5"/>
      <c r="C196" s="7"/>
      <c r="D196" s="5"/>
      <c r="E196" s="5"/>
      <c r="F196" s="8"/>
      <c r="G196" s="5"/>
      <c r="H196" s="5"/>
      <c r="I196" s="8"/>
      <c r="J196" s="5"/>
      <c r="K196" s="5"/>
      <c r="L196" s="8"/>
      <c r="M196" s="12"/>
      <c r="N196" s="12"/>
      <c r="O196" s="8"/>
      <c r="P196" s="12"/>
      <c r="Q196" s="12"/>
      <c r="R196" s="8"/>
      <c r="S196" s="12"/>
      <c r="T196" s="12"/>
      <c r="U196" s="8"/>
      <c r="V196" s="12"/>
      <c r="W196" s="12"/>
      <c r="X196" s="8"/>
      <c r="Y196" s="18"/>
      <c r="Z196" s="18"/>
      <c r="AA196" s="8"/>
      <c r="AB196" s="18"/>
      <c r="AC196" s="18"/>
      <c r="AD196" s="8"/>
      <c r="AE196" s="18"/>
      <c r="AF196" s="18"/>
      <c r="AG196" s="8"/>
      <c r="AH196" s="12"/>
      <c r="AI196" s="12"/>
      <c r="AJ196" s="8"/>
      <c r="AK196" s="12"/>
      <c r="AL196" s="12"/>
      <c r="AM196" s="8"/>
      <c r="AN196" s="8"/>
      <c r="AO196" s="18"/>
      <c r="AP196" s="18"/>
      <c r="AQ196" s="8"/>
      <c r="AR196" s="8"/>
      <c r="AS196" s="8"/>
      <c r="AT196" s="8"/>
      <c r="AU196" s="8"/>
      <c r="AV196" s="8"/>
      <c r="AW196" s="8"/>
      <c r="AX196" s="8"/>
    </row>
    <row r="197" spans="1:50" ht="12.75">
      <c r="A197" s="5"/>
      <c r="B197" s="5"/>
      <c r="C197" s="7"/>
      <c r="D197" s="5"/>
      <c r="E197" s="5"/>
      <c r="F197" s="8"/>
      <c r="G197" s="5"/>
      <c r="H197" s="5"/>
      <c r="I197" s="8"/>
      <c r="J197" s="5"/>
      <c r="K197" s="5"/>
      <c r="L197" s="8"/>
      <c r="M197" s="12"/>
      <c r="N197" s="12"/>
      <c r="O197" s="8"/>
      <c r="P197" s="12"/>
      <c r="Q197" s="12"/>
      <c r="R197" s="8"/>
      <c r="S197" s="12"/>
      <c r="T197" s="12"/>
      <c r="U197" s="8"/>
      <c r="V197" s="12"/>
      <c r="W197" s="12"/>
      <c r="X197" s="8"/>
      <c r="Y197" s="18"/>
      <c r="Z197" s="18"/>
      <c r="AA197" s="8"/>
      <c r="AB197" s="18"/>
      <c r="AC197" s="18"/>
      <c r="AD197" s="8"/>
      <c r="AE197" s="18"/>
      <c r="AF197" s="18"/>
      <c r="AG197" s="8"/>
      <c r="AH197" s="12"/>
      <c r="AI197" s="12"/>
      <c r="AJ197" s="8"/>
      <c r="AK197" s="12"/>
      <c r="AL197" s="12"/>
      <c r="AM197" s="8"/>
      <c r="AN197" s="8"/>
      <c r="AO197" s="18"/>
      <c r="AP197" s="18"/>
      <c r="AQ197" s="8"/>
      <c r="AR197" s="8"/>
      <c r="AS197" s="8"/>
      <c r="AT197" s="8"/>
      <c r="AU197" s="8"/>
      <c r="AV197" s="8"/>
      <c r="AW197" s="8"/>
      <c r="AX197" s="8"/>
    </row>
    <row r="198" spans="1:50" ht="12.75">
      <c r="A198" s="5"/>
      <c r="B198" s="5"/>
      <c r="C198" s="7"/>
      <c r="D198" s="5"/>
      <c r="E198" s="5"/>
      <c r="F198" s="8"/>
      <c r="G198" s="5"/>
      <c r="H198" s="5"/>
      <c r="I198" s="8"/>
      <c r="J198" s="5"/>
      <c r="K198" s="5"/>
      <c r="L198" s="8"/>
      <c r="M198" s="12"/>
      <c r="N198" s="12"/>
      <c r="O198" s="8"/>
      <c r="P198" s="12"/>
      <c r="Q198" s="12"/>
      <c r="R198" s="8"/>
      <c r="S198" s="12"/>
      <c r="T198" s="12"/>
      <c r="U198" s="8"/>
      <c r="V198" s="12"/>
      <c r="W198" s="12"/>
      <c r="X198" s="8"/>
      <c r="Y198" s="18"/>
      <c r="Z198" s="18"/>
      <c r="AA198" s="8"/>
      <c r="AB198" s="18"/>
      <c r="AC198" s="18"/>
      <c r="AD198" s="8"/>
      <c r="AE198" s="18"/>
      <c r="AF198" s="18"/>
      <c r="AG198" s="8"/>
      <c r="AH198" s="12"/>
      <c r="AI198" s="12"/>
      <c r="AJ198" s="8"/>
      <c r="AK198" s="12"/>
      <c r="AL198" s="12"/>
      <c r="AM198" s="8"/>
      <c r="AN198" s="8"/>
      <c r="AO198" s="18"/>
      <c r="AP198" s="18"/>
      <c r="AQ198" s="8"/>
      <c r="AR198" s="8"/>
      <c r="AS198" s="8"/>
      <c r="AT198" s="8"/>
      <c r="AU198" s="8"/>
      <c r="AV198" s="8"/>
      <c r="AW198" s="8"/>
      <c r="AX198" s="8"/>
    </row>
    <row r="199" spans="1:50" ht="12.75">
      <c r="A199" s="5"/>
      <c r="B199" s="5"/>
      <c r="C199" s="7"/>
      <c r="D199" s="5"/>
      <c r="E199" s="5"/>
      <c r="F199" s="8"/>
      <c r="G199" s="5"/>
      <c r="H199" s="5"/>
      <c r="I199" s="8"/>
      <c r="J199" s="5"/>
      <c r="K199" s="5"/>
      <c r="L199" s="8"/>
      <c r="M199" s="12"/>
      <c r="N199" s="12"/>
      <c r="O199" s="8"/>
      <c r="P199" s="12"/>
      <c r="Q199" s="12"/>
      <c r="R199" s="8"/>
      <c r="S199" s="12"/>
      <c r="T199" s="12"/>
      <c r="U199" s="8"/>
      <c r="V199" s="12"/>
      <c r="W199" s="12"/>
      <c r="X199" s="8"/>
      <c r="Y199" s="18"/>
      <c r="Z199" s="18"/>
      <c r="AA199" s="8"/>
      <c r="AB199" s="18"/>
      <c r="AC199" s="18"/>
      <c r="AD199" s="8"/>
      <c r="AE199" s="18"/>
      <c r="AF199" s="18"/>
      <c r="AG199" s="8"/>
      <c r="AH199" s="12"/>
      <c r="AI199" s="12"/>
      <c r="AJ199" s="8"/>
      <c r="AK199" s="12"/>
      <c r="AL199" s="12"/>
      <c r="AM199" s="8"/>
      <c r="AN199" s="8"/>
      <c r="AO199" s="18"/>
      <c r="AP199" s="18"/>
      <c r="AQ199" s="8"/>
      <c r="AR199" s="8"/>
      <c r="AS199" s="8"/>
      <c r="AT199" s="8"/>
      <c r="AU199" s="8"/>
      <c r="AV199" s="8"/>
      <c r="AW199" s="8"/>
      <c r="AX199" s="8"/>
    </row>
    <row r="200" spans="1:50" ht="12.75">
      <c r="A200" s="5"/>
      <c r="B200" s="5"/>
      <c r="C200" s="7"/>
      <c r="D200" s="5"/>
      <c r="E200" s="5"/>
      <c r="F200" s="8"/>
      <c r="G200" s="5"/>
      <c r="H200" s="5"/>
      <c r="I200" s="8"/>
      <c r="J200" s="5"/>
      <c r="K200" s="5"/>
      <c r="L200" s="8"/>
      <c r="M200" s="12"/>
      <c r="N200" s="12"/>
      <c r="O200" s="8"/>
      <c r="P200" s="12"/>
      <c r="Q200" s="12"/>
      <c r="R200" s="8"/>
      <c r="S200" s="12"/>
      <c r="T200" s="12"/>
      <c r="U200" s="8"/>
      <c r="V200" s="12"/>
      <c r="W200" s="12"/>
      <c r="X200" s="8"/>
      <c r="Y200" s="18"/>
      <c r="Z200" s="18"/>
      <c r="AA200" s="8"/>
      <c r="AB200" s="18"/>
      <c r="AC200" s="18"/>
      <c r="AD200" s="8"/>
      <c r="AE200" s="18"/>
      <c r="AF200" s="18"/>
      <c r="AG200" s="8"/>
      <c r="AH200" s="12"/>
      <c r="AI200" s="12"/>
      <c r="AJ200" s="8"/>
      <c r="AK200" s="12"/>
      <c r="AL200" s="12"/>
      <c r="AM200" s="8"/>
      <c r="AN200" s="8"/>
      <c r="AO200" s="18"/>
      <c r="AP200" s="18"/>
      <c r="AQ200" s="8"/>
      <c r="AR200" s="8"/>
      <c r="AS200" s="8"/>
      <c r="AT200" s="8"/>
      <c r="AU200" s="8"/>
      <c r="AV200" s="8"/>
      <c r="AW200" s="8"/>
      <c r="AX200" s="8"/>
    </row>
    <row r="201" spans="1:50" ht="12.75">
      <c r="A201" s="5"/>
      <c r="B201" s="5"/>
      <c r="C201" s="7"/>
      <c r="D201" s="5"/>
      <c r="E201" s="5"/>
      <c r="F201" s="8"/>
      <c r="G201" s="5"/>
      <c r="H201" s="5"/>
      <c r="I201" s="8"/>
      <c r="J201" s="5"/>
      <c r="K201" s="5"/>
      <c r="L201" s="8"/>
      <c r="M201" s="12"/>
      <c r="N201" s="12"/>
      <c r="O201" s="8"/>
      <c r="P201" s="12"/>
      <c r="Q201" s="12"/>
      <c r="R201" s="8"/>
      <c r="S201" s="12"/>
      <c r="T201" s="12"/>
      <c r="U201" s="8"/>
      <c r="V201" s="12"/>
      <c r="W201" s="12"/>
      <c r="X201" s="8"/>
      <c r="Y201" s="18"/>
      <c r="Z201" s="18"/>
      <c r="AA201" s="8"/>
      <c r="AB201" s="18"/>
      <c r="AC201" s="18"/>
      <c r="AD201" s="8"/>
      <c r="AE201" s="18"/>
      <c r="AF201" s="18"/>
      <c r="AG201" s="8"/>
      <c r="AH201" s="12"/>
      <c r="AI201" s="12"/>
      <c r="AJ201" s="8"/>
      <c r="AK201" s="12"/>
      <c r="AL201" s="12"/>
      <c r="AM201" s="8"/>
      <c r="AN201" s="8"/>
      <c r="AO201" s="18"/>
      <c r="AP201" s="18"/>
      <c r="AQ201" s="8"/>
      <c r="AR201" s="8"/>
      <c r="AS201" s="8"/>
      <c r="AT201" s="8"/>
      <c r="AU201" s="8"/>
      <c r="AV201" s="8"/>
      <c r="AW201" s="8"/>
      <c r="AX201" s="8"/>
    </row>
    <row r="202" spans="1:50" ht="12.75">
      <c r="A202" s="5"/>
      <c r="B202" s="5"/>
      <c r="C202" s="7"/>
      <c r="D202" s="5"/>
      <c r="E202" s="5"/>
      <c r="F202" s="8"/>
      <c r="G202" s="5"/>
      <c r="H202" s="5"/>
      <c r="I202" s="8"/>
      <c r="J202" s="5"/>
      <c r="K202" s="5"/>
      <c r="L202" s="8"/>
      <c r="M202" s="12"/>
      <c r="N202" s="12"/>
      <c r="O202" s="8"/>
      <c r="P202" s="12"/>
      <c r="Q202" s="12"/>
      <c r="R202" s="8"/>
      <c r="S202" s="12"/>
      <c r="T202" s="12"/>
      <c r="U202" s="8"/>
      <c r="V202" s="12"/>
      <c r="W202" s="12"/>
      <c r="X202" s="8"/>
      <c r="Y202" s="18"/>
      <c r="Z202" s="18"/>
      <c r="AA202" s="8"/>
      <c r="AB202" s="18"/>
      <c r="AC202" s="18"/>
      <c r="AD202" s="8"/>
      <c r="AE202" s="18"/>
      <c r="AF202" s="18"/>
      <c r="AG202" s="8"/>
      <c r="AH202" s="12"/>
      <c r="AI202" s="12"/>
      <c r="AJ202" s="8"/>
      <c r="AK202" s="12"/>
      <c r="AL202" s="12"/>
      <c r="AM202" s="8"/>
      <c r="AN202" s="8"/>
      <c r="AO202" s="18"/>
      <c r="AP202" s="18"/>
      <c r="AQ202" s="8"/>
      <c r="AR202" s="8"/>
      <c r="AS202" s="8"/>
      <c r="AT202" s="8"/>
      <c r="AU202" s="8"/>
      <c r="AV202" s="8"/>
      <c r="AW202" s="8"/>
      <c r="AX202" s="8"/>
    </row>
    <row r="203" spans="1:50" ht="12.75">
      <c r="A203" s="5"/>
      <c r="B203" s="5"/>
      <c r="C203" s="7"/>
      <c r="D203" s="5"/>
      <c r="E203" s="5"/>
      <c r="F203" s="8"/>
      <c r="G203" s="5"/>
      <c r="H203" s="5"/>
      <c r="I203" s="8"/>
      <c r="J203" s="5"/>
      <c r="K203" s="5"/>
      <c r="L203" s="8"/>
      <c r="M203" s="12"/>
      <c r="N203" s="12"/>
      <c r="O203" s="8"/>
      <c r="P203" s="12"/>
      <c r="Q203" s="12"/>
      <c r="R203" s="8"/>
      <c r="S203" s="12"/>
      <c r="T203" s="12"/>
      <c r="U203" s="8"/>
      <c r="V203" s="12"/>
      <c r="W203" s="12"/>
      <c r="X203" s="8"/>
      <c r="Y203" s="18"/>
      <c r="Z203" s="18"/>
      <c r="AA203" s="8"/>
      <c r="AB203" s="18"/>
      <c r="AC203" s="18"/>
      <c r="AD203" s="8"/>
      <c r="AE203" s="18"/>
      <c r="AF203" s="18"/>
      <c r="AG203" s="8"/>
      <c r="AH203" s="12"/>
      <c r="AI203" s="12"/>
      <c r="AJ203" s="8"/>
      <c r="AK203" s="12"/>
      <c r="AL203" s="12"/>
      <c r="AM203" s="8"/>
      <c r="AN203" s="8"/>
      <c r="AO203" s="18"/>
      <c r="AP203" s="18"/>
      <c r="AQ203" s="8"/>
      <c r="AR203" s="8"/>
      <c r="AS203" s="8"/>
      <c r="AT203" s="8"/>
      <c r="AU203" s="8"/>
      <c r="AV203" s="8"/>
      <c r="AW203" s="8"/>
      <c r="AX203" s="8"/>
    </row>
    <row r="204" spans="1:50" ht="12.75">
      <c r="A204" s="5"/>
      <c r="B204" s="5"/>
      <c r="C204" s="7"/>
      <c r="D204" s="5"/>
      <c r="E204" s="5"/>
      <c r="F204" s="8"/>
      <c r="G204" s="5"/>
      <c r="H204" s="5"/>
      <c r="I204" s="8"/>
      <c r="J204" s="5"/>
      <c r="K204" s="5"/>
      <c r="L204" s="8"/>
      <c r="M204" s="12"/>
      <c r="N204" s="12"/>
      <c r="O204" s="8"/>
      <c r="P204" s="12"/>
      <c r="Q204" s="12"/>
      <c r="R204" s="8"/>
      <c r="S204" s="12"/>
      <c r="T204" s="12"/>
      <c r="U204" s="8"/>
      <c r="V204" s="12"/>
      <c r="W204" s="12"/>
      <c r="X204" s="8"/>
      <c r="Y204" s="18"/>
      <c r="Z204" s="18"/>
      <c r="AA204" s="8"/>
      <c r="AB204" s="18"/>
      <c r="AC204" s="18"/>
      <c r="AD204" s="8"/>
      <c r="AE204" s="18"/>
      <c r="AF204" s="18"/>
      <c r="AG204" s="8"/>
      <c r="AH204" s="12"/>
      <c r="AI204" s="12"/>
      <c r="AJ204" s="8"/>
      <c r="AK204" s="12"/>
      <c r="AL204" s="12"/>
      <c r="AM204" s="8"/>
      <c r="AN204" s="8"/>
      <c r="AO204" s="18"/>
      <c r="AP204" s="18"/>
      <c r="AQ204" s="8"/>
      <c r="AR204" s="8"/>
      <c r="AS204" s="8"/>
      <c r="AT204" s="8"/>
      <c r="AU204" s="8"/>
      <c r="AV204" s="8"/>
      <c r="AW204" s="8"/>
      <c r="AX204" s="8"/>
    </row>
    <row r="205" spans="1:50" ht="12.75">
      <c r="A205" s="5"/>
      <c r="B205" s="5"/>
      <c r="C205" s="7"/>
      <c r="D205" s="5"/>
      <c r="E205" s="5"/>
      <c r="F205" s="8"/>
      <c r="G205" s="5"/>
      <c r="H205" s="5"/>
      <c r="I205" s="8"/>
      <c r="J205" s="5"/>
      <c r="K205" s="5"/>
      <c r="L205" s="8"/>
      <c r="M205" s="12"/>
      <c r="N205" s="12"/>
      <c r="O205" s="8"/>
      <c r="P205" s="12"/>
      <c r="Q205" s="12"/>
      <c r="R205" s="8"/>
      <c r="S205" s="12"/>
      <c r="T205" s="12"/>
      <c r="U205" s="8"/>
      <c r="V205" s="12"/>
      <c r="W205" s="12"/>
      <c r="X205" s="8"/>
      <c r="Y205" s="18"/>
      <c r="Z205" s="18"/>
      <c r="AA205" s="8"/>
      <c r="AB205" s="18"/>
      <c r="AC205" s="18"/>
      <c r="AD205" s="8"/>
      <c r="AE205" s="18"/>
      <c r="AF205" s="18"/>
      <c r="AG205" s="8"/>
      <c r="AH205" s="12"/>
      <c r="AI205" s="12"/>
      <c r="AJ205" s="8"/>
      <c r="AK205" s="12"/>
      <c r="AL205" s="12"/>
      <c r="AM205" s="8"/>
      <c r="AN205" s="8"/>
      <c r="AO205" s="18"/>
      <c r="AP205" s="18"/>
      <c r="AQ205" s="8"/>
      <c r="AR205" s="8"/>
      <c r="AS205" s="8"/>
      <c r="AT205" s="8"/>
      <c r="AU205" s="8"/>
      <c r="AV205" s="8"/>
      <c r="AW205" s="8"/>
      <c r="AX205" s="8"/>
    </row>
    <row r="206" spans="1:50" ht="12.75">
      <c r="A206" s="5"/>
      <c r="B206" s="5"/>
      <c r="C206" s="7"/>
      <c r="D206" s="5"/>
      <c r="E206" s="5"/>
      <c r="F206" s="8"/>
      <c r="G206" s="5"/>
      <c r="H206" s="5"/>
      <c r="I206" s="8"/>
      <c r="J206" s="5"/>
      <c r="K206" s="5"/>
      <c r="L206" s="8"/>
      <c r="M206" s="12"/>
      <c r="N206" s="12"/>
      <c r="O206" s="8"/>
      <c r="P206" s="12"/>
      <c r="Q206" s="12"/>
      <c r="R206" s="8"/>
      <c r="S206" s="12"/>
      <c r="T206" s="12"/>
      <c r="U206" s="8"/>
      <c r="V206" s="12"/>
      <c r="W206" s="12"/>
      <c r="X206" s="8"/>
      <c r="Y206" s="18"/>
      <c r="Z206" s="18"/>
      <c r="AA206" s="8"/>
      <c r="AB206" s="18"/>
      <c r="AC206" s="18"/>
      <c r="AD206" s="8"/>
      <c r="AE206" s="18"/>
      <c r="AF206" s="18"/>
      <c r="AG206" s="8"/>
      <c r="AH206" s="12"/>
      <c r="AI206" s="12"/>
      <c r="AJ206" s="8"/>
      <c r="AK206" s="12"/>
      <c r="AL206" s="12"/>
      <c r="AM206" s="8"/>
      <c r="AN206" s="8"/>
      <c r="AO206" s="18"/>
      <c r="AP206" s="18"/>
      <c r="AQ206" s="8"/>
      <c r="AR206" s="8"/>
      <c r="AS206" s="8"/>
      <c r="AT206" s="8"/>
      <c r="AU206" s="8"/>
      <c r="AV206" s="8"/>
      <c r="AW206" s="8"/>
      <c r="AX206" s="8"/>
    </row>
    <row r="207" spans="1:50" ht="12.75">
      <c r="A207" s="5"/>
      <c r="B207" s="5"/>
      <c r="C207" s="7"/>
      <c r="D207" s="5"/>
      <c r="E207" s="5"/>
      <c r="F207" s="8"/>
      <c r="G207" s="5"/>
      <c r="H207" s="5"/>
      <c r="I207" s="8"/>
      <c r="J207" s="5"/>
      <c r="K207" s="5"/>
      <c r="L207" s="8"/>
      <c r="M207" s="12"/>
      <c r="N207" s="12"/>
      <c r="O207" s="8"/>
      <c r="P207" s="12"/>
      <c r="Q207" s="12"/>
      <c r="R207" s="8"/>
      <c r="S207" s="12"/>
      <c r="T207" s="12"/>
      <c r="U207" s="8"/>
      <c r="V207" s="12"/>
      <c r="W207" s="12"/>
      <c r="X207" s="8"/>
      <c r="Y207" s="18"/>
      <c r="Z207" s="18"/>
      <c r="AA207" s="8"/>
      <c r="AB207" s="18"/>
      <c r="AC207" s="18"/>
      <c r="AD207" s="8"/>
      <c r="AE207" s="18"/>
      <c r="AF207" s="18"/>
      <c r="AG207" s="8"/>
      <c r="AH207" s="12"/>
      <c r="AI207" s="12"/>
      <c r="AJ207" s="8"/>
      <c r="AK207" s="12"/>
      <c r="AL207" s="12"/>
      <c r="AM207" s="8"/>
      <c r="AN207" s="8"/>
      <c r="AO207" s="18"/>
      <c r="AP207" s="18"/>
      <c r="AQ207" s="8"/>
      <c r="AR207" s="8"/>
      <c r="AS207" s="8"/>
      <c r="AT207" s="8"/>
      <c r="AU207" s="8"/>
      <c r="AV207" s="8"/>
      <c r="AW207" s="8"/>
      <c r="AX207" s="8"/>
    </row>
    <row r="208" spans="1:50" ht="12.75">
      <c r="A208" s="5"/>
      <c r="B208" s="5"/>
      <c r="C208" s="7"/>
      <c r="D208" s="5"/>
      <c r="E208" s="5"/>
      <c r="F208" s="8"/>
      <c r="G208" s="5"/>
      <c r="H208" s="5"/>
      <c r="I208" s="8"/>
      <c r="J208" s="5"/>
      <c r="K208" s="5"/>
      <c r="L208" s="8"/>
      <c r="M208" s="12"/>
      <c r="N208" s="12"/>
      <c r="O208" s="8"/>
      <c r="P208" s="12"/>
      <c r="Q208" s="12"/>
      <c r="R208" s="8"/>
      <c r="S208" s="12"/>
      <c r="T208" s="12"/>
      <c r="U208" s="8"/>
      <c r="V208" s="12"/>
      <c r="W208" s="12"/>
      <c r="X208" s="8"/>
      <c r="Y208" s="18"/>
      <c r="Z208" s="18"/>
      <c r="AA208" s="8"/>
      <c r="AB208" s="18"/>
      <c r="AC208" s="18"/>
      <c r="AD208" s="8"/>
      <c r="AE208" s="18"/>
      <c r="AF208" s="18"/>
      <c r="AG208" s="8"/>
      <c r="AH208" s="12"/>
      <c r="AI208" s="12"/>
      <c r="AJ208" s="8"/>
      <c r="AK208" s="12"/>
      <c r="AL208" s="12"/>
      <c r="AM208" s="8"/>
      <c r="AN208" s="8"/>
      <c r="AO208" s="18"/>
      <c r="AP208" s="18"/>
      <c r="AQ208" s="8"/>
      <c r="AR208" s="8"/>
      <c r="AS208" s="8"/>
      <c r="AT208" s="8"/>
      <c r="AU208" s="8"/>
      <c r="AV208" s="8"/>
      <c r="AW208" s="8"/>
      <c r="AX208" s="8"/>
    </row>
    <row r="209" spans="1:50" ht="12.75">
      <c r="A209" s="5"/>
      <c r="B209" s="5"/>
      <c r="C209" s="7"/>
      <c r="D209" s="5"/>
      <c r="E209" s="5"/>
      <c r="F209" s="8"/>
      <c r="G209" s="5"/>
      <c r="H209" s="5"/>
      <c r="I209" s="8"/>
      <c r="J209" s="5"/>
      <c r="K209" s="5"/>
      <c r="L209" s="8"/>
      <c r="M209" s="12"/>
      <c r="N209" s="12"/>
      <c r="O209" s="8"/>
      <c r="P209" s="12"/>
      <c r="Q209" s="12"/>
      <c r="R209" s="8"/>
      <c r="S209" s="12"/>
      <c r="T209" s="12"/>
      <c r="U209" s="8"/>
      <c r="V209" s="12"/>
      <c r="W209" s="12"/>
      <c r="X209" s="8"/>
      <c r="Y209" s="18"/>
      <c r="Z209" s="18"/>
      <c r="AA209" s="8"/>
      <c r="AB209" s="18"/>
      <c r="AC209" s="18"/>
      <c r="AD209" s="8"/>
      <c r="AE209" s="18"/>
      <c r="AF209" s="18"/>
      <c r="AG209" s="8"/>
      <c r="AH209" s="12"/>
      <c r="AI209" s="12"/>
      <c r="AJ209" s="8"/>
      <c r="AK209" s="12"/>
      <c r="AL209" s="12"/>
      <c r="AM209" s="8"/>
      <c r="AN209" s="8"/>
      <c r="AO209" s="18"/>
      <c r="AP209" s="18"/>
      <c r="AQ209" s="8"/>
      <c r="AR209" s="8"/>
      <c r="AS209" s="8"/>
      <c r="AT209" s="8"/>
      <c r="AU209" s="8"/>
      <c r="AV209" s="8"/>
      <c r="AW209" s="8"/>
      <c r="AX209" s="8"/>
    </row>
    <row r="210" spans="1:50" ht="12.75">
      <c r="A210" s="5"/>
      <c r="B210" s="5"/>
      <c r="C210" s="7"/>
      <c r="D210" s="5"/>
      <c r="E210" s="5"/>
      <c r="F210" s="8"/>
      <c r="G210" s="5"/>
      <c r="H210" s="5"/>
      <c r="I210" s="8"/>
      <c r="J210" s="5"/>
      <c r="K210" s="5"/>
      <c r="L210" s="8"/>
      <c r="M210" s="12"/>
      <c r="N210" s="12"/>
      <c r="O210" s="8"/>
      <c r="P210" s="12"/>
      <c r="Q210" s="12"/>
      <c r="R210" s="8"/>
      <c r="S210" s="12"/>
      <c r="T210" s="12"/>
      <c r="U210" s="8"/>
      <c r="V210" s="12"/>
      <c r="W210" s="12"/>
      <c r="X210" s="8"/>
      <c r="Y210" s="18"/>
      <c r="Z210" s="18"/>
      <c r="AA210" s="8"/>
      <c r="AB210" s="18"/>
      <c r="AC210" s="18"/>
      <c r="AD210" s="8"/>
      <c r="AE210" s="18"/>
      <c r="AF210" s="18"/>
      <c r="AG210" s="8"/>
      <c r="AH210" s="12"/>
      <c r="AI210" s="12"/>
      <c r="AJ210" s="8"/>
      <c r="AK210" s="12"/>
      <c r="AL210" s="12"/>
      <c r="AM210" s="8"/>
      <c r="AN210" s="8"/>
      <c r="AO210" s="18"/>
      <c r="AP210" s="18"/>
      <c r="AQ210" s="8"/>
      <c r="AR210" s="8"/>
      <c r="AS210" s="8"/>
      <c r="AT210" s="8"/>
      <c r="AU210" s="8"/>
      <c r="AV210" s="8"/>
      <c r="AW210" s="8"/>
      <c r="AX210" s="8"/>
    </row>
    <row r="211" spans="1:50" ht="12.75">
      <c r="A211" s="5"/>
      <c r="B211" s="5"/>
      <c r="C211" s="7"/>
      <c r="D211" s="5"/>
      <c r="E211" s="5"/>
      <c r="F211" s="8"/>
      <c r="G211" s="5"/>
      <c r="H211" s="5"/>
      <c r="I211" s="8"/>
      <c r="J211" s="5"/>
      <c r="K211" s="5"/>
      <c r="L211" s="8"/>
      <c r="M211" s="12"/>
      <c r="N211" s="12"/>
      <c r="O211" s="8"/>
      <c r="P211" s="12"/>
      <c r="Q211" s="12"/>
      <c r="R211" s="8"/>
      <c r="S211" s="12"/>
      <c r="T211" s="12"/>
      <c r="U211" s="8"/>
      <c r="V211" s="12"/>
      <c r="W211" s="12"/>
      <c r="X211" s="8"/>
      <c r="Y211" s="18"/>
      <c r="Z211" s="18"/>
      <c r="AA211" s="8"/>
      <c r="AB211" s="18"/>
      <c r="AC211" s="18"/>
      <c r="AD211" s="8"/>
      <c r="AE211" s="18"/>
      <c r="AF211" s="18"/>
      <c r="AG211" s="8"/>
      <c r="AH211" s="12"/>
      <c r="AI211" s="12"/>
      <c r="AJ211" s="8"/>
      <c r="AK211" s="12"/>
      <c r="AL211" s="12"/>
      <c r="AM211" s="8"/>
      <c r="AN211" s="8"/>
      <c r="AO211" s="18"/>
      <c r="AP211" s="18"/>
      <c r="AQ211" s="8"/>
      <c r="AR211" s="8"/>
      <c r="AS211" s="8"/>
      <c r="AT211" s="8"/>
      <c r="AU211" s="8"/>
      <c r="AV211" s="8"/>
      <c r="AW211" s="8"/>
      <c r="AX211" s="8"/>
    </row>
    <row r="212" spans="1:50" ht="12.75">
      <c r="A212" s="5"/>
      <c r="B212" s="5"/>
      <c r="C212" s="7"/>
      <c r="D212" s="5"/>
      <c r="E212" s="5"/>
      <c r="F212" s="8"/>
      <c r="G212" s="5"/>
      <c r="H212" s="5"/>
      <c r="I212" s="8"/>
      <c r="J212" s="5"/>
      <c r="K212" s="5"/>
      <c r="L212" s="8"/>
      <c r="M212" s="12"/>
      <c r="N212" s="12"/>
      <c r="O212" s="8"/>
      <c r="P212" s="12"/>
      <c r="Q212" s="12"/>
      <c r="R212" s="8"/>
      <c r="S212" s="12"/>
      <c r="T212" s="12"/>
      <c r="U212" s="8"/>
      <c r="V212" s="12"/>
      <c r="W212" s="12"/>
      <c r="X212" s="8"/>
      <c r="Y212" s="18"/>
      <c r="Z212" s="18"/>
      <c r="AA212" s="8"/>
      <c r="AB212" s="18"/>
      <c r="AC212" s="18"/>
      <c r="AD212" s="8"/>
      <c r="AE212" s="18"/>
      <c r="AF212" s="18"/>
      <c r="AG212" s="8"/>
      <c r="AH212" s="12"/>
      <c r="AI212" s="12"/>
      <c r="AJ212" s="8"/>
      <c r="AK212" s="12"/>
      <c r="AL212" s="12"/>
      <c r="AM212" s="8"/>
      <c r="AN212" s="8"/>
      <c r="AO212" s="18"/>
      <c r="AP212" s="18"/>
      <c r="AQ212" s="8"/>
      <c r="AR212" s="8"/>
      <c r="AS212" s="8"/>
      <c r="AT212" s="8"/>
      <c r="AU212" s="8"/>
      <c r="AV212" s="8"/>
      <c r="AW212" s="8"/>
      <c r="AX212" s="8"/>
    </row>
    <row r="213" spans="1:50" ht="12.75">
      <c r="A213" s="5"/>
      <c r="B213" s="5"/>
      <c r="C213" s="7"/>
      <c r="D213" s="5"/>
      <c r="E213" s="5"/>
      <c r="F213" s="8"/>
      <c r="G213" s="5"/>
      <c r="H213" s="5"/>
      <c r="I213" s="8"/>
      <c r="J213" s="5"/>
      <c r="K213" s="5"/>
      <c r="L213" s="8"/>
      <c r="M213" s="12"/>
      <c r="N213" s="12"/>
      <c r="O213" s="8"/>
      <c r="P213" s="12"/>
      <c r="Q213" s="12"/>
      <c r="R213" s="8"/>
      <c r="S213" s="12"/>
      <c r="T213" s="12"/>
      <c r="U213" s="8"/>
      <c r="V213" s="12"/>
      <c r="W213" s="12"/>
      <c r="X213" s="8"/>
      <c r="Y213" s="18"/>
      <c r="Z213" s="18"/>
      <c r="AA213" s="8"/>
      <c r="AB213" s="18"/>
      <c r="AC213" s="18"/>
      <c r="AD213" s="8"/>
      <c r="AE213" s="18"/>
      <c r="AF213" s="18"/>
      <c r="AG213" s="8"/>
      <c r="AH213" s="12"/>
      <c r="AI213" s="12"/>
      <c r="AJ213" s="8"/>
      <c r="AK213" s="12"/>
      <c r="AL213" s="12"/>
      <c r="AM213" s="8"/>
      <c r="AN213" s="8"/>
      <c r="AO213" s="18"/>
      <c r="AP213" s="18"/>
      <c r="AQ213" s="8"/>
      <c r="AR213" s="8"/>
      <c r="AS213" s="8"/>
      <c r="AT213" s="8"/>
      <c r="AU213" s="8"/>
      <c r="AV213" s="8"/>
      <c r="AW213" s="8"/>
      <c r="AX213" s="8"/>
    </row>
    <row r="214" spans="1:50" ht="12.75">
      <c r="A214" s="5"/>
      <c r="B214" s="5"/>
      <c r="C214" s="7"/>
      <c r="D214" s="5"/>
      <c r="E214" s="5"/>
      <c r="F214" s="8"/>
      <c r="G214" s="5"/>
      <c r="H214" s="5"/>
      <c r="I214" s="8"/>
      <c r="J214" s="5"/>
      <c r="K214" s="5"/>
      <c r="L214" s="8"/>
      <c r="M214" s="12"/>
      <c r="N214" s="12"/>
      <c r="O214" s="8"/>
      <c r="P214" s="12"/>
      <c r="Q214" s="12"/>
      <c r="R214" s="8"/>
      <c r="S214" s="12"/>
      <c r="T214" s="12"/>
      <c r="U214" s="8"/>
      <c r="V214" s="12"/>
      <c r="W214" s="12"/>
      <c r="X214" s="8"/>
      <c r="Y214" s="18"/>
      <c r="Z214" s="18"/>
      <c r="AA214" s="8"/>
      <c r="AB214" s="18"/>
      <c r="AC214" s="18"/>
      <c r="AD214" s="8"/>
      <c r="AE214" s="18"/>
      <c r="AF214" s="18"/>
      <c r="AG214" s="8"/>
      <c r="AH214" s="12"/>
      <c r="AI214" s="12"/>
      <c r="AJ214" s="8"/>
      <c r="AK214" s="12"/>
      <c r="AL214" s="12"/>
      <c r="AM214" s="8"/>
      <c r="AN214" s="8"/>
      <c r="AO214" s="18"/>
      <c r="AP214" s="18"/>
      <c r="AQ214" s="8"/>
      <c r="AR214" s="8"/>
      <c r="AS214" s="8"/>
      <c r="AT214" s="8"/>
      <c r="AU214" s="8"/>
      <c r="AV214" s="8"/>
      <c r="AW214" s="8"/>
      <c r="AX214" s="8"/>
    </row>
    <row r="215" spans="1:50" ht="12.75">
      <c r="A215" s="5"/>
      <c r="B215" s="5"/>
      <c r="C215" s="7"/>
      <c r="D215" s="5"/>
      <c r="E215" s="5"/>
      <c r="F215" s="8"/>
      <c r="G215" s="5"/>
      <c r="H215" s="5"/>
      <c r="I215" s="8"/>
      <c r="J215" s="5"/>
      <c r="K215" s="5"/>
      <c r="L215" s="8"/>
      <c r="M215" s="12"/>
      <c r="N215" s="12"/>
      <c r="O215" s="8"/>
      <c r="P215" s="12"/>
      <c r="Q215" s="12"/>
      <c r="R215" s="8"/>
      <c r="S215" s="12"/>
      <c r="T215" s="12"/>
      <c r="U215" s="8"/>
      <c r="V215" s="12"/>
      <c r="W215" s="12"/>
      <c r="X215" s="8"/>
      <c r="Y215" s="18"/>
      <c r="Z215" s="18"/>
      <c r="AA215" s="8"/>
      <c r="AB215" s="18"/>
      <c r="AC215" s="18"/>
      <c r="AD215" s="8"/>
      <c r="AE215" s="18"/>
      <c r="AF215" s="18"/>
      <c r="AG215" s="8"/>
      <c r="AH215" s="12"/>
      <c r="AI215" s="12"/>
      <c r="AJ215" s="8"/>
      <c r="AK215" s="12"/>
      <c r="AL215" s="12"/>
      <c r="AM215" s="8"/>
      <c r="AN215" s="8"/>
      <c r="AO215" s="18"/>
      <c r="AP215" s="18"/>
      <c r="AQ215" s="8"/>
      <c r="AR215" s="8"/>
      <c r="AS215" s="8"/>
      <c r="AT215" s="8"/>
      <c r="AU215" s="8"/>
      <c r="AV215" s="8"/>
      <c r="AW215" s="8"/>
      <c r="AX215" s="8"/>
    </row>
    <row r="216" spans="1:50" ht="12.75">
      <c r="A216" s="5"/>
      <c r="B216" s="5"/>
      <c r="C216" s="7"/>
      <c r="D216" s="5"/>
      <c r="E216" s="5"/>
      <c r="F216" s="8"/>
      <c r="G216" s="5"/>
      <c r="H216" s="5"/>
      <c r="I216" s="8"/>
      <c r="J216" s="5"/>
      <c r="K216" s="5"/>
      <c r="L216" s="8"/>
      <c r="M216" s="12"/>
      <c r="N216" s="12"/>
      <c r="O216" s="8"/>
      <c r="P216" s="12"/>
      <c r="Q216" s="12"/>
      <c r="R216" s="8"/>
      <c r="S216" s="12"/>
      <c r="T216" s="12"/>
      <c r="U216" s="8"/>
      <c r="V216" s="12"/>
      <c r="W216" s="12"/>
      <c r="X216" s="8"/>
      <c r="Y216" s="18"/>
      <c r="Z216" s="18"/>
      <c r="AA216" s="8"/>
      <c r="AB216" s="18"/>
      <c r="AC216" s="18"/>
      <c r="AD216" s="8"/>
      <c r="AE216" s="18"/>
      <c r="AF216" s="18"/>
      <c r="AG216" s="8"/>
      <c r="AH216" s="12"/>
      <c r="AI216" s="12"/>
      <c r="AJ216" s="8"/>
      <c r="AK216" s="12"/>
      <c r="AL216" s="12"/>
      <c r="AM216" s="8"/>
      <c r="AN216" s="8"/>
      <c r="AO216" s="18"/>
      <c r="AP216" s="18"/>
      <c r="AQ216" s="8"/>
      <c r="AR216" s="8"/>
      <c r="AS216" s="8"/>
      <c r="AT216" s="8"/>
      <c r="AU216" s="8"/>
      <c r="AV216" s="8"/>
      <c r="AW216" s="8"/>
      <c r="AX216" s="8"/>
    </row>
    <row r="217" spans="1:50" ht="12.75">
      <c r="A217" s="5"/>
      <c r="B217" s="5"/>
      <c r="C217" s="7"/>
      <c r="D217" s="5"/>
      <c r="E217" s="5"/>
      <c r="F217" s="8"/>
      <c r="G217" s="5"/>
      <c r="H217" s="5"/>
      <c r="I217" s="8"/>
      <c r="J217" s="5"/>
      <c r="K217" s="5"/>
      <c r="L217" s="8"/>
      <c r="M217" s="12"/>
      <c r="N217" s="12"/>
      <c r="O217" s="8"/>
      <c r="P217" s="12"/>
      <c r="Q217" s="12"/>
      <c r="R217" s="8"/>
      <c r="S217" s="12"/>
      <c r="T217" s="12"/>
      <c r="U217" s="8"/>
      <c r="V217" s="12"/>
      <c r="W217" s="12"/>
      <c r="X217" s="8"/>
      <c r="Y217" s="18"/>
      <c r="Z217" s="18"/>
      <c r="AA217" s="8"/>
      <c r="AB217" s="18"/>
      <c r="AC217" s="18"/>
      <c r="AD217" s="8"/>
      <c r="AE217" s="18"/>
      <c r="AF217" s="18"/>
      <c r="AG217" s="8"/>
      <c r="AH217" s="12"/>
      <c r="AI217" s="12"/>
      <c r="AJ217" s="8"/>
      <c r="AK217" s="12"/>
      <c r="AL217" s="12"/>
      <c r="AM217" s="8"/>
      <c r="AN217" s="8"/>
      <c r="AO217" s="18"/>
      <c r="AP217" s="18"/>
      <c r="AQ217" s="8"/>
      <c r="AR217" s="8"/>
      <c r="AS217" s="8"/>
      <c r="AT217" s="8"/>
      <c r="AU217" s="8"/>
      <c r="AV217" s="8"/>
      <c r="AW217" s="8"/>
      <c r="AX217" s="8"/>
    </row>
    <row r="218" spans="1:50" ht="12.75">
      <c r="A218" s="5"/>
      <c r="B218" s="5"/>
      <c r="C218" s="7"/>
      <c r="D218" s="5"/>
      <c r="E218" s="5"/>
      <c r="F218" s="8"/>
      <c r="G218" s="5"/>
      <c r="H218" s="5"/>
      <c r="I218" s="8"/>
      <c r="J218" s="5"/>
      <c r="K218" s="5"/>
      <c r="L218" s="8"/>
      <c r="M218" s="12"/>
      <c r="N218" s="12"/>
      <c r="O218" s="8"/>
      <c r="P218" s="12"/>
      <c r="Q218" s="12"/>
      <c r="R218" s="8"/>
      <c r="S218" s="12"/>
      <c r="T218" s="12"/>
      <c r="U218" s="8"/>
      <c r="V218" s="12"/>
      <c r="W218" s="12"/>
      <c r="X218" s="8"/>
      <c r="Y218" s="18"/>
      <c r="Z218" s="18"/>
      <c r="AA218" s="8"/>
      <c r="AB218" s="18"/>
      <c r="AC218" s="18"/>
      <c r="AD218" s="8"/>
      <c r="AE218" s="18"/>
      <c r="AF218" s="18"/>
      <c r="AG218" s="8"/>
      <c r="AH218" s="12"/>
      <c r="AI218" s="12"/>
      <c r="AJ218" s="8"/>
      <c r="AK218" s="12"/>
      <c r="AL218" s="12"/>
      <c r="AM218" s="8"/>
      <c r="AN218" s="8"/>
      <c r="AO218" s="18"/>
      <c r="AP218" s="18"/>
      <c r="AQ218" s="8"/>
      <c r="AR218" s="8"/>
      <c r="AS218" s="8"/>
      <c r="AT218" s="8"/>
      <c r="AU218" s="8"/>
      <c r="AV218" s="8"/>
      <c r="AW218" s="8"/>
      <c r="AX218" s="8"/>
    </row>
    <row r="219" spans="1:50" ht="12.75">
      <c r="A219" s="5"/>
      <c r="B219" s="5"/>
      <c r="C219" s="7"/>
      <c r="D219" s="5"/>
      <c r="E219" s="5"/>
      <c r="F219" s="8"/>
      <c r="G219" s="5"/>
      <c r="H219" s="5"/>
      <c r="I219" s="8"/>
      <c r="J219" s="5"/>
      <c r="K219" s="5"/>
      <c r="L219" s="8"/>
      <c r="M219" s="12"/>
      <c r="N219" s="12"/>
      <c r="O219" s="8"/>
      <c r="P219" s="12"/>
      <c r="Q219" s="12"/>
      <c r="R219" s="8"/>
      <c r="S219" s="12"/>
      <c r="T219" s="12"/>
      <c r="U219" s="8"/>
      <c r="V219" s="12"/>
      <c r="W219" s="12"/>
      <c r="X219" s="8"/>
      <c r="Y219" s="18"/>
      <c r="Z219" s="18"/>
      <c r="AA219" s="8"/>
      <c r="AB219" s="18"/>
      <c r="AC219" s="18"/>
      <c r="AD219" s="8"/>
      <c r="AE219" s="18"/>
      <c r="AF219" s="18"/>
      <c r="AG219" s="8"/>
      <c r="AH219" s="12"/>
      <c r="AI219" s="12"/>
      <c r="AJ219" s="8"/>
      <c r="AK219" s="12"/>
      <c r="AL219" s="12"/>
      <c r="AM219" s="8"/>
      <c r="AN219" s="8"/>
      <c r="AO219" s="18"/>
      <c r="AP219" s="18"/>
      <c r="AQ219" s="8"/>
      <c r="AR219" s="8"/>
      <c r="AS219" s="8"/>
      <c r="AT219" s="8"/>
      <c r="AU219" s="8"/>
      <c r="AV219" s="8"/>
      <c r="AW219" s="8"/>
      <c r="AX219" s="8"/>
    </row>
    <row r="220" spans="1:50" ht="12.75">
      <c r="A220" s="5"/>
      <c r="B220" s="5"/>
      <c r="C220" s="7"/>
      <c r="D220" s="5"/>
      <c r="E220" s="5"/>
      <c r="F220" s="8"/>
      <c r="G220" s="5"/>
      <c r="H220" s="5"/>
      <c r="I220" s="8"/>
      <c r="J220" s="5"/>
      <c r="K220" s="5"/>
      <c r="L220" s="8"/>
      <c r="M220" s="12"/>
      <c r="N220" s="12"/>
      <c r="O220" s="8"/>
      <c r="P220" s="12"/>
      <c r="Q220" s="12"/>
      <c r="R220" s="8"/>
      <c r="S220" s="12"/>
      <c r="T220" s="12"/>
      <c r="U220" s="8"/>
      <c r="V220" s="12"/>
      <c r="W220" s="12"/>
      <c r="X220" s="8"/>
      <c r="Y220" s="18"/>
      <c r="Z220" s="18"/>
      <c r="AA220" s="8"/>
      <c r="AB220" s="18"/>
      <c r="AC220" s="18"/>
      <c r="AD220" s="8"/>
      <c r="AE220" s="18"/>
      <c r="AF220" s="18"/>
      <c r="AG220" s="8"/>
      <c r="AH220" s="12"/>
      <c r="AI220" s="12"/>
      <c r="AJ220" s="8"/>
      <c r="AK220" s="12"/>
      <c r="AL220" s="12"/>
      <c r="AM220" s="8"/>
      <c r="AN220" s="8"/>
      <c r="AO220" s="18"/>
      <c r="AP220" s="18"/>
      <c r="AQ220" s="8"/>
      <c r="AR220" s="8"/>
      <c r="AS220" s="8"/>
      <c r="AT220" s="8"/>
      <c r="AU220" s="8"/>
      <c r="AV220" s="8"/>
      <c r="AW220" s="8"/>
      <c r="AX220" s="8"/>
    </row>
    <row r="221" spans="1:50" ht="12.75">
      <c r="A221" s="5"/>
      <c r="B221" s="5"/>
      <c r="C221" s="7"/>
      <c r="D221" s="5"/>
      <c r="E221" s="5"/>
      <c r="F221" s="8"/>
      <c r="G221" s="5"/>
      <c r="H221" s="5"/>
      <c r="I221" s="8"/>
      <c r="J221" s="5"/>
      <c r="K221" s="5"/>
      <c r="L221" s="8"/>
      <c r="M221" s="12"/>
      <c r="N221" s="12"/>
      <c r="O221" s="8"/>
      <c r="P221" s="12"/>
      <c r="Q221" s="12"/>
      <c r="R221" s="8"/>
      <c r="S221" s="12"/>
      <c r="T221" s="12"/>
      <c r="U221" s="8"/>
      <c r="V221" s="12"/>
      <c r="W221" s="12"/>
      <c r="X221" s="8"/>
      <c r="Y221" s="18"/>
      <c r="Z221" s="18"/>
      <c r="AA221" s="8"/>
      <c r="AB221" s="18"/>
      <c r="AC221" s="18"/>
      <c r="AD221" s="8"/>
      <c r="AE221" s="18"/>
      <c r="AF221" s="18"/>
      <c r="AG221" s="8"/>
      <c r="AH221" s="12"/>
      <c r="AI221" s="12"/>
      <c r="AJ221" s="8"/>
      <c r="AK221" s="12"/>
      <c r="AL221" s="12"/>
      <c r="AM221" s="8"/>
      <c r="AN221" s="8"/>
      <c r="AO221" s="18"/>
      <c r="AP221" s="18"/>
      <c r="AQ221" s="8"/>
      <c r="AR221" s="8"/>
      <c r="AS221" s="8"/>
      <c r="AT221" s="8"/>
      <c r="AU221" s="8"/>
      <c r="AV221" s="8"/>
      <c r="AW221" s="8"/>
      <c r="AX221" s="8"/>
    </row>
    <row r="222" spans="1:50" ht="12.75">
      <c r="A222" s="5"/>
      <c r="B222" s="5"/>
      <c r="C222" s="7"/>
      <c r="D222" s="5"/>
      <c r="E222" s="5"/>
      <c r="F222" s="8"/>
      <c r="G222" s="5"/>
      <c r="H222" s="5"/>
      <c r="I222" s="8"/>
      <c r="J222" s="5"/>
      <c r="K222" s="5"/>
      <c r="L222" s="8"/>
      <c r="M222" s="12"/>
      <c r="N222" s="12"/>
      <c r="O222" s="8"/>
      <c r="P222" s="12"/>
      <c r="Q222" s="12"/>
      <c r="R222" s="8"/>
      <c r="S222" s="12"/>
      <c r="T222" s="12"/>
      <c r="U222" s="8"/>
      <c r="V222" s="12"/>
      <c r="W222" s="12"/>
      <c r="X222" s="8"/>
      <c r="Y222" s="18"/>
      <c r="Z222" s="18"/>
      <c r="AA222" s="8"/>
      <c r="AB222" s="18"/>
      <c r="AC222" s="18"/>
      <c r="AD222" s="8"/>
      <c r="AE222" s="18"/>
      <c r="AF222" s="18"/>
      <c r="AG222" s="8"/>
      <c r="AH222" s="12"/>
      <c r="AI222" s="12"/>
      <c r="AJ222" s="8"/>
      <c r="AK222" s="12"/>
      <c r="AL222" s="12"/>
      <c r="AM222" s="8"/>
      <c r="AN222" s="8"/>
      <c r="AO222" s="18"/>
      <c r="AP222" s="18"/>
      <c r="AQ222" s="8"/>
      <c r="AR222" s="8"/>
      <c r="AS222" s="8"/>
      <c r="AT222" s="8"/>
      <c r="AU222" s="8"/>
      <c r="AV222" s="8"/>
      <c r="AW222" s="8"/>
      <c r="AX222" s="8"/>
    </row>
    <row r="223" spans="1:50" ht="12.75">
      <c r="A223" s="5"/>
      <c r="B223" s="5"/>
      <c r="C223" s="7"/>
      <c r="D223" s="5"/>
      <c r="E223" s="5"/>
      <c r="F223" s="8"/>
      <c r="G223" s="5"/>
      <c r="H223" s="5"/>
      <c r="I223" s="8"/>
      <c r="J223" s="5"/>
      <c r="K223" s="5"/>
      <c r="L223" s="8"/>
      <c r="M223" s="12"/>
      <c r="N223" s="12"/>
      <c r="O223" s="8"/>
      <c r="P223" s="12"/>
      <c r="Q223" s="12"/>
      <c r="R223" s="8"/>
      <c r="S223" s="12"/>
      <c r="T223" s="12"/>
      <c r="U223" s="8"/>
      <c r="V223" s="12"/>
      <c r="W223" s="12"/>
      <c r="X223" s="8"/>
      <c r="Y223" s="18"/>
      <c r="Z223" s="18"/>
      <c r="AA223" s="8"/>
      <c r="AB223" s="18"/>
      <c r="AC223" s="18"/>
      <c r="AD223" s="8"/>
      <c r="AE223" s="18"/>
      <c r="AF223" s="18"/>
      <c r="AG223" s="8"/>
      <c r="AH223" s="12"/>
      <c r="AI223" s="12"/>
      <c r="AJ223" s="8"/>
      <c r="AK223" s="12"/>
      <c r="AL223" s="12"/>
      <c r="AM223" s="8"/>
      <c r="AN223" s="8"/>
      <c r="AO223" s="18"/>
      <c r="AP223" s="18"/>
      <c r="AQ223" s="8"/>
      <c r="AR223" s="8"/>
      <c r="AS223" s="8"/>
      <c r="AT223" s="8"/>
      <c r="AU223" s="8"/>
      <c r="AV223" s="8"/>
      <c r="AW223" s="8"/>
      <c r="AX223" s="8"/>
    </row>
    <row r="224" spans="1:50" ht="12.75">
      <c r="A224" s="5"/>
      <c r="B224" s="5"/>
      <c r="C224" s="7"/>
      <c r="D224" s="5"/>
      <c r="E224" s="5"/>
      <c r="F224" s="8"/>
      <c r="G224" s="5"/>
      <c r="H224" s="5"/>
      <c r="I224" s="8"/>
      <c r="J224" s="5"/>
      <c r="K224" s="5"/>
      <c r="L224" s="8"/>
      <c r="M224" s="12"/>
      <c r="N224" s="12"/>
      <c r="O224" s="8"/>
      <c r="P224" s="12"/>
      <c r="Q224" s="12"/>
      <c r="R224" s="8"/>
      <c r="S224" s="12"/>
      <c r="T224" s="12"/>
      <c r="U224" s="8"/>
      <c r="V224" s="12"/>
      <c r="W224" s="12"/>
      <c r="X224" s="8"/>
      <c r="Y224" s="18"/>
      <c r="Z224" s="18"/>
      <c r="AA224" s="8"/>
      <c r="AB224" s="18"/>
      <c r="AC224" s="18"/>
      <c r="AD224" s="8"/>
      <c r="AE224" s="18"/>
      <c r="AF224" s="18"/>
      <c r="AG224" s="8"/>
      <c r="AH224" s="12"/>
      <c r="AI224" s="12"/>
      <c r="AJ224" s="8"/>
      <c r="AK224" s="12"/>
      <c r="AL224" s="12"/>
      <c r="AM224" s="8"/>
      <c r="AN224" s="8"/>
      <c r="AO224" s="18"/>
      <c r="AP224" s="18"/>
      <c r="AQ224" s="8"/>
      <c r="AR224" s="8"/>
      <c r="AS224" s="8"/>
      <c r="AT224" s="8"/>
      <c r="AU224" s="8"/>
      <c r="AV224" s="8"/>
      <c r="AW224" s="8"/>
      <c r="AX224" s="8"/>
    </row>
    <row r="225" spans="1:50" ht="12.75">
      <c r="A225" s="5"/>
      <c r="B225" s="5"/>
      <c r="C225" s="7"/>
      <c r="D225" s="5"/>
      <c r="E225" s="5"/>
      <c r="F225" s="8"/>
      <c r="G225" s="5"/>
      <c r="H225" s="5"/>
      <c r="I225" s="8"/>
      <c r="J225" s="5"/>
      <c r="K225" s="5"/>
      <c r="L225" s="8"/>
      <c r="M225" s="12"/>
      <c r="N225" s="12"/>
      <c r="O225" s="8"/>
      <c r="P225" s="12"/>
      <c r="Q225" s="12"/>
      <c r="R225" s="8"/>
      <c r="S225" s="12"/>
      <c r="T225" s="12"/>
      <c r="U225" s="8"/>
      <c r="V225" s="12"/>
      <c r="W225" s="12"/>
      <c r="X225" s="8"/>
      <c r="Y225" s="18"/>
      <c r="Z225" s="18"/>
      <c r="AA225" s="8"/>
      <c r="AB225" s="18"/>
      <c r="AC225" s="18"/>
      <c r="AD225" s="8"/>
      <c r="AE225" s="18"/>
      <c r="AF225" s="18"/>
      <c r="AG225" s="8"/>
      <c r="AH225" s="12"/>
      <c r="AI225" s="12"/>
      <c r="AJ225" s="8"/>
      <c r="AK225" s="12"/>
      <c r="AL225" s="12"/>
      <c r="AM225" s="8"/>
      <c r="AN225" s="8"/>
      <c r="AO225" s="18"/>
      <c r="AP225" s="18"/>
      <c r="AQ225" s="8"/>
      <c r="AR225" s="8"/>
      <c r="AS225" s="8"/>
      <c r="AT225" s="8"/>
      <c r="AU225" s="8"/>
      <c r="AV225" s="8"/>
      <c r="AW225" s="8"/>
      <c r="AX225" s="8"/>
    </row>
    <row r="226" spans="1:50" ht="12.75">
      <c r="A226" s="5"/>
      <c r="B226" s="5"/>
      <c r="C226" s="7"/>
      <c r="D226" s="5"/>
      <c r="E226" s="5"/>
      <c r="F226" s="8"/>
      <c r="G226" s="5"/>
      <c r="H226" s="5"/>
      <c r="I226" s="8"/>
      <c r="J226" s="5"/>
      <c r="K226" s="5"/>
      <c r="L226" s="8"/>
      <c r="M226" s="12"/>
      <c r="N226" s="12"/>
      <c r="O226" s="8"/>
      <c r="P226" s="12"/>
      <c r="Q226" s="12"/>
      <c r="R226" s="8"/>
      <c r="S226" s="12"/>
      <c r="T226" s="12"/>
      <c r="U226" s="8"/>
      <c r="V226" s="12"/>
      <c r="W226" s="12"/>
      <c r="X226" s="8"/>
      <c r="Y226" s="18"/>
      <c r="Z226" s="18"/>
      <c r="AA226" s="8"/>
      <c r="AB226" s="18"/>
      <c r="AC226" s="18"/>
      <c r="AD226" s="8"/>
      <c r="AE226" s="18"/>
      <c r="AF226" s="18"/>
      <c r="AG226" s="8"/>
      <c r="AH226" s="12"/>
      <c r="AI226" s="12"/>
      <c r="AJ226" s="8"/>
      <c r="AK226" s="12"/>
      <c r="AL226" s="12"/>
      <c r="AM226" s="8"/>
      <c r="AN226" s="8"/>
      <c r="AO226" s="18"/>
      <c r="AP226" s="18"/>
      <c r="AQ226" s="8"/>
      <c r="AR226" s="8"/>
      <c r="AS226" s="8"/>
      <c r="AT226" s="8"/>
      <c r="AU226" s="8"/>
      <c r="AV226" s="8"/>
      <c r="AW226" s="8"/>
      <c r="AX226" s="8"/>
    </row>
    <row r="227" spans="1:50" ht="12.75">
      <c r="A227" s="5"/>
      <c r="B227" s="5"/>
      <c r="C227" s="7"/>
      <c r="D227" s="5"/>
      <c r="E227" s="5"/>
      <c r="F227" s="8"/>
      <c r="G227" s="5"/>
      <c r="H227" s="5"/>
      <c r="I227" s="8"/>
      <c r="J227" s="5"/>
      <c r="K227" s="5"/>
      <c r="L227" s="8"/>
      <c r="M227" s="12"/>
      <c r="N227" s="12"/>
      <c r="O227" s="8"/>
      <c r="P227" s="12"/>
      <c r="Q227" s="12"/>
      <c r="R227" s="8"/>
      <c r="S227" s="12"/>
      <c r="T227" s="12"/>
      <c r="U227" s="8"/>
      <c r="V227" s="12"/>
      <c r="W227" s="12"/>
      <c r="X227" s="8"/>
      <c r="Y227" s="18"/>
      <c r="Z227" s="18"/>
      <c r="AA227" s="8"/>
      <c r="AB227" s="18"/>
      <c r="AC227" s="18"/>
      <c r="AD227" s="8"/>
      <c r="AE227" s="18"/>
      <c r="AF227" s="18"/>
      <c r="AG227" s="8"/>
      <c r="AH227" s="12"/>
      <c r="AI227" s="12"/>
      <c r="AJ227" s="8"/>
      <c r="AK227" s="12"/>
      <c r="AL227" s="12"/>
      <c r="AM227" s="8"/>
      <c r="AN227" s="8"/>
      <c r="AO227" s="18"/>
      <c r="AP227" s="18"/>
      <c r="AQ227" s="8"/>
      <c r="AR227" s="8"/>
      <c r="AS227" s="8"/>
      <c r="AT227" s="8"/>
      <c r="AU227" s="8"/>
      <c r="AV227" s="8"/>
      <c r="AW227" s="8"/>
      <c r="AX227" s="8"/>
    </row>
    <row r="228" spans="1:50" ht="12.75">
      <c r="A228" s="5"/>
      <c r="B228" s="5"/>
      <c r="C228" s="7"/>
      <c r="D228" s="5"/>
      <c r="E228" s="5"/>
      <c r="F228" s="8"/>
      <c r="G228" s="5"/>
      <c r="H228" s="5"/>
      <c r="I228" s="8"/>
      <c r="J228" s="5"/>
      <c r="K228" s="5"/>
      <c r="L228" s="8"/>
      <c r="M228" s="12"/>
      <c r="N228" s="12"/>
      <c r="O228" s="8"/>
      <c r="P228" s="12"/>
      <c r="Q228" s="12"/>
      <c r="R228" s="8"/>
      <c r="S228" s="12"/>
      <c r="T228" s="12"/>
      <c r="U228" s="8"/>
      <c r="V228" s="12"/>
      <c r="W228" s="12"/>
      <c r="X228" s="8"/>
      <c r="Y228" s="18"/>
      <c r="Z228" s="18"/>
      <c r="AA228" s="8"/>
      <c r="AB228" s="18"/>
      <c r="AC228" s="18"/>
      <c r="AD228" s="8"/>
      <c r="AE228" s="18"/>
      <c r="AF228" s="18"/>
      <c r="AG228" s="8"/>
      <c r="AH228" s="12"/>
      <c r="AI228" s="12"/>
      <c r="AJ228" s="8"/>
      <c r="AK228" s="12"/>
      <c r="AL228" s="12"/>
      <c r="AM228" s="8"/>
      <c r="AN228" s="8"/>
      <c r="AO228" s="18"/>
      <c r="AP228" s="18"/>
      <c r="AQ228" s="8"/>
      <c r="AR228" s="8"/>
      <c r="AS228" s="8"/>
      <c r="AT228" s="8"/>
      <c r="AU228" s="8"/>
      <c r="AV228" s="8"/>
      <c r="AW228" s="8"/>
      <c r="AX228" s="8"/>
    </row>
    <row r="229" spans="1:50" ht="12.75">
      <c r="A229" s="5"/>
      <c r="B229" s="5"/>
      <c r="C229" s="7"/>
      <c r="D229" s="5"/>
      <c r="E229" s="5"/>
      <c r="F229" s="8"/>
      <c r="G229" s="5"/>
      <c r="H229" s="5"/>
      <c r="I229" s="8"/>
      <c r="J229" s="5"/>
      <c r="K229" s="5"/>
      <c r="L229" s="8"/>
      <c r="M229" s="12"/>
      <c r="N229" s="12"/>
      <c r="O229" s="8"/>
      <c r="P229" s="12"/>
      <c r="Q229" s="12"/>
      <c r="R229" s="8"/>
      <c r="S229" s="12"/>
      <c r="T229" s="12"/>
      <c r="U229" s="8"/>
      <c r="V229" s="12"/>
      <c r="W229" s="12"/>
      <c r="X229" s="8"/>
      <c r="Y229" s="18"/>
      <c r="Z229" s="18"/>
      <c r="AA229" s="8"/>
      <c r="AB229" s="18"/>
      <c r="AC229" s="18"/>
      <c r="AD229" s="8"/>
      <c r="AE229" s="18"/>
      <c r="AF229" s="18"/>
      <c r="AG229" s="8"/>
      <c r="AH229" s="12"/>
      <c r="AI229" s="12"/>
      <c r="AJ229" s="8"/>
      <c r="AK229" s="12"/>
      <c r="AL229" s="12"/>
      <c r="AM229" s="8"/>
      <c r="AN229" s="8"/>
      <c r="AO229" s="18"/>
      <c r="AP229" s="18"/>
      <c r="AQ229" s="8"/>
      <c r="AR229" s="8"/>
      <c r="AS229" s="8"/>
      <c r="AT229" s="8"/>
      <c r="AU229" s="8"/>
      <c r="AV229" s="8"/>
      <c r="AW229" s="8"/>
      <c r="AX229" s="8"/>
    </row>
    <row r="230" spans="1:50" ht="12.75">
      <c r="A230" s="5"/>
      <c r="B230" s="5"/>
      <c r="C230" s="7"/>
      <c r="D230" s="5"/>
      <c r="E230" s="5"/>
      <c r="F230" s="8"/>
      <c r="G230" s="5"/>
      <c r="H230" s="5"/>
      <c r="I230" s="8"/>
      <c r="J230" s="5"/>
      <c r="K230" s="5"/>
      <c r="L230" s="8"/>
      <c r="M230" s="12"/>
      <c r="N230" s="12"/>
      <c r="O230" s="8"/>
      <c r="P230" s="12"/>
      <c r="Q230" s="12"/>
      <c r="R230" s="8"/>
      <c r="S230" s="12"/>
      <c r="T230" s="12"/>
      <c r="U230" s="8"/>
      <c r="V230" s="12"/>
      <c r="W230" s="12"/>
      <c r="X230" s="8"/>
      <c r="Y230" s="18"/>
      <c r="Z230" s="18"/>
      <c r="AA230" s="8"/>
      <c r="AB230" s="18"/>
      <c r="AC230" s="18"/>
      <c r="AD230" s="8"/>
      <c r="AE230" s="18"/>
      <c r="AF230" s="18"/>
      <c r="AG230" s="8"/>
      <c r="AH230" s="12"/>
      <c r="AI230" s="12"/>
      <c r="AJ230" s="8"/>
      <c r="AK230" s="12"/>
      <c r="AL230" s="12"/>
      <c r="AM230" s="8"/>
      <c r="AN230" s="8"/>
      <c r="AO230" s="18"/>
      <c r="AP230" s="18"/>
      <c r="AQ230" s="8"/>
      <c r="AR230" s="8"/>
      <c r="AS230" s="8"/>
      <c r="AT230" s="8"/>
      <c r="AU230" s="8"/>
      <c r="AV230" s="8"/>
      <c r="AW230" s="8"/>
      <c r="AX230" s="8"/>
    </row>
    <row r="231" spans="1:50" ht="12.75">
      <c r="A231" s="5"/>
      <c r="B231" s="5"/>
      <c r="C231" s="7"/>
      <c r="D231" s="5"/>
      <c r="E231" s="5"/>
      <c r="F231" s="8"/>
      <c r="G231" s="5"/>
      <c r="H231" s="5"/>
      <c r="I231" s="8"/>
      <c r="J231" s="5"/>
      <c r="K231" s="5"/>
      <c r="L231" s="8"/>
      <c r="M231" s="12"/>
      <c r="N231" s="12"/>
      <c r="O231" s="8"/>
      <c r="P231" s="12"/>
      <c r="Q231" s="12"/>
      <c r="R231" s="8"/>
      <c r="S231" s="12"/>
      <c r="T231" s="12"/>
      <c r="U231" s="8"/>
      <c r="V231" s="12"/>
      <c r="W231" s="12"/>
      <c r="X231" s="8"/>
      <c r="Y231" s="18"/>
      <c r="Z231" s="18"/>
      <c r="AA231" s="8"/>
      <c r="AB231" s="18"/>
      <c r="AC231" s="18"/>
      <c r="AD231" s="8"/>
      <c r="AE231" s="18"/>
      <c r="AF231" s="18"/>
      <c r="AG231" s="8"/>
      <c r="AH231" s="12"/>
      <c r="AI231" s="12"/>
      <c r="AJ231" s="8"/>
      <c r="AK231" s="12"/>
      <c r="AL231" s="12"/>
      <c r="AM231" s="8"/>
      <c r="AN231" s="8"/>
      <c r="AO231" s="18"/>
      <c r="AP231" s="18"/>
      <c r="AQ231" s="8"/>
      <c r="AR231" s="8"/>
      <c r="AS231" s="8"/>
      <c r="AT231" s="8"/>
      <c r="AU231" s="8"/>
      <c r="AV231" s="8"/>
      <c r="AW231" s="8"/>
      <c r="AX231" s="8"/>
    </row>
    <row r="232" spans="1:50" ht="12.75">
      <c r="A232" s="5"/>
      <c r="B232" s="5"/>
      <c r="C232" s="7"/>
      <c r="D232" s="5"/>
      <c r="E232" s="5"/>
      <c r="F232" s="8"/>
      <c r="G232" s="5"/>
      <c r="H232" s="5"/>
      <c r="I232" s="8"/>
      <c r="J232" s="5"/>
      <c r="K232" s="5"/>
      <c r="L232" s="8"/>
      <c r="M232" s="12"/>
      <c r="N232" s="12"/>
      <c r="O232" s="8"/>
      <c r="P232" s="12"/>
      <c r="Q232" s="12"/>
      <c r="R232" s="8"/>
      <c r="S232" s="12"/>
      <c r="T232" s="12"/>
      <c r="U232" s="8"/>
      <c r="V232" s="12"/>
      <c r="W232" s="12"/>
      <c r="X232" s="8"/>
      <c r="Y232" s="18"/>
      <c r="Z232" s="18"/>
      <c r="AA232" s="8"/>
      <c r="AB232" s="18"/>
      <c r="AC232" s="18"/>
      <c r="AD232" s="8"/>
      <c r="AE232" s="18"/>
      <c r="AF232" s="18"/>
      <c r="AG232" s="8"/>
      <c r="AH232" s="12"/>
      <c r="AI232" s="12"/>
      <c r="AJ232" s="8"/>
      <c r="AK232" s="12"/>
      <c r="AL232" s="12"/>
      <c r="AM232" s="8"/>
      <c r="AN232" s="8"/>
      <c r="AO232" s="18"/>
      <c r="AP232" s="18"/>
      <c r="AQ232" s="8"/>
      <c r="AR232" s="8"/>
      <c r="AS232" s="8"/>
      <c r="AT232" s="8"/>
      <c r="AU232" s="8"/>
      <c r="AV232" s="8"/>
      <c r="AW232" s="8"/>
      <c r="AX232" s="8"/>
    </row>
    <row r="233" spans="1:50" ht="12.75">
      <c r="A233" s="5"/>
      <c r="B233" s="5"/>
      <c r="C233" s="7"/>
      <c r="D233" s="5"/>
      <c r="E233" s="5"/>
      <c r="F233" s="8"/>
      <c r="G233" s="5"/>
      <c r="H233" s="5"/>
      <c r="I233" s="8"/>
      <c r="J233" s="5"/>
      <c r="K233" s="5"/>
      <c r="L233" s="8"/>
      <c r="M233" s="12"/>
      <c r="N233" s="12"/>
      <c r="O233" s="8"/>
      <c r="P233" s="12"/>
      <c r="Q233" s="12"/>
      <c r="R233" s="8"/>
      <c r="S233" s="12"/>
      <c r="T233" s="12"/>
      <c r="U233" s="8"/>
      <c r="V233" s="12"/>
      <c r="W233" s="12"/>
      <c r="X233" s="8"/>
      <c r="Y233" s="18"/>
      <c r="Z233" s="18"/>
      <c r="AA233" s="8"/>
      <c r="AB233" s="18"/>
      <c r="AC233" s="18"/>
      <c r="AD233" s="8"/>
      <c r="AE233" s="18"/>
      <c r="AF233" s="18"/>
      <c r="AG233" s="8"/>
      <c r="AH233" s="12"/>
      <c r="AI233" s="12"/>
      <c r="AJ233" s="8"/>
      <c r="AK233" s="12"/>
      <c r="AL233" s="12"/>
      <c r="AM233" s="8"/>
      <c r="AN233" s="8"/>
      <c r="AO233" s="18"/>
      <c r="AP233" s="18"/>
      <c r="AQ233" s="8"/>
      <c r="AR233" s="8"/>
      <c r="AS233" s="8"/>
      <c r="AT233" s="8"/>
      <c r="AU233" s="8"/>
      <c r="AV233" s="8"/>
      <c r="AW233" s="8"/>
      <c r="AX233" s="8"/>
    </row>
    <row r="234" spans="1:50" ht="12.75">
      <c r="A234" s="5"/>
      <c r="B234" s="5"/>
      <c r="C234" s="7"/>
      <c r="D234" s="5"/>
      <c r="E234" s="5"/>
      <c r="F234" s="8"/>
      <c r="G234" s="5"/>
      <c r="H234" s="5"/>
      <c r="I234" s="8"/>
      <c r="J234" s="5"/>
      <c r="K234" s="5"/>
      <c r="L234" s="8"/>
      <c r="M234" s="12"/>
      <c r="N234" s="12"/>
      <c r="O234" s="8"/>
      <c r="P234" s="12"/>
      <c r="Q234" s="12"/>
      <c r="R234" s="8"/>
      <c r="S234" s="12"/>
      <c r="T234" s="12"/>
      <c r="U234" s="8"/>
      <c r="V234" s="12"/>
      <c r="W234" s="12"/>
      <c r="X234" s="8"/>
      <c r="Y234" s="18"/>
      <c r="Z234" s="18"/>
      <c r="AA234" s="8"/>
      <c r="AB234" s="18"/>
      <c r="AC234" s="18"/>
      <c r="AD234" s="8"/>
      <c r="AE234" s="18"/>
      <c r="AF234" s="18"/>
      <c r="AG234" s="8"/>
      <c r="AH234" s="12"/>
      <c r="AI234" s="12"/>
      <c r="AJ234" s="8"/>
      <c r="AK234" s="12"/>
      <c r="AL234" s="12"/>
      <c r="AM234" s="8"/>
      <c r="AN234" s="8"/>
      <c r="AO234" s="18"/>
      <c r="AP234" s="18"/>
      <c r="AQ234" s="8"/>
      <c r="AR234" s="8"/>
      <c r="AS234" s="8"/>
      <c r="AT234" s="8"/>
      <c r="AU234" s="8"/>
      <c r="AV234" s="8"/>
      <c r="AW234" s="8"/>
      <c r="AX234" s="8"/>
    </row>
    <row r="235" spans="1:50" ht="12.75">
      <c r="A235" s="5"/>
      <c r="B235" s="5"/>
      <c r="C235" s="7"/>
      <c r="D235" s="5"/>
      <c r="E235" s="5"/>
      <c r="F235" s="8"/>
      <c r="G235" s="5"/>
      <c r="H235" s="5"/>
      <c r="I235" s="8"/>
      <c r="J235" s="5"/>
      <c r="K235" s="5"/>
      <c r="L235" s="8"/>
      <c r="M235" s="12"/>
      <c r="N235" s="12"/>
      <c r="O235" s="8"/>
      <c r="P235" s="12"/>
      <c r="Q235" s="12"/>
      <c r="R235" s="8"/>
      <c r="S235" s="12"/>
      <c r="T235" s="12"/>
      <c r="U235" s="8"/>
      <c r="V235" s="12"/>
      <c r="W235" s="12"/>
      <c r="X235" s="8"/>
      <c r="Y235" s="18"/>
      <c r="Z235" s="18"/>
      <c r="AA235" s="8"/>
      <c r="AB235" s="18"/>
      <c r="AC235" s="18"/>
      <c r="AD235" s="8"/>
      <c r="AE235" s="18"/>
      <c r="AF235" s="18"/>
      <c r="AG235" s="8"/>
      <c r="AH235" s="12"/>
      <c r="AI235" s="12"/>
      <c r="AJ235" s="8"/>
      <c r="AK235" s="12"/>
      <c r="AL235" s="12"/>
      <c r="AM235" s="8"/>
      <c r="AN235" s="8"/>
      <c r="AO235" s="18"/>
      <c r="AP235" s="18"/>
      <c r="AQ235" s="8"/>
      <c r="AR235" s="8"/>
      <c r="AS235" s="8"/>
      <c r="AT235" s="8"/>
      <c r="AU235" s="8"/>
      <c r="AV235" s="8"/>
      <c r="AW235" s="8"/>
      <c r="AX235" s="8"/>
    </row>
    <row r="236" spans="1:50" ht="12.75">
      <c r="A236" s="5"/>
      <c r="B236" s="5"/>
      <c r="C236" s="7"/>
      <c r="D236" s="5"/>
      <c r="E236" s="5"/>
      <c r="F236" s="8"/>
      <c r="G236" s="5"/>
      <c r="H236" s="5"/>
      <c r="I236" s="8"/>
      <c r="J236" s="5"/>
      <c r="K236" s="5"/>
      <c r="L236" s="8"/>
      <c r="M236" s="12"/>
      <c r="N236" s="12"/>
      <c r="O236" s="8"/>
      <c r="P236" s="12"/>
      <c r="Q236" s="12"/>
      <c r="R236" s="8"/>
      <c r="S236" s="12"/>
      <c r="T236" s="12"/>
      <c r="U236" s="8"/>
      <c r="V236" s="12"/>
      <c r="W236" s="12"/>
      <c r="X236" s="8"/>
      <c r="Y236" s="18"/>
      <c r="Z236" s="18"/>
      <c r="AA236" s="8"/>
      <c r="AB236" s="18"/>
      <c r="AC236" s="18"/>
      <c r="AD236" s="8"/>
      <c r="AE236" s="18"/>
      <c r="AF236" s="18"/>
      <c r="AG236" s="8"/>
      <c r="AH236" s="12"/>
      <c r="AI236" s="12"/>
      <c r="AJ236" s="8"/>
      <c r="AK236" s="12"/>
      <c r="AL236" s="12"/>
      <c r="AM236" s="8"/>
      <c r="AN236" s="8"/>
      <c r="AO236" s="18"/>
      <c r="AP236" s="18"/>
      <c r="AQ236" s="8"/>
      <c r="AR236" s="8"/>
      <c r="AS236" s="8"/>
      <c r="AT236" s="8"/>
      <c r="AU236" s="8"/>
      <c r="AV236" s="8"/>
      <c r="AW236" s="8"/>
      <c r="AX236" s="8"/>
    </row>
    <row r="237" spans="1:50" ht="12.75">
      <c r="A237" s="5"/>
      <c r="B237" s="5"/>
      <c r="C237" s="7"/>
      <c r="D237" s="5"/>
      <c r="E237" s="5"/>
      <c r="F237" s="8"/>
      <c r="G237" s="5"/>
      <c r="H237" s="5"/>
      <c r="I237" s="8"/>
      <c r="J237" s="5"/>
      <c r="K237" s="5"/>
      <c r="L237" s="8"/>
      <c r="M237" s="12"/>
      <c r="N237" s="12"/>
      <c r="O237" s="8"/>
      <c r="P237" s="12"/>
      <c r="Q237" s="12"/>
      <c r="R237" s="8"/>
      <c r="S237" s="12"/>
      <c r="T237" s="12"/>
      <c r="U237" s="8"/>
      <c r="V237" s="12"/>
      <c r="W237" s="12"/>
      <c r="X237" s="8"/>
      <c r="Y237" s="18"/>
      <c r="Z237" s="18"/>
      <c r="AA237" s="8"/>
      <c r="AB237" s="18"/>
      <c r="AC237" s="18"/>
      <c r="AD237" s="8"/>
      <c r="AE237" s="18"/>
      <c r="AF237" s="18"/>
      <c r="AG237" s="8"/>
      <c r="AH237" s="12"/>
      <c r="AI237" s="12"/>
      <c r="AJ237" s="8"/>
      <c r="AK237" s="12"/>
      <c r="AL237" s="12"/>
      <c r="AM237" s="8"/>
      <c r="AN237" s="8"/>
      <c r="AO237" s="18"/>
      <c r="AP237" s="18"/>
      <c r="AQ237" s="8"/>
      <c r="AR237" s="8"/>
      <c r="AS237" s="8"/>
      <c r="AT237" s="8"/>
      <c r="AU237" s="8"/>
      <c r="AV237" s="8"/>
      <c r="AW237" s="8"/>
      <c r="AX237" s="8"/>
    </row>
    <row r="238" spans="1:50" ht="12.75">
      <c r="A238" s="5"/>
      <c r="B238" s="5"/>
      <c r="C238" s="7"/>
      <c r="D238" s="5"/>
      <c r="E238" s="5"/>
      <c r="F238" s="8"/>
      <c r="G238" s="5"/>
      <c r="H238" s="5"/>
      <c r="I238" s="8"/>
      <c r="J238" s="5"/>
      <c r="K238" s="5"/>
      <c r="L238" s="8"/>
      <c r="M238" s="12"/>
      <c r="N238" s="12"/>
      <c r="O238" s="8"/>
      <c r="P238" s="12"/>
      <c r="Q238" s="12"/>
      <c r="R238" s="8"/>
      <c r="S238" s="12"/>
      <c r="T238" s="12"/>
      <c r="U238" s="8"/>
      <c r="V238" s="12"/>
      <c r="W238" s="12"/>
      <c r="X238" s="8"/>
      <c r="Y238" s="18"/>
      <c r="Z238" s="18"/>
      <c r="AA238" s="8"/>
      <c r="AB238" s="18"/>
      <c r="AC238" s="18"/>
      <c r="AD238" s="8"/>
      <c r="AE238" s="18"/>
      <c r="AF238" s="18"/>
      <c r="AG238" s="8"/>
      <c r="AH238" s="12"/>
      <c r="AI238" s="12"/>
      <c r="AJ238" s="8"/>
      <c r="AK238" s="12"/>
      <c r="AL238" s="12"/>
      <c r="AM238" s="8"/>
      <c r="AN238" s="8"/>
      <c r="AO238" s="18"/>
      <c r="AP238" s="18"/>
      <c r="AQ238" s="8"/>
      <c r="AR238" s="8"/>
      <c r="AS238" s="8"/>
      <c r="AT238" s="8"/>
      <c r="AU238" s="8"/>
      <c r="AV238" s="8"/>
      <c r="AW238" s="8"/>
      <c r="AX238" s="8"/>
    </row>
    <row r="239" spans="1:50" ht="12.75">
      <c r="A239" s="5"/>
      <c r="B239" s="5"/>
      <c r="C239" s="7"/>
      <c r="D239" s="5"/>
      <c r="E239" s="5"/>
      <c r="F239" s="8"/>
      <c r="G239" s="5"/>
      <c r="H239" s="5"/>
      <c r="I239" s="8"/>
      <c r="J239" s="5"/>
      <c r="K239" s="5"/>
      <c r="L239" s="8"/>
      <c r="M239" s="12"/>
      <c r="N239" s="12"/>
      <c r="O239" s="8"/>
      <c r="P239" s="12"/>
      <c r="Q239" s="12"/>
      <c r="R239" s="8"/>
      <c r="S239" s="12"/>
      <c r="T239" s="12"/>
      <c r="U239" s="8"/>
      <c r="V239" s="12"/>
      <c r="W239" s="12"/>
      <c r="X239" s="8"/>
      <c r="Y239" s="18"/>
      <c r="Z239" s="18"/>
      <c r="AA239" s="8"/>
      <c r="AB239" s="18"/>
      <c r="AC239" s="18"/>
      <c r="AD239" s="8"/>
      <c r="AE239" s="18"/>
      <c r="AF239" s="18"/>
      <c r="AG239" s="8"/>
      <c r="AH239" s="12"/>
      <c r="AI239" s="12"/>
      <c r="AJ239" s="8"/>
      <c r="AK239" s="12"/>
      <c r="AL239" s="12"/>
      <c r="AM239" s="8"/>
      <c r="AN239" s="8"/>
      <c r="AO239" s="18"/>
      <c r="AP239" s="18"/>
      <c r="AQ239" s="8"/>
      <c r="AR239" s="8"/>
      <c r="AS239" s="8"/>
      <c r="AT239" s="8"/>
      <c r="AU239" s="8"/>
      <c r="AV239" s="8"/>
      <c r="AW239" s="8"/>
      <c r="AX239" s="8"/>
    </row>
    <row r="240" spans="1:50" ht="12.75">
      <c r="A240" s="5"/>
      <c r="B240" s="5"/>
      <c r="C240" s="7"/>
      <c r="D240" s="5"/>
      <c r="E240" s="5"/>
      <c r="F240" s="8"/>
      <c r="G240" s="5"/>
      <c r="H240" s="5"/>
      <c r="I240" s="8"/>
      <c r="J240" s="5"/>
      <c r="K240" s="5"/>
      <c r="L240" s="8"/>
      <c r="M240" s="12"/>
      <c r="N240" s="12"/>
      <c r="O240" s="8"/>
      <c r="P240" s="12"/>
      <c r="Q240" s="12"/>
      <c r="R240" s="8"/>
      <c r="S240" s="12"/>
      <c r="T240" s="12"/>
      <c r="U240" s="8"/>
      <c r="V240" s="12"/>
      <c r="W240" s="12"/>
      <c r="X240" s="8"/>
      <c r="Y240" s="18"/>
      <c r="Z240" s="18"/>
      <c r="AA240" s="8"/>
      <c r="AB240" s="18"/>
      <c r="AC240" s="18"/>
      <c r="AD240" s="8"/>
      <c r="AE240" s="18"/>
      <c r="AF240" s="18"/>
      <c r="AG240" s="8"/>
      <c r="AH240" s="12"/>
      <c r="AI240" s="12"/>
      <c r="AJ240" s="8"/>
      <c r="AK240" s="12"/>
      <c r="AL240" s="12"/>
      <c r="AM240" s="8"/>
      <c r="AN240" s="8"/>
      <c r="AO240" s="18"/>
      <c r="AP240" s="18"/>
      <c r="AQ240" s="8"/>
      <c r="AR240" s="8"/>
      <c r="AS240" s="8"/>
      <c r="AT240" s="8"/>
      <c r="AU240" s="8"/>
      <c r="AV240" s="8"/>
      <c r="AW240" s="8"/>
      <c r="AX240" s="8"/>
    </row>
    <row r="241" spans="1:50" ht="12.75">
      <c r="A241" s="5"/>
      <c r="B241" s="5"/>
      <c r="C241" s="7"/>
      <c r="D241" s="5"/>
      <c r="E241" s="5"/>
      <c r="F241" s="8"/>
      <c r="G241" s="5"/>
      <c r="H241" s="5"/>
      <c r="I241" s="8"/>
      <c r="J241" s="5"/>
      <c r="K241" s="5"/>
      <c r="L241" s="8"/>
      <c r="M241" s="12"/>
      <c r="N241" s="12"/>
      <c r="O241" s="8"/>
      <c r="P241" s="12"/>
      <c r="Q241" s="12"/>
      <c r="R241" s="8"/>
      <c r="S241" s="12"/>
      <c r="T241" s="12"/>
      <c r="U241" s="8"/>
      <c r="V241" s="12"/>
      <c r="W241" s="12"/>
      <c r="X241" s="8"/>
      <c r="Y241" s="18"/>
      <c r="Z241" s="18"/>
      <c r="AA241" s="8"/>
      <c r="AB241" s="18"/>
      <c r="AC241" s="18"/>
      <c r="AD241" s="8"/>
      <c r="AE241" s="18"/>
      <c r="AF241" s="18"/>
      <c r="AG241" s="8"/>
      <c r="AH241" s="12"/>
      <c r="AI241" s="12"/>
      <c r="AJ241" s="8"/>
      <c r="AK241" s="12"/>
      <c r="AL241" s="12"/>
      <c r="AM241" s="8"/>
      <c r="AN241" s="8"/>
      <c r="AO241" s="18"/>
      <c r="AP241" s="18"/>
      <c r="AQ241" s="8"/>
      <c r="AR241" s="8"/>
      <c r="AS241" s="8"/>
      <c r="AT241" s="8"/>
      <c r="AU241" s="8"/>
      <c r="AV241" s="8"/>
      <c r="AW241" s="8"/>
      <c r="AX241" s="8"/>
    </row>
    <row r="242" spans="1:50" ht="12.75">
      <c r="A242" s="5"/>
      <c r="B242" s="5"/>
      <c r="C242" s="7"/>
      <c r="D242" s="5"/>
      <c r="E242" s="5"/>
      <c r="F242" s="8"/>
      <c r="G242" s="5"/>
      <c r="H242" s="5"/>
      <c r="I242" s="8"/>
      <c r="J242" s="5"/>
      <c r="K242" s="5"/>
      <c r="L242" s="8"/>
      <c r="M242" s="12"/>
      <c r="N242" s="12"/>
      <c r="O242" s="8"/>
      <c r="P242" s="12"/>
      <c r="Q242" s="12"/>
      <c r="R242" s="8"/>
      <c r="S242" s="12"/>
      <c r="T242" s="12"/>
      <c r="U242" s="8"/>
      <c r="V242" s="12"/>
      <c r="W242" s="12"/>
      <c r="X242" s="8"/>
      <c r="Y242" s="18"/>
      <c r="Z242" s="18"/>
      <c r="AA242" s="8"/>
      <c r="AB242" s="18"/>
      <c r="AC242" s="18"/>
      <c r="AD242" s="8"/>
      <c r="AE242" s="18"/>
      <c r="AF242" s="18"/>
      <c r="AG242" s="8"/>
      <c r="AH242" s="12"/>
      <c r="AI242" s="12"/>
      <c r="AJ242" s="8"/>
      <c r="AK242" s="12"/>
      <c r="AL242" s="12"/>
      <c r="AM242" s="8"/>
      <c r="AN242" s="8"/>
      <c r="AO242" s="18"/>
      <c r="AP242" s="18"/>
      <c r="AQ242" s="8"/>
      <c r="AR242" s="8"/>
      <c r="AS242" s="8"/>
      <c r="AT242" s="8"/>
      <c r="AU242" s="8"/>
      <c r="AV242" s="8"/>
      <c r="AW242" s="8"/>
      <c r="AX242" s="8"/>
    </row>
    <row r="243" spans="1:50" ht="12.75">
      <c r="A243" s="5"/>
      <c r="B243" s="5"/>
      <c r="C243" s="7"/>
      <c r="D243" s="5"/>
      <c r="E243" s="5"/>
      <c r="F243" s="8"/>
      <c r="G243" s="5"/>
      <c r="H243" s="5"/>
      <c r="I243" s="8"/>
      <c r="J243" s="5"/>
      <c r="K243" s="5"/>
      <c r="L243" s="8"/>
      <c r="M243" s="12"/>
      <c r="N243" s="12"/>
      <c r="O243" s="8"/>
      <c r="P243" s="12"/>
      <c r="Q243" s="12"/>
      <c r="R243" s="8"/>
      <c r="S243" s="12"/>
      <c r="T243" s="12"/>
      <c r="U243" s="8"/>
      <c r="V243" s="12"/>
      <c r="W243" s="12"/>
      <c r="X243" s="8"/>
      <c r="Y243" s="18"/>
      <c r="Z243" s="18"/>
      <c r="AA243" s="8"/>
      <c r="AB243" s="18"/>
      <c r="AC243" s="18"/>
      <c r="AD243" s="8"/>
      <c r="AE243" s="18"/>
      <c r="AF243" s="18"/>
      <c r="AG243" s="8"/>
      <c r="AH243" s="12"/>
      <c r="AI243" s="12"/>
      <c r="AJ243" s="8"/>
      <c r="AK243" s="12"/>
      <c r="AL243" s="12"/>
      <c r="AM243" s="8"/>
      <c r="AN243" s="8"/>
      <c r="AO243" s="18"/>
      <c r="AP243" s="18"/>
      <c r="AQ243" s="8"/>
      <c r="AR243" s="8"/>
      <c r="AS243" s="8"/>
      <c r="AT243" s="8"/>
      <c r="AU243" s="8"/>
      <c r="AV243" s="8"/>
      <c r="AW243" s="8"/>
      <c r="AX243" s="8"/>
    </row>
    <row r="244" spans="1:50" ht="12.75">
      <c r="A244" s="5"/>
      <c r="B244" s="5"/>
      <c r="C244" s="7"/>
      <c r="D244" s="5"/>
      <c r="E244" s="5"/>
      <c r="F244" s="8"/>
      <c r="G244" s="5"/>
      <c r="H244" s="5"/>
      <c r="I244" s="8"/>
      <c r="J244" s="5"/>
      <c r="K244" s="5"/>
      <c r="L244" s="8"/>
      <c r="M244" s="12"/>
      <c r="N244" s="12"/>
      <c r="O244" s="8"/>
      <c r="P244" s="12"/>
      <c r="Q244" s="12"/>
      <c r="R244" s="8"/>
      <c r="S244" s="12"/>
      <c r="T244" s="12"/>
      <c r="U244" s="8"/>
      <c r="V244" s="12"/>
      <c r="W244" s="12"/>
      <c r="X244" s="8"/>
      <c r="Y244" s="18"/>
      <c r="Z244" s="18"/>
      <c r="AA244" s="8"/>
      <c r="AB244" s="18"/>
      <c r="AC244" s="18"/>
      <c r="AD244" s="8"/>
      <c r="AE244" s="18"/>
      <c r="AF244" s="18"/>
      <c r="AG244" s="8"/>
      <c r="AH244" s="12"/>
      <c r="AI244" s="12"/>
      <c r="AJ244" s="8"/>
      <c r="AK244" s="12"/>
      <c r="AL244" s="12"/>
      <c r="AM244" s="8"/>
      <c r="AN244" s="8"/>
      <c r="AO244" s="18"/>
      <c r="AP244" s="18"/>
      <c r="AQ244" s="8"/>
      <c r="AR244" s="8"/>
      <c r="AS244" s="8"/>
      <c r="AT244" s="8"/>
      <c r="AU244" s="8"/>
      <c r="AV244" s="8"/>
      <c r="AW244" s="8"/>
      <c r="AX244" s="8"/>
    </row>
    <row r="245" spans="1:50" ht="12.75">
      <c r="A245" s="5"/>
      <c r="B245" s="5"/>
      <c r="C245" s="7"/>
      <c r="D245" s="5"/>
      <c r="E245" s="5"/>
      <c r="F245" s="8"/>
      <c r="G245" s="5"/>
      <c r="H245" s="5"/>
      <c r="I245" s="8"/>
      <c r="J245" s="5"/>
      <c r="K245" s="5"/>
      <c r="L245" s="8"/>
      <c r="M245" s="12"/>
      <c r="N245" s="12"/>
      <c r="O245" s="8"/>
      <c r="P245" s="12"/>
      <c r="Q245" s="12"/>
      <c r="R245" s="8"/>
      <c r="S245" s="12"/>
      <c r="T245" s="12"/>
      <c r="U245" s="8"/>
      <c r="V245" s="12"/>
      <c r="W245" s="12"/>
      <c r="X245" s="8"/>
      <c r="Y245" s="18"/>
      <c r="Z245" s="18"/>
      <c r="AA245" s="8"/>
      <c r="AB245" s="18"/>
      <c r="AC245" s="18"/>
      <c r="AD245" s="8"/>
      <c r="AE245" s="18"/>
      <c r="AF245" s="18"/>
      <c r="AG245" s="8"/>
      <c r="AH245" s="12"/>
      <c r="AI245" s="12"/>
      <c r="AJ245" s="8"/>
      <c r="AK245" s="12"/>
      <c r="AL245" s="12"/>
      <c r="AM245" s="8"/>
      <c r="AN245" s="8"/>
      <c r="AO245" s="18"/>
      <c r="AP245" s="18"/>
      <c r="AQ245" s="8"/>
      <c r="AR245" s="8"/>
      <c r="AS245" s="8"/>
      <c r="AT245" s="8"/>
      <c r="AU245" s="8"/>
      <c r="AV245" s="8"/>
      <c r="AW245" s="8"/>
      <c r="AX245" s="8"/>
    </row>
    <row r="246" spans="1:50" ht="12.75">
      <c r="A246" s="5"/>
      <c r="B246" s="5"/>
      <c r="C246" s="7"/>
      <c r="D246" s="5"/>
      <c r="E246" s="5"/>
      <c r="F246" s="8"/>
      <c r="G246" s="5"/>
      <c r="H246" s="5"/>
      <c r="I246" s="8"/>
      <c r="J246" s="5"/>
      <c r="K246" s="5"/>
      <c r="L246" s="8"/>
      <c r="M246" s="12"/>
      <c r="N246" s="12"/>
      <c r="O246" s="8"/>
      <c r="P246" s="12"/>
      <c r="Q246" s="12"/>
      <c r="R246" s="8"/>
      <c r="S246" s="12"/>
      <c r="T246" s="12"/>
      <c r="U246" s="8"/>
      <c r="V246" s="12"/>
      <c r="W246" s="12"/>
      <c r="X246" s="8"/>
      <c r="Y246" s="18"/>
      <c r="Z246" s="18"/>
      <c r="AA246" s="8"/>
      <c r="AB246" s="18"/>
      <c r="AC246" s="18"/>
      <c r="AD246" s="8"/>
      <c r="AE246" s="18"/>
      <c r="AF246" s="18"/>
      <c r="AG246" s="8"/>
      <c r="AH246" s="12"/>
      <c r="AI246" s="12"/>
      <c r="AJ246" s="8"/>
      <c r="AK246" s="12"/>
      <c r="AL246" s="12"/>
      <c r="AM246" s="8"/>
      <c r="AN246" s="8"/>
      <c r="AO246" s="18"/>
      <c r="AP246" s="18"/>
      <c r="AQ246" s="8"/>
      <c r="AR246" s="8"/>
      <c r="AS246" s="8"/>
      <c r="AT246" s="8"/>
      <c r="AU246" s="8"/>
      <c r="AV246" s="8"/>
      <c r="AW246" s="8"/>
      <c r="AX246" s="8"/>
    </row>
    <row r="247" spans="1:50" ht="12.75">
      <c r="A247" s="5"/>
      <c r="B247" s="5"/>
      <c r="C247" s="7"/>
      <c r="D247" s="5"/>
      <c r="E247" s="5"/>
      <c r="F247" s="8"/>
      <c r="G247" s="5"/>
      <c r="H247" s="5"/>
      <c r="I247" s="8"/>
      <c r="J247" s="5"/>
      <c r="K247" s="5"/>
      <c r="L247" s="8"/>
      <c r="M247" s="12"/>
      <c r="N247" s="12"/>
      <c r="O247" s="8"/>
      <c r="P247" s="12"/>
      <c r="Q247" s="12"/>
      <c r="R247" s="8"/>
      <c r="S247" s="12"/>
      <c r="T247" s="12"/>
      <c r="U247" s="8"/>
      <c r="V247" s="12"/>
      <c r="W247" s="12"/>
      <c r="X247" s="8"/>
      <c r="Y247" s="18"/>
      <c r="Z247" s="18"/>
      <c r="AA247" s="8"/>
      <c r="AB247" s="18"/>
      <c r="AC247" s="18"/>
      <c r="AD247" s="8"/>
      <c r="AE247" s="18"/>
      <c r="AF247" s="18"/>
      <c r="AG247" s="8"/>
      <c r="AH247" s="12"/>
      <c r="AI247" s="12"/>
      <c r="AJ247" s="8"/>
      <c r="AK247" s="12"/>
      <c r="AL247" s="12"/>
      <c r="AM247" s="8"/>
      <c r="AN247" s="8"/>
      <c r="AO247" s="18"/>
      <c r="AP247" s="18"/>
      <c r="AQ247" s="8"/>
      <c r="AR247" s="8"/>
      <c r="AS247" s="8"/>
      <c r="AT247" s="8"/>
      <c r="AU247" s="8"/>
      <c r="AV247" s="8"/>
      <c r="AW247" s="8"/>
      <c r="AX247" s="8"/>
    </row>
    <row r="248" spans="1:50" ht="12.75">
      <c r="A248" s="5"/>
      <c r="B248" s="5"/>
      <c r="C248" s="7"/>
      <c r="D248" s="5"/>
      <c r="E248" s="5"/>
      <c r="F248" s="8"/>
      <c r="G248" s="5"/>
      <c r="H248" s="5"/>
      <c r="I248" s="8"/>
      <c r="J248" s="5"/>
      <c r="K248" s="5"/>
      <c r="L248" s="8"/>
      <c r="M248" s="12"/>
      <c r="N248" s="12"/>
      <c r="O248" s="8"/>
      <c r="P248" s="12"/>
      <c r="Q248" s="12"/>
      <c r="R248" s="8"/>
      <c r="S248" s="12"/>
      <c r="T248" s="12"/>
      <c r="U248" s="8"/>
      <c r="V248" s="12"/>
      <c r="W248" s="12"/>
      <c r="X248" s="8"/>
      <c r="Y248" s="18"/>
      <c r="Z248" s="18"/>
      <c r="AA248" s="8"/>
      <c r="AB248" s="18"/>
      <c r="AC248" s="18"/>
      <c r="AD248" s="8"/>
      <c r="AE248" s="18"/>
      <c r="AF248" s="18"/>
      <c r="AG248" s="8"/>
      <c r="AH248" s="12"/>
      <c r="AI248" s="12"/>
      <c r="AJ248" s="8"/>
      <c r="AK248" s="12"/>
      <c r="AL248" s="12"/>
      <c r="AM248" s="8"/>
      <c r="AN248" s="8"/>
      <c r="AO248" s="18"/>
      <c r="AP248" s="18"/>
      <c r="AQ248" s="8"/>
      <c r="AR248" s="8"/>
      <c r="AS248" s="8"/>
      <c r="AT248" s="8"/>
      <c r="AU248" s="8"/>
      <c r="AV248" s="8"/>
      <c r="AW248" s="8"/>
      <c r="AX248" s="8"/>
    </row>
    <row r="249" spans="1:50" ht="12.75">
      <c r="A249" s="5"/>
      <c r="B249" s="5"/>
      <c r="C249" s="7"/>
      <c r="D249" s="5"/>
      <c r="E249" s="5"/>
      <c r="F249" s="8"/>
      <c r="G249" s="5"/>
      <c r="H249" s="5"/>
      <c r="I249" s="8"/>
      <c r="J249" s="5"/>
      <c r="K249" s="5"/>
      <c r="L249" s="8"/>
      <c r="M249" s="12"/>
      <c r="N249" s="12"/>
      <c r="O249" s="8"/>
      <c r="P249" s="12"/>
      <c r="Q249" s="12"/>
      <c r="R249" s="8"/>
      <c r="S249" s="12"/>
      <c r="T249" s="12"/>
      <c r="U249" s="8"/>
      <c r="V249" s="12"/>
      <c r="W249" s="12"/>
      <c r="X249" s="8"/>
      <c r="Y249" s="18"/>
      <c r="Z249" s="18"/>
      <c r="AA249" s="8"/>
      <c r="AB249" s="18"/>
      <c r="AC249" s="18"/>
      <c r="AD249" s="8"/>
      <c r="AE249" s="18"/>
      <c r="AF249" s="18"/>
      <c r="AG249" s="8"/>
      <c r="AH249" s="12"/>
      <c r="AI249" s="12"/>
      <c r="AJ249" s="8"/>
      <c r="AK249" s="12"/>
      <c r="AL249" s="12"/>
      <c r="AM249" s="8"/>
      <c r="AN249" s="8"/>
      <c r="AO249" s="18"/>
      <c r="AP249" s="18"/>
      <c r="AQ249" s="8"/>
      <c r="AR249" s="8"/>
      <c r="AS249" s="8"/>
      <c r="AT249" s="8"/>
      <c r="AU249" s="8"/>
      <c r="AV249" s="8"/>
      <c r="AW249" s="8"/>
      <c r="AX249" s="8"/>
    </row>
    <row r="250" spans="1:50" ht="12.75">
      <c r="A250" s="5"/>
      <c r="B250" s="5"/>
      <c r="C250" s="7"/>
      <c r="D250" s="5"/>
      <c r="E250" s="5"/>
      <c r="F250" s="8"/>
      <c r="G250" s="5"/>
      <c r="H250" s="5"/>
      <c r="I250" s="8"/>
      <c r="J250" s="5"/>
      <c r="K250" s="5"/>
      <c r="L250" s="8"/>
      <c r="M250" s="12"/>
      <c r="N250" s="12"/>
      <c r="O250" s="8"/>
      <c r="P250" s="12"/>
      <c r="Q250" s="12"/>
      <c r="R250" s="8"/>
      <c r="S250" s="12"/>
      <c r="T250" s="12"/>
      <c r="U250" s="8"/>
      <c r="V250" s="12"/>
      <c r="W250" s="12"/>
      <c r="X250" s="8"/>
      <c r="Y250" s="18"/>
      <c r="Z250" s="18"/>
      <c r="AA250" s="8"/>
      <c r="AB250" s="18"/>
      <c r="AC250" s="18"/>
      <c r="AD250" s="8"/>
      <c r="AE250" s="18"/>
      <c r="AF250" s="18"/>
      <c r="AG250" s="8"/>
      <c r="AH250" s="12"/>
      <c r="AI250" s="12"/>
      <c r="AJ250" s="8"/>
      <c r="AK250" s="12"/>
      <c r="AL250" s="12"/>
      <c r="AM250" s="8"/>
      <c r="AN250" s="8"/>
      <c r="AO250" s="18"/>
      <c r="AP250" s="18"/>
      <c r="AQ250" s="8"/>
      <c r="AR250" s="8"/>
      <c r="AS250" s="8"/>
      <c r="AT250" s="8"/>
      <c r="AU250" s="8"/>
      <c r="AV250" s="8"/>
      <c r="AW250" s="8"/>
      <c r="AX250" s="8"/>
    </row>
    <row r="251" spans="1:50" ht="12.75">
      <c r="A251" s="5"/>
      <c r="B251" s="5"/>
      <c r="C251" s="7"/>
      <c r="D251" s="5"/>
      <c r="E251" s="5"/>
      <c r="F251" s="8"/>
      <c r="G251" s="5"/>
      <c r="H251" s="5"/>
      <c r="I251" s="8"/>
      <c r="J251" s="5"/>
      <c r="K251" s="5"/>
      <c r="L251" s="8"/>
      <c r="M251" s="12"/>
      <c r="N251" s="12"/>
      <c r="O251" s="8"/>
      <c r="P251" s="12"/>
      <c r="Q251" s="12"/>
      <c r="R251" s="8"/>
      <c r="S251" s="12"/>
      <c r="T251" s="12"/>
      <c r="U251" s="8"/>
      <c r="V251" s="12"/>
      <c r="W251" s="12"/>
      <c r="X251" s="8"/>
      <c r="Y251" s="18"/>
      <c r="Z251" s="18"/>
      <c r="AA251" s="8"/>
      <c r="AB251" s="18"/>
      <c r="AC251" s="18"/>
      <c r="AD251" s="8"/>
      <c r="AE251" s="18"/>
      <c r="AF251" s="18"/>
      <c r="AG251" s="8"/>
      <c r="AH251" s="12"/>
      <c r="AI251" s="12"/>
      <c r="AJ251" s="8"/>
      <c r="AK251" s="12"/>
      <c r="AL251" s="12"/>
      <c r="AM251" s="8"/>
      <c r="AN251" s="8"/>
      <c r="AO251" s="18"/>
      <c r="AP251" s="18"/>
      <c r="AQ251" s="8"/>
      <c r="AR251" s="8"/>
      <c r="AS251" s="8"/>
      <c r="AT251" s="8"/>
      <c r="AU251" s="8"/>
      <c r="AV251" s="8"/>
      <c r="AW251" s="8"/>
      <c r="AX251" s="8"/>
    </row>
    <row r="252" spans="1:50" ht="12.75">
      <c r="A252" s="5"/>
      <c r="B252" s="5"/>
      <c r="C252" s="7"/>
      <c r="D252" s="5"/>
      <c r="E252" s="5"/>
      <c r="F252" s="8"/>
      <c r="G252" s="5"/>
      <c r="H252" s="5"/>
      <c r="I252" s="8"/>
      <c r="J252" s="5"/>
      <c r="K252" s="5"/>
      <c r="L252" s="8"/>
      <c r="M252" s="12"/>
      <c r="N252" s="12"/>
      <c r="O252" s="8"/>
      <c r="P252" s="12"/>
      <c r="Q252" s="12"/>
      <c r="R252" s="8"/>
      <c r="S252" s="12"/>
      <c r="T252" s="12"/>
      <c r="U252" s="8"/>
      <c r="V252" s="12"/>
      <c r="W252" s="12"/>
      <c r="X252" s="8"/>
      <c r="Y252" s="18"/>
      <c r="Z252" s="18"/>
      <c r="AA252" s="8"/>
      <c r="AB252" s="18"/>
      <c r="AC252" s="18"/>
      <c r="AD252" s="8"/>
      <c r="AE252" s="18"/>
      <c r="AF252" s="18"/>
      <c r="AG252" s="8"/>
      <c r="AH252" s="12"/>
      <c r="AI252" s="12"/>
      <c r="AJ252" s="8"/>
      <c r="AK252" s="12"/>
      <c r="AL252" s="12"/>
      <c r="AM252" s="8"/>
      <c r="AN252" s="8"/>
      <c r="AO252" s="18"/>
      <c r="AP252" s="18"/>
      <c r="AQ252" s="8"/>
      <c r="AR252" s="8"/>
      <c r="AS252" s="8"/>
      <c r="AT252" s="8"/>
      <c r="AU252" s="8"/>
      <c r="AV252" s="8"/>
      <c r="AW252" s="8"/>
      <c r="AX252" s="8"/>
    </row>
    <row r="253" spans="1:50" ht="12.75">
      <c r="A253" s="5"/>
      <c r="B253" s="5"/>
      <c r="C253" s="7"/>
      <c r="D253" s="5"/>
      <c r="E253" s="5"/>
      <c r="F253" s="8"/>
      <c r="G253" s="5"/>
      <c r="H253" s="5"/>
      <c r="I253" s="8"/>
      <c r="J253" s="5"/>
      <c r="K253" s="5"/>
      <c r="L253" s="8"/>
      <c r="M253" s="12"/>
      <c r="N253" s="12"/>
      <c r="O253" s="8"/>
      <c r="P253" s="12"/>
      <c r="Q253" s="12"/>
      <c r="R253" s="8"/>
      <c r="S253" s="12"/>
      <c r="T253" s="12"/>
      <c r="U253" s="8"/>
      <c r="V253" s="12"/>
      <c r="W253" s="12"/>
      <c r="X253" s="8"/>
      <c r="Y253" s="18"/>
      <c r="Z253" s="18"/>
      <c r="AA253" s="8"/>
      <c r="AB253" s="18"/>
      <c r="AC253" s="18"/>
      <c r="AD253" s="8"/>
      <c r="AE253" s="18"/>
      <c r="AF253" s="18"/>
      <c r="AG253" s="8"/>
      <c r="AH253" s="12"/>
      <c r="AI253" s="12"/>
      <c r="AJ253" s="8"/>
      <c r="AK253" s="12"/>
      <c r="AL253" s="12"/>
      <c r="AM253" s="8"/>
      <c r="AN253" s="8"/>
      <c r="AO253" s="18"/>
      <c r="AP253" s="18"/>
      <c r="AQ253" s="8"/>
      <c r="AR253" s="8"/>
      <c r="AS253" s="8"/>
      <c r="AT253" s="8"/>
      <c r="AU253" s="8"/>
      <c r="AV253" s="8"/>
      <c r="AW253" s="8"/>
      <c r="AX253" s="8"/>
    </row>
    <row r="254" spans="1:50" ht="12.75">
      <c r="A254" s="5"/>
      <c r="B254" s="5"/>
      <c r="C254" s="7"/>
      <c r="D254" s="5"/>
      <c r="E254" s="5"/>
      <c r="F254" s="8"/>
      <c r="G254" s="5"/>
      <c r="H254" s="5"/>
      <c r="I254" s="8"/>
      <c r="J254" s="5"/>
      <c r="K254" s="5"/>
      <c r="L254" s="8"/>
      <c r="M254" s="12"/>
      <c r="N254" s="12"/>
      <c r="O254" s="8"/>
      <c r="P254" s="12"/>
      <c r="Q254" s="12"/>
      <c r="R254" s="8"/>
      <c r="S254" s="12"/>
      <c r="T254" s="12"/>
      <c r="U254" s="8"/>
      <c r="V254" s="12"/>
      <c r="W254" s="12"/>
      <c r="X254" s="8"/>
      <c r="Y254" s="18"/>
      <c r="Z254" s="18"/>
      <c r="AA254" s="8"/>
      <c r="AB254" s="18"/>
      <c r="AC254" s="18"/>
      <c r="AD254" s="8"/>
      <c r="AE254" s="18"/>
      <c r="AF254" s="18"/>
      <c r="AG254" s="8"/>
      <c r="AH254" s="12"/>
      <c r="AI254" s="12"/>
      <c r="AJ254" s="8"/>
      <c r="AK254" s="12"/>
      <c r="AL254" s="12"/>
      <c r="AM254" s="8"/>
      <c r="AN254" s="8"/>
      <c r="AO254" s="18"/>
      <c r="AP254" s="18"/>
      <c r="AQ254" s="8"/>
      <c r="AR254" s="8"/>
      <c r="AS254" s="8"/>
      <c r="AT254" s="8"/>
      <c r="AU254" s="8"/>
      <c r="AV254" s="8"/>
      <c r="AW254" s="8"/>
      <c r="AX254" s="8"/>
    </row>
    <row r="255" spans="1:50" ht="12.75">
      <c r="A255" s="5"/>
      <c r="B255" s="5"/>
      <c r="C255" s="7"/>
      <c r="D255" s="5"/>
      <c r="E255" s="5"/>
      <c r="F255" s="8"/>
      <c r="G255" s="5"/>
      <c r="H255" s="5"/>
      <c r="I255" s="8"/>
      <c r="J255" s="5"/>
      <c r="K255" s="5"/>
      <c r="L255" s="8"/>
      <c r="M255" s="12"/>
      <c r="N255" s="12"/>
      <c r="O255" s="8"/>
      <c r="P255" s="12"/>
      <c r="Q255" s="12"/>
      <c r="R255" s="8"/>
      <c r="S255" s="12"/>
      <c r="T255" s="12"/>
      <c r="U255" s="8"/>
      <c r="V255" s="12"/>
      <c r="W255" s="12"/>
      <c r="X255" s="8"/>
      <c r="Y255" s="18"/>
      <c r="Z255" s="18"/>
      <c r="AA255" s="8"/>
      <c r="AB255" s="18"/>
      <c r="AC255" s="18"/>
      <c r="AD255" s="8"/>
      <c r="AE255" s="18"/>
      <c r="AF255" s="18"/>
      <c r="AG255" s="8"/>
      <c r="AH255" s="12"/>
      <c r="AI255" s="12"/>
      <c r="AJ255" s="8"/>
      <c r="AK255" s="12"/>
      <c r="AL255" s="12"/>
      <c r="AM255" s="8"/>
      <c r="AN255" s="8"/>
      <c r="AO255" s="18"/>
      <c r="AP255" s="18"/>
      <c r="AQ255" s="8"/>
      <c r="AR255" s="8"/>
      <c r="AS255" s="8"/>
      <c r="AT255" s="8"/>
      <c r="AU255" s="8"/>
      <c r="AV255" s="8"/>
      <c r="AW255" s="8"/>
      <c r="AX255" s="8"/>
    </row>
    <row r="256" spans="1:50" ht="12.75">
      <c r="A256" s="5"/>
      <c r="B256" s="5"/>
      <c r="C256" s="7"/>
      <c r="D256" s="5"/>
      <c r="E256" s="5"/>
      <c r="F256" s="8"/>
      <c r="G256" s="5"/>
      <c r="H256" s="5"/>
      <c r="I256" s="8"/>
      <c r="J256" s="5"/>
      <c r="K256" s="5"/>
      <c r="L256" s="8"/>
      <c r="M256" s="12"/>
      <c r="N256" s="12"/>
      <c r="O256" s="8"/>
      <c r="P256" s="12"/>
      <c r="Q256" s="12"/>
      <c r="R256" s="8"/>
      <c r="S256" s="12"/>
      <c r="T256" s="12"/>
      <c r="U256" s="8"/>
      <c r="V256" s="12"/>
      <c r="W256" s="12"/>
      <c r="X256" s="8"/>
      <c r="Y256" s="18"/>
      <c r="Z256" s="18"/>
      <c r="AA256" s="8"/>
      <c r="AB256" s="18"/>
      <c r="AC256" s="18"/>
      <c r="AD256" s="8"/>
      <c r="AE256" s="18"/>
      <c r="AF256" s="18"/>
      <c r="AG256" s="8"/>
      <c r="AH256" s="12"/>
      <c r="AI256" s="12"/>
      <c r="AJ256" s="8"/>
      <c r="AK256" s="12"/>
      <c r="AL256" s="12"/>
      <c r="AM256" s="8"/>
      <c r="AN256" s="8"/>
      <c r="AO256" s="18"/>
      <c r="AP256" s="18"/>
      <c r="AQ256" s="8"/>
      <c r="AR256" s="8"/>
      <c r="AS256" s="8"/>
      <c r="AT256" s="8"/>
      <c r="AU256" s="8"/>
      <c r="AV256" s="8"/>
      <c r="AW256" s="8"/>
      <c r="AX256" s="8"/>
    </row>
    <row r="257" spans="1:50" ht="12.75">
      <c r="A257" s="5"/>
      <c r="B257" s="5"/>
      <c r="C257" s="7"/>
      <c r="D257" s="5"/>
      <c r="E257" s="5"/>
      <c r="F257" s="8"/>
      <c r="G257" s="5"/>
      <c r="H257" s="5"/>
      <c r="I257" s="8"/>
      <c r="J257" s="5"/>
      <c r="K257" s="5"/>
      <c r="L257" s="8"/>
      <c r="M257" s="12"/>
      <c r="N257" s="12"/>
      <c r="O257" s="8"/>
      <c r="P257" s="12"/>
      <c r="Q257" s="12"/>
      <c r="R257" s="8"/>
      <c r="S257" s="12"/>
      <c r="T257" s="12"/>
      <c r="U257" s="8"/>
      <c r="V257" s="12"/>
      <c r="W257" s="12"/>
      <c r="X257" s="8"/>
      <c r="Y257" s="18"/>
      <c r="Z257" s="18"/>
      <c r="AA257" s="8"/>
      <c r="AB257" s="18"/>
      <c r="AC257" s="18"/>
      <c r="AD257" s="8"/>
      <c r="AE257" s="18"/>
      <c r="AF257" s="18"/>
      <c r="AG257" s="8"/>
      <c r="AH257" s="12"/>
      <c r="AI257" s="12"/>
      <c r="AJ257" s="8"/>
      <c r="AK257" s="12"/>
      <c r="AL257" s="12"/>
      <c r="AM257" s="8"/>
      <c r="AN257" s="8"/>
      <c r="AO257" s="18"/>
      <c r="AP257" s="18"/>
      <c r="AQ257" s="8"/>
      <c r="AR257" s="8"/>
      <c r="AS257" s="8"/>
      <c r="AT257" s="8"/>
      <c r="AU257" s="8"/>
      <c r="AV257" s="8"/>
      <c r="AW257" s="8"/>
      <c r="AX257" s="8"/>
    </row>
    <row r="258" spans="1:50" ht="12.75">
      <c r="A258" s="5"/>
      <c r="B258" s="5"/>
      <c r="C258" s="7"/>
      <c r="D258" s="5"/>
      <c r="E258" s="5"/>
      <c r="F258" s="8"/>
      <c r="G258" s="5"/>
      <c r="H258" s="5"/>
      <c r="I258" s="8"/>
      <c r="J258" s="5"/>
      <c r="K258" s="5"/>
      <c r="L258" s="8"/>
      <c r="M258" s="12"/>
      <c r="N258" s="12"/>
      <c r="O258" s="8"/>
      <c r="P258" s="12"/>
      <c r="Q258" s="12"/>
      <c r="R258" s="8"/>
      <c r="S258" s="12"/>
      <c r="T258" s="12"/>
      <c r="U258" s="8"/>
      <c r="V258" s="12"/>
      <c r="W258" s="12"/>
      <c r="X258" s="8"/>
      <c r="Y258" s="18"/>
      <c r="Z258" s="18"/>
      <c r="AA258" s="8"/>
      <c r="AB258" s="18"/>
      <c r="AC258" s="18"/>
      <c r="AD258" s="8"/>
      <c r="AE258" s="18"/>
      <c r="AF258" s="18"/>
      <c r="AG258" s="8"/>
      <c r="AH258" s="12"/>
      <c r="AI258" s="12"/>
      <c r="AJ258" s="8"/>
      <c r="AK258" s="12"/>
      <c r="AL258" s="12"/>
      <c r="AM258" s="8"/>
      <c r="AN258" s="8"/>
      <c r="AO258" s="18"/>
      <c r="AP258" s="18"/>
      <c r="AQ258" s="8"/>
      <c r="AR258" s="8"/>
      <c r="AS258" s="8"/>
      <c r="AT258" s="8"/>
      <c r="AU258" s="8"/>
      <c r="AV258" s="8"/>
      <c r="AW258" s="8"/>
      <c r="AX258" s="8"/>
    </row>
    <row r="259" spans="1:50" ht="12.75">
      <c r="A259" s="5"/>
      <c r="B259" s="5"/>
      <c r="C259" s="7"/>
      <c r="D259" s="5"/>
      <c r="E259" s="5"/>
      <c r="F259" s="8"/>
      <c r="G259" s="5"/>
      <c r="H259" s="5"/>
      <c r="I259" s="8"/>
      <c r="J259" s="5"/>
      <c r="K259" s="5"/>
      <c r="L259" s="8"/>
      <c r="M259" s="12"/>
      <c r="N259" s="12"/>
      <c r="O259" s="8"/>
      <c r="P259" s="12"/>
      <c r="Q259" s="12"/>
      <c r="R259" s="8"/>
      <c r="S259" s="12"/>
      <c r="T259" s="12"/>
      <c r="U259" s="8"/>
      <c r="V259" s="12"/>
      <c r="W259" s="12"/>
      <c r="X259" s="8"/>
      <c r="Y259" s="18"/>
      <c r="Z259" s="18"/>
      <c r="AA259" s="8"/>
      <c r="AB259" s="18"/>
      <c r="AC259" s="18"/>
      <c r="AD259" s="8"/>
      <c r="AE259" s="18"/>
      <c r="AF259" s="18"/>
      <c r="AG259" s="8"/>
      <c r="AH259" s="12"/>
      <c r="AI259" s="12"/>
      <c r="AJ259" s="8"/>
      <c r="AK259" s="12"/>
      <c r="AL259" s="12"/>
      <c r="AM259" s="8"/>
      <c r="AN259" s="8"/>
      <c r="AO259" s="18"/>
      <c r="AP259" s="18"/>
      <c r="AQ259" s="8"/>
      <c r="AR259" s="8"/>
      <c r="AS259" s="8"/>
      <c r="AT259" s="8"/>
      <c r="AU259" s="8"/>
      <c r="AV259" s="8"/>
      <c r="AW259" s="8"/>
      <c r="AX259" s="8"/>
    </row>
    <row r="260" spans="1:50" ht="12.75">
      <c r="A260" s="5"/>
      <c r="B260" s="5"/>
      <c r="C260" s="7"/>
      <c r="D260" s="5"/>
      <c r="E260" s="5"/>
      <c r="F260" s="8"/>
      <c r="G260" s="5"/>
      <c r="H260" s="5"/>
      <c r="I260" s="8"/>
      <c r="J260" s="5"/>
      <c r="K260" s="5"/>
      <c r="L260" s="8"/>
      <c r="M260" s="12"/>
      <c r="N260" s="12"/>
      <c r="O260" s="8"/>
      <c r="P260" s="12"/>
      <c r="Q260" s="12"/>
      <c r="R260" s="8"/>
      <c r="S260" s="12"/>
      <c r="T260" s="12"/>
      <c r="U260" s="8"/>
      <c r="V260" s="12"/>
      <c r="W260" s="12"/>
      <c r="X260" s="8"/>
      <c r="Y260" s="18"/>
      <c r="Z260" s="18"/>
      <c r="AA260" s="8"/>
      <c r="AB260" s="18"/>
      <c r="AC260" s="18"/>
      <c r="AD260" s="8"/>
      <c r="AE260" s="18"/>
      <c r="AF260" s="18"/>
      <c r="AG260" s="8"/>
      <c r="AH260" s="12"/>
      <c r="AI260" s="12"/>
      <c r="AJ260" s="8"/>
      <c r="AK260" s="12"/>
      <c r="AL260" s="12"/>
      <c r="AM260" s="8"/>
      <c r="AN260" s="8"/>
      <c r="AO260" s="18"/>
      <c r="AP260" s="18"/>
      <c r="AQ260" s="8"/>
      <c r="AR260" s="8"/>
      <c r="AS260" s="8"/>
      <c r="AT260" s="8"/>
      <c r="AU260" s="8"/>
      <c r="AV260" s="8"/>
      <c r="AW260" s="8"/>
      <c r="AX260" s="8"/>
    </row>
    <row r="261" spans="1:50" ht="12.75">
      <c r="A261" s="5"/>
      <c r="B261" s="5"/>
      <c r="C261" s="7"/>
      <c r="D261" s="5"/>
      <c r="E261" s="5"/>
      <c r="F261" s="8"/>
      <c r="G261" s="5"/>
      <c r="H261" s="5"/>
      <c r="I261" s="8"/>
      <c r="J261" s="5"/>
      <c r="K261" s="5"/>
      <c r="L261" s="8"/>
      <c r="M261" s="12"/>
      <c r="N261" s="12"/>
      <c r="O261" s="8"/>
      <c r="P261" s="12"/>
      <c r="Q261" s="12"/>
      <c r="R261" s="8"/>
      <c r="S261" s="12"/>
      <c r="T261" s="12"/>
      <c r="U261" s="8"/>
      <c r="V261" s="12"/>
      <c r="W261" s="12"/>
      <c r="X261" s="8"/>
      <c r="Y261" s="18"/>
      <c r="Z261" s="18"/>
      <c r="AA261" s="8"/>
      <c r="AB261" s="18"/>
      <c r="AC261" s="18"/>
      <c r="AD261" s="8"/>
      <c r="AE261" s="18"/>
      <c r="AF261" s="18"/>
      <c r="AG261" s="8"/>
      <c r="AH261" s="12"/>
      <c r="AI261" s="12"/>
      <c r="AJ261" s="8"/>
      <c r="AK261" s="12"/>
      <c r="AL261" s="12"/>
      <c r="AM261" s="8"/>
      <c r="AN261" s="8"/>
      <c r="AO261" s="18"/>
      <c r="AP261" s="18"/>
      <c r="AQ261" s="8"/>
      <c r="AR261" s="8"/>
      <c r="AS261" s="8"/>
      <c r="AT261" s="8"/>
      <c r="AU261" s="8"/>
      <c r="AV261" s="8"/>
      <c r="AW261" s="8"/>
      <c r="AX261" s="8"/>
    </row>
    <row r="262" spans="1:50" ht="12.75">
      <c r="A262" s="5"/>
      <c r="B262" s="5"/>
      <c r="C262" s="7"/>
      <c r="D262" s="5"/>
      <c r="E262" s="5"/>
      <c r="F262" s="8"/>
      <c r="G262" s="5"/>
      <c r="H262" s="5"/>
      <c r="I262" s="8"/>
      <c r="J262" s="5"/>
      <c r="K262" s="5"/>
      <c r="L262" s="8"/>
      <c r="M262" s="12"/>
      <c r="N262" s="12"/>
      <c r="O262" s="8"/>
      <c r="P262" s="12"/>
      <c r="Q262" s="12"/>
      <c r="R262" s="8"/>
      <c r="S262" s="12"/>
      <c r="T262" s="12"/>
      <c r="U262" s="8"/>
      <c r="V262" s="12"/>
      <c r="W262" s="12"/>
      <c r="X262" s="8"/>
      <c r="Y262" s="18"/>
      <c r="Z262" s="18"/>
      <c r="AA262" s="8"/>
      <c r="AB262" s="18"/>
      <c r="AC262" s="18"/>
      <c r="AD262" s="8"/>
      <c r="AE262" s="18"/>
      <c r="AF262" s="18"/>
      <c r="AG262" s="8"/>
      <c r="AH262" s="12"/>
      <c r="AI262" s="12"/>
      <c r="AJ262" s="8"/>
      <c r="AK262" s="12"/>
      <c r="AL262" s="12"/>
      <c r="AM262" s="8"/>
      <c r="AN262" s="8"/>
      <c r="AO262" s="18"/>
      <c r="AP262" s="18"/>
      <c r="AQ262" s="8"/>
      <c r="AR262" s="8"/>
      <c r="AS262" s="8"/>
      <c r="AT262" s="8"/>
      <c r="AU262" s="8"/>
      <c r="AV262" s="8"/>
      <c r="AW262" s="8"/>
      <c r="AX262" s="8"/>
    </row>
    <row r="263" spans="1:50" ht="12.75">
      <c r="A263" s="5"/>
      <c r="B263" s="5"/>
      <c r="C263" s="7"/>
      <c r="D263" s="5"/>
      <c r="E263" s="5"/>
      <c r="F263" s="8"/>
      <c r="G263" s="5"/>
      <c r="H263" s="5"/>
      <c r="I263" s="8"/>
      <c r="J263" s="5"/>
      <c r="K263" s="5"/>
      <c r="L263" s="8"/>
      <c r="M263" s="12"/>
      <c r="N263" s="12"/>
      <c r="O263" s="8"/>
      <c r="P263" s="12"/>
      <c r="Q263" s="12"/>
      <c r="R263" s="8"/>
      <c r="S263" s="12"/>
      <c r="T263" s="12"/>
      <c r="U263" s="8"/>
      <c r="V263" s="12"/>
      <c r="W263" s="12"/>
      <c r="X263" s="8"/>
      <c r="Y263" s="18"/>
      <c r="Z263" s="18"/>
      <c r="AA263" s="8"/>
      <c r="AB263" s="18"/>
      <c r="AC263" s="18"/>
      <c r="AD263" s="8"/>
      <c r="AE263" s="18"/>
      <c r="AF263" s="18"/>
      <c r="AG263" s="8"/>
      <c r="AH263" s="12"/>
      <c r="AI263" s="12"/>
      <c r="AJ263" s="8"/>
      <c r="AK263" s="12"/>
      <c r="AL263" s="12"/>
      <c r="AM263" s="8"/>
      <c r="AN263" s="8"/>
      <c r="AO263" s="18"/>
      <c r="AP263" s="18"/>
      <c r="AQ263" s="8"/>
      <c r="AR263" s="8"/>
      <c r="AS263" s="8"/>
      <c r="AT263" s="8"/>
      <c r="AU263" s="8"/>
      <c r="AV263" s="8"/>
      <c r="AW263" s="8"/>
      <c r="AX263" s="8"/>
    </row>
    <row r="264" spans="1:50" ht="12.75">
      <c r="A264" s="5"/>
      <c r="B264" s="5"/>
      <c r="C264" s="7"/>
      <c r="D264" s="5"/>
      <c r="E264" s="5"/>
      <c r="F264" s="8"/>
      <c r="G264" s="5"/>
      <c r="H264" s="5"/>
      <c r="I264" s="8"/>
      <c r="J264" s="5"/>
      <c r="K264" s="5"/>
      <c r="L264" s="8"/>
      <c r="M264" s="12"/>
      <c r="N264" s="12"/>
      <c r="O264" s="8"/>
      <c r="P264" s="12"/>
      <c r="Q264" s="12"/>
      <c r="R264" s="8"/>
      <c r="S264" s="12"/>
      <c r="T264" s="12"/>
      <c r="U264" s="8"/>
      <c r="V264" s="12"/>
      <c r="W264" s="12"/>
      <c r="X264" s="8"/>
      <c r="Y264" s="18"/>
      <c r="Z264" s="18"/>
      <c r="AA264" s="8"/>
      <c r="AB264" s="18"/>
      <c r="AC264" s="18"/>
      <c r="AD264" s="8"/>
      <c r="AE264" s="18"/>
      <c r="AF264" s="18"/>
      <c r="AG264" s="8"/>
      <c r="AH264" s="12"/>
      <c r="AI264" s="12"/>
      <c r="AJ264" s="8"/>
      <c r="AK264" s="12"/>
      <c r="AL264" s="12"/>
      <c r="AM264" s="8"/>
      <c r="AN264" s="8"/>
      <c r="AO264" s="18"/>
      <c r="AP264" s="18"/>
      <c r="AQ264" s="8"/>
      <c r="AR264" s="8"/>
      <c r="AS264" s="8"/>
      <c r="AT264" s="8"/>
      <c r="AU264" s="8"/>
      <c r="AV264" s="8"/>
      <c r="AW264" s="8"/>
      <c r="AX264" s="8"/>
    </row>
    <row r="265" spans="1:50" ht="12.75">
      <c r="A265" s="5"/>
      <c r="B265" s="5"/>
      <c r="C265" s="7"/>
      <c r="D265" s="5"/>
      <c r="E265" s="5"/>
      <c r="F265" s="8"/>
      <c r="G265" s="5"/>
      <c r="H265" s="5"/>
      <c r="I265" s="8"/>
      <c r="J265" s="5"/>
      <c r="K265" s="5"/>
      <c r="L265" s="8"/>
      <c r="M265" s="12"/>
      <c r="N265" s="12"/>
      <c r="O265" s="8"/>
      <c r="P265" s="12"/>
      <c r="Q265" s="12"/>
      <c r="R265" s="8"/>
      <c r="S265" s="12"/>
      <c r="T265" s="12"/>
      <c r="U265" s="8"/>
      <c r="V265" s="12"/>
      <c r="W265" s="12"/>
      <c r="X265" s="8"/>
      <c r="Y265" s="18"/>
      <c r="Z265" s="18"/>
      <c r="AA265" s="8"/>
      <c r="AB265" s="18"/>
      <c r="AC265" s="18"/>
      <c r="AD265" s="8"/>
      <c r="AE265" s="18"/>
      <c r="AF265" s="18"/>
      <c r="AG265" s="8"/>
      <c r="AH265" s="12"/>
      <c r="AI265" s="12"/>
      <c r="AJ265" s="8"/>
      <c r="AK265" s="12"/>
      <c r="AL265" s="12"/>
      <c r="AM265" s="8"/>
      <c r="AN265" s="8"/>
      <c r="AO265" s="18"/>
      <c r="AP265" s="18"/>
      <c r="AQ265" s="8"/>
      <c r="AR265" s="8"/>
      <c r="AS265" s="8"/>
      <c r="AT265" s="8"/>
      <c r="AU265" s="8"/>
      <c r="AV265" s="8"/>
      <c r="AW265" s="8"/>
      <c r="AX265" s="8"/>
    </row>
    <row r="266" spans="1:50" ht="12.75">
      <c r="A266" s="5"/>
      <c r="B266" s="5"/>
      <c r="C266" s="7"/>
      <c r="D266" s="5"/>
      <c r="E266" s="5"/>
      <c r="F266" s="8"/>
      <c r="G266" s="5"/>
      <c r="H266" s="5"/>
      <c r="I266" s="8"/>
      <c r="J266" s="5"/>
      <c r="K266" s="5"/>
      <c r="L266" s="8"/>
      <c r="M266" s="12"/>
      <c r="N266" s="12"/>
      <c r="O266" s="8"/>
      <c r="P266" s="12"/>
      <c r="Q266" s="12"/>
      <c r="R266" s="8"/>
      <c r="S266" s="12"/>
      <c r="T266" s="12"/>
      <c r="U266" s="8"/>
      <c r="V266" s="12"/>
      <c r="W266" s="12"/>
      <c r="X266" s="8"/>
      <c r="Y266" s="18"/>
      <c r="Z266" s="18"/>
      <c r="AA266" s="8"/>
      <c r="AB266" s="18"/>
      <c r="AC266" s="18"/>
      <c r="AD266" s="8"/>
      <c r="AE266" s="18"/>
      <c r="AF266" s="18"/>
      <c r="AG266" s="8"/>
      <c r="AH266" s="12"/>
      <c r="AI266" s="12"/>
      <c r="AJ266" s="8"/>
      <c r="AK266" s="12"/>
      <c r="AL266" s="12"/>
      <c r="AM266" s="8"/>
      <c r="AN266" s="8"/>
      <c r="AO266" s="18"/>
      <c r="AP266" s="18"/>
      <c r="AQ266" s="8"/>
      <c r="AR266" s="8"/>
      <c r="AS266" s="8"/>
      <c r="AT266" s="8"/>
      <c r="AU266" s="8"/>
      <c r="AV266" s="8"/>
      <c r="AW266" s="8"/>
      <c r="AX266" s="8"/>
    </row>
    <row r="267" spans="1:50" ht="12.75">
      <c r="A267" s="5"/>
      <c r="B267" s="5"/>
      <c r="C267" s="7"/>
      <c r="D267" s="5"/>
      <c r="E267" s="5"/>
      <c r="F267" s="8"/>
      <c r="G267" s="5"/>
      <c r="H267" s="5"/>
      <c r="I267" s="8"/>
      <c r="J267" s="5"/>
      <c r="K267" s="5"/>
      <c r="L267" s="8"/>
      <c r="M267" s="12"/>
      <c r="N267" s="12"/>
      <c r="O267" s="8"/>
      <c r="P267" s="12"/>
      <c r="Q267" s="12"/>
      <c r="R267" s="8"/>
      <c r="S267" s="12"/>
      <c r="T267" s="12"/>
      <c r="U267" s="8"/>
      <c r="V267" s="12"/>
      <c r="W267" s="12"/>
      <c r="X267" s="8"/>
      <c r="Y267" s="18"/>
      <c r="Z267" s="18"/>
      <c r="AA267" s="8"/>
      <c r="AB267" s="18"/>
      <c r="AC267" s="18"/>
      <c r="AD267" s="8"/>
      <c r="AE267" s="18"/>
      <c r="AF267" s="18"/>
      <c r="AG267" s="8"/>
      <c r="AH267" s="12"/>
      <c r="AI267" s="12"/>
      <c r="AJ267" s="8"/>
      <c r="AK267" s="12"/>
      <c r="AL267" s="12"/>
      <c r="AM267" s="8"/>
      <c r="AN267" s="8"/>
      <c r="AO267" s="18"/>
      <c r="AP267" s="18"/>
      <c r="AQ267" s="8"/>
      <c r="AR267" s="8"/>
      <c r="AS267" s="8"/>
      <c r="AT267" s="8"/>
      <c r="AU267" s="8"/>
      <c r="AV267" s="8"/>
      <c r="AW267" s="8"/>
      <c r="AX267" s="8"/>
    </row>
    <row r="268" spans="1:50" ht="12.75">
      <c r="A268" s="5"/>
      <c r="B268" s="5"/>
      <c r="C268" s="7"/>
      <c r="D268" s="5"/>
      <c r="E268" s="5"/>
      <c r="F268" s="8"/>
      <c r="G268" s="5"/>
      <c r="H268" s="5"/>
      <c r="I268" s="8"/>
      <c r="J268" s="5"/>
      <c r="K268" s="5"/>
      <c r="L268" s="8"/>
      <c r="M268" s="12"/>
      <c r="N268" s="12"/>
      <c r="O268" s="8"/>
      <c r="P268" s="12"/>
      <c r="Q268" s="12"/>
      <c r="R268" s="8"/>
      <c r="S268" s="12"/>
      <c r="T268" s="12"/>
      <c r="U268" s="8"/>
      <c r="V268" s="12"/>
      <c r="W268" s="12"/>
      <c r="X268" s="8"/>
      <c r="Y268" s="18"/>
      <c r="Z268" s="18"/>
      <c r="AA268" s="8"/>
      <c r="AB268" s="18"/>
      <c r="AC268" s="18"/>
      <c r="AD268" s="8"/>
      <c r="AE268" s="18"/>
      <c r="AF268" s="18"/>
      <c r="AG268" s="8"/>
      <c r="AH268" s="12"/>
      <c r="AI268" s="12"/>
      <c r="AJ268" s="8"/>
      <c r="AK268" s="12"/>
      <c r="AL268" s="12"/>
      <c r="AM268" s="8"/>
      <c r="AN268" s="8"/>
      <c r="AO268" s="18"/>
      <c r="AP268" s="18"/>
      <c r="AQ268" s="8"/>
      <c r="AR268" s="8"/>
      <c r="AS268" s="8"/>
      <c r="AT268" s="8"/>
      <c r="AU268" s="8"/>
      <c r="AV268" s="8"/>
      <c r="AW268" s="8"/>
      <c r="AX268" s="8"/>
    </row>
    <row r="269" spans="1:50" ht="12.75">
      <c r="A269" s="5"/>
      <c r="B269" s="5"/>
      <c r="C269" s="7"/>
      <c r="D269" s="5"/>
      <c r="E269" s="5"/>
      <c r="F269" s="8"/>
      <c r="G269" s="5"/>
      <c r="H269" s="5"/>
      <c r="I269" s="8"/>
      <c r="J269" s="5"/>
      <c r="K269" s="5"/>
      <c r="L269" s="8"/>
      <c r="M269" s="12"/>
      <c r="N269" s="12"/>
      <c r="O269" s="8"/>
      <c r="P269" s="12"/>
      <c r="Q269" s="12"/>
      <c r="R269" s="8"/>
      <c r="S269" s="12"/>
      <c r="T269" s="12"/>
      <c r="U269" s="8"/>
      <c r="V269" s="12"/>
      <c r="W269" s="12"/>
      <c r="X269" s="8"/>
      <c r="Y269" s="18"/>
      <c r="Z269" s="18"/>
      <c r="AA269" s="8"/>
      <c r="AB269" s="18"/>
      <c r="AC269" s="18"/>
      <c r="AD269" s="8"/>
      <c r="AE269" s="18"/>
      <c r="AF269" s="18"/>
      <c r="AG269" s="8"/>
      <c r="AH269" s="12"/>
      <c r="AI269" s="12"/>
      <c r="AJ269" s="8"/>
      <c r="AK269" s="12"/>
      <c r="AL269" s="12"/>
      <c r="AM269" s="8"/>
      <c r="AN269" s="8"/>
      <c r="AO269" s="18"/>
      <c r="AP269" s="18"/>
      <c r="AQ269" s="8"/>
      <c r="AR269" s="8"/>
      <c r="AS269" s="8"/>
      <c r="AT269" s="8"/>
      <c r="AU269" s="8"/>
      <c r="AV269" s="8"/>
      <c r="AW269" s="8"/>
      <c r="AX269" s="8"/>
    </row>
    <row r="270" spans="1:50" ht="12.75">
      <c r="A270" s="5"/>
      <c r="B270" s="5"/>
      <c r="C270" s="7"/>
      <c r="D270" s="5"/>
      <c r="E270" s="5"/>
      <c r="F270" s="8"/>
      <c r="G270" s="5"/>
      <c r="H270" s="5"/>
      <c r="I270" s="8"/>
      <c r="J270" s="5"/>
      <c r="K270" s="5"/>
      <c r="L270" s="8"/>
      <c r="M270" s="12"/>
      <c r="N270" s="12"/>
      <c r="O270" s="8"/>
      <c r="P270" s="12"/>
      <c r="Q270" s="12"/>
      <c r="R270" s="8"/>
      <c r="S270" s="12"/>
      <c r="T270" s="12"/>
      <c r="U270" s="8"/>
      <c r="V270" s="12"/>
      <c r="W270" s="12"/>
      <c r="X270" s="8"/>
      <c r="Y270" s="18"/>
      <c r="Z270" s="18"/>
      <c r="AA270" s="8"/>
      <c r="AB270" s="18"/>
      <c r="AC270" s="18"/>
      <c r="AD270" s="8"/>
      <c r="AE270" s="18"/>
      <c r="AF270" s="18"/>
      <c r="AG270" s="8"/>
      <c r="AH270" s="12"/>
      <c r="AI270" s="12"/>
      <c r="AJ270" s="8"/>
      <c r="AK270" s="12"/>
      <c r="AL270" s="12"/>
      <c r="AM270" s="8"/>
      <c r="AN270" s="8"/>
      <c r="AO270" s="18"/>
      <c r="AP270" s="18"/>
      <c r="AQ270" s="8"/>
      <c r="AR270" s="8"/>
      <c r="AS270" s="8"/>
      <c r="AT270" s="8"/>
      <c r="AU270" s="8"/>
      <c r="AV270" s="8"/>
      <c r="AW270" s="8"/>
      <c r="AX270" s="8"/>
    </row>
    <row r="271" spans="1:50" ht="12.75">
      <c r="A271" s="5"/>
      <c r="B271" s="5"/>
      <c r="C271" s="7"/>
      <c r="D271" s="5"/>
      <c r="E271" s="5"/>
      <c r="F271" s="8"/>
      <c r="G271" s="5"/>
      <c r="H271" s="5"/>
      <c r="I271" s="8"/>
      <c r="J271" s="5"/>
      <c r="K271" s="5"/>
      <c r="L271" s="8"/>
      <c r="M271" s="12"/>
      <c r="N271" s="12"/>
      <c r="O271" s="8"/>
      <c r="P271" s="12"/>
      <c r="Q271" s="12"/>
      <c r="R271" s="8"/>
      <c r="S271" s="12"/>
      <c r="T271" s="12"/>
      <c r="U271" s="8"/>
      <c r="V271" s="12"/>
      <c r="W271" s="12"/>
      <c r="X271" s="8"/>
      <c r="Y271" s="18"/>
      <c r="Z271" s="18"/>
      <c r="AA271" s="8"/>
      <c r="AB271" s="18"/>
      <c r="AC271" s="18"/>
      <c r="AD271" s="8"/>
      <c r="AE271" s="18"/>
      <c r="AF271" s="18"/>
      <c r="AG271" s="8"/>
      <c r="AH271" s="12"/>
      <c r="AI271" s="12"/>
      <c r="AJ271" s="8"/>
      <c r="AK271" s="12"/>
      <c r="AL271" s="12"/>
      <c r="AM271" s="8"/>
      <c r="AN271" s="8"/>
      <c r="AO271" s="18"/>
      <c r="AP271" s="18"/>
      <c r="AQ271" s="8"/>
      <c r="AR271" s="8"/>
      <c r="AS271" s="8"/>
      <c r="AT271" s="8"/>
      <c r="AU271" s="8"/>
      <c r="AV271" s="8"/>
      <c r="AW271" s="8"/>
      <c r="AX271" s="8"/>
    </row>
    <row r="272" spans="1:50" ht="12.75">
      <c r="A272" s="5"/>
      <c r="B272" s="5"/>
      <c r="C272" s="7"/>
      <c r="D272" s="5"/>
      <c r="E272" s="5"/>
      <c r="F272" s="8"/>
      <c r="G272" s="5"/>
      <c r="H272" s="5"/>
      <c r="I272" s="8"/>
      <c r="J272" s="5"/>
      <c r="K272" s="5"/>
      <c r="L272" s="8"/>
      <c r="M272" s="12"/>
      <c r="N272" s="12"/>
      <c r="O272" s="8"/>
      <c r="P272" s="12"/>
      <c r="Q272" s="12"/>
      <c r="R272" s="8"/>
      <c r="S272" s="12"/>
      <c r="T272" s="12"/>
      <c r="U272" s="8"/>
      <c r="V272" s="12"/>
      <c r="W272" s="12"/>
      <c r="X272" s="8"/>
      <c r="Y272" s="18"/>
      <c r="Z272" s="18"/>
      <c r="AA272" s="8"/>
      <c r="AB272" s="18"/>
      <c r="AC272" s="18"/>
      <c r="AD272" s="8"/>
      <c r="AE272" s="18"/>
      <c r="AF272" s="18"/>
      <c r="AG272" s="8"/>
      <c r="AH272" s="12"/>
      <c r="AI272" s="12"/>
      <c r="AJ272" s="8"/>
      <c r="AK272" s="12"/>
      <c r="AL272" s="12"/>
      <c r="AM272" s="8"/>
      <c r="AN272" s="8"/>
      <c r="AO272" s="18"/>
      <c r="AP272" s="18"/>
      <c r="AQ272" s="8"/>
      <c r="AR272" s="8"/>
      <c r="AS272" s="8"/>
      <c r="AT272" s="8"/>
      <c r="AU272" s="8"/>
      <c r="AV272" s="8"/>
      <c r="AW272" s="8"/>
      <c r="AX272" s="8"/>
    </row>
    <row r="273" spans="1:50" ht="12.75">
      <c r="A273" s="5"/>
      <c r="B273" s="5"/>
      <c r="C273" s="7"/>
      <c r="D273" s="5"/>
      <c r="E273" s="5"/>
      <c r="F273" s="8"/>
      <c r="G273" s="5"/>
      <c r="H273" s="5"/>
      <c r="I273" s="8"/>
      <c r="J273" s="5"/>
      <c r="K273" s="5"/>
      <c r="L273" s="8"/>
      <c r="M273" s="12"/>
      <c r="N273" s="12"/>
      <c r="O273" s="8"/>
      <c r="P273" s="12"/>
      <c r="Q273" s="12"/>
      <c r="R273" s="8"/>
      <c r="S273" s="12"/>
      <c r="T273" s="12"/>
      <c r="U273" s="8"/>
      <c r="V273" s="12"/>
      <c r="W273" s="12"/>
      <c r="X273" s="8"/>
      <c r="Y273" s="18"/>
      <c r="Z273" s="18"/>
      <c r="AA273" s="8"/>
      <c r="AB273" s="18"/>
      <c r="AC273" s="18"/>
      <c r="AD273" s="8"/>
      <c r="AE273" s="18"/>
      <c r="AF273" s="18"/>
      <c r="AG273" s="8"/>
      <c r="AH273" s="12"/>
      <c r="AI273" s="12"/>
      <c r="AJ273" s="8"/>
      <c r="AK273" s="12"/>
      <c r="AL273" s="12"/>
      <c r="AM273" s="8"/>
      <c r="AN273" s="8"/>
      <c r="AO273" s="18"/>
      <c r="AP273" s="18"/>
      <c r="AQ273" s="8"/>
      <c r="AR273" s="8"/>
      <c r="AS273" s="8"/>
      <c r="AT273" s="8"/>
      <c r="AU273" s="8"/>
      <c r="AV273" s="8"/>
      <c r="AW273" s="8"/>
      <c r="AX273" s="8"/>
    </row>
    <row r="274" spans="1:50" ht="12.75">
      <c r="A274" s="5"/>
      <c r="B274" s="5"/>
      <c r="C274" s="7"/>
      <c r="D274" s="5"/>
      <c r="E274" s="5"/>
      <c r="F274" s="8"/>
      <c r="G274" s="5"/>
      <c r="H274" s="5"/>
      <c r="I274" s="8"/>
      <c r="J274" s="5"/>
      <c r="K274" s="5"/>
      <c r="L274" s="8"/>
      <c r="M274" s="12"/>
      <c r="N274" s="12"/>
      <c r="O274" s="8"/>
      <c r="P274" s="12"/>
      <c r="Q274" s="12"/>
      <c r="R274" s="8"/>
      <c r="S274" s="12"/>
      <c r="T274" s="12"/>
      <c r="U274" s="8"/>
      <c r="V274" s="12"/>
      <c r="W274" s="12"/>
      <c r="X274" s="8"/>
      <c r="Y274" s="18"/>
      <c r="Z274" s="18"/>
      <c r="AA274" s="8"/>
      <c r="AB274" s="18"/>
      <c r="AC274" s="18"/>
      <c r="AD274" s="8"/>
      <c r="AE274" s="18"/>
      <c r="AF274" s="18"/>
      <c r="AG274" s="8"/>
      <c r="AH274" s="12"/>
      <c r="AI274" s="12"/>
      <c r="AJ274" s="8"/>
      <c r="AK274" s="12"/>
      <c r="AL274" s="12"/>
      <c r="AM274" s="8"/>
      <c r="AN274" s="8"/>
      <c r="AO274" s="18"/>
      <c r="AP274" s="18"/>
      <c r="AQ274" s="8"/>
      <c r="AR274" s="8"/>
      <c r="AS274" s="8"/>
      <c r="AT274" s="8"/>
      <c r="AU274" s="8"/>
      <c r="AV274" s="8"/>
      <c r="AW274" s="8"/>
      <c r="AX274" s="8"/>
    </row>
    <row r="275" spans="1:50" ht="12.75">
      <c r="A275" s="5"/>
      <c r="B275" s="5"/>
      <c r="C275" s="7"/>
      <c r="D275" s="5"/>
      <c r="E275" s="5"/>
      <c r="F275" s="8"/>
      <c r="G275" s="5"/>
      <c r="H275" s="5"/>
      <c r="I275" s="8"/>
      <c r="J275" s="5"/>
      <c r="K275" s="5"/>
      <c r="L275" s="8"/>
      <c r="M275" s="12"/>
      <c r="N275" s="12"/>
      <c r="O275" s="8"/>
      <c r="P275" s="12"/>
      <c r="Q275" s="12"/>
      <c r="R275" s="8"/>
      <c r="S275" s="12"/>
      <c r="T275" s="12"/>
      <c r="U275" s="8"/>
      <c r="V275" s="12"/>
      <c r="W275" s="12"/>
      <c r="X275" s="8"/>
      <c r="Y275" s="18"/>
      <c r="Z275" s="18"/>
      <c r="AA275" s="8"/>
      <c r="AB275" s="18"/>
      <c r="AC275" s="18"/>
      <c r="AD275" s="8"/>
      <c r="AE275" s="18"/>
      <c r="AF275" s="18"/>
      <c r="AG275" s="8"/>
      <c r="AH275" s="12"/>
      <c r="AI275" s="12"/>
      <c r="AJ275" s="8"/>
      <c r="AK275" s="12"/>
      <c r="AL275" s="12"/>
      <c r="AM275" s="8"/>
      <c r="AN275" s="8"/>
      <c r="AO275" s="18"/>
      <c r="AP275" s="18"/>
      <c r="AQ275" s="8"/>
      <c r="AR275" s="8"/>
      <c r="AS275" s="8"/>
      <c r="AT275" s="8"/>
      <c r="AU275" s="8"/>
      <c r="AV275" s="8"/>
      <c r="AW275" s="8"/>
      <c r="AX275" s="8"/>
    </row>
    <row r="276" spans="1:50" ht="12.75">
      <c r="A276" s="5"/>
      <c r="B276" s="5"/>
      <c r="C276" s="7"/>
      <c r="D276" s="5"/>
      <c r="E276" s="5"/>
      <c r="F276" s="8"/>
      <c r="G276" s="5"/>
      <c r="H276" s="5"/>
      <c r="I276" s="8"/>
      <c r="J276" s="5"/>
      <c r="K276" s="5"/>
      <c r="L276" s="8"/>
      <c r="M276" s="12"/>
      <c r="N276" s="12"/>
      <c r="O276" s="8"/>
      <c r="P276" s="12"/>
      <c r="Q276" s="12"/>
      <c r="R276" s="8"/>
      <c r="S276" s="12"/>
      <c r="T276" s="12"/>
      <c r="U276" s="8"/>
      <c r="V276" s="12"/>
      <c r="W276" s="12"/>
      <c r="X276" s="8"/>
      <c r="Y276" s="18"/>
      <c r="Z276" s="18"/>
      <c r="AA276" s="8"/>
      <c r="AB276" s="18"/>
      <c r="AC276" s="18"/>
      <c r="AD276" s="8"/>
      <c r="AE276" s="18"/>
      <c r="AF276" s="18"/>
      <c r="AG276" s="8"/>
      <c r="AH276" s="12"/>
      <c r="AI276" s="12"/>
      <c r="AJ276" s="8"/>
      <c r="AK276" s="12"/>
      <c r="AL276" s="12"/>
      <c r="AM276" s="8"/>
      <c r="AN276" s="8"/>
      <c r="AO276" s="18"/>
      <c r="AP276" s="18"/>
      <c r="AQ276" s="8"/>
      <c r="AR276" s="8"/>
      <c r="AS276" s="8"/>
      <c r="AT276" s="8"/>
      <c r="AU276" s="8"/>
      <c r="AV276" s="8"/>
      <c r="AW276" s="8"/>
      <c r="AX276" s="8"/>
    </row>
    <row r="277" spans="1:50" ht="12.75">
      <c r="A277" s="5"/>
      <c r="B277" s="5"/>
      <c r="C277" s="7"/>
      <c r="D277" s="5"/>
      <c r="E277" s="5"/>
      <c r="F277" s="8"/>
      <c r="G277" s="5"/>
      <c r="H277" s="5"/>
      <c r="I277" s="8"/>
      <c r="J277" s="5"/>
      <c r="K277" s="5"/>
      <c r="L277" s="8"/>
      <c r="M277" s="12"/>
      <c r="N277" s="12"/>
      <c r="O277" s="8"/>
      <c r="P277" s="12"/>
      <c r="Q277" s="12"/>
      <c r="R277" s="8"/>
      <c r="S277" s="12"/>
      <c r="T277" s="12"/>
      <c r="U277" s="8"/>
      <c r="V277" s="12"/>
      <c r="W277" s="12"/>
      <c r="X277" s="8"/>
      <c r="Y277" s="18"/>
      <c r="Z277" s="18"/>
      <c r="AA277" s="8"/>
      <c r="AB277" s="18"/>
      <c r="AC277" s="18"/>
      <c r="AD277" s="8"/>
      <c r="AE277" s="18"/>
      <c r="AF277" s="18"/>
      <c r="AG277" s="8"/>
      <c r="AH277" s="12"/>
      <c r="AI277" s="12"/>
      <c r="AJ277" s="8"/>
      <c r="AK277" s="12"/>
      <c r="AL277" s="12"/>
      <c r="AM277" s="8"/>
      <c r="AN277" s="8"/>
      <c r="AO277" s="18"/>
      <c r="AP277" s="18"/>
      <c r="AQ277" s="8"/>
      <c r="AR277" s="8"/>
      <c r="AS277" s="8"/>
      <c r="AT277" s="8"/>
      <c r="AU277" s="8"/>
      <c r="AV277" s="8"/>
      <c r="AW277" s="8"/>
      <c r="AX277" s="8"/>
    </row>
    <row r="278" spans="1:50" ht="12.75">
      <c r="A278" s="5"/>
      <c r="B278" s="5"/>
      <c r="C278" s="7"/>
      <c r="D278" s="5"/>
      <c r="E278" s="5"/>
      <c r="F278" s="8"/>
      <c r="G278" s="5"/>
      <c r="H278" s="5"/>
      <c r="I278" s="8"/>
      <c r="J278" s="5"/>
      <c r="K278" s="5"/>
      <c r="L278" s="8"/>
      <c r="M278" s="12"/>
      <c r="N278" s="12"/>
      <c r="O278" s="8"/>
      <c r="P278" s="12"/>
      <c r="Q278" s="12"/>
      <c r="R278" s="8"/>
      <c r="S278" s="12"/>
      <c r="T278" s="12"/>
      <c r="U278" s="8"/>
      <c r="V278" s="12"/>
      <c r="W278" s="12"/>
      <c r="X278" s="8"/>
      <c r="Y278" s="18"/>
      <c r="Z278" s="18"/>
      <c r="AA278" s="8"/>
      <c r="AB278" s="18"/>
      <c r="AC278" s="18"/>
      <c r="AD278" s="8"/>
      <c r="AE278" s="18"/>
      <c r="AF278" s="18"/>
      <c r="AG278" s="8"/>
      <c r="AH278" s="12"/>
      <c r="AI278" s="12"/>
      <c r="AJ278" s="8"/>
      <c r="AK278" s="12"/>
      <c r="AL278" s="12"/>
      <c r="AM278" s="8"/>
      <c r="AN278" s="8"/>
      <c r="AO278" s="18"/>
      <c r="AP278" s="18"/>
      <c r="AQ278" s="8"/>
      <c r="AR278" s="8"/>
      <c r="AS278" s="8"/>
      <c r="AT278" s="8"/>
      <c r="AU278" s="8"/>
      <c r="AV278" s="8"/>
      <c r="AW278" s="8"/>
      <c r="AX278" s="8"/>
    </row>
    <row r="279" spans="1:50" ht="12.75">
      <c r="A279" s="5"/>
      <c r="B279" s="5"/>
      <c r="C279" s="7"/>
      <c r="D279" s="5"/>
      <c r="E279" s="5"/>
      <c r="F279" s="8"/>
      <c r="G279" s="5"/>
      <c r="H279" s="5"/>
      <c r="I279" s="8"/>
      <c r="J279" s="5"/>
      <c r="K279" s="5"/>
      <c r="L279" s="8"/>
      <c r="M279" s="12"/>
      <c r="N279" s="12"/>
      <c r="O279" s="8"/>
      <c r="P279" s="12"/>
      <c r="Q279" s="12"/>
      <c r="R279" s="8"/>
      <c r="S279" s="12"/>
      <c r="T279" s="12"/>
      <c r="U279" s="8"/>
      <c r="V279" s="12"/>
      <c r="W279" s="12"/>
      <c r="X279" s="8"/>
      <c r="Y279" s="18"/>
      <c r="Z279" s="18"/>
      <c r="AA279" s="8"/>
      <c r="AB279" s="18"/>
      <c r="AC279" s="18"/>
      <c r="AD279" s="8"/>
      <c r="AE279" s="18"/>
      <c r="AF279" s="18"/>
      <c r="AG279" s="8"/>
      <c r="AH279" s="12"/>
      <c r="AI279" s="12"/>
      <c r="AJ279" s="8"/>
      <c r="AK279" s="12"/>
      <c r="AL279" s="12"/>
      <c r="AM279" s="8"/>
      <c r="AN279" s="8"/>
      <c r="AO279" s="18"/>
      <c r="AP279" s="18"/>
      <c r="AQ279" s="8"/>
      <c r="AR279" s="8"/>
      <c r="AS279" s="8"/>
      <c r="AT279" s="8"/>
      <c r="AU279" s="8"/>
      <c r="AV279" s="8"/>
      <c r="AW279" s="8"/>
      <c r="AX279" s="8"/>
    </row>
    <row r="280" spans="1:50" ht="12.75">
      <c r="A280" s="5"/>
      <c r="B280" s="5"/>
      <c r="C280" s="7"/>
      <c r="D280" s="5"/>
      <c r="E280" s="5"/>
      <c r="F280" s="8"/>
      <c r="G280" s="5"/>
      <c r="H280" s="5"/>
      <c r="I280" s="8"/>
      <c r="J280" s="5"/>
      <c r="K280" s="5"/>
      <c r="L280" s="8"/>
      <c r="M280" s="12"/>
      <c r="N280" s="12"/>
      <c r="O280" s="8"/>
      <c r="P280" s="12"/>
      <c r="Q280" s="12"/>
      <c r="R280" s="8"/>
      <c r="S280" s="12"/>
      <c r="T280" s="12"/>
      <c r="U280" s="8"/>
      <c r="V280" s="12"/>
      <c r="W280" s="12"/>
      <c r="X280" s="8"/>
      <c r="Y280" s="18"/>
      <c r="Z280" s="18"/>
      <c r="AA280" s="8"/>
      <c r="AB280" s="18"/>
      <c r="AC280" s="18"/>
      <c r="AD280" s="8"/>
      <c r="AE280" s="18"/>
      <c r="AF280" s="18"/>
      <c r="AG280" s="8"/>
      <c r="AH280" s="12"/>
      <c r="AI280" s="12"/>
      <c r="AJ280" s="8"/>
      <c r="AK280" s="12"/>
      <c r="AL280" s="12"/>
      <c r="AM280" s="8"/>
      <c r="AN280" s="8"/>
      <c r="AO280" s="18"/>
      <c r="AP280" s="18"/>
      <c r="AQ280" s="8"/>
      <c r="AR280" s="8"/>
      <c r="AS280" s="8"/>
      <c r="AT280" s="8"/>
      <c r="AU280" s="8"/>
      <c r="AV280" s="8"/>
      <c r="AW280" s="8"/>
      <c r="AX280" s="8"/>
    </row>
    <row r="281" spans="1:50" ht="12.75">
      <c r="A281" s="5"/>
      <c r="B281" s="5"/>
      <c r="C281" s="7"/>
      <c r="D281" s="5"/>
      <c r="E281" s="5"/>
      <c r="F281" s="8"/>
      <c r="G281" s="5"/>
      <c r="H281" s="5"/>
      <c r="I281" s="8"/>
      <c r="J281" s="5"/>
      <c r="K281" s="5"/>
      <c r="L281" s="8"/>
      <c r="M281" s="12"/>
      <c r="N281" s="12"/>
      <c r="O281" s="8"/>
      <c r="P281" s="12"/>
      <c r="Q281" s="12"/>
      <c r="R281" s="8"/>
      <c r="S281" s="12"/>
      <c r="T281" s="12"/>
      <c r="U281" s="8"/>
      <c r="V281" s="12"/>
      <c r="W281" s="12"/>
      <c r="X281" s="8"/>
      <c r="Y281" s="18"/>
      <c r="Z281" s="18"/>
      <c r="AA281" s="8"/>
      <c r="AB281" s="18"/>
      <c r="AC281" s="18"/>
      <c r="AD281" s="8"/>
      <c r="AE281" s="18"/>
      <c r="AF281" s="18"/>
      <c r="AG281" s="8"/>
      <c r="AH281" s="12"/>
      <c r="AI281" s="12"/>
      <c r="AJ281" s="8"/>
      <c r="AK281" s="12"/>
      <c r="AL281" s="12"/>
      <c r="AM281" s="8"/>
      <c r="AN281" s="8"/>
      <c r="AO281" s="18"/>
      <c r="AP281" s="18"/>
      <c r="AQ281" s="8"/>
      <c r="AR281" s="8"/>
      <c r="AS281" s="8"/>
      <c r="AT281" s="8"/>
      <c r="AU281" s="8"/>
      <c r="AV281" s="8"/>
      <c r="AW281" s="8"/>
      <c r="AX281" s="8"/>
    </row>
    <row r="282" spans="1:50" ht="12.75">
      <c r="A282" s="5"/>
      <c r="B282" s="5"/>
      <c r="C282" s="7"/>
      <c r="D282" s="5"/>
      <c r="E282" s="5"/>
      <c r="F282" s="8"/>
      <c r="G282" s="5"/>
      <c r="H282" s="5"/>
      <c r="I282" s="8"/>
      <c r="J282" s="5"/>
      <c r="K282" s="5"/>
      <c r="L282" s="8"/>
      <c r="M282" s="12"/>
      <c r="N282" s="12"/>
      <c r="O282" s="8"/>
      <c r="P282" s="12"/>
      <c r="Q282" s="12"/>
      <c r="R282" s="8"/>
      <c r="S282" s="12"/>
      <c r="T282" s="12"/>
      <c r="U282" s="8"/>
      <c r="V282" s="12"/>
      <c r="W282" s="12"/>
      <c r="X282" s="8"/>
      <c r="Y282" s="18"/>
      <c r="Z282" s="18"/>
      <c r="AA282" s="8"/>
      <c r="AB282" s="18"/>
      <c r="AC282" s="18"/>
      <c r="AD282" s="8"/>
      <c r="AE282" s="18"/>
      <c r="AF282" s="18"/>
      <c r="AG282" s="8"/>
      <c r="AH282" s="12"/>
      <c r="AI282" s="12"/>
      <c r="AJ282" s="8"/>
      <c r="AK282" s="12"/>
      <c r="AL282" s="12"/>
      <c r="AM282" s="8"/>
      <c r="AN282" s="8"/>
      <c r="AO282" s="18"/>
      <c r="AP282" s="18"/>
      <c r="AQ282" s="8"/>
      <c r="AR282" s="8"/>
      <c r="AS282" s="8"/>
      <c r="AT282" s="8"/>
      <c r="AU282" s="8"/>
      <c r="AV282" s="8"/>
      <c r="AW282" s="8"/>
      <c r="AX282" s="8"/>
    </row>
    <row r="283" spans="1:50" ht="12.75">
      <c r="A283" s="5"/>
      <c r="B283" s="5"/>
      <c r="C283" s="7"/>
      <c r="D283" s="5"/>
      <c r="E283" s="5"/>
      <c r="F283" s="8"/>
      <c r="G283" s="5"/>
      <c r="H283" s="5"/>
      <c r="I283" s="8"/>
      <c r="J283" s="5"/>
      <c r="K283" s="5"/>
      <c r="L283" s="8"/>
      <c r="M283" s="12"/>
      <c r="N283" s="12"/>
      <c r="O283" s="8"/>
      <c r="P283" s="12"/>
      <c r="Q283" s="12"/>
      <c r="R283" s="8"/>
      <c r="S283" s="12"/>
      <c r="T283" s="12"/>
      <c r="U283" s="8"/>
      <c r="V283" s="12"/>
      <c r="W283" s="12"/>
      <c r="X283" s="8"/>
      <c r="Y283" s="18"/>
      <c r="Z283" s="18"/>
      <c r="AA283" s="8"/>
      <c r="AB283" s="18"/>
      <c r="AC283" s="18"/>
      <c r="AD283" s="8"/>
      <c r="AE283" s="18"/>
      <c r="AF283" s="18"/>
      <c r="AG283" s="8"/>
      <c r="AH283" s="12"/>
      <c r="AI283" s="12"/>
      <c r="AJ283" s="8"/>
      <c r="AK283" s="12"/>
      <c r="AL283" s="12"/>
      <c r="AM283" s="8"/>
      <c r="AN283" s="8"/>
      <c r="AO283" s="18"/>
      <c r="AP283" s="18"/>
      <c r="AQ283" s="8"/>
      <c r="AR283" s="8"/>
      <c r="AS283" s="8"/>
      <c r="AT283" s="8"/>
      <c r="AU283" s="8"/>
      <c r="AV283" s="8"/>
      <c r="AW283" s="8"/>
      <c r="AX283" s="8"/>
    </row>
    <row r="284" spans="1:50" ht="12.75">
      <c r="A284" s="5"/>
      <c r="B284" s="5"/>
      <c r="C284" s="7"/>
      <c r="D284" s="5"/>
      <c r="E284" s="5"/>
      <c r="F284" s="8"/>
      <c r="G284" s="5"/>
      <c r="H284" s="5"/>
      <c r="I284" s="8"/>
      <c r="J284" s="5"/>
      <c r="K284" s="5"/>
      <c r="L284" s="8"/>
      <c r="M284" s="12"/>
      <c r="N284" s="12"/>
      <c r="O284" s="8"/>
      <c r="P284" s="12"/>
      <c r="Q284" s="12"/>
      <c r="R284" s="8"/>
      <c r="S284" s="12"/>
      <c r="T284" s="12"/>
      <c r="U284" s="8"/>
      <c r="V284" s="12"/>
      <c r="W284" s="12"/>
      <c r="X284" s="8"/>
      <c r="Y284" s="18"/>
      <c r="Z284" s="18"/>
      <c r="AA284" s="8"/>
      <c r="AB284" s="18"/>
      <c r="AC284" s="18"/>
      <c r="AD284" s="8"/>
      <c r="AE284" s="18"/>
      <c r="AF284" s="18"/>
      <c r="AG284" s="8"/>
      <c r="AH284" s="12"/>
      <c r="AI284" s="12"/>
      <c r="AJ284" s="8"/>
      <c r="AK284" s="12"/>
      <c r="AL284" s="12"/>
      <c r="AM284" s="8"/>
      <c r="AN284" s="8"/>
      <c r="AO284" s="18"/>
      <c r="AP284" s="18"/>
      <c r="AQ284" s="8"/>
      <c r="AR284" s="8"/>
      <c r="AS284" s="8"/>
      <c r="AT284" s="8"/>
      <c r="AU284" s="8"/>
      <c r="AV284" s="8"/>
      <c r="AW284" s="8"/>
      <c r="AX284" s="8"/>
    </row>
    <row r="285" spans="1:50" ht="12.75">
      <c r="A285" s="5"/>
      <c r="B285" s="5"/>
      <c r="C285" s="7"/>
      <c r="D285" s="5"/>
      <c r="E285" s="5"/>
      <c r="F285" s="8"/>
      <c r="G285" s="5"/>
      <c r="H285" s="5"/>
      <c r="I285" s="8"/>
      <c r="J285" s="5"/>
      <c r="K285" s="5"/>
      <c r="L285" s="8"/>
      <c r="M285" s="12"/>
      <c r="N285" s="12"/>
      <c r="O285" s="8"/>
      <c r="P285" s="12"/>
      <c r="Q285" s="12"/>
      <c r="R285" s="8"/>
      <c r="S285" s="12"/>
      <c r="T285" s="12"/>
      <c r="U285" s="8"/>
      <c r="V285" s="12"/>
      <c r="W285" s="12"/>
      <c r="X285" s="8"/>
      <c r="Y285" s="18"/>
      <c r="Z285" s="18"/>
      <c r="AA285" s="8"/>
      <c r="AB285" s="18"/>
      <c r="AC285" s="18"/>
      <c r="AD285" s="8"/>
      <c r="AE285" s="18"/>
      <c r="AF285" s="18"/>
      <c r="AG285" s="8"/>
      <c r="AH285" s="12"/>
      <c r="AI285" s="12"/>
      <c r="AJ285" s="8"/>
      <c r="AK285" s="12"/>
      <c r="AL285" s="12"/>
      <c r="AM285" s="8"/>
      <c r="AN285" s="8"/>
      <c r="AO285" s="18"/>
      <c r="AP285" s="18"/>
      <c r="AQ285" s="8"/>
      <c r="AR285" s="8"/>
      <c r="AS285" s="8"/>
      <c r="AT285" s="8"/>
      <c r="AU285" s="8"/>
      <c r="AV285" s="8"/>
      <c r="AW285" s="8"/>
      <c r="AX285" s="8"/>
    </row>
    <row r="286" spans="1:50" ht="12.75">
      <c r="A286" s="5"/>
      <c r="B286" s="5"/>
      <c r="C286" s="7"/>
      <c r="D286" s="5"/>
      <c r="E286" s="5"/>
      <c r="F286" s="8"/>
      <c r="G286" s="5"/>
      <c r="H286" s="5"/>
      <c r="I286" s="8"/>
      <c r="J286" s="5"/>
      <c r="K286" s="5"/>
      <c r="L286" s="8"/>
      <c r="M286" s="12"/>
      <c r="N286" s="12"/>
      <c r="O286" s="8"/>
      <c r="P286" s="12"/>
      <c r="Q286" s="12"/>
      <c r="R286" s="8"/>
      <c r="S286" s="12"/>
      <c r="T286" s="12"/>
      <c r="U286" s="8"/>
      <c r="V286" s="12"/>
      <c r="W286" s="12"/>
      <c r="X286" s="8"/>
      <c r="Y286" s="18"/>
      <c r="Z286" s="18"/>
      <c r="AA286" s="8"/>
      <c r="AB286" s="18"/>
      <c r="AC286" s="18"/>
      <c r="AD286" s="8"/>
      <c r="AE286" s="18"/>
      <c r="AF286" s="18"/>
      <c r="AG286" s="8"/>
      <c r="AH286" s="12"/>
      <c r="AI286" s="12"/>
      <c r="AJ286" s="8"/>
      <c r="AK286" s="12"/>
      <c r="AL286" s="12"/>
      <c r="AM286" s="8"/>
      <c r="AN286" s="8"/>
      <c r="AO286" s="18"/>
      <c r="AP286" s="18"/>
      <c r="AQ286" s="8"/>
      <c r="AR286" s="8"/>
      <c r="AS286" s="8"/>
      <c r="AT286" s="8"/>
      <c r="AU286" s="8"/>
      <c r="AV286" s="8"/>
      <c r="AW286" s="8"/>
      <c r="AX286" s="8"/>
    </row>
    <row r="287" spans="1:50" ht="12.75">
      <c r="A287" s="5"/>
      <c r="B287" s="5"/>
      <c r="C287" s="7"/>
      <c r="D287" s="5"/>
      <c r="E287" s="5"/>
      <c r="F287" s="8"/>
      <c r="G287" s="5"/>
      <c r="H287" s="5"/>
      <c r="I287" s="8"/>
      <c r="J287" s="5"/>
      <c r="K287" s="5"/>
      <c r="L287" s="8"/>
      <c r="M287" s="12"/>
      <c r="N287" s="12"/>
      <c r="O287" s="8"/>
      <c r="P287" s="12"/>
      <c r="Q287" s="12"/>
      <c r="R287" s="8"/>
      <c r="S287" s="12"/>
      <c r="T287" s="12"/>
      <c r="U287" s="8"/>
      <c r="V287" s="12"/>
      <c r="W287" s="12"/>
      <c r="X287" s="8"/>
      <c r="Y287" s="18"/>
      <c r="Z287" s="18"/>
      <c r="AA287" s="8"/>
      <c r="AB287" s="18"/>
      <c r="AC287" s="18"/>
      <c r="AD287" s="8"/>
      <c r="AE287" s="18"/>
      <c r="AF287" s="18"/>
      <c r="AG287" s="8"/>
      <c r="AH287" s="12"/>
      <c r="AI287" s="12"/>
      <c r="AJ287" s="8"/>
      <c r="AK287" s="12"/>
      <c r="AL287" s="12"/>
      <c r="AM287" s="8"/>
      <c r="AN287" s="8"/>
      <c r="AO287" s="18"/>
      <c r="AP287" s="18"/>
      <c r="AQ287" s="8"/>
      <c r="AR287" s="8"/>
      <c r="AS287" s="8"/>
      <c r="AT287" s="8"/>
      <c r="AU287" s="8"/>
      <c r="AV287" s="8"/>
      <c r="AW287" s="8"/>
      <c r="AX287" s="8"/>
    </row>
    <row r="288" spans="1:50" ht="12.75">
      <c r="A288" s="5"/>
      <c r="B288" s="5"/>
      <c r="C288" s="7"/>
      <c r="D288" s="5"/>
      <c r="E288" s="5"/>
      <c r="F288" s="8"/>
      <c r="G288" s="5"/>
      <c r="H288" s="5"/>
      <c r="I288" s="8"/>
      <c r="J288" s="5"/>
      <c r="K288" s="5"/>
      <c r="L288" s="8"/>
      <c r="M288" s="12"/>
      <c r="N288" s="12"/>
      <c r="O288" s="8"/>
      <c r="P288" s="12"/>
      <c r="Q288" s="12"/>
      <c r="R288" s="8"/>
      <c r="S288" s="12"/>
      <c r="T288" s="12"/>
      <c r="U288" s="8"/>
      <c r="V288" s="12"/>
      <c r="W288" s="12"/>
      <c r="X288" s="8"/>
      <c r="Y288" s="18"/>
      <c r="Z288" s="18"/>
      <c r="AA288" s="8"/>
      <c r="AB288" s="18"/>
      <c r="AC288" s="18"/>
      <c r="AD288" s="8"/>
      <c r="AE288" s="18"/>
      <c r="AF288" s="18"/>
      <c r="AG288" s="8"/>
      <c r="AH288" s="12"/>
      <c r="AI288" s="12"/>
      <c r="AJ288" s="8"/>
      <c r="AK288" s="12"/>
      <c r="AL288" s="12"/>
      <c r="AM288" s="8"/>
      <c r="AN288" s="8"/>
      <c r="AO288" s="18"/>
      <c r="AP288" s="18"/>
      <c r="AQ288" s="8"/>
      <c r="AR288" s="8"/>
      <c r="AS288" s="8"/>
      <c r="AT288" s="8"/>
      <c r="AU288" s="8"/>
      <c r="AV288" s="8"/>
      <c r="AW288" s="8"/>
      <c r="AX288" s="8"/>
    </row>
    <row r="289" spans="1:50" ht="12.75">
      <c r="A289" s="5"/>
      <c r="B289" s="5"/>
      <c r="C289" s="7"/>
      <c r="D289" s="5"/>
      <c r="E289" s="5"/>
      <c r="F289" s="8"/>
      <c r="G289" s="5"/>
      <c r="H289" s="5"/>
      <c r="I289" s="8"/>
      <c r="J289" s="5"/>
      <c r="K289" s="5"/>
      <c r="L289" s="8"/>
      <c r="M289" s="12"/>
      <c r="N289" s="12"/>
      <c r="O289" s="8"/>
      <c r="P289" s="12"/>
      <c r="Q289" s="12"/>
      <c r="R289" s="8"/>
      <c r="S289" s="12"/>
      <c r="T289" s="12"/>
      <c r="U289" s="8"/>
      <c r="V289" s="12"/>
      <c r="W289" s="12"/>
      <c r="X289" s="8"/>
      <c r="Y289" s="18"/>
      <c r="Z289" s="18"/>
      <c r="AA289" s="8"/>
      <c r="AB289" s="18"/>
      <c r="AC289" s="18"/>
      <c r="AD289" s="8"/>
      <c r="AE289" s="18"/>
      <c r="AF289" s="18"/>
      <c r="AG289" s="8"/>
      <c r="AH289" s="12"/>
      <c r="AI289" s="12"/>
      <c r="AJ289" s="8"/>
      <c r="AK289" s="12"/>
      <c r="AL289" s="12"/>
      <c r="AM289" s="8"/>
      <c r="AN289" s="8"/>
      <c r="AO289" s="18"/>
      <c r="AP289" s="18"/>
      <c r="AQ289" s="8"/>
      <c r="AR289" s="8"/>
      <c r="AS289" s="8"/>
      <c r="AT289" s="8"/>
      <c r="AU289" s="8"/>
      <c r="AV289" s="8"/>
      <c r="AW289" s="8"/>
      <c r="AX289" s="8"/>
    </row>
    <row r="290" spans="1:50" ht="12.75">
      <c r="A290" s="5"/>
      <c r="B290" s="5"/>
      <c r="C290" s="7"/>
      <c r="D290" s="5"/>
      <c r="E290" s="5"/>
      <c r="F290" s="8"/>
      <c r="G290" s="5"/>
      <c r="H290" s="5"/>
      <c r="I290" s="8"/>
      <c r="J290" s="5"/>
      <c r="K290" s="5"/>
      <c r="L290" s="8"/>
      <c r="M290" s="12"/>
      <c r="N290" s="12"/>
      <c r="O290" s="8"/>
      <c r="P290" s="12"/>
      <c r="Q290" s="12"/>
      <c r="R290" s="8"/>
      <c r="S290" s="12"/>
      <c r="T290" s="12"/>
      <c r="U290" s="8"/>
      <c r="V290" s="12"/>
      <c r="W290" s="12"/>
      <c r="X290" s="8"/>
      <c r="Y290" s="18"/>
      <c r="Z290" s="18"/>
      <c r="AA290" s="8"/>
      <c r="AB290" s="18"/>
      <c r="AC290" s="18"/>
      <c r="AD290" s="8"/>
      <c r="AE290" s="18"/>
      <c r="AF290" s="18"/>
      <c r="AG290" s="8"/>
      <c r="AH290" s="12"/>
      <c r="AI290" s="12"/>
      <c r="AJ290" s="8"/>
      <c r="AK290" s="12"/>
      <c r="AL290" s="12"/>
      <c r="AM290" s="8"/>
      <c r="AN290" s="8"/>
      <c r="AO290" s="18"/>
      <c r="AP290" s="18"/>
      <c r="AQ290" s="8"/>
      <c r="AR290" s="8"/>
      <c r="AS290" s="8"/>
      <c r="AT290" s="8"/>
      <c r="AU290" s="8"/>
      <c r="AV290" s="8"/>
      <c r="AW290" s="8"/>
      <c r="AX290" s="8"/>
    </row>
    <row r="291" spans="1:50" ht="12.75">
      <c r="A291" s="5"/>
      <c r="B291" s="5"/>
      <c r="C291" s="7"/>
      <c r="D291" s="5"/>
      <c r="E291" s="5"/>
      <c r="F291" s="8"/>
      <c r="G291" s="5"/>
      <c r="H291" s="5"/>
      <c r="I291" s="8"/>
      <c r="J291" s="5"/>
      <c r="K291" s="5"/>
      <c r="L291" s="8"/>
      <c r="M291" s="12"/>
      <c r="N291" s="12"/>
      <c r="O291" s="8"/>
      <c r="P291" s="12"/>
      <c r="Q291" s="12"/>
      <c r="R291" s="8"/>
      <c r="S291" s="12"/>
      <c r="T291" s="12"/>
      <c r="U291" s="8"/>
      <c r="V291" s="12"/>
      <c r="W291" s="12"/>
      <c r="X291" s="8"/>
      <c r="Y291" s="18"/>
      <c r="Z291" s="18"/>
      <c r="AA291" s="8"/>
      <c r="AB291" s="18"/>
      <c r="AC291" s="18"/>
      <c r="AD291" s="8"/>
      <c r="AE291" s="18"/>
      <c r="AF291" s="18"/>
      <c r="AG291" s="8"/>
      <c r="AH291" s="12"/>
      <c r="AI291" s="12"/>
      <c r="AJ291" s="8"/>
      <c r="AK291" s="12"/>
      <c r="AL291" s="12"/>
      <c r="AM291" s="8"/>
      <c r="AN291" s="8"/>
      <c r="AO291" s="18"/>
      <c r="AP291" s="18"/>
      <c r="AQ291" s="8"/>
      <c r="AR291" s="8"/>
      <c r="AS291" s="8"/>
      <c r="AT291" s="8"/>
      <c r="AU291" s="8"/>
      <c r="AV291" s="8"/>
      <c r="AW291" s="8"/>
      <c r="AX291" s="8"/>
    </row>
    <row r="292" spans="1:50" ht="12.75">
      <c r="A292" s="5"/>
      <c r="B292" s="5"/>
      <c r="C292" s="7"/>
      <c r="D292" s="5"/>
      <c r="E292" s="5"/>
      <c r="F292" s="8"/>
      <c r="G292" s="5"/>
      <c r="H292" s="5"/>
      <c r="I292" s="8"/>
      <c r="J292" s="5"/>
      <c r="K292" s="5"/>
      <c r="L292" s="8"/>
      <c r="M292" s="12"/>
      <c r="N292" s="12"/>
      <c r="O292" s="8"/>
      <c r="P292" s="12"/>
      <c r="Q292" s="12"/>
      <c r="R292" s="8"/>
      <c r="S292" s="12"/>
      <c r="T292" s="12"/>
      <c r="U292" s="8"/>
      <c r="V292" s="12"/>
      <c r="W292" s="12"/>
      <c r="X292" s="8"/>
      <c r="Y292" s="18"/>
      <c r="Z292" s="18"/>
      <c r="AA292" s="8"/>
      <c r="AB292" s="18"/>
      <c r="AC292" s="18"/>
      <c r="AD292" s="8"/>
      <c r="AE292" s="18"/>
      <c r="AF292" s="18"/>
      <c r="AG292" s="8"/>
      <c r="AH292" s="12"/>
      <c r="AI292" s="12"/>
      <c r="AJ292" s="8"/>
      <c r="AK292" s="12"/>
      <c r="AL292" s="12"/>
      <c r="AM292" s="8"/>
      <c r="AN292" s="8"/>
      <c r="AO292" s="18"/>
      <c r="AP292" s="18"/>
      <c r="AQ292" s="8"/>
      <c r="AR292" s="8"/>
      <c r="AS292" s="8"/>
      <c r="AT292" s="8"/>
      <c r="AU292" s="8"/>
      <c r="AV292" s="8"/>
      <c r="AW292" s="8"/>
      <c r="AX292" s="8"/>
    </row>
    <row r="293" spans="1:50" ht="12.75">
      <c r="A293" s="5"/>
      <c r="B293" s="5"/>
      <c r="C293" s="7"/>
      <c r="D293" s="5"/>
      <c r="E293" s="5"/>
      <c r="F293" s="8"/>
      <c r="G293" s="5"/>
      <c r="H293" s="5"/>
      <c r="I293" s="8"/>
      <c r="J293" s="5"/>
      <c r="K293" s="5"/>
      <c r="L293" s="8"/>
      <c r="M293" s="12"/>
      <c r="N293" s="12"/>
      <c r="O293" s="8"/>
      <c r="P293" s="12"/>
      <c r="Q293" s="12"/>
      <c r="R293" s="8"/>
      <c r="S293" s="12"/>
      <c r="T293" s="12"/>
      <c r="U293" s="8"/>
      <c r="V293" s="12"/>
      <c r="W293" s="12"/>
      <c r="X293" s="8"/>
      <c r="Y293" s="18"/>
      <c r="Z293" s="18"/>
      <c r="AA293" s="8"/>
      <c r="AB293" s="18"/>
      <c r="AC293" s="18"/>
      <c r="AD293" s="8"/>
      <c r="AE293" s="18"/>
      <c r="AF293" s="18"/>
      <c r="AG293" s="8"/>
      <c r="AH293" s="12"/>
      <c r="AI293" s="12"/>
      <c r="AJ293" s="8"/>
      <c r="AK293" s="12"/>
      <c r="AL293" s="12"/>
      <c r="AM293" s="8"/>
      <c r="AN293" s="8"/>
      <c r="AO293" s="18"/>
      <c r="AP293" s="18"/>
      <c r="AQ293" s="8"/>
      <c r="AR293" s="8"/>
      <c r="AS293" s="8"/>
      <c r="AT293" s="8"/>
      <c r="AU293" s="8"/>
      <c r="AV293" s="8"/>
      <c r="AW293" s="8"/>
      <c r="AX293" s="8"/>
    </row>
    <row r="294" spans="1:50" ht="12.75">
      <c r="A294" s="5"/>
      <c r="B294" s="5"/>
      <c r="C294" s="7"/>
      <c r="D294" s="5"/>
      <c r="E294" s="5"/>
      <c r="F294" s="8"/>
      <c r="G294" s="5"/>
      <c r="H294" s="5"/>
      <c r="I294" s="8"/>
      <c r="J294" s="5"/>
      <c r="K294" s="5"/>
      <c r="L294" s="8"/>
      <c r="M294" s="12"/>
      <c r="N294" s="12"/>
      <c r="O294" s="8"/>
      <c r="P294" s="12"/>
      <c r="Q294" s="12"/>
      <c r="R294" s="8"/>
      <c r="S294" s="12"/>
      <c r="T294" s="12"/>
      <c r="U294" s="8"/>
      <c r="V294" s="12"/>
      <c r="W294" s="12"/>
      <c r="X294" s="8"/>
      <c r="Y294" s="18"/>
      <c r="Z294" s="18"/>
      <c r="AA294" s="8"/>
      <c r="AB294" s="18"/>
      <c r="AC294" s="18"/>
      <c r="AD294" s="8"/>
      <c r="AE294" s="18"/>
      <c r="AF294" s="18"/>
      <c r="AG294" s="8"/>
      <c r="AH294" s="12"/>
      <c r="AI294" s="12"/>
      <c r="AJ294" s="8"/>
      <c r="AK294" s="12"/>
      <c r="AL294" s="12"/>
      <c r="AM294" s="8"/>
      <c r="AN294" s="8"/>
      <c r="AO294" s="18"/>
      <c r="AP294" s="18"/>
      <c r="AQ294" s="8"/>
      <c r="AR294" s="8"/>
      <c r="AS294" s="8"/>
      <c r="AT294" s="8"/>
      <c r="AU294" s="8"/>
      <c r="AV294" s="8"/>
      <c r="AW294" s="8"/>
      <c r="AX294" s="8"/>
    </row>
    <row r="295" spans="1:50" ht="12.75">
      <c r="A295" s="5"/>
      <c r="B295" s="5"/>
      <c r="C295" s="7"/>
      <c r="D295" s="5"/>
      <c r="E295" s="5"/>
      <c r="F295" s="8"/>
      <c r="G295" s="5"/>
      <c r="H295" s="5"/>
      <c r="I295" s="8"/>
      <c r="J295" s="5"/>
      <c r="K295" s="5"/>
      <c r="L295" s="8"/>
      <c r="M295" s="12"/>
      <c r="N295" s="12"/>
      <c r="O295" s="8"/>
      <c r="P295" s="12"/>
      <c r="Q295" s="12"/>
      <c r="R295" s="8"/>
      <c r="S295" s="12"/>
      <c r="T295" s="12"/>
      <c r="U295" s="8"/>
      <c r="V295" s="12"/>
      <c r="W295" s="12"/>
      <c r="X295" s="8"/>
      <c r="Y295" s="18"/>
      <c r="Z295" s="18"/>
      <c r="AA295" s="8"/>
      <c r="AB295" s="18"/>
      <c r="AC295" s="18"/>
      <c r="AD295" s="8"/>
      <c r="AE295" s="18"/>
      <c r="AF295" s="18"/>
      <c r="AG295" s="8"/>
      <c r="AH295" s="12"/>
      <c r="AI295" s="12"/>
      <c r="AJ295" s="8"/>
      <c r="AK295" s="12"/>
      <c r="AL295" s="12"/>
      <c r="AM295" s="8"/>
      <c r="AN295" s="8"/>
      <c r="AO295" s="18"/>
      <c r="AP295" s="18"/>
      <c r="AQ295" s="8"/>
      <c r="AR295" s="8"/>
      <c r="AS295" s="8"/>
      <c r="AT295" s="8"/>
      <c r="AU295" s="8"/>
      <c r="AV295" s="8"/>
      <c r="AW295" s="8"/>
      <c r="AX295" s="8"/>
    </row>
    <row r="296" spans="1:50" ht="12.75">
      <c r="A296" s="5"/>
      <c r="B296" s="5"/>
      <c r="C296" s="7"/>
      <c r="D296" s="5"/>
      <c r="E296" s="5"/>
      <c r="F296" s="8"/>
      <c r="G296" s="5"/>
      <c r="H296" s="5"/>
      <c r="I296" s="8"/>
      <c r="J296" s="5"/>
      <c r="K296" s="5"/>
      <c r="L296" s="8"/>
      <c r="M296" s="12"/>
      <c r="N296" s="12"/>
      <c r="O296" s="8"/>
      <c r="P296" s="12"/>
      <c r="Q296" s="12"/>
      <c r="R296" s="8"/>
      <c r="S296" s="12"/>
      <c r="T296" s="12"/>
      <c r="U296" s="8"/>
      <c r="V296" s="12"/>
      <c r="W296" s="12"/>
      <c r="X296" s="8"/>
      <c r="Y296" s="18"/>
      <c r="Z296" s="18"/>
      <c r="AA296" s="8"/>
      <c r="AB296" s="18"/>
      <c r="AC296" s="18"/>
      <c r="AD296" s="8"/>
      <c r="AE296" s="18"/>
      <c r="AF296" s="18"/>
      <c r="AG296" s="8"/>
      <c r="AH296" s="12"/>
      <c r="AI296" s="12"/>
      <c r="AJ296" s="8"/>
      <c r="AK296" s="12"/>
      <c r="AL296" s="12"/>
      <c r="AM296" s="8"/>
      <c r="AN296" s="8"/>
      <c r="AO296" s="18"/>
      <c r="AP296" s="18"/>
      <c r="AQ296" s="8"/>
      <c r="AR296" s="8"/>
      <c r="AS296" s="8"/>
      <c r="AT296" s="8"/>
      <c r="AU296" s="8"/>
      <c r="AV296" s="8"/>
      <c r="AW296" s="8"/>
      <c r="AX296" s="8"/>
    </row>
    <row r="297" spans="1:50" ht="12.75">
      <c r="A297" s="5"/>
      <c r="B297" s="5"/>
      <c r="C297" s="7"/>
      <c r="D297" s="5"/>
      <c r="E297" s="5"/>
      <c r="F297" s="8"/>
      <c r="G297" s="5"/>
      <c r="H297" s="5"/>
      <c r="I297" s="8"/>
      <c r="J297" s="5"/>
      <c r="K297" s="5"/>
      <c r="L297" s="8"/>
      <c r="M297" s="12"/>
      <c r="N297" s="12"/>
      <c r="O297" s="8"/>
      <c r="P297" s="12"/>
      <c r="Q297" s="12"/>
      <c r="R297" s="8"/>
      <c r="S297" s="12"/>
      <c r="T297" s="12"/>
      <c r="U297" s="8"/>
      <c r="V297" s="12"/>
      <c r="W297" s="12"/>
      <c r="X297" s="8"/>
      <c r="Y297" s="18"/>
      <c r="Z297" s="18"/>
      <c r="AA297" s="8"/>
      <c r="AB297" s="18"/>
      <c r="AC297" s="18"/>
      <c r="AD297" s="8"/>
      <c r="AE297" s="18"/>
      <c r="AF297" s="18"/>
      <c r="AG297" s="8"/>
      <c r="AH297" s="12"/>
      <c r="AI297" s="12"/>
      <c r="AJ297" s="8"/>
      <c r="AK297" s="12"/>
      <c r="AL297" s="12"/>
      <c r="AM297" s="8"/>
      <c r="AN297" s="8"/>
      <c r="AO297" s="18"/>
      <c r="AP297" s="18"/>
      <c r="AQ297" s="8"/>
      <c r="AR297" s="8"/>
      <c r="AS297" s="8"/>
      <c r="AT297" s="8"/>
      <c r="AU297" s="8"/>
      <c r="AV297" s="8"/>
      <c r="AW297" s="8"/>
      <c r="AX297" s="8"/>
    </row>
    <row r="298" spans="1:50" ht="12.75">
      <c r="A298" s="5"/>
      <c r="B298" s="5"/>
      <c r="C298" s="7"/>
      <c r="D298" s="5"/>
      <c r="E298" s="5"/>
      <c r="F298" s="8"/>
      <c r="G298" s="5"/>
      <c r="H298" s="5"/>
      <c r="I298" s="8"/>
      <c r="J298" s="5"/>
      <c r="K298" s="5"/>
      <c r="L298" s="8"/>
      <c r="M298" s="12"/>
      <c r="N298" s="12"/>
      <c r="O298" s="8"/>
      <c r="P298" s="12"/>
      <c r="Q298" s="12"/>
      <c r="R298" s="8"/>
      <c r="S298" s="12"/>
      <c r="T298" s="12"/>
      <c r="U298" s="8"/>
      <c r="V298" s="12"/>
      <c r="W298" s="12"/>
      <c r="X298" s="8"/>
      <c r="Y298" s="18"/>
      <c r="Z298" s="18"/>
      <c r="AA298" s="8"/>
      <c r="AB298" s="18"/>
      <c r="AC298" s="18"/>
      <c r="AD298" s="8"/>
      <c r="AE298" s="18"/>
      <c r="AF298" s="18"/>
      <c r="AG298" s="8"/>
      <c r="AH298" s="12"/>
      <c r="AI298" s="12"/>
      <c r="AJ298" s="8"/>
      <c r="AK298" s="12"/>
      <c r="AL298" s="12"/>
      <c r="AM298" s="8"/>
      <c r="AN298" s="8"/>
      <c r="AO298" s="18"/>
      <c r="AP298" s="18"/>
      <c r="AQ298" s="8"/>
      <c r="AR298" s="8"/>
      <c r="AS298" s="8"/>
      <c r="AT298" s="8"/>
      <c r="AU298" s="8"/>
      <c r="AV298" s="8"/>
      <c r="AW298" s="8"/>
      <c r="AX298" s="8"/>
    </row>
    <row r="299" spans="1:50" ht="12.75">
      <c r="A299" s="5"/>
      <c r="B299" s="5"/>
      <c r="C299" s="7"/>
      <c r="D299" s="5"/>
      <c r="E299" s="5"/>
      <c r="F299" s="8"/>
      <c r="G299" s="5"/>
      <c r="H299" s="5"/>
      <c r="I299" s="8"/>
      <c r="J299" s="5"/>
      <c r="K299" s="5"/>
      <c r="L299" s="8"/>
      <c r="M299" s="12"/>
      <c r="N299" s="12"/>
      <c r="O299" s="8"/>
      <c r="P299" s="12"/>
      <c r="Q299" s="12"/>
      <c r="R299" s="8"/>
      <c r="S299" s="12"/>
      <c r="T299" s="12"/>
      <c r="U299" s="8"/>
      <c r="V299" s="12"/>
      <c r="W299" s="12"/>
      <c r="X299" s="8"/>
      <c r="Y299" s="18"/>
      <c r="Z299" s="18"/>
      <c r="AA299" s="8"/>
      <c r="AB299" s="18"/>
      <c r="AC299" s="18"/>
      <c r="AD299" s="8"/>
      <c r="AE299" s="18"/>
      <c r="AF299" s="18"/>
      <c r="AG299" s="8"/>
      <c r="AH299" s="12"/>
      <c r="AI299" s="12"/>
      <c r="AJ299" s="8"/>
      <c r="AK299" s="12"/>
      <c r="AL299" s="12"/>
      <c r="AM299" s="8"/>
      <c r="AN299" s="8"/>
      <c r="AO299" s="18"/>
      <c r="AP299" s="18"/>
      <c r="AQ299" s="8"/>
      <c r="AR299" s="8"/>
      <c r="AS299" s="8"/>
      <c r="AT299" s="8"/>
      <c r="AU299" s="8"/>
      <c r="AV299" s="8"/>
      <c r="AW299" s="8"/>
      <c r="AX299" s="8"/>
    </row>
    <row r="300" spans="1:50" ht="12.75">
      <c r="A300" s="5"/>
      <c r="B300" s="5"/>
      <c r="C300" s="7"/>
      <c r="D300" s="5"/>
      <c r="E300" s="5"/>
      <c r="F300" s="8"/>
      <c r="G300" s="5"/>
      <c r="H300" s="5"/>
      <c r="I300" s="8"/>
      <c r="J300" s="5"/>
      <c r="K300" s="5"/>
      <c r="L300" s="8"/>
      <c r="M300" s="12"/>
      <c r="N300" s="12"/>
      <c r="O300" s="8"/>
      <c r="P300" s="12"/>
      <c r="Q300" s="12"/>
      <c r="R300" s="8"/>
      <c r="S300" s="12"/>
      <c r="T300" s="12"/>
      <c r="U300" s="8"/>
      <c r="V300" s="12"/>
      <c r="W300" s="12"/>
      <c r="X300" s="8"/>
      <c r="Y300" s="18"/>
      <c r="Z300" s="18"/>
      <c r="AA300" s="8"/>
      <c r="AB300" s="18"/>
      <c r="AC300" s="18"/>
      <c r="AD300" s="8"/>
      <c r="AE300" s="18"/>
      <c r="AF300" s="18"/>
      <c r="AG300" s="8"/>
      <c r="AH300" s="12"/>
      <c r="AI300" s="12"/>
      <c r="AJ300" s="8"/>
      <c r="AK300" s="12"/>
      <c r="AL300" s="12"/>
      <c r="AM300" s="8"/>
      <c r="AN300" s="8"/>
      <c r="AO300" s="18"/>
      <c r="AP300" s="18"/>
      <c r="AQ300" s="8"/>
      <c r="AR300" s="8"/>
      <c r="AS300" s="8"/>
      <c r="AT300" s="8"/>
      <c r="AU300" s="8"/>
      <c r="AV300" s="8"/>
      <c r="AW300" s="8"/>
      <c r="AX300" s="8"/>
    </row>
    <row r="301" spans="1:50" ht="12.75">
      <c r="A301" s="5"/>
      <c r="B301" s="5"/>
      <c r="C301" s="7"/>
      <c r="D301" s="5"/>
      <c r="E301" s="5"/>
      <c r="F301" s="8"/>
      <c r="G301" s="5"/>
      <c r="H301" s="5"/>
      <c r="I301" s="8"/>
      <c r="J301" s="5"/>
      <c r="K301" s="5"/>
      <c r="L301" s="8"/>
      <c r="M301" s="12"/>
      <c r="N301" s="12"/>
      <c r="O301" s="8"/>
      <c r="P301" s="12"/>
      <c r="Q301" s="12"/>
      <c r="R301" s="8"/>
      <c r="S301" s="12"/>
      <c r="T301" s="12"/>
      <c r="U301" s="8"/>
      <c r="V301" s="12"/>
      <c r="W301" s="12"/>
      <c r="X301" s="8"/>
      <c r="Y301" s="18"/>
      <c r="Z301" s="18"/>
      <c r="AA301" s="8"/>
      <c r="AB301" s="18"/>
      <c r="AC301" s="18"/>
      <c r="AD301" s="8"/>
      <c r="AE301" s="18"/>
      <c r="AF301" s="18"/>
      <c r="AG301" s="8"/>
      <c r="AH301" s="12"/>
      <c r="AI301" s="12"/>
      <c r="AJ301" s="8"/>
      <c r="AK301" s="12"/>
      <c r="AL301" s="12"/>
      <c r="AM301" s="8"/>
      <c r="AN301" s="8"/>
      <c r="AO301" s="18"/>
      <c r="AP301" s="18"/>
      <c r="AQ301" s="8"/>
      <c r="AR301" s="8"/>
      <c r="AS301" s="8"/>
      <c r="AT301" s="8"/>
      <c r="AU301" s="8"/>
      <c r="AV301" s="8"/>
      <c r="AW301" s="8"/>
      <c r="AX301" s="8"/>
    </row>
    <row r="302" spans="1:50" ht="12.75">
      <c r="A302" s="5"/>
      <c r="B302" s="5"/>
      <c r="C302" s="7"/>
      <c r="D302" s="5"/>
      <c r="E302" s="5"/>
      <c r="F302" s="8"/>
      <c r="G302" s="5"/>
      <c r="H302" s="5"/>
      <c r="I302" s="8"/>
      <c r="J302" s="5"/>
      <c r="K302" s="5"/>
      <c r="L302" s="8"/>
      <c r="M302" s="12"/>
      <c r="N302" s="12"/>
      <c r="O302" s="8"/>
      <c r="P302" s="12"/>
      <c r="Q302" s="12"/>
      <c r="R302" s="8"/>
      <c r="S302" s="12"/>
      <c r="T302" s="12"/>
      <c r="U302" s="8"/>
      <c r="V302" s="12"/>
      <c r="W302" s="12"/>
      <c r="X302" s="8"/>
      <c r="Y302" s="18"/>
      <c r="Z302" s="18"/>
      <c r="AA302" s="8"/>
      <c r="AB302" s="18"/>
      <c r="AC302" s="18"/>
      <c r="AD302" s="8"/>
      <c r="AE302" s="18"/>
      <c r="AF302" s="18"/>
      <c r="AG302" s="8"/>
      <c r="AH302" s="12"/>
      <c r="AI302" s="12"/>
      <c r="AJ302" s="8"/>
      <c r="AK302" s="12"/>
      <c r="AL302" s="12"/>
      <c r="AM302" s="8"/>
      <c r="AN302" s="8"/>
      <c r="AO302" s="18"/>
      <c r="AP302" s="18"/>
      <c r="AQ302" s="8"/>
      <c r="AR302" s="8"/>
      <c r="AS302" s="8"/>
      <c r="AT302" s="8"/>
      <c r="AU302" s="8"/>
      <c r="AV302" s="8"/>
      <c r="AW302" s="8"/>
      <c r="AX302" s="8"/>
    </row>
    <row r="303" spans="1:50" ht="12.75">
      <c r="A303" s="5"/>
      <c r="B303" s="5"/>
      <c r="C303" s="7"/>
      <c r="D303" s="5"/>
      <c r="E303" s="5"/>
      <c r="F303" s="8"/>
      <c r="G303" s="5"/>
      <c r="H303" s="5"/>
      <c r="I303" s="8"/>
      <c r="J303" s="5"/>
      <c r="K303" s="5"/>
      <c r="L303" s="8"/>
      <c r="M303" s="12"/>
      <c r="N303" s="12"/>
      <c r="O303" s="8"/>
      <c r="P303" s="12"/>
      <c r="Q303" s="12"/>
      <c r="R303" s="8"/>
      <c r="S303" s="12"/>
      <c r="T303" s="12"/>
      <c r="U303" s="8"/>
      <c r="V303" s="12"/>
      <c r="W303" s="12"/>
      <c r="X303" s="8"/>
      <c r="Y303" s="18"/>
      <c r="Z303" s="18"/>
      <c r="AA303" s="8"/>
      <c r="AB303" s="18"/>
      <c r="AC303" s="18"/>
      <c r="AD303" s="8"/>
      <c r="AE303" s="18"/>
      <c r="AF303" s="18"/>
      <c r="AG303" s="8"/>
      <c r="AH303" s="12"/>
      <c r="AI303" s="12"/>
      <c r="AJ303" s="8"/>
      <c r="AK303" s="12"/>
      <c r="AL303" s="12"/>
      <c r="AM303" s="8"/>
      <c r="AN303" s="8"/>
      <c r="AO303" s="18"/>
      <c r="AP303" s="18"/>
      <c r="AQ303" s="8"/>
      <c r="AR303" s="8"/>
      <c r="AS303" s="8"/>
      <c r="AT303" s="8"/>
      <c r="AU303" s="8"/>
      <c r="AV303" s="8"/>
      <c r="AW303" s="8"/>
      <c r="AX303" s="8"/>
    </row>
    <row r="304" spans="1:50" ht="12.75">
      <c r="A304" s="5"/>
      <c r="B304" s="5"/>
      <c r="C304" s="7"/>
      <c r="D304" s="5"/>
      <c r="E304" s="5"/>
      <c r="F304" s="8"/>
      <c r="G304" s="5"/>
      <c r="H304" s="5"/>
      <c r="I304" s="8"/>
      <c r="J304" s="5"/>
      <c r="K304" s="5"/>
      <c r="L304" s="8"/>
      <c r="M304" s="12"/>
      <c r="N304" s="12"/>
      <c r="O304" s="8"/>
      <c r="P304" s="12"/>
      <c r="Q304" s="12"/>
      <c r="R304" s="8"/>
      <c r="S304" s="12"/>
      <c r="T304" s="12"/>
      <c r="U304" s="8"/>
      <c r="V304" s="12"/>
      <c r="W304" s="12"/>
      <c r="X304" s="8"/>
      <c r="Y304" s="18"/>
      <c r="Z304" s="18"/>
      <c r="AA304" s="8"/>
      <c r="AB304" s="18"/>
      <c r="AC304" s="18"/>
      <c r="AD304" s="8"/>
      <c r="AE304" s="18"/>
      <c r="AF304" s="18"/>
      <c r="AG304" s="8"/>
      <c r="AH304" s="12"/>
      <c r="AI304" s="12"/>
      <c r="AJ304" s="8"/>
      <c r="AK304" s="12"/>
      <c r="AL304" s="12"/>
      <c r="AM304" s="8"/>
      <c r="AN304" s="8"/>
      <c r="AO304" s="18"/>
      <c r="AP304" s="18"/>
      <c r="AQ304" s="8"/>
      <c r="AR304" s="8"/>
      <c r="AS304" s="8"/>
      <c r="AT304" s="8"/>
      <c r="AU304" s="8"/>
      <c r="AV304" s="8"/>
      <c r="AW304" s="8"/>
      <c r="AX304" s="8"/>
    </row>
    <row r="305" spans="1:50" ht="12.75">
      <c r="A305" s="5"/>
      <c r="B305" s="5"/>
      <c r="C305" s="7"/>
      <c r="D305" s="5"/>
      <c r="E305" s="5"/>
      <c r="F305" s="8"/>
      <c r="G305" s="5"/>
      <c r="H305" s="5"/>
      <c r="I305" s="8"/>
      <c r="J305" s="5"/>
      <c r="K305" s="5"/>
      <c r="L305" s="8"/>
      <c r="M305" s="12"/>
      <c r="N305" s="12"/>
      <c r="O305" s="8"/>
      <c r="P305" s="12"/>
      <c r="Q305" s="12"/>
      <c r="R305" s="8"/>
      <c r="S305" s="12"/>
      <c r="T305" s="12"/>
      <c r="U305" s="8"/>
      <c r="V305" s="12"/>
      <c r="W305" s="12"/>
      <c r="X305" s="8"/>
      <c r="Y305" s="18"/>
      <c r="Z305" s="18"/>
      <c r="AA305" s="8"/>
      <c r="AB305" s="18"/>
      <c r="AC305" s="18"/>
      <c r="AD305" s="8"/>
      <c r="AE305" s="18"/>
      <c r="AF305" s="18"/>
      <c r="AG305" s="8"/>
      <c r="AH305" s="12"/>
      <c r="AI305" s="12"/>
      <c r="AJ305" s="8"/>
      <c r="AK305" s="12"/>
      <c r="AL305" s="12"/>
      <c r="AM305" s="8"/>
      <c r="AN305" s="8"/>
      <c r="AO305" s="18"/>
      <c r="AP305" s="18"/>
      <c r="AQ305" s="8"/>
      <c r="AR305" s="8"/>
      <c r="AS305" s="8"/>
      <c r="AT305" s="8"/>
      <c r="AU305" s="8"/>
      <c r="AV305" s="8"/>
      <c r="AW305" s="8"/>
      <c r="AX305" s="8"/>
    </row>
    <row r="306" spans="1:50" ht="12.75">
      <c r="A306" s="5"/>
      <c r="B306" s="5"/>
      <c r="C306" s="7"/>
      <c r="D306" s="5"/>
      <c r="E306" s="5"/>
      <c r="F306" s="8"/>
      <c r="G306" s="5"/>
      <c r="H306" s="5"/>
      <c r="I306" s="8"/>
      <c r="J306" s="5"/>
      <c r="K306" s="5"/>
      <c r="L306" s="8"/>
      <c r="M306" s="12"/>
      <c r="N306" s="12"/>
      <c r="O306" s="8"/>
      <c r="P306" s="12"/>
      <c r="Q306" s="12"/>
      <c r="R306" s="8"/>
      <c r="S306" s="12"/>
      <c r="T306" s="12"/>
      <c r="U306" s="8"/>
      <c r="V306" s="12"/>
      <c r="W306" s="12"/>
      <c r="X306" s="8"/>
      <c r="Y306" s="18"/>
      <c r="Z306" s="18"/>
      <c r="AA306" s="8"/>
      <c r="AB306" s="18"/>
      <c r="AC306" s="18"/>
      <c r="AD306" s="8"/>
      <c r="AE306" s="18"/>
      <c r="AF306" s="18"/>
      <c r="AG306" s="8"/>
      <c r="AH306" s="12"/>
      <c r="AI306" s="12"/>
      <c r="AJ306" s="8"/>
      <c r="AK306" s="12"/>
      <c r="AL306" s="12"/>
      <c r="AM306" s="8"/>
      <c r="AN306" s="8"/>
      <c r="AO306" s="18"/>
      <c r="AP306" s="18"/>
      <c r="AQ306" s="8"/>
      <c r="AR306" s="8"/>
      <c r="AS306" s="8"/>
      <c r="AT306" s="8"/>
      <c r="AU306" s="8"/>
      <c r="AV306" s="8"/>
      <c r="AW306" s="8"/>
      <c r="AX306" s="8"/>
    </row>
    <row r="307" spans="1:50" ht="12.75">
      <c r="A307" s="5"/>
      <c r="B307" s="5"/>
      <c r="C307" s="7"/>
      <c r="D307" s="5"/>
      <c r="E307" s="5"/>
      <c r="F307" s="8"/>
      <c r="G307" s="5"/>
      <c r="H307" s="5"/>
      <c r="I307" s="8"/>
      <c r="J307" s="5"/>
      <c r="K307" s="5"/>
      <c r="L307" s="8"/>
      <c r="M307" s="12"/>
      <c r="N307" s="12"/>
      <c r="O307" s="8"/>
      <c r="P307" s="12"/>
      <c r="Q307" s="12"/>
      <c r="R307" s="8"/>
      <c r="S307" s="12"/>
      <c r="T307" s="12"/>
      <c r="U307" s="8"/>
      <c r="V307" s="12"/>
      <c r="W307" s="12"/>
      <c r="X307" s="8"/>
      <c r="Y307" s="18"/>
      <c r="Z307" s="18"/>
      <c r="AA307" s="8"/>
      <c r="AB307" s="18"/>
      <c r="AC307" s="18"/>
      <c r="AD307" s="8"/>
      <c r="AE307" s="18"/>
      <c r="AF307" s="18"/>
      <c r="AG307" s="8"/>
      <c r="AH307" s="12"/>
      <c r="AI307" s="12"/>
      <c r="AJ307" s="8"/>
      <c r="AK307" s="12"/>
      <c r="AL307" s="12"/>
      <c r="AM307" s="8"/>
      <c r="AN307" s="8"/>
      <c r="AO307" s="18"/>
      <c r="AP307" s="18"/>
      <c r="AQ307" s="8"/>
      <c r="AR307" s="8"/>
      <c r="AS307" s="8"/>
      <c r="AT307" s="8"/>
      <c r="AU307" s="8"/>
      <c r="AV307" s="8"/>
      <c r="AW307" s="8"/>
      <c r="AX307" s="8"/>
    </row>
    <row r="308" spans="1:50" ht="12.75">
      <c r="A308" s="5"/>
      <c r="B308" s="5"/>
      <c r="C308" s="7"/>
      <c r="D308" s="5"/>
      <c r="E308" s="5"/>
      <c r="F308" s="8"/>
      <c r="G308" s="5"/>
      <c r="H308" s="5"/>
      <c r="I308" s="8"/>
      <c r="J308" s="5"/>
      <c r="K308" s="5"/>
      <c r="L308" s="8"/>
      <c r="M308" s="12"/>
      <c r="N308" s="12"/>
      <c r="O308" s="8"/>
      <c r="P308" s="12"/>
      <c r="Q308" s="12"/>
      <c r="R308" s="8"/>
      <c r="S308" s="12"/>
      <c r="T308" s="12"/>
      <c r="U308" s="8"/>
      <c r="V308" s="12"/>
      <c r="W308" s="12"/>
      <c r="X308" s="8"/>
      <c r="Y308" s="18"/>
      <c r="Z308" s="18"/>
      <c r="AA308" s="8"/>
      <c r="AB308" s="18"/>
      <c r="AC308" s="18"/>
      <c r="AD308" s="8"/>
      <c r="AE308" s="18"/>
      <c r="AF308" s="18"/>
      <c r="AG308" s="8"/>
      <c r="AH308" s="12"/>
      <c r="AI308" s="12"/>
      <c r="AJ308" s="8"/>
      <c r="AK308" s="12"/>
      <c r="AL308" s="12"/>
      <c r="AM308" s="8"/>
      <c r="AN308" s="8"/>
      <c r="AO308" s="18"/>
      <c r="AP308" s="18"/>
      <c r="AQ308" s="8"/>
      <c r="AR308" s="8"/>
      <c r="AS308" s="8"/>
      <c r="AT308" s="8"/>
      <c r="AU308" s="8"/>
      <c r="AV308" s="8"/>
      <c r="AW308" s="8"/>
      <c r="AX308" s="8"/>
    </row>
    <row r="309" spans="1:50" ht="12.75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ht="12.75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ht="12.75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ht="12.75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ht="12.75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ht="12.75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ht="12.75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ht="12.75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ht="12.75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ht="12.75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ht="12.75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ht="12.75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ht="12.75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ht="12.75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ht="12.75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ht="12.75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ht="12.75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ht="12.75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ht="12.75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ht="12.75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ht="12.75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ht="12.75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ht="12.75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ht="12.75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ht="12.75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ht="12.75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ht="12.75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ht="12.75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ht="12.75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ht="12.75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ht="12.75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ht="12.75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ht="12.75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ht="12.75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ht="12.75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ht="12.75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ht="12.75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ht="12.75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ht="12.75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ht="12.75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ht="12.75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ht="12.75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ht="12.75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ht="12.75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ht="12.75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ht="12.75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ht="12.75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ht="12.75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ht="12.75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ht="12.75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ht="12.75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ht="12.75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ht="12.75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ht="12.75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ht="12.75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ht="12.75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ht="12.75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ht="12.75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ht="12.75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ht="12.75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ht="12.75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ht="12.75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ht="12.75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ht="12.75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ht="12.75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ht="12.75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ht="12.75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ht="12.75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ht="12.75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ht="12.75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ht="12.75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ht="12.75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ht="12.75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ht="12.75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ht="12.75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ht="12.75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ht="12.75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ht="12.75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ht="12.75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ht="12.75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ht="12.75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ht="12.75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ht="12.75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ht="12.75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ht="12.75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ht="12.75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ht="12.75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ht="12.75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ht="12.75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ht="12.75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ht="12.75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ht="12.75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ht="12.75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ht="12.75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ht="12.75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ht="12.75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ht="12.75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ht="12.75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ht="12.75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ht="12.75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ht="12.75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ht="12.75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ht="12.75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ht="12.75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ht="12.75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ht="12.75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ht="12.75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ht="12.75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ht="12.75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ht="12.75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ht="12.75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ht="12.75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ht="12.75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ht="12.75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ht="12.75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ht="12.75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ht="12.75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ht="12.75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ht="12.75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ht="12.75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ht="12.75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ht="12.75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ht="12.75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ht="12.75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ht="12.75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ht="12.75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ht="12.75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ht="12.75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ht="12.75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ht="12.75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ht="12.75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ht="12.75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ht="12.75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ht="12.75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ht="12.75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ht="12.75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ht="12.75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ht="12.75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ht="12.75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ht="12.75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ht="12.75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ht="12.75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ht="12.75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ht="12.75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ht="12.75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ht="12.75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ht="12.75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ht="12.75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ht="12.75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ht="12.75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ht="12.75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ht="12.75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ht="12.75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ht="12.75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ht="12.75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ht="12.75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ht="12.75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ht="12.75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ht="12.75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ht="12.75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ht="12.75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ht="12.75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ht="12.75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ht="12.75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ht="12.75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ht="12.75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ht="12.75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ht="12.75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ht="12.75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ht="12.75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ht="12.75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ht="12.75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ht="12.75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ht="12.75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ht="12.75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ht="12.75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ht="12.75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ht="12.75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ht="12.75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ht="12.75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ht="12.75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ht="12.75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ht="12.75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ht="12.75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ht="12.75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ht="12.75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ht="12.75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ht="12.75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ht="12.75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ht="12.75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ht="12.75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ht="12.75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 spans="1:50" ht="12.75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 spans="1:50" ht="12.75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 spans="1:50" ht="12.75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 spans="1:50" ht="12.75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 spans="1:50" ht="12.75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 spans="1:50" ht="12.75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 spans="1:50" ht="12.75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 spans="1:50" ht="12.75">
      <c r="A508" s="5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 spans="1:50" ht="12.75">
      <c r="A509" s="5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 spans="1:50" ht="12.75">
      <c r="A510" s="5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 spans="1:50" ht="12.75">
      <c r="A511" s="5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 spans="1:50" ht="12.75">
      <c r="A512" s="5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 spans="1:50" ht="12.75">
      <c r="A513" s="5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 spans="1:50" ht="12.75">
      <c r="A514" s="5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 spans="1:50" ht="12.75">
      <c r="A515" s="5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 spans="1:50" ht="12.75">
      <c r="A516" s="5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 spans="1:50" ht="12.75">
      <c r="A517" s="5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 spans="1:50" ht="12.75">
      <c r="A518" s="5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 spans="1:50" ht="12.75">
      <c r="A519" s="5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 spans="1:50" ht="12.75">
      <c r="A520" s="5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 spans="1:50" ht="12.75">
      <c r="A521" s="5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 spans="1:50" ht="12.75">
      <c r="A522" s="5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 spans="1:50" ht="12.75">
      <c r="A523" s="5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 spans="1:50" ht="12.75">
      <c r="A524" s="5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 spans="1:50" ht="12.75">
      <c r="A525" s="5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 spans="1:50" ht="12.75">
      <c r="A526" s="5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 spans="1:50" ht="12.75">
      <c r="A527" s="5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 spans="1:50" ht="12.75">
      <c r="A528" s="5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 spans="1:50" ht="12.75">
      <c r="A529" s="5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 spans="1:50" ht="12.75">
      <c r="A530" s="5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 spans="1:50" ht="12.75">
      <c r="A531" s="5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 spans="1:50" ht="12.75">
      <c r="A532" s="5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 spans="1:50" ht="12.75">
      <c r="A533" s="5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 spans="1:50" ht="12.75">
      <c r="A534" s="5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 spans="1:50" ht="12.75">
      <c r="A535" s="5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 spans="1:50" ht="12.75">
      <c r="A536" s="5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 spans="1:50" ht="12.75">
      <c r="A537" s="5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 spans="1:50" ht="12.75">
      <c r="A538" s="5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 spans="1:50" ht="12.75">
      <c r="A539" s="5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 spans="1:50" ht="12.75">
      <c r="A540" s="5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 spans="1:50" ht="12.75">
      <c r="A541" s="5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 spans="1:50" ht="12.75">
      <c r="A542" s="5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 spans="1:50" ht="12.75">
      <c r="A543" s="5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 spans="1:50" ht="12.75">
      <c r="A544" s="5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 spans="1:50" ht="12.75">
      <c r="A545" s="5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 spans="1:50" ht="12.75">
      <c r="A546" s="5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 spans="1:50" ht="12.75">
      <c r="A547" s="5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 spans="1:50" ht="12.75">
      <c r="A548" s="5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 spans="1:50" ht="12.75">
      <c r="A549" s="5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 spans="1:50" ht="12.75">
      <c r="A550" s="5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 spans="1:50" ht="12.75">
      <c r="A551" s="5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 spans="1:50" ht="12.75">
      <c r="A552" s="5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 spans="1:50" ht="12.75">
      <c r="A553" s="5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 spans="1:50" ht="12.75">
      <c r="A554" s="5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 spans="1:50" ht="12.75">
      <c r="A555" s="5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 spans="1:50" ht="12.75">
      <c r="A556" s="5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 spans="1:50" ht="12.75">
      <c r="A557" s="5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 spans="1:50" ht="12.75">
      <c r="A558" s="5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 spans="1:50" ht="12.75">
      <c r="A559" s="5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 spans="1:50" ht="12.75">
      <c r="A560" s="5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 spans="1:50" ht="12.75">
      <c r="A561" s="5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 spans="1:50" ht="12.75">
      <c r="A562" s="5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 spans="1:50" ht="12.75">
      <c r="A563" s="5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 spans="1:50" ht="12.75">
      <c r="A564" s="5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 spans="1:50" ht="12.75">
      <c r="A565" s="5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 spans="1:50" ht="12.75">
      <c r="A566" s="5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 spans="1:50" ht="12.75">
      <c r="A567" s="5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 spans="1:50" ht="12.75">
      <c r="A568" s="5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 spans="1:50" ht="12.75">
      <c r="A569" s="5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 spans="1:50" ht="12.75">
      <c r="A570" s="5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 spans="1:50" ht="12.75">
      <c r="A571" s="5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 spans="1:50" ht="12.75">
      <c r="A572" s="5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 spans="1:50" ht="12.75">
      <c r="A573" s="5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 spans="1:50" ht="12.75">
      <c r="A574" s="5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 spans="1:50" ht="12.75">
      <c r="A575" s="5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 spans="1:50" ht="12.75">
      <c r="A576" s="5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 spans="1:50" ht="12.75">
      <c r="A577" s="5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 spans="1:50" ht="12.75">
      <c r="A578" s="5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 spans="1:50" ht="12.75">
      <c r="A579" s="5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 spans="1:50" ht="12.75">
      <c r="A580" s="5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 spans="1:50" ht="12.75">
      <c r="A581" s="5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 spans="1:50" ht="12.75">
      <c r="A582" s="5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 spans="1:50" ht="12.75">
      <c r="A583" s="5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 spans="1:50" ht="12.75">
      <c r="A584" s="5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 spans="1:50" ht="12.75">
      <c r="A585" s="5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 spans="1:50" ht="12.75">
      <c r="A586" s="5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 spans="1:50" ht="12.75">
      <c r="A587" s="5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 spans="1:50" ht="12.75">
      <c r="A588" s="5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 spans="1:50" ht="12.75">
      <c r="A589" s="5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 spans="1:50" ht="12.75">
      <c r="A590" s="5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 spans="1:50" ht="12.75">
      <c r="A591" s="5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 spans="1:50" ht="12.75">
      <c r="A592" s="5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 spans="1:50" ht="12.75">
      <c r="A593" s="5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 spans="1:50" ht="12.75">
      <c r="A594" s="5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 spans="1:50" ht="12.75">
      <c r="A595" s="5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 spans="1:50" ht="12.75">
      <c r="A596" s="5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 spans="1:50" ht="12.75">
      <c r="A597" s="5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 spans="1:50" ht="12.75">
      <c r="A598" s="5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 spans="1:50" ht="12.75">
      <c r="A599" s="5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 spans="1:50" ht="12.75">
      <c r="A600" s="5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 spans="1:50" ht="12.75">
      <c r="A601" s="5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 spans="1:50" ht="12.75">
      <c r="A602" s="5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 spans="1:50" ht="12.75">
      <c r="A603" s="5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 spans="1:50" ht="12.75">
      <c r="A604" s="5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 spans="1:50" ht="12.75">
      <c r="A605" s="5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 spans="1:50" ht="12.75">
      <c r="A606" s="5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 spans="1:50" ht="12.75">
      <c r="A607" s="5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 spans="1:50" ht="12.75">
      <c r="A608" s="5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 spans="1:50" ht="12.75">
      <c r="A609" s="5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 spans="1:50" ht="12.75">
      <c r="A610" s="5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 spans="1:50" ht="12.75">
      <c r="A611" s="5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 spans="1:50" ht="12.75">
      <c r="A612" s="5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 spans="1:50" ht="12.75">
      <c r="A613" s="5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 spans="1:50" ht="12.75">
      <c r="A614" s="5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 spans="1:50" ht="12.75">
      <c r="A615" s="5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 spans="1:50" ht="12.75">
      <c r="A616" s="5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 spans="1:50" ht="12.75">
      <c r="A617" s="5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 spans="1:50" ht="12.75">
      <c r="A618" s="5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 spans="1:50" ht="12.75">
      <c r="A619" s="5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 spans="1:50" ht="12.75">
      <c r="A620" s="5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 spans="1:50" ht="12.75">
      <c r="A621" s="5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 spans="1:50" ht="12.75">
      <c r="A622" s="5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 spans="1:50" ht="12.75">
      <c r="A623" s="5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 spans="1:50" ht="12.75">
      <c r="A624" s="5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 spans="1:50" ht="12.75">
      <c r="A625" s="5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 spans="1:50" ht="12.75">
      <c r="A626" s="5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 spans="1:50" ht="12.75">
      <c r="A627" s="5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 spans="1:50" ht="12.75">
      <c r="A628" s="5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 spans="1:50" ht="12.75">
      <c r="A629" s="5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 spans="1:50" ht="12.75">
      <c r="A630" s="5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 spans="1:50" ht="12.75">
      <c r="A631" s="5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 spans="1:50" ht="12.75">
      <c r="A632" s="5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 spans="1:50" ht="12.75">
      <c r="A633" s="5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 spans="1:50" ht="12.75">
      <c r="A634" s="5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 spans="1:50" ht="12.75">
      <c r="A635" s="5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 spans="1:50" ht="12.75">
      <c r="A636" s="5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 spans="1:50" ht="12.75">
      <c r="A637" s="5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 spans="1:50" ht="12.75">
      <c r="A638" s="5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 spans="1:50" ht="12.75">
      <c r="A639" s="5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 spans="1:50" ht="12.75">
      <c r="A640" s="5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 spans="1:50" ht="12.75">
      <c r="A641" s="5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 spans="1:50" ht="12.75">
      <c r="A642" s="5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 spans="1:50" ht="12.75">
      <c r="A643" s="5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 spans="1:50" ht="12.75">
      <c r="A644" s="5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 spans="1:50" ht="12.75">
      <c r="A645" s="5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 spans="1:50" ht="12.75">
      <c r="A646" s="5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 spans="1:50" ht="12.75">
      <c r="A647" s="5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 spans="1:50" ht="12.75">
      <c r="A648" s="5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 spans="1:50" ht="12.75">
      <c r="A649" s="5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 spans="1:50" ht="12.75">
      <c r="A650" s="5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 spans="1:50" ht="12.75">
      <c r="A651" s="5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 spans="1:50" ht="12.75">
      <c r="A652" s="5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 spans="1:50" ht="12.75">
      <c r="A653" s="5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 spans="1:50" ht="12.75">
      <c r="A654" s="5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 spans="1:50" ht="12.75">
      <c r="A655" s="5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 spans="1:50" ht="12.75">
      <c r="A656" s="5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 spans="1:50" ht="12.75">
      <c r="A657" s="5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 spans="1:50" ht="12.75">
      <c r="A658" s="5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 spans="1:50" ht="12.75">
      <c r="A659" s="5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 spans="1:50" ht="12.75">
      <c r="A660" s="5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 spans="1:50" ht="12.75">
      <c r="A661" s="5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 spans="1:50" ht="12.75">
      <c r="A662" s="5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 spans="1:50" ht="12.75">
      <c r="A663" s="5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 spans="1:50" ht="12.75">
      <c r="A664" s="5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 spans="1:50" ht="12.75">
      <c r="A665" s="5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 spans="1:50" ht="12.75">
      <c r="A666" s="5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 spans="1:50" ht="12.75">
      <c r="A667" s="5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 spans="1:50" ht="12.75">
      <c r="A668" s="5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 spans="1:50" ht="12.75">
      <c r="A669" s="5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 spans="1:50" ht="12.75">
      <c r="A670" s="5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 spans="1:50" ht="12.75">
      <c r="A671" s="5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 spans="1:50" ht="12.75">
      <c r="A672" s="5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 spans="1:50" ht="12.75">
      <c r="A673" s="5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 spans="1:50" ht="12.75">
      <c r="A674" s="5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 spans="1:50" ht="12.75">
      <c r="A675" s="5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 spans="1:50" ht="12.75">
      <c r="A676" s="5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 spans="1:50" ht="12.75">
      <c r="A677" s="5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 spans="1:50" ht="12.75">
      <c r="A678" s="5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 spans="1:50" ht="12.75">
      <c r="A679" s="5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 spans="1:50" ht="12.75">
      <c r="A680" s="5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 spans="1:50" ht="12.75">
      <c r="A681" s="5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 spans="1:50" ht="12.75">
      <c r="A682" s="5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 spans="1:50" ht="12.75">
      <c r="A683" s="5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 spans="1:50" ht="12.75">
      <c r="A684" s="5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 spans="1:50" ht="12.75">
      <c r="A685" s="5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 spans="1:50" ht="12.75">
      <c r="A686" s="5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 spans="1:50" ht="12.75">
      <c r="A687" s="5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 spans="1:50" ht="12.75">
      <c r="A688" s="5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 spans="1:50" ht="12.75">
      <c r="A689" s="5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 spans="1:50" ht="12.75">
      <c r="A690" s="5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 spans="1:50" ht="12.75">
      <c r="A691" s="5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 spans="1:50" ht="12.75">
      <c r="A692" s="5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 spans="1:50" ht="12.75">
      <c r="A693" s="5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 spans="1:50" ht="12.75">
      <c r="A694" s="5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 spans="1:50" ht="12.75">
      <c r="A695" s="5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 spans="1:50" ht="12.75">
      <c r="A696" s="5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 spans="1:50" ht="12.75">
      <c r="A697" s="5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 spans="1:50" ht="12.75">
      <c r="A698" s="5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 spans="1:50" ht="12.75">
      <c r="A699" s="5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 spans="1:50" ht="12.75">
      <c r="A700" s="5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 spans="1:50" ht="12.75">
      <c r="A701" s="5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 spans="1:50" ht="12.75">
      <c r="A702" s="5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 spans="1:50" ht="12.75">
      <c r="A703" s="5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 spans="1:50" ht="12.75">
      <c r="A704" s="5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 spans="1:50" ht="12.75">
      <c r="A705" s="5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 spans="1:50" ht="12.75">
      <c r="A706" s="5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 spans="1:50" ht="12.75">
      <c r="A707" s="5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 spans="1:50" ht="12.75">
      <c r="A708" s="5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 spans="1:50" ht="12.75">
      <c r="A709" s="5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 spans="1:50" ht="12.75">
      <c r="A710" s="5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 spans="1:50" ht="12.75">
      <c r="A711" s="5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 spans="1:50" ht="12.75">
      <c r="A712" s="5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 spans="1:50" ht="12.75">
      <c r="A713" s="5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 spans="1:50" ht="12.75">
      <c r="A714" s="5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 spans="1:50" ht="12.75">
      <c r="A715" s="5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 spans="1:50" ht="12.75">
      <c r="A716" s="5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 spans="1:50" ht="12.75">
      <c r="A717" s="5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 spans="1:50" ht="12.75">
      <c r="A718" s="5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 spans="1:50" ht="12.75">
      <c r="A719" s="5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 spans="1:50" ht="12.75">
      <c r="A720" s="5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 spans="1:50" ht="12.75">
      <c r="A721" s="5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 spans="1:50" ht="12.75">
      <c r="A722" s="5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 spans="1:50" ht="12.75">
      <c r="A723" s="5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 spans="1:50" ht="12.75">
      <c r="A724" s="5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 spans="1:50" ht="12.75">
      <c r="A725" s="5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 spans="1:50" ht="12.75">
      <c r="A726" s="5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 spans="1:50" ht="12.75">
      <c r="A727" s="5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 spans="1:50" ht="12.75">
      <c r="A728" s="5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 spans="1:50" ht="12.75">
      <c r="A729" s="5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 spans="1:50" ht="12.75">
      <c r="A730" s="5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 spans="1:50" ht="12.75">
      <c r="A731" s="5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 spans="1:50" ht="12.75">
      <c r="A732" s="5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 spans="1:50" ht="12.75">
      <c r="A733" s="5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 spans="1:50" ht="12.75">
      <c r="A734" s="5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 spans="1:50" ht="12.75">
      <c r="A735" s="5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 spans="1:50" ht="12.75">
      <c r="A736" s="5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 spans="1:50" ht="12.75">
      <c r="A737" s="5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 spans="1:50" ht="12.75">
      <c r="A738" s="5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 spans="1:50" ht="12.75">
      <c r="A739" s="5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 spans="1:50" ht="12.75">
      <c r="A740" s="5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 spans="1:50" ht="12.75">
      <c r="A741" s="5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 spans="1:50" ht="12.75">
      <c r="A742" s="5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 spans="1:50" ht="12.75">
      <c r="A743" s="5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 spans="1:50" ht="12.75">
      <c r="A744" s="5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 spans="1:50" ht="12.75">
      <c r="A745" s="5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 spans="1:50" ht="12.75">
      <c r="A746" s="5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 spans="1:50" ht="12.75">
      <c r="A747" s="5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 spans="1:50" ht="12.75">
      <c r="A748" s="5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 spans="1:50" ht="12.75">
      <c r="A749" s="5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 spans="1:50" ht="12.75">
      <c r="A750" s="5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 spans="1:50" ht="12.75">
      <c r="A751" s="5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 spans="1:50" ht="12.75">
      <c r="A752" s="5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 spans="1:50" ht="12.75">
      <c r="A753" s="5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 spans="1:50" ht="12.75">
      <c r="A754" s="5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 spans="1:50" ht="12.75">
      <c r="A755" s="5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 spans="1:50" ht="12.75">
      <c r="A756" s="5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 spans="1:50" ht="12.75">
      <c r="A757" s="5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 spans="1:50" ht="12.75">
      <c r="A758" s="5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 spans="1:50" ht="12.75">
      <c r="A759" s="5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 spans="1:50" ht="12.75">
      <c r="A760" s="5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 spans="1:50" ht="12.75">
      <c r="A761" s="5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 spans="1:50" ht="12.75">
      <c r="A762" s="5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 spans="1:50" ht="12.75">
      <c r="A763" s="5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 spans="1:50" ht="12.75">
      <c r="A764" s="5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 spans="1:50" ht="12.75">
      <c r="A765" s="5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 spans="1:50" ht="12.75">
      <c r="A766" s="5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 spans="1:50" ht="12.75">
      <c r="A767" s="5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 spans="1:50" ht="12.75">
      <c r="A768" s="5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 spans="1:50" ht="12.75">
      <c r="A769" s="5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 spans="1:50" ht="12.75">
      <c r="A770" s="5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 spans="1:50" ht="12.75">
      <c r="A771" s="5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 spans="1:50" ht="12.75">
      <c r="A772" s="5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 spans="1:50" ht="12.75">
      <c r="A773" s="5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 spans="1:50" ht="12.75">
      <c r="A774" s="5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 spans="1:50" ht="12.75">
      <c r="A775" s="5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 spans="1:50" ht="12.75">
      <c r="A776" s="5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 spans="1:50" ht="12.75">
      <c r="A777" s="5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 spans="1:50" ht="12.75">
      <c r="A778" s="5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 spans="1:50" ht="12.75">
      <c r="A779" s="5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 spans="1:50" ht="12.75">
      <c r="A780" s="5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 spans="1:50" ht="12.75">
      <c r="A781" s="5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 spans="1:50" ht="12.75">
      <c r="A782" s="5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 spans="1:50" ht="12.75">
      <c r="A783" s="5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 spans="1:50" ht="12.75">
      <c r="A784" s="5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 spans="1:50" ht="12.75">
      <c r="A785" s="5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 spans="1:50" ht="12.75">
      <c r="A786" s="5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 spans="1:50" ht="12.75">
      <c r="A787" s="5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 spans="1:50" ht="12.75">
      <c r="A788" s="5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 spans="1:50" ht="12.75">
      <c r="A789" s="5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 spans="1:50" ht="12.75">
      <c r="A790" s="5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 spans="1:50" ht="12.75">
      <c r="A791" s="5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 spans="1:50" ht="12.75">
      <c r="A792" s="5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 spans="1:50" ht="12.75">
      <c r="A793" s="5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 spans="1:50" ht="12.75">
      <c r="A794" s="5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 spans="1:50" ht="12.75">
      <c r="A795" s="5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 spans="1:50" ht="12.75">
      <c r="A796" s="5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 spans="1:50" ht="12.75">
      <c r="A797" s="5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 spans="1:50" ht="12.75">
      <c r="A798" s="5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 spans="1:50" ht="12.75">
      <c r="A799" s="5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 spans="1:50" ht="12.75">
      <c r="A800" s="5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 spans="1:50" ht="12.75">
      <c r="A801" s="5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 spans="1:50" ht="12.75">
      <c r="A802" s="5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 spans="1:50" ht="12.75">
      <c r="A803" s="5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 spans="1:50" ht="12.75">
      <c r="A804" s="5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 spans="1:50" ht="12.75">
      <c r="A805" s="5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 spans="1:50" ht="12.75">
      <c r="A806" s="5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 spans="1:50" ht="12.75">
      <c r="A807" s="5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 spans="1:50" ht="12.75">
      <c r="A808" s="5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 spans="1:50" ht="12.75">
      <c r="A809" s="5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 spans="1:50" ht="12.75">
      <c r="A810" s="5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 spans="1:50" ht="12.75">
      <c r="A811" s="5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 spans="1:50" ht="12.75">
      <c r="A812" s="5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 spans="1:50" ht="12.75">
      <c r="A813" s="5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 spans="1:50" ht="12.75">
      <c r="A814" s="5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 spans="1:50" ht="12.75">
      <c r="A815" s="5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 spans="1:50" ht="12.75">
      <c r="A816" s="5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 spans="1:50" ht="12.75">
      <c r="A817" s="5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 spans="1:50" ht="12.75">
      <c r="A818" s="5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 spans="1:50" ht="12.75">
      <c r="A819" s="5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 spans="1:50" ht="12.75">
      <c r="A820" s="5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 spans="1:50" ht="12.75">
      <c r="A821" s="5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 spans="1:50" ht="12.75">
      <c r="A822" s="5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 spans="1:50" ht="12.75">
      <c r="A823" s="5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 spans="1:50" ht="12.75">
      <c r="A824" s="5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 spans="1:50" ht="12.75">
      <c r="A825" s="5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 spans="1:50" ht="12.75">
      <c r="A826" s="5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 spans="1:50" ht="12.75">
      <c r="A827" s="5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 spans="1:50" ht="12.75">
      <c r="A828" s="5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 spans="1:50" ht="12.75">
      <c r="A829" s="5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 spans="1:50" ht="12.75">
      <c r="A830" s="5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 spans="1:50" ht="12.75">
      <c r="A831" s="5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 spans="1:50" ht="12.75">
      <c r="A832" s="5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 spans="1:50" ht="12.75">
      <c r="A833" s="5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 spans="1:50" ht="12.75">
      <c r="A834" s="5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 spans="1:50" ht="12.75">
      <c r="A835" s="5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 spans="1:50" ht="12.75">
      <c r="A836" s="5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 spans="1:50" ht="12.75">
      <c r="A837" s="5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 spans="1:50" ht="12.75">
      <c r="A838" s="5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 spans="1:50" ht="12.75">
      <c r="A839" s="5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 spans="1:50" ht="12.75">
      <c r="A840" s="5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 spans="1:50" ht="12.75">
      <c r="A841" s="5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 spans="1:50" ht="12.75">
      <c r="A842" s="5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 spans="1:50" ht="12.75">
      <c r="A843" s="5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 spans="1:50" ht="12.75">
      <c r="A844" s="5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 spans="1:50" ht="12.75">
      <c r="A845" s="5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 spans="1:50" ht="12.75">
      <c r="A846" s="5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 spans="1:50" ht="12.75">
      <c r="A847" s="5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 spans="1:50" ht="12.75">
      <c r="A848" s="5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 spans="1:50" ht="12.75">
      <c r="A849" s="5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 spans="1:50" ht="12.75">
      <c r="A850" s="5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 spans="1:50" ht="12.75">
      <c r="A851" s="5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 spans="1:50" ht="12.75">
      <c r="A852" s="5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 spans="1:50" ht="12.75">
      <c r="A853" s="5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 spans="1:50" ht="12.75">
      <c r="A854" s="5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 spans="1:50" ht="12.75">
      <c r="A855" s="5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 spans="1:50" ht="12.75">
      <c r="A856" s="5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 spans="1:50" ht="12.75">
      <c r="A857" s="5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 spans="1:50" ht="12.75">
      <c r="A858" s="5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 spans="1:50" ht="12.75">
      <c r="A859" s="5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 spans="1:50" ht="12.75">
      <c r="A860" s="5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 spans="1:50" ht="12.75">
      <c r="A861" s="5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 spans="1:50" ht="12.75">
      <c r="A862" s="5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 spans="1:50" ht="12.75">
      <c r="A863" s="5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 spans="1:50" ht="12.75">
      <c r="A864" s="5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 spans="1:50" ht="12.75">
      <c r="A865" s="5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 spans="1:50" ht="12.75">
      <c r="A866" s="5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 spans="1:50" ht="12.75">
      <c r="A867" s="5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 spans="1:50" ht="12.75">
      <c r="A868" s="5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 spans="1:50" ht="12.75">
      <c r="A869" s="5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 spans="1:50" ht="12.75">
      <c r="A870" s="5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 spans="1:50" ht="12.75">
      <c r="A871" s="5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 spans="1:50" ht="12.75">
      <c r="A872" s="5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 spans="1:50" ht="12.75">
      <c r="A873" s="5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 spans="1:50" ht="12.75">
      <c r="A874" s="5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 spans="1:50" ht="12.75">
      <c r="A875" s="5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 spans="1:50" ht="12.75">
      <c r="A876" s="5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 spans="1:50" ht="12.75">
      <c r="A877" s="5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 spans="1:50" ht="12.75">
      <c r="A878" s="5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 spans="1:50" ht="12.75">
      <c r="A879" s="5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 spans="1:50" ht="12.75">
      <c r="A880" s="5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 spans="1:50" ht="12.75">
      <c r="A881" s="5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 spans="1:50" ht="12.75">
      <c r="A882" s="5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 spans="1:50" ht="12.75">
      <c r="A883" s="5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 spans="1:50" ht="12.75">
      <c r="A884" s="5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 spans="1:50" ht="12.75">
      <c r="A885" s="5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 spans="1:50" ht="12.75">
      <c r="A886" s="5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 spans="1:50" ht="12.75">
      <c r="A887" s="5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 spans="1:50" ht="12.75">
      <c r="A888" s="5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 spans="1:50" ht="12.75">
      <c r="A889" s="5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 spans="1:50" ht="12.75">
      <c r="A890" s="5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 spans="1:50" ht="12.75">
      <c r="A891" s="5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 spans="1:50" ht="12.75">
      <c r="A892" s="5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 spans="1:50" ht="12.75">
      <c r="A893" s="5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 spans="1:50" ht="12.75">
      <c r="A894" s="5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 spans="1:50" ht="12.75">
      <c r="A895" s="5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 spans="1:50" ht="12.75">
      <c r="A896" s="5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 spans="1:50" ht="12.75">
      <c r="A897" s="5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 spans="1:50" ht="12.75">
      <c r="A898" s="5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 spans="1:50" ht="12.75">
      <c r="A899" s="5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 spans="1:50" ht="12.75">
      <c r="A900" s="5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 spans="1:50" ht="12.75">
      <c r="A901" s="5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 spans="1:50" ht="12.75">
      <c r="A902" s="5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 spans="1:50" ht="12.75">
      <c r="A903" s="5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 spans="1:50" ht="12.75">
      <c r="A904" s="5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 spans="1:50" ht="12.75">
      <c r="A905" s="5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 spans="1:50" ht="12.75">
      <c r="A906" s="5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 spans="1:50" ht="12.75">
      <c r="A907" s="5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 spans="1:50" ht="12.75">
      <c r="A908" s="5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 spans="1:50" ht="12.75">
      <c r="A909" s="5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 spans="1:50" ht="12.75">
      <c r="A910" s="5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 spans="1:50" ht="12.75">
      <c r="A911" s="5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 spans="1:50" ht="12.75">
      <c r="A912" s="5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 spans="1:50" ht="12.75">
      <c r="A913" s="5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 spans="1:50" ht="12.75">
      <c r="A914" s="5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 spans="1:50" ht="12.75">
      <c r="A915" s="5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 spans="1:50" ht="12.75">
      <c r="A916" s="5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 spans="1:50" ht="12.75">
      <c r="A917" s="5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 spans="1:50" ht="12.75">
      <c r="A918" s="5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 spans="1:50" ht="12.75">
      <c r="A919" s="5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 spans="1:50" ht="12.75">
      <c r="A920" s="5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 spans="1:50" ht="12.75">
      <c r="A921" s="5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 spans="1:50" ht="12.75">
      <c r="A922" s="5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 spans="1:50" ht="12.75">
      <c r="A923" s="5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 spans="1:50" ht="12.75">
      <c r="A924" s="5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 spans="1:50" ht="12.75">
      <c r="A925" s="5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 spans="1:50" ht="12.75">
      <c r="A926" s="5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 spans="1:50" ht="12.75">
      <c r="A927" s="5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 spans="1:50" ht="12.75">
      <c r="A928" s="5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 spans="1:50" ht="12.75">
      <c r="A929" s="5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 spans="1:50" ht="12.75">
      <c r="A930" s="5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 spans="1:50" ht="12.75">
      <c r="A931" s="5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 spans="1:50" ht="12.75">
      <c r="A932" s="5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 spans="1:50" ht="12.75">
      <c r="A933" s="5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 spans="1:50" ht="12.75">
      <c r="A934" s="5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 spans="1:50" ht="12.75">
      <c r="A935" s="5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 spans="1:50" ht="12.75">
      <c r="A936" s="5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 spans="1:50" ht="12.75">
      <c r="A937" s="5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 spans="1:50" ht="12.75">
      <c r="A938" s="5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 spans="1:50" ht="12.75">
      <c r="A939" s="5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 spans="1:50" ht="12.75">
      <c r="A940" s="5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 spans="1:50" ht="12.75">
      <c r="A941" s="5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 spans="1:50" ht="12.75">
      <c r="A942" s="5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 spans="1:50" ht="12.75">
      <c r="A943" s="5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 spans="1:50" ht="12.75">
      <c r="A944" s="5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 spans="1:50" ht="12.75">
      <c r="A945" s="5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 spans="1:50" ht="12.75">
      <c r="A946" s="5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 spans="1:50" ht="12.75">
      <c r="A947" s="5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 spans="1:50" ht="12.75">
      <c r="A948" s="5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 spans="1:50" ht="12.75">
      <c r="A949" s="5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 spans="1:50" ht="12.75">
      <c r="A950" s="5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 spans="1:50" ht="12.75">
      <c r="A951" s="5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 spans="1:50" ht="12.75">
      <c r="A952" s="5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 spans="1:50" ht="12.75">
      <c r="A953" s="5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 spans="1:50" ht="12.75">
      <c r="A954" s="5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 spans="1:50" ht="12.75">
      <c r="A955" s="5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 spans="1:50" ht="12.75">
      <c r="A956" s="5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 spans="1:50" ht="12.75">
      <c r="A957" s="5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 spans="1:50" ht="12.75">
      <c r="A958" s="5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 spans="1:50" ht="12.75">
      <c r="A959" s="5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 spans="1:50" ht="12.75">
      <c r="A960" s="5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 spans="1:50" ht="12.75">
      <c r="A961" s="5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 spans="1:50" ht="12.75">
      <c r="A962" s="5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 spans="1:50" ht="12.75">
      <c r="A963" s="5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 spans="1:50" ht="12.75">
      <c r="A964" s="5"/>
      <c r="B964" s="5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 spans="1:50" ht="12.75">
      <c r="A965" s="5"/>
      <c r="B965" s="5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 spans="1:50" ht="12.75">
      <c r="A966" s="5"/>
      <c r="B966" s="5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 spans="1:50" ht="12.75">
      <c r="A967" s="5"/>
      <c r="B967" s="5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 spans="1:50" ht="12.75">
      <c r="A968" s="5"/>
      <c r="B968" s="5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 spans="1:50" ht="12.75">
      <c r="A969" s="5"/>
      <c r="B969" s="5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 spans="1:50" ht="12.75">
      <c r="A970" s="5"/>
      <c r="B970" s="5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 spans="1:50" ht="12.75">
      <c r="A971" s="5"/>
      <c r="B971" s="5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 spans="1:50" ht="12.75">
      <c r="A972" s="5"/>
      <c r="B972" s="5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 spans="1:50" ht="12.75">
      <c r="A973" s="5"/>
      <c r="B973" s="5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 spans="1:50" ht="12.75">
      <c r="A974" s="5"/>
      <c r="B974" s="5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 spans="1:50" ht="12.75">
      <c r="A975" s="5"/>
      <c r="B975" s="5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 spans="1:50" ht="12.75">
      <c r="A976" s="5"/>
      <c r="B976" s="5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 spans="1:50" ht="12.75">
      <c r="A977" s="5"/>
      <c r="B977" s="5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 spans="1:50" ht="12.75">
      <c r="A978" s="5"/>
      <c r="B978" s="5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 spans="1:50" ht="12.75">
      <c r="A979" s="5"/>
      <c r="B979" s="5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 spans="1:50" ht="12.75">
      <c r="A980" s="5"/>
      <c r="B980" s="5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 spans="1:50" ht="12.75">
      <c r="A981" s="5"/>
      <c r="B981" s="5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 spans="1:50" ht="12.75">
      <c r="A982" s="5"/>
      <c r="B982" s="5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 spans="1:50" ht="12.75">
      <c r="A983" s="5"/>
      <c r="B983" s="5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 spans="1:50" ht="12.75">
      <c r="A984" s="5"/>
      <c r="B984" s="5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 spans="1:50" ht="12.75">
      <c r="A985" s="5"/>
      <c r="B985" s="5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 spans="1:50" ht="12.75">
      <c r="A986" s="5"/>
      <c r="B986" s="5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 spans="1:50" ht="12.75">
      <c r="A987" s="5"/>
      <c r="B987" s="5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 spans="1:50" ht="12.75">
      <c r="A988" s="5"/>
      <c r="B988" s="5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 spans="1:50" ht="12.75">
      <c r="A989" s="5"/>
      <c r="B989" s="5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 spans="1:50" ht="12.75">
      <c r="A990" s="5"/>
      <c r="B990" s="5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 spans="1:50" ht="12.75">
      <c r="A991" s="5"/>
      <c r="B991" s="5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 spans="1:50" ht="12.75">
      <c r="A992" s="5"/>
      <c r="B992" s="5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 spans="1:50" ht="12.75">
      <c r="A993" s="5"/>
      <c r="B993" s="5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 spans="1:50" ht="12.75">
      <c r="A994" s="5"/>
      <c r="B994" s="5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 spans="1:50" ht="12.75">
      <c r="A995" s="5"/>
      <c r="B995" s="5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 spans="1:50" ht="12.75">
      <c r="A996" s="5"/>
      <c r="B996" s="5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 spans="1:50" ht="12.75">
      <c r="A997" s="5"/>
      <c r="B997" s="5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 spans="1:50" ht="12.75">
      <c r="A998" s="5"/>
      <c r="B998" s="5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 spans="1:50" ht="12.75">
      <c r="A999" s="5"/>
      <c r="B999" s="5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 spans="1:50" ht="12.75">
      <c r="A1000" s="5"/>
      <c r="B1000" s="5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  <row r="1001" spans="1:50" ht="12.75">
      <c r="A1001" s="5"/>
      <c r="B1001" s="5"/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</row>
    <row r="1002" spans="1:50" ht="12.75">
      <c r="A1002" s="5"/>
      <c r="B1002" s="5"/>
      <c r="C1002" s="7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</row>
    <row r="1003" spans="1:50" ht="12.75">
      <c r="A1003" s="5"/>
      <c r="B1003" s="5"/>
      <c r="C1003" s="7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</row>
  </sheetData>
  <mergeCells count="16">
    <mergeCell ref="AK4:AM4"/>
    <mergeCell ref="AO4:AQ4"/>
    <mergeCell ref="AR4:AT4"/>
    <mergeCell ref="AO2:AW2"/>
    <mergeCell ref="D4:F4"/>
    <mergeCell ref="G4:I4"/>
    <mergeCell ref="J4:L4"/>
    <mergeCell ref="M4:O4"/>
    <mergeCell ref="P4:R4"/>
    <mergeCell ref="S4:U4"/>
    <mergeCell ref="AU4:AW4"/>
    <mergeCell ref="V4:X4"/>
    <mergeCell ref="Y4:AA4"/>
    <mergeCell ref="AB4:AD4"/>
    <mergeCell ref="AE4:AG4"/>
    <mergeCell ref="AH4:AJ4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2.5703125" defaultRowHeight="15.75" customHeight="1"/>
  <cols>
    <col min="1" max="2" width="2.7109375" customWidth="1"/>
    <col min="3" max="3" width="48.42578125" customWidth="1"/>
    <col min="4" max="4" width="9.28515625" customWidth="1"/>
    <col min="5" max="5" width="10.28515625" customWidth="1"/>
    <col min="6" max="10" width="9.28515625" customWidth="1"/>
    <col min="11" max="13" width="10.5703125" customWidth="1"/>
    <col min="14" max="14" width="10.7109375" customWidth="1"/>
    <col min="15" max="15" width="10.42578125" customWidth="1"/>
    <col min="16" max="16" width="3.42578125" customWidth="1"/>
    <col min="17" max="19" width="10.5703125" customWidth="1"/>
  </cols>
  <sheetData>
    <row r="1" spans="1:26">
      <c r="A1" s="6"/>
      <c r="B1" s="6"/>
      <c r="C1" s="6"/>
      <c r="D1" s="6"/>
      <c r="E1" s="9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15"/>
      <c r="V1" s="6"/>
      <c r="W1" s="6"/>
      <c r="X1" s="6"/>
      <c r="Y1" s="6"/>
      <c r="Z1" s="6"/>
    </row>
    <row r="2" spans="1:26">
      <c r="A2" s="6"/>
      <c r="B2" s="6"/>
      <c r="C2" s="6"/>
      <c r="D2" s="6"/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5"/>
      <c r="V2" s="6"/>
      <c r="W2" s="6"/>
      <c r="X2" s="6"/>
      <c r="Y2" s="6"/>
      <c r="Z2" s="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5"/>
      <c r="V3" s="6"/>
      <c r="W3" s="6"/>
      <c r="X3" s="6"/>
      <c r="Y3" s="6"/>
      <c r="Z3" s="6"/>
    </row>
    <row r="4" spans="1:26">
      <c r="A4" s="6"/>
      <c r="B4" s="6"/>
      <c r="C4" s="17" t="s">
        <v>12</v>
      </c>
      <c r="D4" s="19" t="s">
        <v>1</v>
      </c>
      <c r="E4" s="19" t="s">
        <v>2</v>
      </c>
      <c r="F4" s="19" t="s">
        <v>3</v>
      </c>
      <c r="G4" s="19" t="s">
        <v>4</v>
      </c>
      <c r="H4" s="19" t="s">
        <v>5</v>
      </c>
      <c r="I4" s="19" t="s">
        <v>6</v>
      </c>
      <c r="J4" s="19" t="s">
        <v>7</v>
      </c>
      <c r="K4" s="19" t="s">
        <v>8</v>
      </c>
      <c r="L4" s="19" t="s">
        <v>9</v>
      </c>
      <c r="M4" s="19" t="s">
        <v>10</v>
      </c>
      <c r="N4" s="19" t="s">
        <v>11</v>
      </c>
      <c r="O4" s="19" t="s">
        <v>13</v>
      </c>
      <c r="P4" s="20"/>
      <c r="Q4" s="19" t="s">
        <v>14</v>
      </c>
      <c r="R4" s="19" t="s">
        <v>15</v>
      </c>
      <c r="S4" s="21">
        <v>2025</v>
      </c>
      <c r="T4" s="6"/>
      <c r="U4" s="15"/>
      <c r="V4" s="6"/>
      <c r="W4" s="6"/>
      <c r="X4" s="6"/>
      <c r="Y4" s="6"/>
      <c r="Z4" s="6"/>
    </row>
    <row r="5" spans="1:26">
      <c r="A5" s="6"/>
      <c r="B5" s="6"/>
      <c r="C5" s="23" t="s">
        <v>16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7"/>
      <c r="Q5" s="29"/>
      <c r="R5" s="29"/>
      <c r="S5" s="29"/>
      <c r="T5" s="6"/>
      <c r="U5" s="15"/>
      <c r="V5" s="6"/>
      <c r="W5" s="6"/>
      <c r="X5" s="6"/>
      <c r="Y5" s="6"/>
      <c r="Z5" s="6"/>
    </row>
    <row r="6" spans="1:26">
      <c r="A6" s="6"/>
      <c r="B6" s="6"/>
      <c r="C6" s="13" t="s">
        <v>17</v>
      </c>
      <c r="D6" s="31">
        <v>257644.73</v>
      </c>
      <c r="E6" s="31">
        <v>219780.85</v>
      </c>
      <c r="F6" s="31">
        <v>288339.24</v>
      </c>
      <c r="G6" s="31">
        <v>223778.48</v>
      </c>
      <c r="H6" s="31">
        <v>255032.26</v>
      </c>
      <c r="I6" s="31">
        <v>226291.40999999997</v>
      </c>
      <c r="J6" s="31">
        <v>271447.51999999996</v>
      </c>
      <c r="K6" s="31">
        <v>324157.81</v>
      </c>
      <c r="L6" s="31">
        <v>314586.98000000004</v>
      </c>
      <c r="M6" s="31">
        <v>309674.66899999999</v>
      </c>
      <c r="N6" s="31">
        <v>352613.14</v>
      </c>
      <c r="O6" s="31">
        <v>263895.42</v>
      </c>
      <c r="P6" s="31"/>
      <c r="Q6" s="31">
        <v>1470866.97</v>
      </c>
      <c r="R6" s="31">
        <v>1836375.5389999999</v>
      </c>
      <c r="S6" s="32">
        <v>3307242.5089999996</v>
      </c>
      <c r="T6" s="6"/>
      <c r="U6" s="15"/>
      <c r="V6" s="6"/>
      <c r="W6" s="6"/>
      <c r="X6" s="6"/>
      <c r="Y6" s="6"/>
      <c r="Z6" s="6"/>
    </row>
    <row r="7" spans="1:26">
      <c r="A7" s="6"/>
      <c r="B7" s="6"/>
      <c r="C7" s="26" t="s">
        <v>19</v>
      </c>
      <c r="D7" s="34">
        <v>131377.79</v>
      </c>
      <c r="E7" s="34">
        <v>87061.41</v>
      </c>
      <c r="F7" s="34">
        <v>113490.05</v>
      </c>
      <c r="G7" s="34">
        <v>78522.63</v>
      </c>
      <c r="H7" s="34">
        <v>95642.86</v>
      </c>
      <c r="I7" s="34">
        <v>71881.67</v>
      </c>
      <c r="J7" s="34">
        <v>91636.94</v>
      </c>
      <c r="K7" s="34">
        <v>123553.33</v>
      </c>
      <c r="L7" s="34">
        <v>134608</v>
      </c>
      <c r="M7" s="34">
        <v>130109.75</v>
      </c>
      <c r="N7" s="34">
        <v>169692.36000000002</v>
      </c>
      <c r="O7" s="34">
        <v>116485.85</v>
      </c>
      <c r="P7" s="35"/>
      <c r="Q7" s="36">
        <v>577976.41</v>
      </c>
      <c r="R7" s="36">
        <v>766086.23</v>
      </c>
      <c r="S7" s="37">
        <v>1344062.6400000001</v>
      </c>
      <c r="T7" s="38"/>
      <c r="U7" s="15"/>
      <c r="V7" s="6"/>
      <c r="W7" s="39"/>
      <c r="X7" s="6"/>
      <c r="Y7" s="6"/>
      <c r="Z7" s="6"/>
    </row>
    <row r="8" spans="1:26">
      <c r="A8" s="6"/>
      <c r="B8" s="6"/>
      <c r="C8" s="26" t="s">
        <v>20</v>
      </c>
      <c r="D8" s="34">
        <v>69705.850000000006</v>
      </c>
      <c r="E8" s="34">
        <v>48494.43</v>
      </c>
      <c r="F8" s="34">
        <v>53739.33</v>
      </c>
      <c r="G8" s="34">
        <v>37871.14</v>
      </c>
      <c r="H8" s="34">
        <v>21751.03</v>
      </c>
      <c r="I8" s="34">
        <v>34662.58</v>
      </c>
      <c r="J8" s="34">
        <v>42340.469999999994</v>
      </c>
      <c r="K8" s="34">
        <v>58609.19</v>
      </c>
      <c r="L8" s="34">
        <v>74437.94</v>
      </c>
      <c r="M8" s="34">
        <v>80899.8</v>
      </c>
      <c r="N8" s="34">
        <v>94238.71</v>
      </c>
      <c r="O8" s="34">
        <v>61252.6</v>
      </c>
      <c r="P8" s="35"/>
      <c r="Q8" s="36">
        <v>266224.36</v>
      </c>
      <c r="R8" s="36">
        <v>411778.71</v>
      </c>
      <c r="S8" s="37">
        <v>678003.07000000007</v>
      </c>
      <c r="T8" s="38"/>
      <c r="U8" s="40"/>
      <c r="V8" s="40"/>
      <c r="W8" s="41"/>
      <c r="X8" s="6"/>
      <c r="Y8" s="6"/>
      <c r="Z8" s="6"/>
    </row>
    <row r="9" spans="1:26">
      <c r="A9" s="6"/>
      <c r="B9" s="6"/>
      <c r="C9" s="26" t="s">
        <v>21</v>
      </c>
      <c r="D9" s="34">
        <v>45448.87</v>
      </c>
      <c r="E9" s="34">
        <v>63292.47</v>
      </c>
      <c r="F9" s="34">
        <v>85649.05</v>
      </c>
      <c r="G9" s="34">
        <v>81646.95</v>
      </c>
      <c r="H9" s="34">
        <v>104342.39</v>
      </c>
      <c r="I9" s="34">
        <v>86198.67</v>
      </c>
      <c r="J9" s="34">
        <v>91538.69</v>
      </c>
      <c r="K9" s="34">
        <v>98591.52</v>
      </c>
      <c r="L9" s="34">
        <v>81716.460000000006</v>
      </c>
      <c r="M9" s="34">
        <v>76187.97</v>
      </c>
      <c r="N9" s="34">
        <v>71594.13</v>
      </c>
      <c r="O9" s="34">
        <v>65663.86</v>
      </c>
      <c r="P9" s="35"/>
      <c r="Q9" s="36">
        <v>466578.4</v>
      </c>
      <c r="R9" s="36">
        <v>485292.63</v>
      </c>
      <c r="S9" s="37">
        <v>951871.03</v>
      </c>
      <c r="T9" s="38"/>
      <c r="U9" s="15"/>
      <c r="V9" s="40"/>
      <c r="W9" s="41"/>
      <c r="X9" s="6"/>
      <c r="Y9" s="6"/>
      <c r="Z9" s="6"/>
    </row>
    <row r="10" spans="1:26">
      <c r="A10" s="6"/>
      <c r="B10" s="6"/>
      <c r="C10" s="26" t="s">
        <v>22</v>
      </c>
      <c r="D10" s="34">
        <v>9175.99</v>
      </c>
      <c r="E10" s="34">
        <v>16811.02</v>
      </c>
      <c r="F10" s="34">
        <v>27315.69</v>
      </c>
      <c r="G10" s="34">
        <v>18975.330000000002</v>
      </c>
      <c r="H10" s="34">
        <v>21751.03</v>
      </c>
      <c r="I10" s="34">
        <v>20945.060000000001</v>
      </c>
      <c r="J10" s="34">
        <v>35689.519999999997</v>
      </c>
      <c r="K10" s="34">
        <v>30780.42</v>
      </c>
      <c r="L10" s="34">
        <v>16546.39</v>
      </c>
      <c r="M10" s="34">
        <v>15904.31</v>
      </c>
      <c r="N10" s="34">
        <v>12032.45</v>
      </c>
      <c r="O10" s="34">
        <v>13171.07</v>
      </c>
      <c r="P10" s="35"/>
      <c r="Q10" s="36">
        <v>114974.12</v>
      </c>
      <c r="R10" s="36">
        <v>124124.16</v>
      </c>
      <c r="S10" s="37">
        <v>239098.28</v>
      </c>
      <c r="T10" s="38"/>
      <c r="U10" s="40"/>
      <c r="V10" s="40"/>
      <c r="W10" s="6"/>
      <c r="X10" s="6"/>
      <c r="Y10" s="6"/>
      <c r="Z10" s="6"/>
    </row>
    <row r="11" spans="1:26">
      <c r="A11" s="6"/>
      <c r="B11" s="6"/>
      <c r="C11" s="26" t="s">
        <v>23</v>
      </c>
      <c r="D11" s="34">
        <v>343</v>
      </c>
      <c r="E11" s="34">
        <v>1268</v>
      </c>
      <c r="F11" s="34">
        <v>1623</v>
      </c>
      <c r="G11" s="34">
        <v>1528</v>
      </c>
      <c r="H11" s="34">
        <v>2572</v>
      </c>
      <c r="I11" s="34">
        <v>2244</v>
      </c>
      <c r="J11" s="34">
        <v>-1393</v>
      </c>
      <c r="K11" s="34">
        <v>3352</v>
      </c>
      <c r="L11" s="34">
        <v>-431</v>
      </c>
      <c r="M11" s="34">
        <v>1064</v>
      </c>
      <c r="N11" s="34">
        <v>-67</v>
      </c>
      <c r="O11" s="34">
        <v>-36</v>
      </c>
      <c r="P11" s="35"/>
      <c r="Q11" s="36">
        <v>9578</v>
      </c>
      <c r="R11" s="36">
        <v>2489</v>
      </c>
      <c r="S11" s="37">
        <v>12067</v>
      </c>
      <c r="T11" s="38"/>
      <c r="U11" s="15"/>
      <c r="V11" s="44"/>
      <c r="W11" s="15"/>
      <c r="X11" s="6"/>
      <c r="Y11" s="6"/>
      <c r="Z11" s="6"/>
    </row>
    <row r="12" spans="1:26">
      <c r="A12" s="6"/>
      <c r="B12" s="6"/>
      <c r="C12" s="26" t="s">
        <v>24</v>
      </c>
      <c r="D12" s="34">
        <v>1295.07</v>
      </c>
      <c r="E12" s="34">
        <v>1057.6600000000001</v>
      </c>
      <c r="F12" s="34">
        <v>114.73</v>
      </c>
      <c r="G12" s="34">
        <v>626.95000000000005</v>
      </c>
      <c r="H12" s="34">
        <v>791.76</v>
      </c>
      <c r="I12" s="34">
        <v>694.63</v>
      </c>
      <c r="J12" s="34">
        <v>1242.4000000000001</v>
      </c>
      <c r="K12" s="34">
        <v>506.51</v>
      </c>
      <c r="L12" s="34">
        <v>106.98</v>
      </c>
      <c r="M12" s="34">
        <v>753.03899999999999</v>
      </c>
      <c r="N12" s="34">
        <v>1237.32</v>
      </c>
      <c r="O12" s="34">
        <v>2659.8</v>
      </c>
      <c r="P12" s="35"/>
      <c r="Q12" s="36">
        <v>4580.8</v>
      </c>
      <c r="R12" s="36">
        <v>6506.049</v>
      </c>
      <c r="S12" s="37">
        <v>11086.849</v>
      </c>
      <c r="T12" s="38"/>
      <c r="U12" s="15"/>
      <c r="V12" s="6"/>
      <c r="W12" s="6"/>
      <c r="X12" s="6"/>
      <c r="Y12" s="6"/>
      <c r="Z12" s="6"/>
    </row>
    <row r="13" spans="1:26">
      <c r="A13" s="6"/>
      <c r="B13" s="6"/>
      <c r="C13" s="48" t="s">
        <v>28</v>
      </c>
      <c r="D13" s="49">
        <v>298.16000000000003</v>
      </c>
      <c r="E13" s="49">
        <v>1735.47</v>
      </c>
      <c r="F13" s="49">
        <v>5120.45</v>
      </c>
      <c r="G13" s="49">
        <v>4607.4799999999996</v>
      </c>
      <c r="H13" s="49">
        <v>8115.19</v>
      </c>
      <c r="I13" s="49">
        <v>5764.46</v>
      </c>
      <c r="J13" s="49">
        <v>6765.27</v>
      </c>
      <c r="K13" s="49">
        <v>8314.4699999999993</v>
      </c>
      <c r="L13" s="49">
        <v>4984.88</v>
      </c>
      <c r="M13" s="49">
        <v>4600.7</v>
      </c>
      <c r="N13" s="49">
        <v>3885.17</v>
      </c>
      <c r="O13" s="49">
        <v>3713.24</v>
      </c>
      <c r="P13" s="35"/>
      <c r="Q13" s="53">
        <v>25641.21</v>
      </c>
      <c r="R13" s="53">
        <v>32263.729999999996</v>
      </c>
      <c r="S13" s="55">
        <v>57904.939999999995</v>
      </c>
      <c r="T13" s="38"/>
      <c r="U13" s="15"/>
      <c r="V13" s="6"/>
      <c r="W13" s="6"/>
      <c r="X13" s="6"/>
      <c r="Y13" s="6"/>
      <c r="Z13" s="6"/>
    </row>
    <row r="14" spans="1:26">
      <c r="A14" s="6"/>
      <c r="B14" s="6"/>
      <c r="C14" s="26" t="s">
        <v>29</v>
      </c>
      <c r="D14" s="34">
        <v>0</v>
      </c>
      <c r="E14" s="34">
        <v>60.39</v>
      </c>
      <c r="F14" s="34">
        <v>1286.94</v>
      </c>
      <c r="G14" s="34">
        <v>0</v>
      </c>
      <c r="H14" s="34">
        <v>66</v>
      </c>
      <c r="I14" s="34">
        <v>1018.85</v>
      </c>
      <c r="J14" s="34">
        <v>3341.73</v>
      </c>
      <c r="K14" s="34">
        <v>335.37</v>
      </c>
      <c r="L14" s="34">
        <v>787.33</v>
      </c>
      <c r="M14" s="34">
        <v>0</v>
      </c>
      <c r="N14" s="34">
        <v>0</v>
      </c>
      <c r="O14" s="34">
        <v>0</v>
      </c>
      <c r="P14" s="35"/>
      <c r="Q14" s="36">
        <v>2432.1800000000003</v>
      </c>
      <c r="R14" s="36">
        <v>4464.43</v>
      </c>
      <c r="S14" s="37">
        <v>6896.6100000000006</v>
      </c>
      <c r="T14" s="38"/>
      <c r="U14" s="15"/>
      <c r="V14" s="39"/>
      <c r="W14" s="6"/>
      <c r="X14" s="6"/>
      <c r="Y14" s="6"/>
      <c r="Z14" s="6"/>
    </row>
    <row r="15" spans="1:26">
      <c r="A15" s="6"/>
      <c r="B15" s="6"/>
      <c r="C15" s="26" t="s">
        <v>30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144.49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5"/>
      <c r="Q15" s="36">
        <v>144.49</v>
      </c>
      <c r="R15" s="36">
        <v>0</v>
      </c>
      <c r="S15" s="37">
        <v>144.49</v>
      </c>
      <c r="T15" s="38"/>
      <c r="U15" s="15"/>
      <c r="V15" s="6"/>
      <c r="W15" s="6"/>
      <c r="X15" s="6"/>
      <c r="Y15" s="6"/>
      <c r="Z15" s="6"/>
    </row>
    <row r="16" spans="1:26">
      <c r="A16" s="6"/>
      <c r="B16" s="6"/>
      <c r="C16" s="26" t="s">
        <v>31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5"/>
      <c r="Q16" s="36">
        <v>0</v>
      </c>
      <c r="R16" s="36">
        <v>0</v>
      </c>
      <c r="S16" s="37">
        <v>0</v>
      </c>
      <c r="T16" s="38"/>
      <c r="U16" s="15"/>
      <c r="V16" s="6"/>
      <c r="W16" s="6"/>
      <c r="X16" s="6"/>
      <c r="Y16" s="6"/>
      <c r="Z16" s="6"/>
    </row>
    <row r="17" spans="1:26">
      <c r="A17" s="6"/>
      <c r="B17" s="6"/>
      <c r="C17" s="58" t="s">
        <v>32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2737</v>
      </c>
      <c r="J17" s="34">
        <v>285.5</v>
      </c>
      <c r="K17" s="34">
        <v>115</v>
      </c>
      <c r="L17" s="34">
        <v>1830</v>
      </c>
      <c r="M17" s="34">
        <v>155.1</v>
      </c>
      <c r="N17" s="34">
        <v>0</v>
      </c>
      <c r="O17" s="34">
        <v>985</v>
      </c>
      <c r="P17" s="35"/>
      <c r="Q17" s="36">
        <v>2737</v>
      </c>
      <c r="R17" s="36">
        <v>3370.6</v>
      </c>
      <c r="S17" s="37">
        <v>6107.6</v>
      </c>
      <c r="T17" s="38"/>
      <c r="U17" s="15"/>
      <c r="V17" s="6"/>
      <c r="W17" s="6"/>
      <c r="X17" s="6"/>
      <c r="Y17" s="6"/>
      <c r="Z17" s="6"/>
    </row>
    <row r="18" spans="1:26">
      <c r="A18" s="6"/>
      <c r="B18" s="6"/>
      <c r="C18" s="26" t="s">
        <v>33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/>
      <c r="Q18" s="36">
        <v>0</v>
      </c>
      <c r="R18" s="36">
        <v>0</v>
      </c>
      <c r="S18" s="37">
        <v>0</v>
      </c>
      <c r="T18" s="38"/>
      <c r="U18" s="15"/>
      <c r="V18" s="6"/>
      <c r="W18" s="6"/>
      <c r="X18" s="6"/>
      <c r="Y18" s="6"/>
      <c r="Z18" s="6"/>
    </row>
    <row r="19" spans="1:26">
      <c r="A19" s="6"/>
      <c r="B19" s="6"/>
      <c r="C19" s="13" t="s">
        <v>34</v>
      </c>
      <c r="D19" s="31">
        <v>-37630.259999999995</v>
      </c>
      <c r="E19" s="31">
        <v>-19391.84</v>
      </c>
      <c r="F19" s="31">
        <v>-29451.759999999998</v>
      </c>
      <c r="G19" s="31">
        <v>-25783.899999999998</v>
      </c>
      <c r="H19" s="31">
        <v>-31472.79</v>
      </c>
      <c r="I19" s="31">
        <v>-28355.27</v>
      </c>
      <c r="J19" s="31">
        <v>-37782.199999999997</v>
      </c>
      <c r="K19" s="31">
        <v>-16140.17</v>
      </c>
      <c r="L19" s="31">
        <v>-50846</v>
      </c>
      <c r="M19" s="31">
        <v>-40334.559999999998</v>
      </c>
      <c r="N19" s="31">
        <v>-29583.94</v>
      </c>
      <c r="O19" s="31">
        <v>-42696.66</v>
      </c>
      <c r="P19" s="35"/>
      <c r="Q19" s="31">
        <v>-172085.81999999998</v>
      </c>
      <c r="R19" s="31">
        <v>-217383.53</v>
      </c>
      <c r="S19" s="32">
        <v>-389469.35</v>
      </c>
      <c r="T19" s="38"/>
      <c r="U19" s="15"/>
      <c r="V19" s="6"/>
      <c r="W19" s="6"/>
      <c r="X19" s="6"/>
      <c r="Y19" s="6"/>
      <c r="Z19" s="6"/>
    </row>
    <row r="20" spans="1:26">
      <c r="A20" s="6"/>
      <c r="B20" s="6"/>
      <c r="C20" s="61" t="s">
        <v>35</v>
      </c>
      <c r="D20" s="34">
        <v>-13966.21</v>
      </c>
      <c r="E20" s="34">
        <v>-522.20000000000005</v>
      </c>
      <c r="F20" s="34">
        <v>-2046.39</v>
      </c>
      <c r="G20" s="34">
        <v>-6049.39</v>
      </c>
      <c r="H20" s="34">
        <v>-2516.36</v>
      </c>
      <c r="I20" s="34">
        <v>-1638.56</v>
      </c>
      <c r="J20" s="34">
        <v>-5781.17</v>
      </c>
      <c r="K20" s="34">
        <v>-3481</v>
      </c>
      <c r="L20" s="34">
        <v>-6447.74</v>
      </c>
      <c r="M20" s="34">
        <v>-5627.1</v>
      </c>
      <c r="N20" s="34">
        <v>-3096.52</v>
      </c>
      <c r="O20" s="62">
        <v>-1805.01</v>
      </c>
      <c r="P20" s="35"/>
      <c r="Q20" s="36">
        <v>-26739.11</v>
      </c>
      <c r="R20" s="36">
        <v>-26238.54</v>
      </c>
      <c r="S20" s="37">
        <v>-52977.65</v>
      </c>
      <c r="T20" s="38"/>
      <c r="U20" s="15"/>
      <c r="V20" s="6"/>
      <c r="W20" s="6"/>
      <c r="X20" s="6"/>
      <c r="Y20" s="6"/>
      <c r="Z20" s="6"/>
    </row>
    <row r="21" spans="1:26">
      <c r="A21" s="6"/>
      <c r="B21" s="6"/>
      <c r="C21" s="26" t="s">
        <v>36</v>
      </c>
      <c r="D21" s="34">
        <v>0</v>
      </c>
      <c r="E21" s="34">
        <v>0</v>
      </c>
      <c r="F21" s="34">
        <v>0</v>
      </c>
      <c r="G21" s="34">
        <v>0</v>
      </c>
      <c r="H21" s="34">
        <v>-3661.99</v>
      </c>
      <c r="I21" s="34">
        <v>-1975.55</v>
      </c>
      <c r="J21" s="34">
        <v>-840</v>
      </c>
      <c r="K21" s="34">
        <v>0</v>
      </c>
      <c r="L21" s="34">
        <v>-1040</v>
      </c>
      <c r="M21" s="34">
        <v>0</v>
      </c>
      <c r="N21" s="34">
        <v>0</v>
      </c>
      <c r="O21" s="34">
        <v>0</v>
      </c>
      <c r="P21" s="35"/>
      <c r="Q21" s="31">
        <v>-5637.54</v>
      </c>
      <c r="R21" s="36">
        <v>-1880</v>
      </c>
      <c r="S21" s="37">
        <v>-7517.54</v>
      </c>
      <c r="T21" s="38"/>
      <c r="U21" s="15"/>
      <c r="V21" s="6"/>
      <c r="W21" s="6"/>
      <c r="X21" s="6"/>
      <c r="Y21" s="6"/>
      <c r="Z21" s="6"/>
    </row>
    <row r="22" spans="1:26">
      <c r="A22" s="6"/>
      <c r="B22" s="6"/>
      <c r="C22" s="26" t="s">
        <v>37</v>
      </c>
      <c r="D22" s="63">
        <v>-23664.05</v>
      </c>
      <c r="E22" s="63">
        <v>-18869.64</v>
      </c>
      <c r="F22" s="63">
        <v>-27405.37</v>
      </c>
      <c r="G22" s="34">
        <v>-19734.509999999998</v>
      </c>
      <c r="H22" s="63">
        <v>-25294.44</v>
      </c>
      <c r="I22" s="34">
        <v>-24741.16</v>
      </c>
      <c r="J22" s="34">
        <v>-31161.03</v>
      </c>
      <c r="K22" s="34">
        <v>-12659.17</v>
      </c>
      <c r="L22" s="34">
        <v>-43358.26</v>
      </c>
      <c r="M22" s="34">
        <v>-34707.46</v>
      </c>
      <c r="N22" s="63">
        <v>-26487.42</v>
      </c>
      <c r="O22" s="62">
        <v>-40891.65</v>
      </c>
      <c r="P22" s="35"/>
      <c r="Q22" s="31">
        <v>-139709.16999999998</v>
      </c>
      <c r="R22" s="31">
        <v>-189264.98999999996</v>
      </c>
      <c r="S22" s="32">
        <v>-328974.15999999992</v>
      </c>
      <c r="T22" s="64"/>
      <c r="U22" s="15"/>
      <c r="V22" s="6"/>
      <c r="W22" s="6"/>
      <c r="X22" s="6"/>
      <c r="Y22" s="6"/>
      <c r="Z22" s="6"/>
    </row>
    <row r="23" spans="1:26">
      <c r="A23" s="6"/>
      <c r="B23" s="6"/>
      <c r="C23" s="65" t="s">
        <v>38</v>
      </c>
      <c r="D23" s="66">
        <v>220014.47000000003</v>
      </c>
      <c r="E23" s="66">
        <v>200389.01</v>
      </c>
      <c r="F23" s="66">
        <v>258887.47999999998</v>
      </c>
      <c r="G23" s="66">
        <v>197994.58000000002</v>
      </c>
      <c r="H23" s="66">
        <v>223559.47</v>
      </c>
      <c r="I23" s="66">
        <v>197936.13999999998</v>
      </c>
      <c r="J23" s="66">
        <v>233665.31999999995</v>
      </c>
      <c r="K23" s="66">
        <v>308017.64</v>
      </c>
      <c r="L23" s="66">
        <v>263740.98000000004</v>
      </c>
      <c r="M23" s="66">
        <v>269340.109</v>
      </c>
      <c r="N23" s="66">
        <v>323029.2</v>
      </c>
      <c r="O23" s="66">
        <v>221198.75999999998</v>
      </c>
      <c r="P23" s="35"/>
      <c r="Q23" s="66">
        <v>1298781.1499999999</v>
      </c>
      <c r="R23" s="66">
        <v>1618992.0089999998</v>
      </c>
      <c r="S23" s="68">
        <v>2917773.159</v>
      </c>
      <c r="T23" s="64"/>
      <c r="U23" s="15"/>
      <c r="V23" s="6"/>
      <c r="W23" s="6"/>
      <c r="X23" s="6"/>
      <c r="Y23" s="6"/>
      <c r="Z23" s="6"/>
    </row>
    <row r="24" spans="1:26">
      <c r="A24" s="6"/>
      <c r="B24" s="6"/>
      <c r="C24" s="69" t="s">
        <v>39</v>
      </c>
      <c r="D24" s="31">
        <v>-68740.47</v>
      </c>
      <c r="E24" s="31">
        <v>-55202</v>
      </c>
      <c r="F24" s="31">
        <v>-74337.040000000008</v>
      </c>
      <c r="G24" s="31">
        <v>-57865.16</v>
      </c>
      <c r="H24" s="31">
        <v>-74027.25</v>
      </c>
      <c r="I24" s="31">
        <v>-56563.13</v>
      </c>
      <c r="J24" s="31">
        <v>-74085.88</v>
      </c>
      <c r="K24" s="31">
        <v>-90291.15</v>
      </c>
      <c r="L24" s="31">
        <v>-82253.86</v>
      </c>
      <c r="M24" s="31">
        <v>-78770.61</v>
      </c>
      <c r="N24" s="31">
        <v>-90434.790000000008</v>
      </c>
      <c r="O24" s="31">
        <v>-55232.06</v>
      </c>
      <c r="P24" s="35"/>
      <c r="Q24" s="31">
        <v>-386735.05000000005</v>
      </c>
      <c r="R24" s="31">
        <v>-471068.35000000003</v>
      </c>
      <c r="S24" s="32">
        <v>-857803.40000000014</v>
      </c>
      <c r="T24" s="70"/>
      <c r="U24" s="15"/>
      <c r="V24" s="6"/>
      <c r="W24" s="6"/>
      <c r="X24" s="6"/>
      <c r="Y24" s="6"/>
      <c r="Z24" s="6"/>
    </row>
    <row r="25" spans="1:26">
      <c r="A25" s="6"/>
      <c r="B25" s="6"/>
      <c r="C25" s="26" t="s">
        <v>40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-3795</v>
      </c>
      <c r="K25" s="71">
        <v>-3795</v>
      </c>
      <c r="L25" s="34">
        <v>-273.24</v>
      </c>
      <c r="M25" s="34">
        <v>0</v>
      </c>
      <c r="N25" s="34">
        <v>0</v>
      </c>
      <c r="O25" s="34">
        <v>0</v>
      </c>
      <c r="P25" s="35"/>
      <c r="Q25" s="35">
        <v>0</v>
      </c>
      <c r="R25" s="35">
        <v>-7863.24</v>
      </c>
      <c r="S25" s="37">
        <v>-7863.24</v>
      </c>
      <c r="T25" s="64"/>
      <c r="U25" s="15"/>
      <c r="V25" s="6"/>
      <c r="W25" s="6"/>
      <c r="X25" s="6"/>
      <c r="Y25" s="6"/>
      <c r="Z25" s="6"/>
    </row>
    <row r="26" spans="1:26">
      <c r="A26" s="6"/>
      <c r="B26" s="6"/>
      <c r="C26" s="26" t="s">
        <v>41</v>
      </c>
      <c r="D26" s="34">
        <v>-49519.880000000005</v>
      </c>
      <c r="E26" s="34">
        <v>-38470.019999999997</v>
      </c>
      <c r="F26" s="34">
        <v>-50006.04</v>
      </c>
      <c r="G26" s="34">
        <v>-36360.160000000003</v>
      </c>
      <c r="H26" s="34">
        <v>-47408.25</v>
      </c>
      <c r="I26" s="34">
        <v>-35367.129999999997</v>
      </c>
      <c r="J26" s="34">
        <v>-46350.879999999997</v>
      </c>
      <c r="K26" s="37">
        <v>-59134.94</v>
      </c>
      <c r="L26" s="71">
        <v>-55526.26</v>
      </c>
      <c r="M26" s="71">
        <v>-49848.78</v>
      </c>
      <c r="N26" s="71">
        <v>-59836.79</v>
      </c>
      <c r="O26" s="62">
        <v>-40815.06</v>
      </c>
      <c r="P26" s="35"/>
      <c r="Q26" s="36">
        <v>-257131.48</v>
      </c>
      <c r="R26" s="36">
        <v>-311512.71000000002</v>
      </c>
      <c r="S26" s="37">
        <v>-568644.19000000006</v>
      </c>
      <c r="T26" s="64"/>
      <c r="U26" s="15"/>
      <c r="V26" s="73"/>
      <c r="W26" s="73"/>
      <c r="X26" s="73"/>
      <c r="Y26" s="6"/>
      <c r="Z26" s="6"/>
    </row>
    <row r="27" spans="1:26">
      <c r="A27" s="6"/>
      <c r="B27" s="6"/>
      <c r="C27" s="26" t="s">
        <v>42</v>
      </c>
      <c r="D27" s="34">
        <v>-900</v>
      </c>
      <c r="E27" s="34">
        <v>-1200</v>
      </c>
      <c r="F27" s="34">
        <v>-1350</v>
      </c>
      <c r="G27" s="34">
        <v>-2575</v>
      </c>
      <c r="H27" s="34">
        <v>-2800</v>
      </c>
      <c r="I27" s="34">
        <v>-2175</v>
      </c>
      <c r="J27" s="34">
        <v>-2175</v>
      </c>
      <c r="K27" s="71">
        <v>-2500</v>
      </c>
      <c r="L27" s="71">
        <v>-3100</v>
      </c>
      <c r="M27" s="71">
        <v>-2900</v>
      </c>
      <c r="N27" s="71">
        <v>-2100</v>
      </c>
      <c r="O27" s="62">
        <v>-2550</v>
      </c>
      <c r="P27" s="35"/>
      <c r="Q27" s="36">
        <v>-11000</v>
      </c>
      <c r="R27" s="36">
        <v>-15325</v>
      </c>
      <c r="S27" s="37">
        <v>-26325</v>
      </c>
      <c r="T27" s="64"/>
      <c r="U27" s="15"/>
      <c r="V27" s="6"/>
      <c r="W27" s="6"/>
      <c r="X27" s="6"/>
      <c r="Y27" s="6"/>
      <c r="Z27" s="6"/>
    </row>
    <row r="28" spans="1:26">
      <c r="A28" s="6"/>
      <c r="B28" s="6"/>
      <c r="C28" s="26" t="s">
        <v>43</v>
      </c>
      <c r="D28" s="63">
        <v>-18320.59</v>
      </c>
      <c r="E28" s="34">
        <v>-15531.98</v>
      </c>
      <c r="F28" s="34">
        <v>-22981</v>
      </c>
      <c r="G28" s="34">
        <v>-18930</v>
      </c>
      <c r="H28" s="34">
        <v>-23819</v>
      </c>
      <c r="I28" s="34">
        <v>-19021</v>
      </c>
      <c r="J28" s="34">
        <v>-21765</v>
      </c>
      <c r="K28" s="71">
        <v>-24861.21</v>
      </c>
      <c r="L28" s="75">
        <v>-23354.36</v>
      </c>
      <c r="M28" s="71">
        <v>-26021.83</v>
      </c>
      <c r="N28" s="71">
        <v>-28498</v>
      </c>
      <c r="O28" s="62">
        <v>-11867</v>
      </c>
      <c r="P28" s="35"/>
      <c r="Q28" s="36">
        <v>-118603.57</v>
      </c>
      <c r="R28" s="36">
        <v>-136367.40000000002</v>
      </c>
      <c r="S28" s="37">
        <v>-254970.97000000003</v>
      </c>
      <c r="T28" s="64"/>
      <c r="U28" s="15"/>
      <c r="V28" s="6"/>
      <c r="W28" s="6"/>
      <c r="X28" s="6"/>
      <c r="Y28" s="6"/>
      <c r="Z28" s="6"/>
    </row>
    <row r="29" spans="1:26">
      <c r="A29" s="6"/>
      <c r="B29" s="6"/>
      <c r="C29" s="26" t="s">
        <v>44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5"/>
      <c r="Q29" s="36">
        <v>0</v>
      </c>
      <c r="R29" s="36">
        <v>0</v>
      </c>
      <c r="S29" s="37">
        <v>0</v>
      </c>
      <c r="T29" s="64"/>
      <c r="U29" s="15"/>
      <c r="V29" s="6"/>
      <c r="W29" s="6"/>
      <c r="X29" s="6"/>
      <c r="Y29" s="6"/>
      <c r="Z29" s="6"/>
    </row>
    <row r="30" spans="1:26">
      <c r="A30" s="6"/>
      <c r="B30" s="76"/>
      <c r="C30" s="65" t="s">
        <v>45</v>
      </c>
      <c r="D30" s="66">
        <v>151274.00000000003</v>
      </c>
      <c r="E30" s="66">
        <v>145187.01</v>
      </c>
      <c r="F30" s="66">
        <v>184550.43999999997</v>
      </c>
      <c r="G30" s="66">
        <v>140129.42000000001</v>
      </c>
      <c r="H30" s="66">
        <v>149532.22</v>
      </c>
      <c r="I30" s="66">
        <v>141373.00999999998</v>
      </c>
      <c r="J30" s="66">
        <v>159579.43999999994</v>
      </c>
      <c r="K30" s="66">
        <v>217726.49000000002</v>
      </c>
      <c r="L30" s="66">
        <v>181487.12000000005</v>
      </c>
      <c r="M30" s="66">
        <v>190569.49900000001</v>
      </c>
      <c r="N30" s="66">
        <v>232594.41</v>
      </c>
      <c r="O30" s="66">
        <v>165966.69999999998</v>
      </c>
      <c r="P30" s="35"/>
      <c r="Q30" s="66">
        <v>912046.1</v>
      </c>
      <c r="R30" s="66">
        <v>1147923.6590000002</v>
      </c>
      <c r="S30" s="68">
        <v>2059969.7590000001</v>
      </c>
      <c r="T30" s="64"/>
      <c r="U30" s="15"/>
      <c r="V30" s="6"/>
      <c r="W30" s="6"/>
      <c r="X30" s="6"/>
      <c r="Y30" s="6"/>
      <c r="Z30" s="6"/>
    </row>
    <row r="31" spans="1:26">
      <c r="A31" s="6"/>
      <c r="B31" s="6"/>
      <c r="C31" s="77" t="s">
        <v>46</v>
      </c>
      <c r="D31" s="78">
        <v>-68627.920268400005</v>
      </c>
      <c r="E31" s="78">
        <v>-81569.362518099995</v>
      </c>
      <c r="F31" s="78">
        <v>-79105.793963400007</v>
      </c>
      <c r="G31" s="78">
        <v>-70805.044305100004</v>
      </c>
      <c r="H31" s="78">
        <v>-74217.546690799994</v>
      </c>
      <c r="I31" s="78">
        <v>-75723.685989200007</v>
      </c>
      <c r="J31" s="78">
        <v>-86458.907602199994</v>
      </c>
      <c r="K31" s="78">
        <v>-93032.7382335</v>
      </c>
      <c r="L31" s="78">
        <v>-80868.654974300021</v>
      </c>
      <c r="M31" s="78">
        <v>-88841.028568399983</v>
      </c>
      <c r="N31" s="78">
        <v>-81468.886139699986</v>
      </c>
      <c r="O31" s="78">
        <v>-70346.662936399996</v>
      </c>
      <c r="P31" s="35"/>
      <c r="Q31" s="78">
        <v>-450049.35373500001</v>
      </c>
      <c r="R31" s="78">
        <v>-501016.87845449994</v>
      </c>
      <c r="S31" s="79">
        <v>-951066.23218950001</v>
      </c>
      <c r="T31" s="64"/>
      <c r="U31" s="15"/>
      <c r="V31" s="6"/>
      <c r="W31" s="6"/>
      <c r="X31" s="6"/>
      <c r="Y31" s="6"/>
      <c r="Z31" s="6"/>
    </row>
    <row r="32" spans="1:26">
      <c r="A32" s="6"/>
      <c r="B32" s="6"/>
      <c r="C32" s="13" t="s">
        <v>47</v>
      </c>
      <c r="D32" s="31">
        <v>-32431</v>
      </c>
      <c r="E32" s="31">
        <v>-31383.91</v>
      </c>
      <c r="F32" s="31">
        <v>-32369.940000000002</v>
      </c>
      <c r="G32" s="31">
        <v>-22077.37</v>
      </c>
      <c r="H32" s="31">
        <v>-29636.329999999998</v>
      </c>
      <c r="I32" s="31">
        <v>-30031.86</v>
      </c>
      <c r="J32" s="31">
        <v>-40102.239999999998</v>
      </c>
      <c r="K32" s="31">
        <v>-43138.66</v>
      </c>
      <c r="L32" s="31">
        <v>-34104.380000000005</v>
      </c>
      <c r="M32" s="31">
        <v>-47873.36</v>
      </c>
      <c r="N32" s="31">
        <v>-37381.67</v>
      </c>
      <c r="O32" s="31">
        <v>-31183.240000000005</v>
      </c>
      <c r="P32" s="35"/>
      <c r="Q32" s="31">
        <v>-177930.40999999997</v>
      </c>
      <c r="R32" s="31">
        <v>-233783.55</v>
      </c>
      <c r="S32" s="32">
        <v>-411713.95999999996</v>
      </c>
      <c r="T32" s="64"/>
      <c r="U32" s="15"/>
      <c r="V32" s="6"/>
      <c r="W32" s="6"/>
      <c r="X32" s="6"/>
      <c r="Y32" s="6"/>
      <c r="Z32" s="6"/>
    </row>
    <row r="33" spans="1:26">
      <c r="A33" s="6"/>
      <c r="B33" s="6"/>
      <c r="C33" s="26" t="s">
        <v>48</v>
      </c>
      <c r="D33" s="34">
        <v>-3561.51</v>
      </c>
      <c r="E33" s="34">
        <v>-3898.36</v>
      </c>
      <c r="F33" s="34">
        <v>-4346.76</v>
      </c>
      <c r="G33" s="34">
        <v>-4976.2700000000004</v>
      </c>
      <c r="H33" s="34">
        <v>-2585.14</v>
      </c>
      <c r="I33" s="34">
        <v>-6775.2</v>
      </c>
      <c r="J33" s="34">
        <v>-2947.08</v>
      </c>
      <c r="K33" s="71">
        <v>-5844.21</v>
      </c>
      <c r="L33" s="34">
        <v>-2658</v>
      </c>
      <c r="M33" s="34">
        <v>-3550.25</v>
      </c>
      <c r="N33" s="34">
        <v>-5817.65</v>
      </c>
      <c r="O33" s="34">
        <v>-9637.36</v>
      </c>
      <c r="P33" s="35"/>
      <c r="Q33" s="36">
        <v>-26143.24</v>
      </c>
      <c r="R33" s="36">
        <v>-30454.550000000003</v>
      </c>
      <c r="S33" s="37">
        <v>-56597.790000000008</v>
      </c>
      <c r="T33" s="64"/>
      <c r="U33" s="15"/>
      <c r="V33" s="6"/>
      <c r="W33" s="6"/>
      <c r="X33" s="6"/>
      <c r="Y33" s="6"/>
      <c r="Z33" s="6"/>
    </row>
    <row r="34" spans="1:26">
      <c r="A34" s="6"/>
      <c r="B34" s="6"/>
      <c r="C34" s="26" t="s">
        <v>49</v>
      </c>
      <c r="D34" s="34">
        <v>-8160</v>
      </c>
      <c r="E34" s="34">
        <v>-5180</v>
      </c>
      <c r="F34" s="34">
        <v>-5401</v>
      </c>
      <c r="G34" s="34">
        <v>-6049</v>
      </c>
      <c r="H34" s="34">
        <v>-7299</v>
      </c>
      <c r="I34" s="63">
        <v>-7898</v>
      </c>
      <c r="J34" s="34">
        <v>-15282.12</v>
      </c>
      <c r="K34" s="34">
        <v>-4795.95</v>
      </c>
      <c r="L34" s="34">
        <v>-5995.95</v>
      </c>
      <c r="M34" s="34">
        <v>-18633.39</v>
      </c>
      <c r="N34" s="34">
        <v>-4295.95</v>
      </c>
      <c r="O34" s="34">
        <v>-3500</v>
      </c>
      <c r="P34" s="35"/>
      <c r="Q34" s="36">
        <v>-39987</v>
      </c>
      <c r="R34" s="36">
        <v>-52503.360000000001</v>
      </c>
      <c r="S34" s="37">
        <v>-92490.36</v>
      </c>
      <c r="T34" s="64"/>
      <c r="U34" s="15"/>
      <c r="V34" s="6"/>
      <c r="W34" s="6"/>
      <c r="X34" s="6"/>
      <c r="Y34" s="6"/>
      <c r="Z34" s="6"/>
    </row>
    <row r="35" spans="1:26">
      <c r="A35" s="6"/>
      <c r="B35" s="6"/>
      <c r="C35" s="26" t="s">
        <v>50</v>
      </c>
      <c r="D35" s="34">
        <v>0</v>
      </c>
      <c r="E35" s="34">
        <v>0</v>
      </c>
      <c r="F35" s="34">
        <v>-1146.6300000000001</v>
      </c>
      <c r="G35" s="34">
        <v>0</v>
      </c>
      <c r="H35" s="34">
        <v>-434.66</v>
      </c>
      <c r="I35" s="34">
        <v>0</v>
      </c>
      <c r="J35" s="34">
        <v>0</v>
      </c>
      <c r="K35" s="71">
        <v>0</v>
      </c>
      <c r="L35" s="34">
        <v>-1333.69</v>
      </c>
      <c r="M35" s="34">
        <v>0</v>
      </c>
      <c r="N35" s="34">
        <v>0</v>
      </c>
      <c r="O35" s="34">
        <v>0</v>
      </c>
      <c r="P35" s="35"/>
      <c r="Q35" s="36">
        <v>-1581.2900000000002</v>
      </c>
      <c r="R35" s="36">
        <v>-1333.69</v>
      </c>
      <c r="S35" s="37">
        <v>-2914.9800000000005</v>
      </c>
      <c r="T35" s="64"/>
      <c r="U35" s="15"/>
      <c r="V35" s="6"/>
      <c r="W35" s="6"/>
      <c r="X35" s="6"/>
      <c r="Y35" s="6"/>
      <c r="Z35" s="6"/>
    </row>
    <row r="36" spans="1:26">
      <c r="A36" s="6"/>
      <c r="B36" s="6"/>
      <c r="C36" s="26" t="s">
        <v>51</v>
      </c>
      <c r="D36" s="34">
        <v>-372.7</v>
      </c>
      <c r="E36" s="34">
        <v>-587.25</v>
      </c>
      <c r="F36" s="34">
        <v>-2679.82</v>
      </c>
      <c r="G36" s="34">
        <v>-1964.9</v>
      </c>
      <c r="H36" s="34">
        <v>-3065.96</v>
      </c>
      <c r="I36" s="34">
        <v>-1850.3</v>
      </c>
      <c r="J36" s="34">
        <v>-3071.55</v>
      </c>
      <c r="K36" s="34">
        <v>-5536.26</v>
      </c>
      <c r="L36" s="34">
        <v>-1651.23</v>
      </c>
      <c r="M36" s="34">
        <v>-3060.11</v>
      </c>
      <c r="N36" s="34">
        <v>-1744.68</v>
      </c>
      <c r="O36" s="34">
        <v>-916.35</v>
      </c>
      <c r="P36" s="35"/>
      <c r="Q36" s="36">
        <v>-10520.93</v>
      </c>
      <c r="R36" s="36">
        <v>-15980.180000000002</v>
      </c>
      <c r="S36" s="37">
        <v>-26501.11</v>
      </c>
      <c r="T36" s="64"/>
      <c r="U36" s="15"/>
      <c r="V36" s="6"/>
      <c r="W36" s="6"/>
      <c r="X36" s="6"/>
      <c r="Y36" s="6"/>
      <c r="Z36" s="6"/>
    </row>
    <row r="37" spans="1:26">
      <c r="A37" s="6"/>
      <c r="B37" s="6"/>
      <c r="C37" s="26" t="s">
        <v>52</v>
      </c>
      <c r="D37" s="34">
        <v>-6036.15</v>
      </c>
      <c r="E37" s="34">
        <v>-12472.48</v>
      </c>
      <c r="F37" s="34">
        <v>-10593.19</v>
      </c>
      <c r="G37" s="34">
        <v>-2994.75</v>
      </c>
      <c r="H37" s="34">
        <v>-7954.75</v>
      </c>
      <c r="I37" s="34">
        <v>-6136.28</v>
      </c>
      <c r="J37" s="34">
        <v>-10189.209999999999</v>
      </c>
      <c r="K37" s="34">
        <v>-14760.53</v>
      </c>
      <c r="L37" s="34">
        <v>-9177.1</v>
      </c>
      <c r="M37" s="34">
        <v>-7887.19</v>
      </c>
      <c r="N37" s="34">
        <v>-5475.64</v>
      </c>
      <c r="O37" s="34">
        <v>-4227.41</v>
      </c>
      <c r="P37" s="35"/>
      <c r="Q37" s="36">
        <v>-46187.6</v>
      </c>
      <c r="R37" s="36">
        <v>-51717.08</v>
      </c>
      <c r="S37" s="37">
        <v>-97904.68</v>
      </c>
      <c r="T37" s="64"/>
      <c r="U37" s="15"/>
      <c r="V37" s="6"/>
      <c r="W37" s="6"/>
      <c r="X37" s="6"/>
      <c r="Y37" s="6"/>
      <c r="Z37" s="6"/>
    </row>
    <row r="38" spans="1:26">
      <c r="A38" s="6"/>
      <c r="B38" s="6"/>
      <c r="C38" s="26" t="s">
        <v>53</v>
      </c>
      <c r="D38" s="34">
        <v>-14300.64</v>
      </c>
      <c r="E38" s="34">
        <v>-9245.82</v>
      </c>
      <c r="F38" s="34">
        <v>-8202.5400000000009</v>
      </c>
      <c r="G38" s="34">
        <v>-6092.45</v>
      </c>
      <c r="H38" s="34">
        <v>-8296.82</v>
      </c>
      <c r="I38" s="34">
        <v>-7372.08</v>
      </c>
      <c r="J38" s="34">
        <v>-8612.2800000000007</v>
      </c>
      <c r="K38" s="34">
        <v>-12201.71</v>
      </c>
      <c r="L38" s="34">
        <v>-13288.41</v>
      </c>
      <c r="M38" s="34">
        <v>-14742.42</v>
      </c>
      <c r="N38" s="34">
        <v>-20047.75</v>
      </c>
      <c r="O38" s="34">
        <v>-12902.12</v>
      </c>
      <c r="P38" s="35"/>
      <c r="Q38" s="36">
        <v>-53510.35</v>
      </c>
      <c r="R38" s="36">
        <v>-81794.689999999988</v>
      </c>
      <c r="S38" s="37">
        <v>-135305.03999999998</v>
      </c>
      <c r="T38" s="64"/>
      <c r="U38" s="15"/>
      <c r="V38" s="6"/>
      <c r="W38" s="6"/>
      <c r="X38" s="6"/>
      <c r="Y38" s="6"/>
      <c r="Z38" s="6"/>
    </row>
    <row r="39" spans="1:26">
      <c r="A39" s="6"/>
      <c r="B39" s="6"/>
      <c r="C39" s="26" t="s">
        <v>54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5"/>
      <c r="Q39" s="36">
        <v>0</v>
      </c>
      <c r="R39" s="36">
        <v>0</v>
      </c>
      <c r="S39" s="37">
        <v>0</v>
      </c>
      <c r="T39" s="64"/>
      <c r="U39" s="15"/>
      <c r="V39" s="6"/>
      <c r="W39" s="6"/>
      <c r="X39" s="6"/>
      <c r="Y39" s="6"/>
      <c r="Z39" s="6"/>
    </row>
    <row r="40" spans="1:26">
      <c r="A40" s="6"/>
      <c r="B40" s="6"/>
      <c r="C40" s="13" t="s">
        <v>55</v>
      </c>
      <c r="D40" s="31">
        <v>-26984.870268400002</v>
      </c>
      <c r="E40" s="31">
        <v>-25651.892518100005</v>
      </c>
      <c r="F40" s="31">
        <v>-33575.463963400005</v>
      </c>
      <c r="G40" s="31">
        <v>-39630.944305100005</v>
      </c>
      <c r="H40" s="31">
        <v>-35168.346690799997</v>
      </c>
      <c r="I40" s="31">
        <v>-36522.145989199991</v>
      </c>
      <c r="J40" s="31">
        <v>-36215.797602199993</v>
      </c>
      <c r="K40" s="31">
        <v>-37623.408233499991</v>
      </c>
      <c r="L40" s="31">
        <v>-39828.064974300003</v>
      </c>
      <c r="M40" s="31">
        <v>-40963.208568399998</v>
      </c>
      <c r="N40" s="31">
        <v>-43293.966139699995</v>
      </c>
      <c r="O40" s="31">
        <v>-42023.662936399996</v>
      </c>
      <c r="P40" s="35"/>
      <c r="Q40" s="31">
        <v>-197533.66373500001</v>
      </c>
      <c r="R40" s="31">
        <v>-239948.10845449998</v>
      </c>
      <c r="S40" s="32">
        <v>-437481.77218949998</v>
      </c>
      <c r="T40" s="64"/>
      <c r="U40" s="15"/>
      <c r="V40" s="6"/>
      <c r="W40" s="6"/>
      <c r="X40" s="6"/>
      <c r="Y40" s="82"/>
      <c r="Z40" s="6"/>
    </row>
    <row r="41" spans="1:26">
      <c r="A41" s="6"/>
      <c r="B41" s="6"/>
      <c r="C41" s="26" t="s">
        <v>56</v>
      </c>
      <c r="D41" s="34">
        <v>-16697.72</v>
      </c>
      <c r="E41" s="63">
        <v>-15692.73</v>
      </c>
      <c r="F41" s="34">
        <v>-19741.22</v>
      </c>
      <c r="G41" s="34">
        <v>-23999.83</v>
      </c>
      <c r="H41" s="34">
        <v>-21923.64</v>
      </c>
      <c r="I41" s="34">
        <v>-23320.36</v>
      </c>
      <c r="J41" s="34">
        <v>-23233.26</v>
      </c>
      <c r="K41" s="63">
        <v>-24575.55</v>
      </c>
      <c r="L41" s="34">
        <v>-24164.19</v>
      </c>
      <c r="M41" s="34">
        <v>-27087.72</v>
      </c>
      <c r="N41" s="34">
        <v>-23532.01</v>
      </c>
      <c r="O41" s="34">
        <v>-23742.12</v>
      </c>
      <c r="P41" s="35"/>
      <c r="Q41" s="36">
        <v>-121375.5</v>
      </c>
      <c r="R41" s="36">
        <v>-146334.85</v>
      </c>
      <c r="S41" s="37">
        <v>-267710.34999999998</v>
      </c>
      <c r="T41" s="64"/>
      <c r="U41" s="15"/>
      <c r="V41" s="6"/>
      <c r="W41" s="6"/>
      <c r="X41" s="6"/>
      <c r="Y41" s="6"/>
      <c r="Z41" s="6"/>
    </row>
    <row r="42" spans="1:26">
      <c r="A42" s="6"/>
      <c r="B42" s="6"/>
      <c r="C42" s="26" t="s">
        <v>57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83">
        <v>0</v>
      </c>
      <c r="L42" s="36">
        <v>0</v>
      </c>
      <c r="M42" s="36">
        <v>0</v>
      </c>
      <c r="N42" s="36">
        <v>0</v>
      </c>
      <c r="O42" s="36">
        <v>0</v>
      </c>
      <c r="P42" s="35"/>
      <c r="Q42" s="36">
        <v>0</v>
      </c>
      <c r="R42" s="35">
        <v>0</v>
      </c>
      <c r="S42" s="37">
        <v>0</v>
      </c>
      <c r="T42" s="64"/>
      <c r="U42" s="15"/>
      <c r="V42" s="6"/>
      <c r="W42" s="6"/>
      <c r="X42" s="6"/>
      <c r="Y42" s="6"/>
      <c r="Z42" s="6"/>
    </row>
    <row r="43" spans="1:26">
      <c r="A43" s="6"/>
      <c r="B43" s="6"/>
      <c r="C43" s="26" t="s">
        <v>58</v>
      </c>
      <c r="D43" s="36">
        <v>-2003.2254684</v>
      </c>
      <c r="E43" s="36">
        <v>-1882.6568181000002</v>
      </c>
      <c r="F43" s="36">
        <v>-2368.3541633999998</v>
      </c>
      <c r="G43" s="36">
        <v>-2879.2596051</v>
      </c>
      <c r="H43" s="36">
        <v>-2630.1790907999998</v>
      </c>
      <c r="I43" s="36">
        <v>-2797.7435892000003</v>
      </c>
      <c r="J43" s="36">
        <v>-2787.2942021999997</v>
      </c>
      <c r="K43" s="83">
        <v>-2948.3287335</v>
      </c>
      <c r="L43" s="36">
        <v>-2898.9778743000002</v>
      </c>
      <c r="M43" s="36">
        <v>-3249.7137683999999</v>
      </c>
      <c r="N43" s="36">
        <v>-2823.1352397000001</v>
      </c>
      <c r="O43" s="36">
        <v>-2848.3421364000001</v>
      </c>
      <c r="P43" s="35"/>
      <c r="Q43" s="36">
        <v>-14561.418734999999</v>
      </c>
      <c r="R43" s="36">
        <v>-17555.7919545</v>
      </c>
      <c r="S43" s="37">
        <v>-32117.2106895</v>
      </c>
      <c r="T43" s="64"/>
      <c r="U43" s="15"/>
      <c r="V43" s="6"/>
      <c r="W43" s="6"/>
      <c r="X43" s="6"/>
      <c r="Y43" s="6"/>
      <c r="Z43" s="6"/>
    </row>
    <row r="44" spans="1:26">
      <c r="A44" s="6"/>
      <c r="B44" s="6"/>
      <c r="C44" s="26" t="s">
        <v>59</v>
      </c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83">
        <v>0</v>
      </c>
      <c r="L44" s="34">
        <v>-1466.67</v>
      </c>
      <c r="M44" s="36">
        <v>0</v>
      </c>
      <c r="N44" s="34">
        <v>-6246.98</v>
      </c>
      <c r="O44" s="36">
        <v>0</v>
      </c>
      <c r="P44" s="35"/>
      <c r="Q44" s="36">
        <v>0</v>
      </c>
      <c r="R44" s="36">
        <v>-7713.65</v>
      </c>
      <c r="S44" s="37">
        <v>-7713.65</v>
      </c>
      <c r="T44" s="64"/>
      <c r="U44" s="15"/>
      <c r="V44" s="6"/>
      <c r="W44" s="6"/>
      <c r="X44" s="6"/>
      <c r="Y44" s="6"/>
      <c r="Z44" s="6"/>
    </row>
    <row r="45" spans="1:26">
      <c r="A45" s="6"/>
      <c r="B45" s="6"/>
      <c r="C45" s="26" t="s">
        <v>60</v>
      </c>
      <c r="D45" s="36">
        <v>-1502.7948000000001</v>
      </c>
      <c r="E45" s="36">
        <v>-1412.3457000000001</v>
      </c>
      <c r="F45" s="36">
        <v>-1776.7098000000001</v>
      </c>
      <c r="G45" s="36">
        <v>-2159.9847000000004</v>
      </c>
      <c r="H45" s="36">
        <v>-1973.1276000000003</v>
      </c>
      <c r="I45" s="36">
        <v>-2098.8324000000002</v>
      </c>
      <c r="J45" s="36">
        <v>-2090.9933999999998</v>
      </c>
      <c r="K45" s="83">
        <v>-2211.7995000000001</v>
      </c>
      <c r="L45" s="36">
        <v>-2174.7771000000002</v>
      </c>
      <c r="M45" s="36">
        <v>-2437.8948</v>
      </c>
      <c r="N45" s="36">
        <v>-2117.8809000000001</v>
      </c>
      <c r="O45" s="36">
        <v>-2136.7908000000002</v>
      </c>
      <c r="P45" s="35"/>
      <c r="Q45" s="36">
        <v>-10923.795000000002</v>
      </c>
      <c r="R45" s="36">
        <v>-13170.136500000002</v>
      </c>
      <c r="S45" s="37">
        <v>-24093.931500000006</v>
      </c>
      <c r="T45" s="64"/>
      <c r="U45" s="15"/>
      <c r="V45" s="6"/>
      <c r="W45" s="6"/>
      <c r="X45" s="6"/>
      <c r="Y45" s="6"/>
      <c r="Z45" s="6"/>
    </row>
    <row r="46" spans="1:26">
      <c r="A46" s="6"/>
      <c r="B46" s="6"/>
      <c r="C46" s="26" t="s">
        <v>61</v>
      </c>
      <c r="D46" s="36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5"/>
      <c r="Q46" s="36">
        <v>0</v>
      </c>
      <c r="R46" s="36">
        <v>0</v>
      </c>
      <c r="S46" s="37">
        <v>0</v>
      </c>
      <c r="T46" s="64"/>
      <c r="U46" s="15"/>
      <c r="V46" s="6"/>
      <c r="W46" s="6"/>
      <c r="X46" s="6"/>
      <c r="Y46" s="6"/>
      <c r="Z46" s="6"/>
    </row>
    <row r="47" spans="1:26">
      <c r="A47" s="6"/>
      <c r="B47" s="6"/>
      <c r="C47" s="26" t="s">
        <v>62</v>
      </c>
      <c r="D47" s="34">
        <v>-1500.93</v>
      </c>
      <c r="E47" s="63">
        <v>-1516.15</v>
      </c>
      <c r="F47" s="34">
        <v>-1840.02</v>
      </c>
      <c r="G47" s="34">
        <v>-2180.71</v>
      </c>
      <c r="H47" s="34">
        <v>-2245.3000000000002</v>
      </c>
      <c r="I47" s="34">
        <v>-2239.92</v>
      </c>
      <c r="J47" s="34">
        <v>-2242.2600000000002</v>
      </c>
      <c r="K47" s="63">
        <v>-2207.98</v>
      </c>
      <c r="L47" s="34">
        <v>-2263.2600000000002</v>
      </c>
      <c r="M47" s="34">
        <v>-2185.29</v>
      </c>
      <c r="N47" s="34">
        <v>-2127.89</v>
      </c>
      <c r="O47" s="34">
        <v>-2124.52</v>
      </c>
      <c r="P47" s="35"/>
      <c r="Q47" s="36">
        <v>-11523.03</v>
      </c>
      <c r="R47" s="36">
        <v>-13151.2</v>
      </c>
      <c r="S47" s="37">
        <v>-24674.230000000003</v>
      </c>
      <c r="T47" s="64"/>
      <c r="U47" s="15"/>
      <c r="V47" s="6"/>
      <c r="W47" s="6"/>
      <c r="X47" s="6"/>
      <c r="Y47" s="6"/>
      <c r="Z47" s="6"/>
    </row>
    <row r="48" spans="1:26">
      <c r="A48" s="6"/>
      <c r="B48" s="6"/>
      <c r="C48" s="26" t="s">
        <v>63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5"/>
      <c r="Q48" s="36">
        <v>0</v>
      </c>
      <c r="R48" s="36">
        <v>0</v>
      </c>
      <c r="S48" s="37">
        <v>0</v>
      </c>
      <c r="T48" s="64"/>
      <c r="U48" s="15"/>
      <c r="V48" s="6"/>
      <c r="W48" s="6"/>
      <c r="X48" s="6"/>
      <c r="Y48" s="6"/>
      <c r="Z48" s="6"/>
    </row>
    <row r="49" spans="1:26">
      <c r="A49" s="6"/>
      <c r="B49" s="6"/>
      <c r="C49" s="26" t="s">
        <v>64</v>
      </c>
      <c r="D49" s="34">
        <v>-475.01</v>
      </c>
      <c r="E49" s="34">
        <v>-622.07000000000005</v>
      </c>
      <c r="F49" s="34">
        <v>-400.36</v>
      </c>
      <c r="G49" s="34">
        <v>-400.99</v>
      </c>
      <c r="H49" s="34">
        <v>-464.18</v>
      </c>
      <c r="I49" s="34">
        <v>-785.12</v>
      </c>
      <c r="J49" s="34">
        <v>-519.83000000000004</v>
      </c>
      <c r="K49" s="71">
        <v>-453.17</v>
      </c>
      <c r="L49" s="71">
        <v>-1615.44</v>
      </c>
      <c r="M49" s="34">
        <v>-519.83000000000004</v>
      </c>
      <c r="N49" s="34">
        <v>-785.21</v>
      </c>
      <c r="O49" s="62">
        <v>-1012.8</v>
      </c>
      <c r="P49" s="35"/>
      <c r="Q49" s="36">
        <v>-3147.73</v>
      </c>
      <c r="R49" s="36">
        <v>-4906.28</v>
      </c>
      <c r="S49" s="37">
        <v>-8054.01</v>
      </c>
      <c r="T49" s="64"/>
      <c r="U49" s="15"/>
      <c r="V49" s="6"/>
      <c r="W49" s="6"/>
      <c r="X49" s="6"/>
      <c r="Y49" s="6"/>
      <c r="Z49" s="6"/>
    </row>
    <row r="50" spans="1:26">
      <c r="A50" s="6"/>
      <c r="B50" s="6"/>
      <c r="C50" s="26" t="s">
        <v>65</v>
      </c>
      <c r="D50" s="34">
        <v>-87</v>
      </c>
      <c r="E50" s="34">
        <v>-104</v>
      </c>
      <c r="F50" s="34">
        <v>-72</v>
      </c>
      <c r="G50" s="34">
        <v>-108</v>
      </c>
      <c r="H50" s="34">
        <v>-180</v>
      </c>
      <c r="I50" s="63">
        <v>-171.2</v>
      </c>
      <c r="J50" s="34">
        <v>-36</v>
      </c>
      <c r="K50" s="71">
        <v>-18</v>
      </c>
      <c r="L50" s="34">
        <v>-54</v>
      </c>
      <c r="M50" s="34">
        <v>-103.6</v>
      </c>
      <c r="N50" s="34">
        <v>-88.9</v>
      </c>
      <c r="O50" s="62">
        <v>-18</v>
      </c>
      <c r="P50" s="35"/>
      <c r="Q50" s="36">
        <v>-722.2</v>
      </c>
      <c r="R50" s="36">
        <v>-318.5</v>
      </c>
      <c r="S50" s="37">
        <v>-1040.7</v>
      </c>
      <c r="T50" s="64"/>
      <c r="U50" s="15"/>
      <c r="V50" s="6"/>
      <c r="W50" s="6"/>
      <c r="X50" s="6"/>
      <c r="Y50" s="6"/>
      <c r="Z50" s="6"/>
    </row>
    <row r="51" spans="1:26">
      <c r="A51" s="6"/>
      <c r="B51" s="6"/>
      <c r="C51" s="26" t="s">
        <v>66</v>
      </c>
      <c r="D51" s="34">
        <v>-4297.7</v>
      </c>
      <c r="E51" s="34">
        <v>-3745.05</v>
      </c>
      <c r="F51" s="34">
        <v>-4300.8100000000004</v>
      </c>
      <c r="G51" s="34">
        <v>-4731.8500000000004</v>
      </c>
      <c r="H51" s="34">
        <v>-5199.74</v>
      </c>
      <c r="I51" s="34">
        <v>-4693.4799999999996</v>
      </c>
      <c r="J51" s="34">
        <v>-4759.24</v>
      </c>
      <c r="K51" s="71">
        <v>-4756.1400000000003</v>
      </c>
      <c r="L51" s="34">
        <v>-4757.76</v>
      </c>
      <c r="M51" s="34">
        <v>-4791.8500000000004</v>
      </c>
      <c r="N51" s="34">
        <v>-5113.97</v>
      </c>
      <c r="O51" s="62">
        <v>-4775.49</v>
      </c>
      <c r="P51" s="35"/>
      <c r="Q51" s="36">
        <v>-26968.63</v>
      </c>
      <c r="R51" s="36">
        <v>-28954.450000000004</v>
      </c>
      <c r="S51" s="37">
        <v>-55923.08</v>
      </c>
      <c r="T51" s="64"/>
      <c r="U51" s="15"/>
      <c r="V51" s="6"/>
      <c r="W51" s="6"/>
      <c r="X51" s="6"/>
      <c r="Y51" s="6"/>
      <c r="Z51" s="6"/>
    </row>
    <row r="52" spans="1:26">
      <c r="A52" s="6"/>
      <c r="B52" s="6"/>
      <c r="C52" s="26" t="s">
        <v>67</v>
      </c>
      <c r="D52" s="34">
        <v>-360</v>
      </c>
      <c r="E52" s="34">
        <v>-300</v>
      </c>
      <c r="F52" s="34">
        <v>-262.5</v>
      </c>
      <c r="G52" s="34">
        <v>-360</v>
      </c>
      <c r="H52" s="34">
        <v>-390</v>
      </c>
      <c r="I52" s="34">
        <v>-330</v>
      </c>
      <c r="J52" s="34">
        <v>-450</v>
      </c>
      <c r="K52" s="71">
        <v>-375</v>
      </c>
      <c r="L52" s="34">
        <v>-322.5</v>
      </c>
      <c r="M52" s="34">
        <v>-405</v>
      </c>
      <c r="N52" s="34">
        <v>-322.5</v>
      </c>
      <c r="O52" s="62">
        <v>-495</v>
      </c>
      <c r="P52" s="35"/>
      <c r="Q52" s="36">
        <v>-2002.5</v>
      </c>
      <c r="R52" s="36">
        <v>-2370</v>
      </c>
      <c r="S52" s="37">
        <v>-4372.5</v>
      </c>
      <c r="T52" s="64"/>
      <c r="U52" s="15"/>
      <c r="V52" s="6"/>
      <c r="W52" s="6"/>
      <c r="X52" s="6"/>
      <c r="Y52" s="6"/>
      <c r="Z52" s="6"/>
    </row>
    <row r="53" spans="1:26">
      <c r="A53" s="6"/>
      <c r="B53" s="6"/>
      <c r="C53" s="26" t="s">
        <v>68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-26.25</v>
      </c>
      <c r="N53" s="34">
        <v>0</v>
      </c>
      <c r="O53" s="62">
        <v>0</v>
      </c>
      <c r="P53" s="35"/>
      <c r="Q53" s="36">
        <v>0</v>
      </c>
      <c r="R53" s="36">
        <v>-26.25</v>
      </c>
      <c r="S53" s="37">
        <v>-26.25</v>
      </c>
      <c r="T53" s="64"/>
      <c r="U53" s="15"/>
      <c r="V53" s="6"/>
      <c r="W53" s="6"/>
      <c r="X53" s="6"/>
      <c r="Y53" s="6"/>
      <c r="Z53" s="6"/>
    </row>
    <row r="54" spans="1:26">
      <c r="A54" s="6"/>
      <c r="B54" s="6"/>
      <c r="C54" s="26" t="s">
        <v>69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5"/>
      <c r="Q54" s="36">
        <v>0</v>
      </c>
      <c r="R54" s="36">
        <v>0</v>
      </c>
      <c r="S54" s="37">
        <v>0</v>
      </c>
      <c r="T54" s="70"/>
      <c r="U54" s="15"/>
      <c r="V54" s="6"/>
      <c r="W54" s="6"/>
      <c r="X54" s="6"/>
      <c r="Y54" s="6"/>
      <c r="Z54" s="6"/>
    </row>
    <row r="55" spans="1:26">
      <c r="A55" s="6"/>
      <c r="B55" s="6"/>
      <c r="C55" s="26" t="s">
        <v>70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5"/>
      <c r="Q55" s="36">
        <v>0</v>
      </c>
      <c r="R55" s="36">
        <v>0</v>
      </c>
      <c r="S55" s="37">
        <v>0</v>
      </c>
      <c r="T55" s="64"/>
      <c r="U55" s="15"/>
      <c r="V55" s="6"/>
      <c r="W55" s="6"/>
      <c r="X55" s="6"/>
      <c r="Y55" s="6"/>
      <c r="Z55" s="6"/>
    </row>
    <row r="56" spans="1:26">
      <c r="A56" s="6"/>
      <c r="B56" s="6"/>
      <c r="C56" s="26" t="s">
        <v>71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5"/>
      <c r="Q56" s="31">
        <v>0</v>
      </c>
      <c r="R56" s="36">
        <v>0</v>
      </c>
      <c r="S56" s="37">
        <v>0</v>
      </c>
      <c r="T56" s="64"/>
      <c r="U56" s="15"/>
      <c r="V56" s="6"/>
      <c r="W56" s="6"/>
      <c r="X56" s="6"/>
      <c r="Y56" s="6"/>
      <c r="Z56" s="6"/>
    </row>
    <row r="57" spans="1:26">
      <c r="A57" s="6"/>
      <c r="B57" s="6"/>
      <c r="C57" s="26" t="s">
        <v>72</v>
      </c>
      <c r="D57" s="34">
        <v>-60.49</v>
      </c>
      <c r="E57" s="34">
        <v>-110.49</v>
      </c>
      <c r="F57" s="34">
        <v>-110.49</v>
      </c>
      <c r="G57" s="34">
        <v>-60.49</v>
      </c>
      <c r="H57" s="34">
        <v>-60.49</v>
      </c>
      <c r="I57" s="63">
        <v>-85.49</v>
      </c>
      <c r="J57" s="63">
        <v>-60.49</v>
      </c>
      <c r="K57" s="63">
        <v>-60.49</v>
      </c>
      <c r="L57" s="34">
        <v>-110.49</v>
      </c>
      <c r="M57" s="34">
        <v>-110.49</v>
      </c>
      <c r="N57" s="34">
        <v>-135.49</v>
      </c>
      <c r="O57" s="62">
        <v>-635</v>
      </c>
      <c r="P57" s="35"/>
      <c r="Q57" s="36">
        <v>-487.94</v>
      </c>
      <c r="R57" s="36">
        <v>-1112.45</v>
      </c>
      <c r="S57" s="37">
        <v>-1600.39</v>
      </c>
      <c r="T57" s="64"/>
      <c r="U57" s="15"/>
      <c r="V57" s="6"/>
      <c r="W57" s="6"/>
      <c r="X57" s="6"/>
      <c r="Y57" s="6"/>
      <c r="Z57" s="6"/>
    </row>
    <row r="58" spans="1:26">
      <c r="A58" s="6"/>
      <c r="B58" s="6"/>
      <c r="C58" s="26" t="s">
        <v>73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5"/>
      <c r="Q58" s="31">
        <v>0</v>
      </c>
      <c r="R58" s="36">
        <v>0</v>
      </c>
      <c r="S58" s="37">
        <v>0</v>
      </c>
      <c r="T58" s="64"/>
      <c r="U58" s="15"/>
      <c r="V58" s="6"/>
      <c r="W58" s="6"/>
      <c r="X58" s="6"/>
      <c r="Y58" s="6"/>
      <c r="Z58" s="6"/>
    </row>
    <row r="59" spans="1:26">
      <c r="A59" s="6"/>
      <c r="B59" s="6"/>
      <c r="C59" s="26" t="s">
        <v>74</v>
      </c>
      <c r="D59" s="34">
        <v>0</v>
      </c>
      <c r="E59" s="34">
        <v>-266.39999999999998</v>
      </c>
      <c r="F59" s="34">
        <v>-2703</v>
      </c>
      <c r="G59" s="34">
        <v>-2749.83</v>
      </c>
      <c r="H59" s="34">
        <v>-101.69</v>
      </c>
      <c r="I59" s="34">
        <v>0</v>
      </c>
      <c r="J59" s="34">
        <v>-36.43</v>
      </c>
      <c r="K59" s="71">
        <v>-16.95</v>
      </c>
      <c r="L59" s="34">
        <v>0</v>
      </c>
      <c r="M59" s="34">
        <v>-45.57</v>
      </c>
      <c r="N59" s="34">
        <v>0</v>
      </c>
      <c r="O59" s="62">
        <v>-4235.6000000000004</v>
      </c>
      <c r="P59" s="35"/>
      <c r="Q59" s="36">
        <v>-5820.9199999999992</v>
      </c>
      <c r="R59" s="36">
        <v>-4334.55</v>
      </c>
      <c r="S59" s="37">
        <v>-10155.469999999999</v>
      </c>
      <c r="T59" s="64"/>
      <c r="U59" s="15"/>
      <c r="V59" s="6"/>
      <c r="W59" s="6"/>
      <c r="X59" s="6"/>
      <c r="Y59" s="6"/>
      <c r="Z59" s="6"/>
    </row>
    <row r="60" spans="1:26">
      <c r="A60" s="6"/>
      <c r="B60" s="6"/>
      <c r="C60" s="26" t="s">
        <v>75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5"/>
      <c r="Q60" s="31">
        <v>0</v>
      </c>
      <c r="R60" s="36">
        <v>0</v>
      </c>
      <c r="S60" s="37">
        <v>0</v>
      </c>
      <c r="T60" s="64"/>
      <c r="U60" s="15"/>
      <c r="V60" s="6"/>
      <c r="W60" s="6"/>
      <c r="X60" s="6"/>
      <c r="Y60" s="6"/>
      <c r="Z60" s="6"/>
    </row>
    <row r="61" spans="1:26">
      <c r="A61" s="6"/>
      <c r="B61" s="6"/>
      <c r="C61" s="13" t="s">
        <v>76</v>
      </c>
      <c r="D61" s="31">
        <v>-11365.920000000002</v>
      </c>
      <c r="E61" s="31">
        <v>-23808.449999999997</v>
      </c>
      <c r="F61" s="31">
        <v>-14456.33</v>
      </c>
      <c r="G61" s="31">
        <v>-8970.31</v>
      </c>
      <c r="H61" s="31">
        <v>-9221.42</v>
      </c>
      <c r="I61" s="31">
        <v>-9022.0499999999993</v>
      </c>
      <c r="J61" s="31">
        <v>-10093.669999999998</v>
      </c>
      <c r="K61" s="31">
        <v>-12287.97</v>
      </c>
      <c r="L61" s="31">
        <v>-9889.16</v>
      </c>
      <c r="M61" s="31">
        <v>-9420.39</v>
      </c>
      <c r="N61" s="31">
        <v>-10161.24</v>
      </c>
      <c r="O61" s="31">
        <v>-11483.47</v>
      </c>
      <c r="P61" s="35"/>
      <c r="Q61" s="31">
        <v>-76844.479999999996</v>
      </c>
      <c r="R61" s="31">
        <v>-63335.9</v>
      </c>
      <c r="S61" s="32">
        <v>-140180.38</v>
      </c>
      <c r="T61" s="64"/>
      <c r="U61" s="15"/>
      <c r="V61" s="6"/>
      <c r="W61" s="6"/>
      <c r="X61" s="6"/>
      <c r="Y61" s="6"/>
      <c r="Z61" s="6"/>
    </row>
    <row r="62" spans="1:26">
      <c r="A62" s="6"/>
      <c r="B62" s="6"/>
      <c r="C62" s="26" t="s">
        <v>77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5"/>
      <c r="Q62" s="36">
        <v>0</v>
      </c>
      <c r="R62" s="36">
        <v>0</v>
      </c>
      <c r="S62" s="37">
        <v>0</v>
      </c>
      <c r="T62" s="64"/>
      <c r="U62" s="15"/>
      <c r="V62" s="6"/>
      <c r="W62" s="6"/>
      <c r="X62" s="6"/>
      <c r="Y62" s="6"/>
      <c r="Z62" s="6"/>
    </row>
    <row r="63" spans="1:26">
      <c r="A63" s="6"/>
      <c r="B63" s="6"/>
      <c r="C63" s="26" t="s">
        <v>78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5"/>
      <c r="Q63" s="36">
        <v>0</v>
      </c>
      <c r="R63" s="36">
        <v>0</v>
      </c>
      <c r="S63" s="37">
        <v>0</v>
      </c>
      <c r="T63" s="64"/>
      <c r="U63" s="15"/>
      <c r="V63" s="6"/>
      <c r="W63" s="6"/>
      <c r="X63" s="6"/>
      <c r="Y63" s="6"/>
      <c r="Z63" s="6"/>
    </row>
    <row r="64" spans="1:26">
      <c r="A64" s="6"/>
      <c r="B64" s="6"/>
      <c r="C64" s="26" t="s">
        <v>79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5"/>
      <c r="Q64" s="36">
        <v>0</v>
      </c>
      <c r="R64" s="36">
        <v>0</v>
      </c>
      <c r="S64" s="37">
        <v>0</v>
      </c>
      <c r="T64" s="64"/>
      <c r="U64" s="15"/>
      <c r="V64" s="6"/>
      <c r="W64" s="6"/>
      <c r="X64" s="6"/>
      <c r="Y64" s="6"/>
      <c r="Z64" s="6"/>
    </row>
    <row r="65" spans="1:26">
      <c r="A65" s="6"/>
      <c r="B65" s="6"/>
      <c r="C65" s="26" t="s">
        <v>80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5"/>
      <c r="Q65" s="36">
        <v>0</v>
      </c>
      <c r="R65" s="36">
        <v>0</v>
      </c>
      <c r="S65" s="37">
        <v>0</v>
      </c>
      <c r="T65" s="64"/>
      <c r="U65" s="15"/>
      <c r="V65" s="6"/>
      <c r="W65" s="6"/>
      <c r="X65" s="6"/>
      <c r="Y65" s="6"/>
      <c r="Z65" s="6"/>
    </row>
    <row r="66" spans="1:26">
      <c r="A66" s="6"/>
      <c r="B66" s="6"/>
      <c r="C66" s="26" t="s">
        <v>81</v>
      </c>
      <c r="D66" s="34">
        <v>-279.95</v>
      </c>
      <c r="E66" s="34">
        <v>-339.95</v>
      </c>
      <c r="F66" s="34">
        <v>-388.95</v>
      </c>
      <c r="G66" s="34">
        <v>-331.83</v>
      </c>
      <c r="H66" s="34">
        <v>-361.83</v>
      </c>
      <c r="I66" s="34">
        <v>-441.83</v>
      </c>
      <c r="J66" s="34">
        <v>-426.83</v>
      </c>
      <c r="K66" s="71">
        <v>-351.83</v>
      </c>
      <c r="L66" s="34">
        <v>-297.83</v>
      </c>
      <c r="M66" s="34">
        <v>-450.88</v>
      </c>
      <c r="N66" s="34">
        <v>-269.83</v>
      </c>
      <c r="O66" s="62">
        <v>-395.83</v>
      </c>
      <c r="P66" s="35"/>
      <c r="Q66" s="36">
        <v>-2144.3399999999997</v>
      </c>
      <c r="R66" s="36">
        <v>-2193.0299999999997</v>
      </c>
      <c r="S66" s="37">
        <v>-4337.369999999999</v>
      </c>
      <c r="T66" s="64"/>
      <c r="U66" s="15"/>
      <c r="V66" s="6"/>
      <c r="W66" s="6"/>
      <c r="X66" s="6"/>
      <c r="Y66" s="6"/>
      <c r="Z66" s="6"/>
    </row>
    <row r="67" spans="1:26">
      <c r="A67" s="6"/>
      <c r="B67" s="6"/>
      <c r="C67" s="26" t="s">
        <v>82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-690</v>
      </c>
      <c r="M67" s="34">
        <v>0</v>
      </c>
      <c r="N67" s="34">
        <v>-290</v>
      </c>
      <c r="O67" s="34">
        <v>0</v>
      </c>
      <c r="P67" s="35"/>
      <c r="Q67" s="36">
        <v>0</v>
      </c>
      <c r="R67" s="36">
        <v>-980</v>
      </c>
      <c r="S67" s="37">
        <v>-980</v>
      </c>
      <c r="T67" s="64"/>
      <c r="U67" s="15"/>
      <c r="V67" s="6"/>
      <c r="W67" s="6"/>
      <c r="X67" s="6"/>
      <c r="Y67" s="6"/>
      <c r="Z67" s="6"/>
    </row>
    <row r="68" spans="1:26">
      <c r="A68" s="6"/>
      <c r="B68" s="6"/>
      <c r="C68" s="26" t="s">
        <v>83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5"/>
      <c r="Q68" s="36">
        <v>0</v>
      </c>
      <c r="R68" s="36">
        <v>0</v>
      </c>
      <c r="S68" s="37">
        <v>0</v>
      </c>
      <c r="T68" s="64"/>
      <c r="U68" s="15"/>
      <c r="V68" s="6"/>
      <c r="W68" s="6"/>
      <c r="X68" s="6"/>
      <c r="Y68" s="6"/>
      <c r="Z68" s="6"/>
    </row>
    <row r="69" spans="1:26">
      <c r="A69" s="6"/>
      <c r="B69" s="6"/>
      <c r="C69" s="26" t="s">
        <v>84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5"/>
      <c r="Q69" s="36">
        <v>0</v>
      </c>
      <c r="R69" s="36">
        <v>0</v>
      </c>
      <c r="S69" s="37">
        <v>0</v>
      </c>
      <c r="T69" s="64"/>
      <c r="U69" s="15"/>
      <c r="V69" s="6"/>
      <c r="W69" s="6"/>
      <c r="X69" s="6"/>
      <c r="Y69" s="6"/>
      <c r="Z69" s="6"/>
    </row>
    <row r="70" spans="1:26">
      <c r="A70" s="6"/>
      <c r="B70" s="6"/>
      <c r="C70" s="26" t="s">
        <v>85</v>
      </c>
      <c r="D70" s="34">
        <v>-830</v>
      </c>
      <c r="E70" s="34">
        <v>-830</v>
      </c>
      <c r="F70" s="34">
        <v>-830</v>
      </c>
      <c r="G70" s="34">
        <v>-830</v>
      </c>
      <c r="H70" s="34">
        <v>-830</v>
      </c>
      <c r="I70" s="34">
        <v>-830</v>
      </c>
      <c r="J70" s="34">
        <v>-830</v>
      </c>
      <c r="K70" s="34">
        <v>-830</v>
      </c>
      <c r="L70" s="34">
        <v>-830</v>
      </c>
      <c r="M70" s="34">
        <v>-830</v>
      </c>
      <c r="N70" s="34">
        <v>-1245</v>
      </c>
      <c r="O70" s="34">
        <v>-1245</v>
      </c>
      <c r="P70" s="35"/>
      <c r="Q70" s="36">
        <v>-4980</v>
      </c>
      <c r="R70" s="36">
        <v>-5810</v>
      </c>
      <c r="S70" s="37">
        <v>-10790</v>
      </c>
      <c r="T70" s="64"/>
      <c r="U70" s="15"/>
      <c r="V70" s="6"/>
      <c r="W70" s="6"/>
      <c r="X70" s="6"/>
      <c r="Y70" s="6"/>
      <c r="Z70" s="6"/>
    </row>
    <row r="71" spans="1:26">
      <c r="A71" s="6"/>
      <c r="B71" s="6"/>
      <c r="C71" s="26" t="s">
        <v>86</v>
      </c>
      <c r="D71" s="34">
        <v>-3235.36</v>
      </c>
      <c r="E71" s="34">
        <v>-3831.54</v>
      </c>
      <c r="F71" s="34">
        <v>-3831.54</v>
      </c>
      <c r="G71" s="34">
        <v>-2277</v>
      </c>
      <c r="H71" s="34">
        <v>-2507.77</v>
      </c>
      <c r="I71" s="34">
        <v>-2277</v>
      </c>
      <c r="J71" s="34">
        <v>-2277</v>
      </c>
      <c r="K71" s="71">
        <v>-2277</v>
      </c>
      <c r="L71" s="71">
        <v>-2919</v>
      </c>
      <c r="M71" s="34">
        <v>-2470</v>
      </c>
      <c r="N71" s="71">
        <v>-2877</v>
      </c>
      <c r="O71" s="62">
        <v>-4554</v>
      </c>
      <c r="P71" s="36"/>
      <c r="Q71" s="36">
        <v>-17960.21</v>
      </c>
      <c r="R71" s="36">
        <v>-17374</v>
      </c>
      <c r="S71" s="37">
        <v>-35334.21</v>
      </c>
      <c r="T71" s="64"/>
      <c r="U71" s="15"/>
      <c r="V71" s="6"/>
      <c r="W71" s="6"/>
      <c r="X71" s="6"/>
      <c r="Y71" s="6"/>
      <c r="Z71" s="6"/>
    </row>
    <row r="72" spans="1:26">
      <c r="A72" s="6"/>
      <c r="B72" s="6"/>
      <c r="C72" s="26" t="s">
        <v>87</v>
      </c>
      <c r="D72" s="34">
        <v>-1518</v>
      </c>
      <c r="E72" s="34">
        <v>-1518</v>
      </c>
      <c r="F72" s="34">
        <v>-1518</v>
      </c>
      <c r="G72" s="34">
        <v>-1518</v>
      </c>
      <c r="H72" s="34">
        <v>-1518</v>
      </c>
      <c r="I72" s="34">
        <v>-1518</v>
      </c>
      <c r="J72" s="34">
        <v>-1518</v>
      </c>
      <c r="K72" s="34">
        <v>-1518</v>
      </c>
      <c r="L72" s="34">
        <v>-1518</v>
      </c>
      <c r="M72" s="34">
        <v>-1518</v>
      </c>
      <c r="N72" s="34">
        <v>-1518</v>
      </c>
      <c r="O72" s="34">
        <v>-1518</v>
      </c>
      <c r="P72" s="35"/>
      <c r="Q72" s="36">
        <v>-9108</v>
      </c>
      <c r="R72" s="36">
        <v>-9108</v>
      </c>
      <c r="S72" s="37">
        <v>-18216</v>
      </c>
      <c r="T72" s="64"/>
      <c r="U72" s="15"/>
      <c r="V72" s="6"/>
      <c r="W72" s="6"/>
      <c r="X72" s="6"/>
      <c r="Y72" s="6"/>
      <c r="Z72" s="6"/>
    </row>
    <row r="73" spans="1:26">
      <c r="A73" s="6"/>
      <c r="B73" s="6"/>
      <c r="C73" s="26" t="s">
        <v>88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5"/>
      <c r="Q73" s="36">
        <v>0</v>
      </c>
      <c r="R73" s="36">
        <v>0</v>
      </c>
      <c r="S73" s="37">
        <v>0</v>
      </c>
      <c r="T73" s="64"/>
      <c r="U73" s="15"/>
      <c r="V73" s="6"/>
      <c r="W73" s="6"/>
      <c r="X73" s="6"/>
      <c r="Y73" s="6"/>
      <c r="Z73" s="6"/>
    </row>
    <row r="74" spans="1:26">
      <c r="A74" s="6"/>
      <c r="B74" s="6"/>
      <c r="C74" s="26" t="s">
        <v>89</v>
      </c>
      <c r="D74" s="34">
        <v>-4445.32</v>
      </c>
      <c r="E74" s="34">
        <v>-15688.96</v>
      </c>
      <c r="F74" s="34">
        <v>-6487.84</v>
      </c>
      <c r="G74" s="34">
        <v>-2509.98</v>
      </c>
      <c r="H74" s="34">
        <v>-2313.66</v>
      </c>
      <c r="I74" s="63">
        <v>-2215.2600000000002</v>
      </c>
      <c r="J74" s="34">
        <v>-3347.54</v>
      </c>
      <c r="K74" s="71">
        <v>-5746.92</v>
      </c>
      <c r="L74" s="34">
        <v>-1711.74</v>
      </c>
      <c r="M74" s="34">
        <v>-2073.89</v>
      </c>
      <c r="N74" s="34">
        <v>-2367.83</v>
      </c>
      <c r="O74" s="62">
        <v>-2088</v>
      </c>
      <c r="P74" s="35"/>
      <c r="Q74" s="36">
        <v>-33661.019999999997</v>
      </c>
      <c r="R74" s="36">
        <v>-17335.919999999998</v>
      </c>
      <c r="S74" s="37">
        <v>-50996.939999999995</v>
      </c>
      <c r="T74" s="64"/>
      <c r="U74" s="15"/>
      <c r="V74" s="6"/>
      <c r="W74" s="6"/>
      <c r="X74" s="6"/>
      <c r="Y74" s="6"/>
      <c r="Z74" s="6"/>
    </row>
    <row r="75" spans="1:26">
      <c r="A75" s="6"/>
      <c r="B75" s="6"/>
      <c r="C75" s="26" t="s">
        <v>90</v>
      </c>
      <c r="D75" s="34">
        <v>0</v>
      </c>
      <c r="E75" s="34">
        <v>-20</v>
      </c>
      <c r="F75" s="34">
        <v>0</v>
      </c>
      <c r="G75" s="34">
        <v>-103.5</v>
      </c>
      <c r="H75" s="34">
        <v>-189.69</v>
      </c>
      <c r="I75" s="63">
        <v>-235</v>
      </c>
      <c r="J75" s="34">
        <v>-131.99</v>
      </c>
      <c r="K75" s="71">
        <v>-63.75</v>
      </c>
      <c r="L75" s="34">
        <v>-422.12</v>
      </c>
      <c r="M75" s="34">
        <v>-460.15</v>
      </c>
      <c r="N75" s="34">
        <v>-93.11</v>
      </c>
      <c r="O75" s="62">
        <v>-21.8</v>
      </c>
      <c r="P75" s="35"/>
      <c r="Q75" s="36">
        <v>-548.19000000000005</v>
      </c>
      <c r="R75" s="36">
        <v>-1192.9199999999998</v>
      </c>
      <c r="S75" s="37">
        <v>-1741.11</v>
      </c>
      <c r="T75" s="64"/>
      <c r="U75" s="15"/>
      <c r="V75" s="6"/>
      <c r="W75" s="6"/>
      <c r="X75" s="6"/>
      <c r="Y75" s="6"/>
      <c r="Z75" s="6"/>
    </row>
    <row r="76" spans="1:26">
      <c r="A76" s="6"/>
      <c r="B76" s="6"/>
      <c r="C76" s="26" t="s">
        <v>91</v>
      </c>
      <c r="D76" s="62">
        <v>-157.29</v>
      </c>
      <c r="E76" s="34">
        <v>-180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5"/>
      <c r="Q76" s="36">
        <v>-337.28999999999996</v>
      </c>
      <c r="R76" s="36">
        <v>0</v>
      </c>
      <c r="S76" s="37">
        <v>-337.28999999999996</v>
      </c>
      <c r="T76" s="64"/>
      <c r="U76" s="15"/>
      <c r="V76" s="6"/>
      <c r="W76" s="6"/>
      <c r="X76" s="6"/>
      <c r="Y76" s="6"/>
      <c r="Z76" s="6"/>
    </row>
    <row r="77" spans="1:26">
      <c r="A77" s="6"/>
      <c r="B77" s="6"/>
      <c r="C77" s="26" t="s">
        <v>92</v>
      </c>
      <c r="D77" s="34">
        <v>-200</v>
      </c>
      <c r="E77" s="34">
        <v>-200</v>
      </c>
      <c r="F77" s="34">
        <v>-200</v>
      </c>
      <c r="G77" s="34">
        <v>-200</v>
      </c>
      <c r="H77" s="34">
        <v>-300.47000000000003</v>
      </c>
      <c r="I77" s="34">
        <v>-304.95999999999998</v>
      </c>
      <c r="J77" s="34">
        <v>-300.47000000000003</v>
      </c>
      <c r="K77" s="71">
        <v>-300.47000000000003</v>
      </c>
      <c r="L77" s="71">
        <v>-300.47000000000003</v>
      </c>
      <c r="M77" s="34">
        <v>-300.47000000000003</v>
      </c>
      <c r="N77" s="34">
        <v>-300.47000000000003</v>
      </c>
      <c r="O77" s="34">
        <v>-400.94</v>
      </c>
      <c r="P77" s="35"/>
      <c r="Q77" s="36">
        <v>-1405.43</v>
      </c>
      <c r="R77" s="36">
        <v>-1903.2900000000002</v>
      </c>
      <c r="S77" s="37">
        <v>-3308.7200000000003</v>
      </c>
      <c r="T77" s="64"/>
      <c r="U77" s="15"/>
      <c r="V77" s="6"/>
      <c r="W77" s="6"/>
      <c r="X77" s="6"/>
      <c r="Y77" s="6"/>
      <c r="Z77" s="6"/>
    </row>
    <row r="78" spans="1:26">
      <c r="A78" s="6"/>
      <c r="B78" s="6"/>
      <c r="C78" s="26" t="s">
        <v>93</v>
      </c>
      <c r="D78" s="34">
        <v>-700</v>
      </c>
      <c r="E78" s="34">
        <v>-1200</v>
      </c>
      <c r="F78" s="34">
        <v>-1200</v>
      </c>
      <c r="G78" s="34">
        <v>-1200</v>
      </c>
      <c r="H78" s="34">
        <v>-1200</v>
      </c>
      <c r="I78" s="34">
        <v>-1200</v>
      </c>
      <c r="J78" s="34">
        <v>-1261.8399999999999</v>
      </c>
      <c r="K78" s="71">
        <v>-1200</v>
      </c>
      <c r="L78" s="71">
        <v>-1200</v>
      </c>
      <c r="M78" s="71">
        <v>-1317</v>
      </c>
      <c r="N78" s="71">
        <v>-1200</v>
      </c>
      <c r="O78" s="71">
        <v>-1259.9000000000001</v>
      </c>
      <c r="P78" s="35"/>
      <c r="Q78" s="36">
        <v>-6700</v>
      </c>
      <c r="R78" s="36">
        <v>-7438.74</v>
      </c>
      <c r="S78" s="37">
        <v>-14138.74</v>
      </c>
      <c r="T78" s="64"/>
      <c r="U78" s="15"/>
      <c r="V78" s="6"/>
      <c r="W78" s="6"/>
      <c r="X78" s="6"/>
      <c r="Y78" s="6"/>
      <c r="Z78" s="6"/>
    </row>
    <row r="79" spans="1:26">
      <c r="A79" s="6"/>
      <c r="B79" s="6"/>
      <c r="C79" s="90" t="s">
        <v>94</v>
      </c>
      <c r="D79" s="31">
        <v>-191.91000000000003</v>
      </c>
      <c r="E79" s="31">
        <v>-727.69</v>
      </c>
      <c r="F79" s="31">
        <v>-132.55999999999997</v>
      </c>
      <c r="G79" s="31">
        <v>-133.93</v>
      </c>
      <c r="H79" s="31">
        <v>-201.83</v>
      </c>
      <c r="I79" s="31">
        <v>-153.57</v>
      </c>
      <c r="J79" s="31">
        <v>-136.26</v>
      </c>
      <c r="K79" s="31">
        <v>-234.34</v>
      </c>
      <c r="L79" s="31">
        <v>-112.07000000000001</v>
      </c>
      <c r="M79" s="31">
        <v>-138.31</v>
      </c>
      <c r="N79" s="31">
        <v>-176.9</v>
      </c>
      <c r="O79" s="31">
        <v>-171.9</v>
      </c>
      <c r="P79" s="35"/>
      <c r="Q79" s="31">
        <v>-1541.49</v>
      </c>
      <c r="R79" s="31">
        <v>-969.78</v>
      </c>
      <c r="S79" s="32">
        <v>-2511.27</v>
      </c>
      <c r="T79" s="64"/>
      <c r="U79" s="15"/>
      <c r="V79" s="6"/>
      <c r="W79" s="6"/>
      <c r="X79" s="6"/>
      <c r="Y79" s="6"/>
      <c r="Z79" s="6"/>
    </row>
    <row r="80" spans="1:26">
      <c r="A80" s="6"/>
      <c r="B80" s="6"/>
      <c r="C80" s="58" t="s">
        <v>95</v>
      </c>
      <c r="D80" s="34">
        <v>-34.840000000000003</v>
      </c>
      <c r="E80" s="34">
        <v>-240.55</v>
      </c>
      <c r="F80" s="34">
        <v>0</v>
      </c>
      <c r="G80" s="34">
        <v>0</v>
      </c>
      <c r="H80" s="34">
        <v>0</v>
      </c>
      <c r="I80" s="34">
        <v>0</v>
      </c>
      <c r="J80" s="34">
        <v>-20.58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5"/>
      <c r="Q80" s="36">
        <v>-275.39</v>
      </c>
      <c r="R80" s="36">
        <v>-20.58</v>
      </c>
      <c r="S80" s="91">
        <v>-295.96999999999997</v>
      </c>
      <c r="T80" s="64"/>
      <c r="U80" s="15"/>
      <c r="V80" s="6"/>
      <c r="W80" s="6"/>
      <c r="X80" s="6"/>
      <c r="Y80" s="6"/>
      <c r="Z80" s="6"/>
    </row>
    <row r="81" spans="1:26">
      <c r="A81" s="6"/>
      <c r="B81" s="6"/>
      <c r="C81" s="26" t="s">
        <v>96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6"/>
      <c r="Q81" s="36">
        <v>0</v>
      </c>
      <c r="R81" s="36">
        <v>0</v>
      </c>
      <c r="S81" s="37">
        <v>0</v>
      </c>
      <c r="T81" s="64"/>
      <c r="U81" s="15"/>
      <c r="V81" s="6"/>
      <c r="W81" s="6"/>
      <c r="X81" s="6"/>
      <c r="Y81" s="6"/>
      <c r="Z81" s="6"/>
    </row>
    <row r="82" spans="1:26">
      <c r="A82" s="6"/>
      <c r="B82" s="6"/>
      <c r="C82" s="26" t="s">
        <v>97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6"/>
      <c r="Q82" s="36">
        <v>0</v>
      </c>
      <c r="R82" s="36">
        <v>0</v>
      </c>
      <c r="S82" s="37">
        <v>0</v>
      </c>
      <c r="T82" s="70"/>
      <c r="U82" s="15"/>
      <c r="V82" s="6"/>
      <c r="W82" s="6"/>
      <c r="X82" s="6"/>
      <c r="Y82" s="6"/>
      <c r="Z82" s="6"/>
    </row>
    <row r="83" spans="1:26">
      <c r="A83" s="6"/>
      <c r="B83" s="6"/>
      <c r="C83" s="26" t="s">
        <v>98</v>
      </c>
      <c r="D83" s="34">
        <v>-37.15</v>
      </c>
      <c r="E83" s="34">
        <v>-349.61</v>
      </c>
      <c r="F83" s="34">
        <v>0</v>
      </c>
      <c r="G83" s="34">
        <v>0</v>
      </c>
      <c r="H83" s="34">
        <v>0</v>
      </c>
      <c r="I83" s="34">
        <v>0</v>
      </c>
      <c r="J83" s="92">
        <v>-0.11</v>
      </c>
      <c r="K83" s="34">
        <v>-134.9</v>
      </c>
      <c r="L83" s="34">
        <v>0</v>
      </c>
      <c r="M83" s="34">
        <v>0</v>
      </c>
      <c r="N83" s="34">
        <v>0</v>
      </c>
      <c r="O83" s="34">
        <v>0</v>
      </c>
      <c r="P83" s="35"/>
      <c r="Q83" s="35">
        <v>-386.76</v>
      </c>
      <c r="R83" s="35">
        <v>-135.01000000000002</v>
      </c>
      <c r="S83" s="37">
        <v>-521.77</v>
      </c>
      <c r="T83" s="64"/>
      <c r="U83" s="15"/>
      <c r="V83" s="6"/>
      <c r="W83" s="6"/>
      <c r="X83" s="6"/>
      <c r="Y83" s="6"/>
      <c r="Z83" s="6"/>
    </row>
    <row r="84" spans="1:26">
      <c r="A84" s="6"/>
      <c r="B84" s="6"/>
      <c r="C84" s="26" t="s">
        <v>99</v>
      </c>
      <c r="D84" s="34">
        <v>-119.92</v>
      </c>
      <c r="E84" s="34">
        <v>-137.53</v>
      </c>
      <c r="F84" s="34">
        <v>-132.55999999999997</v>
      </c>
      <c r="G84" s="34">
        <v>-133.93</v>
      </c>
      <c r="H84" s="34">
        <v>-201.83</v>
      </c>
      <c r="I84" s="63">
        <v>-153.57</v>
      </c>
      <c r="J84" s="34">
        <v>-115.57000000000001</v>
      </c>
      <c r="K84" s="71">
        <v>-99.44</v>
      </c>
      <c r="L84" s="34">
        <v>-112.07000000000001</v>
      </c>
      <c r="M84" s="34">
        <v>-138.31</v>
      </c>
      <c r="N84" s="34">
        <v>-176.9</v>
      </c>
      <c r="O84" s="62">
        <v>-171.9</v>
      </c>
      <c r="P84" s="35"/>
      <c r="Q84" s="36">
        <v>-879.34000000000015</v>
      </c>
      <c r="R84" s="36">
        <v>-814.18999999999994</v>
      </c>
      <c r="S84" s="37">
        <v>-1693.5300000000002</v>
      </c>
      <c r="T84" s="64"/>
      <c r="U84" s="15"/>
      <c r="V84" s="6"/>
      <c r="W84" s="6"/>
      <c r="X84" s="6"/>
      <c r="Y84" s="6"/>
      <c r="Z84" s="6"/>
    </row>
    <row r="85" spans="1:26">
      <c r="A85" s="6"/>
      <c r="B85" s="6"/>
      <c r="C85" s="13" t="s">
        <v>100</v>
      </c>
      <c r="D85" s="36">
        <v>2345.7799999999997</v>
      </c>
      <c r="E85" s="36">
        <v>2.58</v>
      </c>
      <c r="F85" s="36">
        <v>1428.5</v>
      </c>
      <c r="G85" s="36">
        <v>7.51</v>
      </c>
      <c r="H85" s="36">
        <v>10.38</v>
      </c>
      <c r="I85" s="36">
        <v>5.94</v>
      </c>
      <c r="J85" s="36">
        <v>89.06</v>
      </c>
      <c r="K85" s="36">
        <v>251.64</v>
      </c>
      <c r="L85" s="36">
        <v>3065.02</v>
      </c>
      <c r="M85" s="36">
        <v>9554.24</v>
      </c>
      <c r="N85" s="36">
        <v>9544.89</v>
      </c>
      <c r="O85" s="36">
        <v>14515.61</v>
      </c>
      <c r="P85" s="35"/>
      <c r="Q85" s="36">
        <v>3800.69</v>
      </c>
      <c r="R85" s="36">
        <v>37020.46</v>
      </c>
      <c r="S85" s="37">
        <v>40821.15</v>
      </c>
      <c r="T85" s="64"/>
      <c r="U85" s="15"/>
      <c r="V85" s="6"/>
      <c r="W85" s="6"/>
      <c r="X85" s="6"/>
      <c r="Y85" s="6"/>
      <c r="Z85" s="6"/>
    </row>
    <row r="86" spans="1:26">
      <c r="A86" s="6"/>
      <c r="B86" s="6"/>
      <c r="C86" s="26" t="s">
        <v>101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5"/>
      <c r="Q86" s="36">
        <v>0</v>
      </c>
      <c r="R86" s="36">
        <v>0</v>
      </c>
      <c r="S86" s="37">
        <v>0</v>
      </c>
      <c r="T86" s="64"/>
      <c r="U86" s="15"/>
      <c r="V86" s="6"/>
      <c r="W86" s="6"/>
      <c r="X86" s="6"/>
      <c r="Y86" s="6"/>
      <c r="Z86" s="6"/>
    </row>
    <row r="87" spans="1:26">
      <c r="A87" s="6"/>
      <c r="B87" s="6"/>
      <c r="C87" s="26" t="s">
        <v>102</v>
      </c>
      <c r="D87" s="34">
        <v>2345.7799999999997</v>
      </c>
      <c r="E87" s="63">
        <v>2.58</v>
      </c>
      <c r="F87" s="36">
        <v>1428.5</v>
      </c>
      <c r="G87" s="34">
        <v>7.51</v>
      </c>
      <c r="H87" s="34">
        <v>10.38</v>
      </c>
      <c r="I87" s="34">
        <v>5.94</v>
      </c>
      <c r="J87" s="34">
        <v>89.06</v>
      </c>
      <c r="K87" s="34">
        <v>251.64</v>
      </c>
      <c r="L87" s="92">
        <v>3065.02</v>
      </c>
      <c r="M87" s="34">
        <v>9554.24</v>
      </c>
      <c r="N87" s="34">
        <v>9544.89</v>
      </c>
      <c r="O87" s="34">
        <v>14515.61</v>
      </c>
      <c r="P87" s="35"/>
      <c r="Q87" s="36">
        <v>3800.69</v>
      </c>
      <c r="R87" s="36">
        <v>37020.46</v>
      </c>
      <c r="S87" s="37">
        <v>40821.15</v>
      </c>
      <c r="T87" s="64"/>
      <c r="U87" s="15"/>
      <c r="V87" s="6"/>
      <c r="W87" s="6"/>
      <c r="X87" s="6"/>
      <c r="Y87" s="6"/>
      <c r="Z87" s="6"/>
    </row>
    <row r="88" spans="1:26">
      <c r="A88" s="6"/>
      <c r="B88" s="6"/>
      <c r="C88" s="65" t="s">
        <v>103</v>
      </c>
      <c r="D88" s="66">
        <v>82646.079731600024</v>
      </c>
      <c r="E88" s="66">
        <v>63617.647481900014</v>
      </c>
      <c r="F88" s="66">
        <v>105444.64603659997</v>
      </c>
      <c r="G88" s="66">
        <v>69324.375694900009</v>
      </c>
      <c r="H88" s="66">
        <v>75314.673309200007</v>
      </c>
      <c r="I88" s="66">
        <v>65649.324010799974</v>
      </c>
      <c r="J88" s="66">
        <v>73120.532397799951</v>
      </c>
      <c r="K88" s="66">
        <v>124693.75176650002</v>
      </c>
      <c r="L88" s="66">
        <v>100618.46502570003</v>
      </c>
      <c r="M88" s="66">
        <v>101728.47043160003</v>
      </c>
      <c r="N88" s="66">
        <v>151125.52386030002</v>
      </c>
      <c r="O88" s="66">
        <v>95620.037063599986</v>
      </c>
      <c r="P88" s="35"/>
      <c r="Q88" s="66">
        <v>461996.74626499997</v>
      </c>
      <c r="R88" s="66">
        <v>646906.78054550011</v>
      </c>
      <c r="S88" s="68">
        <v>1108903.5268105001</v>
      </c>
      <c r="T88" s="64"/>
      <c r="U88" s="15"/>
      <c r="V88" s="6"/>
      <c r="W88" s="6"/>
      <c r="X88" s="6"/>
      <c r="Y88" s="6"/>
      <c r="Z88" s="6"/>
    </row>
    <row r="89" spans="1:26">
      <c r="A89" s="6"/>
      <c r="B89" s="6"/>
      <c r="C89" s="26" t="s">
        <v>104</v>
      </c>
      <c r="D89" s="34">
        <v>0</v>
      </c>
      <c r="E89" s="63">
        <v>1343.81</v>
      </c>
      <c r="F89" s="34">
        <v>0</v>
      </c>
      <c r="G89" s="34">
        <v>0</v>
      </c>
      <c r="H89" s="34">
        <v>0</v>
      </c>
      <c r="I89" s="34">
        <v>3454.18</v>
      </c>
      <c r="J89" s="34">
        <v>0</v>
      </c>
      <c r="K89" s="34">
        <v>891.26</v>
      </c>
      <c r="L89" s="34">
        <v>504.33</v>
      </c>
      <c r="M89" s="34">
        <v>0</v>
      </c>
      <c r="N89" s="34">
        <v>0</v>
      </c>
      <c r="O89" s="34">
        <v>3356</v>
      </c>
      <c r="P89" s="35"/>
      <c r="Q89" s="36">
        <v>4797.99</v>
      </c>
      <c r="R89" s="36">
        <v>4751.59</v>
      </c>
      <c r="S89" s="37">
        <v>9549.58</v>
      </c>
      <c r="T89" s="64"/>
      <c r="U89" s="15"/>
      <c r="V89" s="6"/>
      <c r="W89" s="6"/>
      <c r="X89" s="6"/>
      <c r="Y89" s="6"/>
      <c r="Z89" s="6"/>
    </row>
    <row r="90" spans="1:26">
      <c r="A90" s="6"/>
      <c r="B90" s="6"/>
      <c r="C90" s="26" t="s">
        <v>105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5"/>
      <c r="Q90" s="36">
        <v>0</v>
      </c>
      <c r="R90" s="36">
        <v>0</v>
      </c>
      <c r="S90" s="37">
        <v>0</v>
      </c>
      <c r="T90" s="64"/>
      <c r="U90" s="15"/>
      <c r="V90" s="6"/>
      <c r="W90" s="6"/>
      <c r="X90" s="6"/>
      <c r="Y90" s="6"/>
      <c r="Z90" s="6"/>
    </row>
    <row r="91" spans="1:26">
      <c r="A91" s="6"/>
      <c r="B91" s="6"/>
      <c r="C91" s="65" t="s">
        <v>106</v>
      </c>
      <c r="D91" s="66">
        <v>82646.079731600024</v>
      </c>
      <c r="E91" s="66">
        <v>64961.457481900012</v>
      </c>
      <c r="F91" s="66">
        <v>105444.64603659997</v>
      </c>
      <c r="G91" s="66">
        <v>69324.375694900009</v>
      </c>
      <c r="H91" s="66">
        <v>75314.673309200007</v>
      </c>
      <c r="I91" s="66">
        <v>69103.504010799967</v>
      </c>
      <c r="J91" s="66">
        <v>73120.532397799951</v>
      </c>
      <c r="K91" s="66">
        <v>125585.01176650001</v>
      </c>
      <c r="L91" s="66">
        <v>101122.79502570003</v>
      </c>
      <c r="M91" s="66">
        <v>101728.47043160003</v>
      </c>
      <c r="N91" s="66">
        <v>151125.52386030002</v>
      </c>
      <c r="O91" s="66">
        <v>98976.037063599986</v>
      </c>
      <c r="P91" s="35"/>
      <c r="Q91" s="66">
        <v>466794.73626500001</v>
      </c>
      <c r="R91" s="66">
        <v>651658.37054549996</v>
      </c>
      <c r="S91" s="68">
        <v>1118453.1068104999</v>
      </c>
      <c r="T91" s="64"/>
      <c r="U91" s="15"/>
      <c r="V91" s="6"/>
      <c r="W91" s="6"/>
      <c r="X91" s="6"/>
      <c r="Y91" s="6"/>
      <c r="Z91" s="6"/>
    </row>
    <row r="92" spans="1:26">
      <c r="A92" s="6"/>
      <c r="B92" s="6"/>
      <c r="C92" s="26" t="s">
        <v>108</v>
      </c>
      <c r="D92" s="34">
        <v>-829.79</v>
      </c>
      <c r="E92" s="34">
        <v>0</v>
      </c>
      <c r="F92" s="34">
        <v>-320.19</v>
      </c>
      <c r="G92" s="34">
        <v>0</v>
      </c>
      <c r="H92" s="34">
        <v>0</v>
      </c>
      <c r="I92" s="34">
        <v>0</v>
      </c>
      <c r="J92" s="34">
        <v>0</v>
      </c>
      <c r="K92" s="34">
        <v>-7.73</v>
      </c>
      <c r="L92" s="34">
        <v>0</v>
      </c>
      <c r="M92" s="34">
        <v>-2300.6</v>
      </c>
      <c r="N92" s="34">
        <v>-1975.73</v>
      </c>
      <c r="O92" s="34">
        <v>-3032.57</v>
      </c>
      <c r="P92" s="35"/>
      <c r="Q92" s="36">
        <v>-1149.98</v>
      </c>
      <c r="R92" s="36">
        <v>-7316.6299999999992</v>
      </c>
      <c r="S92" s="37">
        <v>-8466.6099999999988</v>
      </c>
      <c r="T92" s="64"/>
      <c r="U92" s="15"/>
      <c r="V92" s="6"/>
      <c r="W92" s="6"/>
      <c r="X92" s="6"/>
      <c r="Y92" s="6"/>
      <c r="Z92" s="6"/>
    </row>
    <row r="93" spans="1:26">
      <c r="A93" s="6"/>
      <c r="B93" s="6"/>
      <c r="C93" s="26" t="s">
        <v>109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5"/>
      <c r="Q93" s="36">
        <v>0</v>
      </c>
      <c r="R93" s="36">
        <v>0</v>
      </c>
      <c r="S93" s="37">
        <v>0</v>
      </c>
      <c r="T93" s="64"/>
      <c r="U93" s="15"/>
      <c r="V93" s="6"/>
      <c r="W93" s="6"/>
      <c r="X93" s="6"/>
      <c r="Y93" s="6"/>
      <c r="Z93" s="6"/>
    </row>
    <row r="94" spans="1:26">
      <c r="A94" s="6"/>
      <c r="B94" s="6"/>
      <c r="C94" s="65" t="s">
        <v>110</v>
      </c>
      <c r="D94" s="66">
        <v>81816.289731600031</v>
      </c>
      <c r="E94" s="66">
        <v>64961.457481900012</v>
      </c>
      <c r="F94" s="66">
        <v>105124.45603659996</v>
      </c>
      <c r="G94" s="66">
        <v>69324.375694900009</v>
      </c>
      <c r="H94" s="66">
        <v>75314.673309200007</v>
      </c>
      <c r="I94" s="66">
        <v>69103.504010799967</v>
      </c>
      <c r="J94" s="66">
        <v>73120.532397799951</v>
      </c>
      <c r="K94" s="66">
        <v>125577.28176650002</v>
      </c>
      <c r="L94" s="66">
        <v>101122.79502570003</v>
      </c>
      <c r="M94" s="66">
        <v>99427.870431600022</v>
      </c>
      <c r="N94" s="66">
        <v>149149.79386030001</v>
      </c>
      <c r="O94" s="66">
        <v>95943.467063599979</v>
      </c>
      <c r="P94" s="35"/>
      <c r="Q94" s="66">
        <v>465644.75626500003</v>
      </c>
      <c r="R94" s="66">
        <v>644341.74054549995</v>
      </c>
      <c r="S94" s="68">
        <v>1109986.4968105</v>
      </c>
      <c r="T94" s="64"/>
      <c r="U94" s="15"/>
      <c r="V94" s="6"/>
      <c r="W94" s="6"/>
      <c r="X94" s="6"/>
      <c r="Y94" s="6"/>
      <c r="Z94" s="6"/>
    </row>
    <row r="95" spans="1:26">
      <c r="A95" s="6"/>
      <c r="B95" s="6"/>
      <c r="C95" s="26" t="s">
        <v>111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5"/>
      <c r="Q95" s="36">
        <v>0</v>
      </c>
      <c r="R95" s="36">
        <v>0</v>
      </c>
      <c r="S95" s="37">
        <v>0</v>
      </c>
      <c r="T95" s="64"/>
      <c r="U95" s="15"/>
      <c r="V95" s="6"/>
      <c r="W95" s="6"/>
      <c r="X95" s="6"/>
      <c r="Y95" s="6"/>
      <c r="Z95" s="6"/>
    </row>
    <row r="96" spans="1:26">
      <c r="A96" s="6"/>
      <c r="B96" s="6"/>
      <c r="C96" s="26" t="s">
        <v>112</v>
      </c>
      <c r="D96" s="34">
        <v>0</v>
      </c>
      <c r="E96" s="34">
        <v>-32500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-7875</v>
      </c>
      <c r="L96" s="34">
        <v>-750</v>
      </c>
      <c r="M96" s="34">
        <v>0</v>
      </c>
      <c r="N96" s="34">
        <v>0</v>
      </c>
      <c r="O96" s="34">
        <v>0</v>
      </c>
      <c r="P96" s="35"/>
      <c r="Q96" s="36">
        <v>-32500</v>
      </c>
      <c r="R96" s="36">
        <v>-8625</v>
      </c>
      <c r="S96" s="37">
        <v>-41125</v>
      </c>
      <c r="T96" s="64"/>
      <c r="U96" s="15"/>
      <c r="V96" s="6"/>
      <c r="W96" s="6"/>
      <c r="X96" s="6"/>
      <c r="Y96" s="6"/>
      <c r="Z96" s="6"/>
    </row>
    <row r="97" spans="1:26">
      <c r="A97" s="6"/>
      <c r="B97" s="6"/>
      <c r="C97" s="26" t="s">
        <v>113</v>
      </c>
      <c r="D97" s="34">
        <v>0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5"/>
      <c r="Q97" s="36">
        <v>0</v>
      </c>
      <c r="R97" s="36">
        <v>0</v>
      </c>
      <c r="S97" s="37">
        <v>0</v>
      </c>
      <c r="T97" s="64"/>
      <c r="U97" s="15"/>
      <c r="V97" s="6"/>
      <c r="W97" s="6"/>
      <c r="X97" s="6"/>
      <c r="Y97" s="6"/>
      <c r="Z97" s="6"/>
    </row>
    <row r="98" spans="1:26">
      <c r="A98" s="6"/>
      <c r="B98" s="6"/>
      <c r="C98" s="65" t="s">
        <v>114</v>
      </c>
      <c r="D98" s="66">
        <v>81816.289731600031</v>
      </c>
      <c r="E98" s="66">
        <v>32461.457481900012</v>
      </c>
      <c r="F98" s="66">
        <v>105124.45603659996</v>
      </c>
      <c r="G98" s="66">
        <v>69324.375694900009</v>
      </c>
      <c r="H98" s="66">
        <v>75314.673309200007</v>
      </c>
      <c r="I98" s="66">
        <v>69103.504010799967</v>
      </c>
      <c r="J98" s="66">
        <v>73120.532397799951</v>
      </c>
      <c r="K98" s="66">
        <v>117702.28176650002</v>
      </c>
      <c r="L98" s="66">
        <v>100372.79502570003</v>
      </c>
      <c r="M98" s="66">
        <v>99427.870431600022</v>
      </c>
      <c r="N98" s="66">
        <v>149149.79386030001</v>
      </c>
      <c r="O98" s="66">
        <v>95943.467063599979</v>
      </c>
      <c r="P98" s="35"/>
      <c r="Q98" s="66">
        <v>433144.75626500003</v>
      </c>
      <c r="R98" s="66">
        <v>635716.74054549995</v>
      </c>
      <c r="S98" s="68">
        <v>1068861.4968105</v>
      </c>
      <c r="T98" s="6"/>
      <c r="U98" s="15"/>
      <c r="V98" s="6"/>
      <c r="W98" s="6"/>
      <c r="X98" s="6"/>
      <c r="Y98" s="6"/>
      <c r="Z98" s="6"/>
    </row>
    <row r="99" spans="1:26">
      <c r="A99" s="6"/>
      <c r="B99" s="6"/>
      <c r="C99" s="4"/>
      <c r="D99" s="4"/>
      <c r="E99" s="4"/>
      <c r="F99" s="4"/>
      <c r="G99" s="4"/>
      <c r="H99" s="35"/>
      <c r="I99" s="35"/>
      <c r="J99" s="35"/>
      <c r="K99" s="35"/>
      <c r="L99" s="35"/>
      <c r="M99" s="35"/>
      <c r="N99" s="35"/>
      <c r="O99" s="35"/>
      <c r="P99" s="35"/>
      <c r="Q99" s="35">
        <v>0</v>
      </c>
      <c r="R99" s="35">
        <v>0</v>
      </c>
      <c r="S99" s="37">
        <v>0</v>
      </c>
      <c r="T99" s="64"/>
      <c r="U99" s="15"/>
      <c r="V99" s="6"/>
      <c r="W99" s="6"/>
      <c r="X99" s="6"/>
      <c r="Y99" s="6"/>
      <c r="Z99" s="6"/>
    </row>
    <row r="100" spans="1:26">
      <c r="A100" s="6"/>
      <c r="B100" s="6"/>
      <c r="C100" s="65" t="s">
        <v>115</v>
      </c>
      <c r="D100" s="66">
        <v>-1680.66</v>
      </c>
      <c r="E100" s="66">
        <v>-2744.85</v>
      </c>
      <c r="F100" s="66">
        <v>-623.22</v>
      </c>
      <c r="G100" s="66">
        <v>-573.35</v>
      </c>
      <c r="H100" s="66">
        <v>-573.35</v>
      </c>
      <c r="I100" s="66">
        <v>-500.79</v>
      </c>
      <c r="J100" s="66">
        <v>-500.79</v>
      </c>
      <c r="K100" s="66">
        <v>-1373.19</v>
      </c>
      <c r="L100" s="66">
        <v>-409.66</v>
      </c>
      <c r="M100" s="66">
        <v>-359.76</v>
      </c>
      <c r="N100" s="66">
        <v>-425.04</v>
      </c>
      <c r="O100" s="66">
        <v>-4025.33</v>
      </c>
      <c r="P100" s="35"/>
      <c r="Q100" s="66">
        <v>-6696.2200000000012</v>
      </c>
      <c r="R100" s="66">
        <v>-7093.7699999999995</v>
      </c>
      <c r="S100" s="68">
        <v>-13789.990000000002</v>
      </c>
      <c r="T100" s="6"/>
      <c r="U100" s="15"/>
      <c r="V100" s="6"/>
      <c r="W100" s="6"/>
      <c r="X100" s="6"/>
      <c r="Y100" s="6"/>
      <c r="Z100" s="6"/>
    </row>
    <row r="101" spans="1:26">
      <c r="A101" s="6"/>
      <c r="B101" s="6"/>
      <c r="C101" s="26" t="s">
        <v>116</v>
      </c>
      <c r="D101" s="34">
        <v>-1680.66</v>
      </c>
      <c r="E101" s="34">
        <v>-2744.85</v>
      </c>
      <c r="F101" s="34">
        <v>-623.22</v>
      </c>
      <c r="G101" s="34">
        <v>-573.35</v>
      </c>
      <c r="H101" s="34">
        <v>-573.35</v>
      </c>
      <c r="I101" s="34">
        <v>-500.79</v>
      </c>
      <c r="J101" s="34">
        <v>-500.79</v>
      </c>
      <c r="K101" s="71">
        <v>-1373.19</v>
      </c>
      <c r="L101" s="34">
        <v>-409.66</v>
      </c>
      <c r="M101" s="34">
        <v>-359.76</v>
      </c>
      <c r="N101" s="34">
        <v>-425.04</v>
      </c>
      <c r="O101" s="62">
        <v>-4025.33</v>
      </c>
      <c r="P101" s="35"/>
      <c r="Q101" s="36">
        <v>-6696.2200000000012</v>
      </c>
      <c r="R101" s="36">
        <v>-7093.7699999999995</v>
      </c>
      <c r="S101" s="37">
        <v>-13789.990000000002</v>
      </c>
      <c r="T101" s="64"/>
      <c r="U101" s="15"/>
      <c r="V101" s="6"/>
      <c r="W101" s="6"/>
      <c r="X101" s="6"/>
      <c r="Y101" s="6"/>
      <c r="Z101" s="6"/>
    </row>
    <row r="102" spans="1:26">
      <c r="A102" s="6"/>
      <c r="B102" s="6"/>
      <c r="C102" s="65" t="s">
        <v>117</v>
      </c>
      <c r="D102" s="66">
        <v>80135.629731600027</v>
      </c>
      <c r="E102" s="66">
        <v>29716.607481900013</v>
      </c>
      <c r="F102" s="66">
        <v>104501.23603659996</v>
      </c>
      <c r="G102" s="66">
        <v>68751.025694900003</v>
      </c>
      <c r="H102" s="66">
        <v>74741.323309200001</v>
      </c>
      <c r="I102" s="66">
        <v>68602.714010799973</v>
      </c>
      <c r="J102" s="66">
        <v>72619.742397799957</v>
      </c>
      <c r="K102" s="66">
        <v>116329.09176650002</v>
      </c>
      <c r="L102" s="66">
        <v>99963.13502570003</v>
      </c>
      <c r="M102" s="66">
        <v>99068.110431600027</v>
      </c>
      <c r="N102" s="66">
        <v>148724.7538603</v>
      </c>
      <c r="O102" s="66">
        <v>91918.137063599977</v>
      </c>
      <c r="P102" s="35"/>
      <c r="Q102" s="66">
        <v>426448.536265</v>
      </c>
      <c r="R102" s="66">
        <v>628622.97054549993</v>
      </c>
      <c r="S102" s="68">
        <v>1055071.5068104998</v>
      </c>
      <c r="T102" s="6"/>
      <c r="U102" s="15"/>
      <c r="V102" s="6"/>
      <c r="W102" s="6"/>
      <c r="X102" s="6"/>
      <c r="Y102" s="6"/>
      <c r="Z102" s="6"/>
    </row>
    <row r="103" spans="1:26">
      <c r="A103" s="59"/>
      <c r="B103" s="59"/>
      <c r="C103" s="2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9"/>
      <c r="U103" s="59"/>
      <c r="V103" s="59"/>
      <c r="W103" s="59"/>
      <c r="X103" s="59"/>
      <c r="Y103" s="59"/>
      <c r="Z103" s="59"/>
    </row>
    <row r="104" spans="1:26">
      <c r="A104" s="59"/>
      <c r="B104" s="59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93"/>
      <c r="U104" s="59"/>
      <c r="V104" s="59"/>
      <c r="W104" s="59"/>
      <c r="X104" s="59"/>
      <c r="Y104" s="59"/>
      <c r="Z104" s="59"/>
    </row>
    <row r="105" spans="1:26">
      <c r="A105" s="6"/>
      <c r="B105" s="6"/>
      <c r="C105" s="94" t="s">
        <v>118</v>
      </c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6"/>
      <c r="U105" s="15"/>
      <c r="V105" s="6"/>
      <c r="W105" s="6"/>
      <c r="X105" s="6"/>
      <c r="Y105" s="6"/>
      <c r="Z105" s="6"/>
    </row>
    <row r="106" spans="1:26">
      <c r="A106" s="6"/>
      <c r="B106" s="6"/>
      <c r="C106" s="2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6"/>
      <c r="U106" s="15"/>
      <c r="V106" s="6"/>
      <c r="W106" s="6"/>
      <c r="X106" s="6"/>
      <c r="Y106" s="6"/>
      <c r="Z106" s="6"/>
    </row>
    <row r="107" spans="1:26">
      <c r="A107" s="6"/>
      <c r="B107" s="6"/>
      <c r="C107" s="26"/>
      <c r="D107" s="35"/>
      <c r="E107" s="35"/>
      <c r="F107" s="35"/>
      <c r="G107" s="35"/>
      <c r="H107" s="35"/>
      <c r="I107" s="35"/>
      <c r="J107" s="35"/>
      <c r="K107" s="4"/>
      <c r="L107" s="4"/>
      <c r="M107" s="4"/>
      <c r="N107" s="4"/>
      <c r="O107" s="4"/>
      <c r="P107" s="4"/>
      <c r="Q107" s="4"/>
      <c r="R107" s="4"/>
      <c r="S107" s="4"/>
      <c r="T107" s="6"/>
      <c r="U107" s="15"/>
      <c r="V107" s="6"/>
      <c r="W107" s="6"/>
      <c r="X107" s="6"/>
      <c r="Y107" s="6"/>
      <c r="Z107" s="6"/>
    </row>
    <row r="108" spans="1:26">
      <c r="A108" s="6"/>
      <c r="B108" s="6"/>
      <c r="C108" s="65" t="s">
        <v>119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95"/>
      <c r="Q108" s="66">
        <v>0</v>
      </c>
      <c r="R108" s="66">
        <v>0</v>
      </c>
      <c r="S108" s="66">
        <v>0</v>
      </c>
      <c r="T108" s="6"/>
      <c r="U108" s="15"/>
      <c r="V108" s="6"/>
      <c r="W108" s="6"/>
      <c r="X108" s="6"/>
      <c r="Y108" s="6"/>
      <c r="Z108" s="6"/>
    </row>
    <row r="109" spans="1:26">
      <c r="A109" s="6"/>
      <c r="B109" s="6"/>
      <c r="C109" s="26" t="s">
        <v>120</v>
      </c>
      <c r="D109" s="62">
        <v>0</v>
      </c>
      <c r="E109" s="62">
        <v>0</v>
      </c>
      <c r="F109" s="62">
        <v>0</v>
      </c>
      <c r="G109" s="62">
        <v>0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0</v>
      </c>
      <c r="P109" s="26"/>
      <c r="Q109" s="96">
        <v>0</v>
      </c>
      <c r="R109" s="96">
        <v>0</v>
      </c>
      <c r="S109" s="96">
        <v>0</v>
      </c>
      <c r="T109" s="6"/>
      <c r="U109" s="15"/>
      <c r="V109" s="6"/>
      <c r="W109" s="6"/>
      <c r="X109" s="6"/>
      <c r="Y109" s="6"/>
      <c r="Z109" s="6"/>
    </row>
    <row r="110" spans="1:26">
      <c r="A110" s="6"/>
      <c r="B110" s="6"/>
      <c r="C110" s="26" t="s">
        <v>121</v>
      </c>
      <c r="D110" s="62">
        <v>0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26"/>
      <c r="Q110" s="96">
        <v>0</v>
      </c>
      <c r="R110" s="96">
        <v>0</v>
      </c>
      <c r="S110" s="96">
        <v>0</v>
      </c>
      <c r="T110" s="6"/>
      <c r="U110" s="15"/>
      <c r="V110" s="6"/>
      <c r="W110" s="6"/>
      <c r="X110" s="6"/>
      <c r="Y110" s="6"/>
      <c r="Z110" s="6"/>
    </row>
    <row r="111" spans="1:26">
      <c r="A111" s="6"/>
      <c r="B111" s="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6"/>
      <c r="U111" s="15"/>
      <c r="V111" s="6"/>
      <c r="W111" s="6"/>
      <c r="X111" s="6"/>
      <c r="Y111" s="6"/>
      <c r="Z111" s="6"/>
    </row>
    <row r="112" spans="1:26">
      <c r="A112" s="6"/>
      <c r="B112" s="6"/>
      <c r="C112" s="65" t="s">
        <v>115</v>
      </c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5"/>
      <c r="Q112" s="66">
        <v>0</v>
      </c>
      <c r="R112" s="66">
        <v>0</v>
      </c>
      <c r="S112" s="66">
        <v>0</v>
      </c>
      <c r="T112" s="6"/>
      <c r="U112" s="15"/>
      <c r="V112" s="6"/>
      <c r="W112" s="6"/>
      <c r="X112" s="6"/>
      <c r="Y112" s="6"/>
      <c r="Z112" s="6"/>
    </row>
    <row r="113" spans="1:26">
      <c r="A113" s="6"/>
      <c r="B113" s="6"/>
      <c r="C113" s="26" t="s">
        <v>115</v>
      </c>
      <c r="D113" s="62">
        <v>0</v>
      </c>
      <c r="E113" s="62">
        <v>0</v>
      </c>
      <c r="F113" s="62">
        <v>0</v>
      </c>
      <c r="G113" s="62">
        <v>0</v>
      </c>
      <c r="H113" s="62">
        <v>0</v>
      </c>
      <c r="I113" s="62">
        <v>0</v>
      </c>
      <c r="J113" s="62">
        <v>0</v>
      </c>
      <c r="K113" s="62">
        <v>0</v>
      </c>
      <c r="L113" s="62">
        <v>0</v>
      </c>
      <c r="M113" s="62">
        <v>0</v>
      </c>
      <c r="N113" s="62">
        <v>0</v>
      </c>
      <c r="O113" s="62">
        <v>0</v>
      </c>
      <c r="P113" s="26"/>
      <c r="Q113" s="96">
        <v>0</v>
      </c>
      <c r="R113" s="96">
        <v>0</v>
      </c>
      <c r="S113" s="96">
        <v>0</v>
      </c>
      <c r="T113" s="6"/>
      <c r="U113" s="15"/>
      <c r="V113" s="6"/>
      <c r="W113" s="6"/>
      <c r="X113" s="6"/>
      <c r="Y113" s="6"/>
      <c r="Z113" s="6"/>
    </row>
    <row r="114" spans="1:26">
      <c r="A114" s="6"/>
      <c r="B114" s="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6"/>
      <c r="U114" s="15"/>
      <c r="V114" s="6"/>
      <c r="W114" s="6"/>
      <c r="X114" s="6"/>
      <c r="Y114" s="6"/>
      <c r="Z114" s="6"/>
    </row>
    <row r="115" spans="1:26">
      <c r="A115" s="6"/>
      <c r="B115" s="6"/>
      <c r="C115" s="98" t="s">
        <v>123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95"/>
      <c r="Q115" s="66">
        <v>0</v>
      </c>
      <c r="R115" s="66">
        <v>0</v>
      </c>
      <c r="S115" s="66">
        <v>0</v>
      </c>
      <c r="T115" s="6"/>
      <c r="U115" s="15"/>
      <c r="V115" s="6"/>
      <c r="W115" s="6"/>
      <c r="X115" s="6"/>
      <c r="Y115" s="6"/>
      <c r="Z115" s="6"/>
    </row>
    <row r="116" spans="1:26">
      <c r="A116" s="6"/>
      <c r="B116" s="6"/>
      <c r="C116" s="26" t="s">
        <v>124</v>
      </c>
      <c r="D116" s="34">
        <v>0</v>
      </c>
      <c r="E116" s="34">
        <v>0</v>
      </c>
      <c r="F116" s="34">
        <v>0</v>
      </c>
      <c r="G116" s="34">
        <v>-90000</v>
      </c>
      <c r="H116" s="34">
        <v>0</v>
      </c>
      <c r="I116" s="34">
        <v>0</v>
      </c>
      <c r="J116" s="34">
        <v>-120000</v>
      </c>
      <c r="K116" s="62">
        <v>0</v>
      </c>
      <c r="L116" s="34">
        <v>0</v>
      </c>
      <c r="M116" s="34">
        <v>-150000</v>
      </c>
      <c r="N116" s="34">
        <v>0</v>
      </c>
      <c r="O116" s="62">
        <v>-180000</v>
      </c>
      <c r="P116" s="26"/>
      <c r="Q116" s="96">
        <v>-90000</v>
      </c>
      <c r="R116" s="96">
        <v>-450000</v>
      </c>
      <c r="S116" s="96">
        <v>-540000</v>
      </c>
      <c r="T116" s="6"/>
      <c r="U116" s="15"/>
      <c r="V116" s="6"/>
      <c r="W116" s="6"/>
      <c r="X116" s="6"/>
      <c r="Y116" s="6"/>
      <c r="Z116" s="6"/>
    </row>
    <row r="117" spans="1:26">
      <c r="A117" s="6"/>
      <c r="B117" s="6"/>
      <c r="C117" s="26" t="s">
        <v>125</v>
      </c>
      <c r="D117" s="34">
        <v>0</v>
      </c>
      <c r="E117" s="34">
        <v>0</v>
      </c>
      <c r="F117" s="34">
        <v>0</v>
      </c>
      <c r="G117" s="34">
        <v>-60000</v>
      </c>
      <c r="H117" s="34">
        <v>0</v>
      </c>
      <c r="I117" s="34">
        <v>-50000</v>
      </c>
      <c r="J117" s="34">
        <v>-29999.98</v>
      </c>
      <c r="K117" s="62">
        <v>0</v>
      </c>
      <c r="L117" s="34">
        <v>0</v>
      </c>
      <c r="M117" s="34">
        <v>-99999</v>
      </c>
      <c r="N117" s="34">
        <v>0</v>
      </c>
      <c r="O117" s="62">
        <v>-120000</v>
      </c>
      <c r="P117" s="26"/>
      <c r="Q117" s="96">
        <v>-110000</v>
      </c>
      <c r="R117" s="96">
        <v>-249998.97999999998</v>
      </c>
      <c r="S117" s="96">
        <v>-359998.98</v>
      </c>
      <c r="T117" s="6"/>
      <c r="U117" s="15"/>
      <c r="V117" s="6"/>
      <c r="W117" s="6"/>
      <c r="X117" s="6"/>
      <c r="Y117" s="6"/>
      <c r="Z117" s="6"/>
    </row>
    <row r="118" spans="1:26">
      <c r="A118" s="6"/>
      <c r="B118" s="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6"/>
      <c r="U118" s="15"/>
      <c r="V118" s="6"/>
      <c r="W118" s="6"/>
      <c r="X118" s="6"/>
      <c r="Y118" s="6"/>
      <c r="Z118" s="6"/>
    </row>
    <row r="119" spans="1:26">
      <c r="A119" s="6"/>
      <c r="B119" s="6"/>
      <c r="C119" s="65" t="s">
        <v>126</v>
      </c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95"/>
      <c r="Q119" s="66">
        <v>0</v>
      </c>
      <c r="R119" s="66">
        <v>0</v>
      </c>
      <c r="S119" s="66">
        <v>0</v>
      </c>
      <c r="T119" s="6"/>
      <c r="U119" s="15"/>
      <c r="V119" s="6"/>
      <c r="W119" s="6"/>
      <c r="X119" s="6"/>
      <c r="Y119" s="6"/>
      <c r="Z119" s="6"/>
    </row>
    <row r="120" spans="1:26">
      <c r="A120" s="6"/>
      <c r="B120" s="6"/>
      <c r="C120" s="26" t="s">
        <v>124</v>
      </c>
      <c r="D120" s="62">
        <v>0</v>
      </c>
      <c r="E120" s="62">
        <v>0</v>
      </c>
      <c r="F120" s="62">
        <v>0</v>
      </c>
      <c r="G120" s="62">
        <v>0</v>
      </c>
      <c r="H120" s="62">
        <v>0</v>
      </c>
      <c r="I120" s="62">
        <v>0</v>
      </c>
      <c r="J120" s="62">
        <v>0</v>
      </c>
      <c r="K120" s="62">
        <v>0</v>
      </c>
      <c r="L120" s="62">
        <v>0</v>
      </c>
      <c r="M120" s="62">
        <v>0</v>
      </c>
      <c r="N120" s="62">
        <v>0</v>
      </c>
      <c r="O120" s="62">
        <v>0</v>
      </c>
      <c r="P120" s="26"/>
      <c r="Q120" s="96">
        <v>0</v>
      </c>
      <c r="R120" s="96">
        <v>0</v>
      </c>
      <c r="S120" s="96">
        <v>0</v>
      </c>
      <c r="T120" s="6"/>
      <c r="U120" s="15"/>
      <c r="V120" s="6"/>
      <c r="W120" s="6"/>
      <c r="X120" s="6"/>
      <c r="Y120" s="6"/>
      <c r="Z120" s="6"/>
    </row>
    <row r="121" spans="1:26">
      <c r="A121" s="6"/>
      <c r="B121" s="6"/>
      <c r="C121" s="26" t="s">
        <v>125</v>
      </c>
      <c r="D121" s="62">
        <v>0</v>
      </c>
      <c r="E121" s="62">
        <v>0</v>
      </c>
      <c r="F121" s="62">
        <v>0</v>
      </c>
      <c r="G121" s="62">
        <v>0</v>
      </c>
      <c r="H121" s="62">
        <v>0</v>
      </c>
      <c r="I121" s="62">
        <v>0</v>
      </c>
      <c r="J121" s="62">
        <v>0</v>
      </c>
      <c r="K121" s="62">
        <v>0</v>
      </c>
      <c r="L121" s="62">
        <v>0</v>
      </c>
      <c r="M121" s="62">
        <v>0</v>
      </c>
      <c r="N121" s="62">
        <v>0</v>
      </c>
      <c r="O121" s="62">
        <v>0</v>
      </c>
      <c r="P121" s="26"/>
      <c r="Q121" s="96">
        <v>0</v>
      </c>
      <c r="R121" s="96">
        <v>0</v>
      </c>
      <c r="S121" s="96">
        <v>0</v>
      </c>
      <c r="T121" s="6"/>
      <c r="U121" s="15"/>
      <c r="V121" s="6"/>
      <c r="W121" s="6"/>
      <c r="X121" s="6"/>
      <c r="Y121" s="6"/>
      <c r="Z121" s="6"/>
    </row>
    <row r="122" spans="1:26">
      <c r="A122" s="6"/>
      <c r="B122" s="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6"/>
      <c r="U122" s="15"/>
      <c r="V122" s="6"/>
      <c r="W122" s="6"/>
      <c r="X122" s="6"/>
      <c r="Y122" s="6"/>
      <c r="Z122" s="6"/>
    </row>
    <row r="123" spans="1:26">
      <c r="A123" s="6"/>
      <c r="B123" s="6"/>
      <c r="C123" s="65" t="s">
        <v>127</v>
      </c>
      <c r="D123" s="99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5"/>
      <c r="Q123" s="66">
        <v>0</v>
      </c>
      <c r="R123" s="66">
        <v>0</v>
      </c>
      <c r="S123" s="66">
        <v>0</v>
      </c>
      <c r="T123" s="6"/>
      <c r="U123" s="15"/>
      <c r="V123" s="6"/>
      <c r="W123" s="6"/>
      <c r="X123" s="6"/>
      <c r="Y123" s="6"/>
      <c r="Z123" s="6"/>
    </row>
    <row r="124" spans="1:26">
      <c r="A124" s="6"/>
      <c r="B124" s="6"/>
      <c r="C124" s="26" t="s">
        <v>128</v>
      </c>
      <c r="D124" s="63">
        <v>58543.48</v>
      </c>
      <c r="E124" s="36">
        <v>31936.65</v>
      </c>
      <c r="F124" s="36">
        <v>160332.03</v>
      </c>
      <c r="G124" s="36">
        <v>279872.70999999996</v>
      </c>
      <c r="H124" s="36">
        <v>184522.96999999997</v>
      </c>
      <c r="I124" s="36">
        <v>273434.62</v>
      </c>
      <c r="J124" s="36">
        <v>308447.45999999996</v>
      </c>
      <c r="K124" s="36">
        <v>268887.06999999995</v>
      </c>
      <c r="L124" s="36">
        <v>249837.55999999994</v>
      </c>
      <c r="M124" s="36">
        <v>460546.86999999994</v>
      </c>
      <c r="N124" s="36">
        <v>302005.47999999992</v>
      </c>
      <c r="O124" s="36">
        <v>353643.4599999999</v>
      </c>
      <c r="P124" s="26"/>
      <c r="Q124" s="36">
        <v>988642.46</v>
      </c>
      <c r="R124" s="36">
        <v>1943367.8999999997</v>
      </c>
      <c r="S124" s="36">
        <v>2932010.3599999994</v>
      </c>
      <c r="T124" s="6"/>
      <c r="U124" s="15"/>
      <c r="V124" s="6"/>
      <c r="W124" s="6"/>
      <c r="X124" s="6"/>
      <c r="Y124" s="6"/>
      <c r="Z124" s="6"/>
    </row>
    <row r="125" spans="1:26">
      <c r="A125" s="6"/>
      <c r="B125" s="6"/>
      <c r="C125" s="26" t="s">
        <v>129</v>
      </c>
      <c r="D125" s="63">
        <v>-26606.83</v>
      </c>
      <c r="E125" s="63">
        <v>128395.38</v>
      </c>
      <c r="F125" s="63">
        <v>119540.68</v>
      </c>
      <c r="G125" s="63">
        <v>-95349.74</v>
      </c>
      <c r="H125" s="63">
        <v>88911.65</v>
      </c>
      <c r="I125" s="34">
        <v>35012.839999999997</v>
      </c>
      <c r="J125" s="34">
        <v>-39560.39</v>
      </c>
      <c r="K125" s="34">
        <v>-19049.509999999998</v>
      </c>
      <c r="L125" s="34">
        <v>210709.31</v>
      </c>
      <c r="M125" s="34">
        <v>-158541.39000000001</v>
      </c>
      <c r="N125" s="34">
        <v>51637.98</v>
      </c>
      <c r="O125" s="34">
        <v>-96996.88</v>
      </c>
      <c r="P125" s="26"/>
      <c r="Q125" s="36">
        <v>249903.97999999995</v>
      </c>
      <c r="R125" s="36">
        <v>-51800.880000000012</v>
      </c>
      <c r="S125" s="36">
        <v>198103.09999999995</v>
      </c>
      <c r="T125" s="6"/>
      <c r="U125" s="15"/>
      <c r="V125" s="6"/>
      <c r="W125" s="6"/>
      <c r="X125" s="6"/>
      <c r="Y125" s="6"/>
      <c r="Z125" s="6"/>
    </row>
    <row r="126" spans="1:26">
      <c r="A126" s="6"/>
      <c r="B126" s="6"/>
      <c r="C126" s="26" t="s">
        <v>130</v>
      </c>
      <c r="D126" s="36">
        <v>31936.65</v>
      </c>
      <c r="E126" s="36">
        <v>160332.03</v>
      </c>
      <c r="F126" s="36">
        <v>279872.70999999996</v>
      </c>
      <c r="G126" s="36">
        <v>184522.96999999997</v>
      </c>
      <c r="H126" s="36">
        <v>273434.62</v>
      </c>
      <c r="I126" s="36">
        <v>308447.45999999996</v>
      </c>
      <c r="J126" s="36">
        <v>268887.06999999995</v>
      </c>
      <c r="K126" s="36">
        <v>249837.55999999994</v>
      </c>
      <c r="L126" s="36">
        <v>460546.86999999994</v>
      </c>
      <c r="M126" s="36">
        <v>302005.47999999992</v>
      </c>
      <c r="N126" s="36">
        <v>353643.4599999999</v>
      </c>
      <c r="O126" s="36">
        <v>256646.5799999999</v>
      </c>
      <c r="P126" s="26"/>
      <c r="Q126" s="36">
        <v>1238546.44</v>
      </c>
      <c r="R126" s="36">
        <v>1891567.0199999996</v>
      </c>
      <c r="S126" s="36">
        <v>3130113.4599999995</v>
      </c>
      <c r="T126" s="6"/>
      <c r="U126" s="15"/>
      <c r="V126" s="6"/>
      <c r="W126" s="6"/>
      <c r="X126" s="6"/>
      <c r="Y126" s="6"/>
      <c r="Z126" s="6"/>
    </row>
    <row r="127" spans="1:26">
      <c r="A127" s="6"/>
      <c r="B127" s="6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>
        <v>0</v>
      </c>
      <c r="R127" s="101">
        <v>0</v>
      </c>
      <c r="S127" s="101">
        <v>0</v>
      </c>
      <c r="T127" s="6"/>
      <c r="U127" s="15"/>
      <c r="V127" s="6"/>
      <c r="W127" s="6"/>
      <c r="X127" s="6"/>
      <c r="Y127" s="6"/>
      <c r="Z127" s="6"/>
    </row>
    <row r="128" spans="1:26">
      <c r="A128" s="6"/>
      <c r="B128" s="6"/>
      <c r="C128" s="65" t="s">
        <v>131</v>
      </c>
      <c r="D128" s="66">
        <v>0</v>
      </c>
      <c r="E128" s="66">
        <v>0</v>
      </c>
      <c r="F128" s="66">
        <v>0</v>
      </c>
      <c r="G128" s="66">
        <v>0</v>
      </c>
      <c r="H128" s="66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95"/>
      <c r="Q128" s="66">
        <v>0</v>
      </c>
      <c r="R128" s="66">
        <v>0</v>
      </c>
      <c r="S128" s="66">
        <v>0</v>
      </c>
      <c r="T128" s="6"/>
      <c r="U128" s="15"/>
      <c r="V128" s="6"/>
      <c r="W128" s="6"/>
      <c r="X128" s="6"/>
      <c r="Y128" s="6"/>
      <c r="Z128" s="6"/>
    </row>
    <row r="129" spans="1:26">
      <c r="A129" s="6"/>
      <c r="B129" s="6"/>
      <c r="C129" s="26" t="s">
        <v>124</v>
      </c>
      <c r="D129" s="34">
        <v>0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26"/>
      <c r="Q129" s="96">
        <v>0</v>
      </c>
      <c r="R129" s="96">
        <v>0</v>
      </c>
      <c r="S129" s="96">
        <v>0</v>
      </c>
      <c r="T129" s="6"/>
      <c r="U129" s="15"/>
      <c r="V129" s="6"/>
      <c r="W129" s="6"/>
      <c r="X129" s="6"/>
      <c r="Y129" s="6"/>
      <c r="Z129" s="6"/>
    </row>
    <row r="130" spans="1:26">
      <c r="A130" s="6"/>
      <c r="B130" s="6"/>
      <c r="C130" s="26" t="s">
        <v>125</v>
      </c>
      <c r="D130" s="34">
        <v>0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26"/>
      <c r="Q130" s="96">
        <v>0</v>
      </c>
      <c r="R130" s="96">
        <v>0</v>
      </c>
      <c r="S130" s="96">
        <v>0</v>
      </c>
      <c r="T130" s="6"/>
      <c r="U130" s="15"/>
      <c r="V130" s="6"/>
      <c r="W130" s="6"/>
      <c r="X130" s="6"/>
      <c r="Y130" s="6"/>
      <c r="Z130" s="6"/>
    </row>
    <row r="131" spans="1:26">
      <c r="A131" s="6"/>
      <c r="B131" s="6"/>
      <c r="C131" s="2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6"/>
      <c r="U131" s="15"/>
      <c r="V131" s="6"/>
      <c r="W131" s="6"/>
      <c r="X131" s="6"/>
      <c r="Y131" s="6"/>
      <c r="Z131" s="6"/>
    </row>
    <row r="132" spans="1:26">
      <c r="A132" s="6"/>
      <c r="B132" s="6"/>
      <c r="C132" s="65" t="s">
        <v>132</v>
      </c>
      <c r="D132" s="66">
        <v>-1473724</v>
      </c>
      <c r="E132" s="66">
        <v>-1473724</v>
      </c>
      <c r="F132" s="66">
        <v>-1473724</v>
      </c>
      <c r="G132" s="66">
        <v>-1623724</v>
      </c>
      <c r="H132" s="66">
        <v>-1623724</v>
      </c>
      <c r="I132" s="66">
        <v>-1673724</v>
      </c>
      <c r="J132" s="66">
        <v>-1823723.98</v>
      </c>
      <c r="K132" s="66">
        <v>-1823723.98</v>
      </c>
      <c r="L132" s="66">
        <v>-1823723.98</v>
      </c>
      <c r="M132" s="66">
        <v>-2073722.98</v>
      </c>
      <c r="N132" s="66">
        <v>-2073722.98</v>
      </c>
      <c r="O132" s="66">
        <v>-2373722.98</v>
      </c>
      <c r="P132" s="95"/>
      <c r="Q132" s="66">
        <v>-9342344</v>
      </c>
      <c r="R132" s="66">
        <v>-11992340.880000001</v>
      </c>
      <c r="S132" s="66">
        <v>-21334684.880000003</v>
      </c>
      <c r="T132" s="6"/>
      <c r="U132" s="15"/>
      <c r="V132" s="6"/>
      <c r="W132" s="6"/>
      <c r="X132" s="6"/>
      <c r="Y132" s="6"/>
      <c r="Z132" s="6"/>
    </row>
    <row r="133" spans="1:26">
      <c r="A133" s="6"/>
      <c r="B133" s="6"/>
      <c r="C133" s="26" t="s">
        <v>124</v>
      </c>
      <c r="D133" s="36">
        <v>-877625</v>
      </c>
      <c r="E133" s="36">
        <v>-877625</v>
      </c>
      <c r="F133" s="36">
        <v>-877625</v>
      </c>
      <c r="G133" s="36">
        <v>-967625</v>
      </c>
      <c r="H133" s="36">
        <v>-967625</v>
      </c>
      <c r="I133" s="36">
        <v>-967625</v>
      </c>
      <c r="J133" s="36">
        <v>-1087625</v>
      </c>
      <c r="K133" s="36">
        <v>-1087625</v>
      </c>
      <c r="L133" s="36">
        <v>-1087625</v>
      </c>
      <c r="M133" s="36">
        <v>-1237625</v>
      </c>
      <c r="N133" s="36">
        <v>-1237625</v>
      </c>
      <c r="O133" s="36">
        <v>-1417625</v>
      </c>
      <c r="P133" s="26"/>
      <c r="Q133" s="96">
        <v>-5535750</v>
      </c>
      <c r="R133" s="96">
        <v>-7155750</v>
      </c>
      <c r="S133" s="96">
        <v>-12691500</v>
      </c>
      <c r="T133" s="6"/>
      <c r="U133" s="15"/>
      <c r="V133" s="6"/>
      <c r="W133" s="6"/>
      <c r="X133" s="6"/>
      <c r="Y133" s="6"/>
      <c r="Z133" s="6"/>
    </row>
    <row r="134" spans="1:26">
      <c r="A134" s="6"/>
      <c r="B134" s="6"/>
      <c r="C134" s="26" t="s">
        <v>125</v>
      </c>
      <c r="D134" s="36">
        <v>-596099</v>
      </c>
      <c r="E134" s="36">
        <v>-596099</v>
      </c>
      <c r="F134" s="36">
        <v>-596099</v>
      </c>
      <c r="G134" s="36">
        <v>-656099</v>
      </c>
      <c r="H134" s="36">
        <v>-656099</v>
      </c>
      <c r="I134" s="36">
        <v>-706099</v>
      </c>
      <c r="J134" s="36">
        <v>-736098.98</v>
      </c>
      <c r="K134" s="36">
        <v>-736098.98</v>
      </c>
      <c r="L134" s="36">
        <v>-736098.98</v>
      </c>
      <c r="M134" s="36">
        <v>-836097.98</v>
      </c>
      <c r="N134" s="36">
        <v>-836097.98</v>
      </c>
      <c r="O134" s="36">
        <v>-956097.98</v>
      </c>
      <c r="P134" s="26"/>
      <c r="Q134" s="96">
        <v>-3806594</v>
      </c>
      <c r="R134" s="96">
        <v>-4836590.88</v>
      </c>
      <c r="S134" s="96">
        <v>-8643184.879999999</v>
      </c>
      <c r="T134" s="6"/>
      <c r="U134" s="15"/>
      <c r="V134" s="6"/>
      <c r="W134" s="6"/>
      <c r="X134" s="6"/>
      <c r="Y134" s="6"/>
      <c r="Z134" s="6"/>
    </row>
    <row r="135" spans="1:26">
      <c r="A135" s="6"/>
      <c r="B135" s="6"/>
      <c r="C135" s="65" t="s">
        <v>132</v>
      </c>
      <c r="D135" s="66">
        <f t="shared" ref="D135:O135" si="0">SUM(D136:D137)</f>
        <v>-823723</v>
      </c>
      <c r="E135" s="66">
        <f t="shared" si="0"/>
        <v>-823723</v>
      </c>
      <c r="F135" s="66">
        <f t="shared" si="0"/>
        <v>-823723</v>
      </c>
      <c r="G135" s="66">
        <f t="shared" si="0"/>
        <v>-973723</v>
      </c>
      <c r="H135" s="66">
        <f t="shared" si="0"/>
        <v>-973723</v>
      </c>
      <c r="I135" s="66">
        <f t="shared" si="0"/>
        <v>-1023723</v>
      </c>
      <c r="J135" s="66">
        <f t="shared" si="0"/>
        <v>-1173722.98</v>
      </c>
      <c r="K135" s="66">
        <f t="shared" si="0"/>
        <v>-1173722.98</v>
      </c>
      <c r="L135" s="66">
        <f t="shared" si="0"/>
        <v>-1173722.98</v>
      </c>
      <c r="M135" s="66">
        <f t="shared" si="0"/>
        <v>-1423721.98</v>
      </c>
      <c r="N135" s="66">
        <f t="shared" si="0"/>
        <v>-1423721.98</v>
      </c>
      <c r="O135" s="66">
        <f t="shared" si="0"/>
        <v>-1723721.98</v>
      </c>
      <c r="P135" s="104"/>
      <c r="Q135" s="105"/>
      <c r="R135" s="105"/>
      <c r="S135" s="105"/>
      <c r="T135" s="106"/>
      <c r="U135" s="15"/>
      <c r="V135" s="6"/>
      <c r="W135" s="6"/>
      <c r="X135" s="6"/>
      <c r="Y135" s="6"/>
      <c r="Z135" s="6"/>
    </row>
    <row r="136" spans="1:26">
      <c r="A136" s="6"/>
      <c r="B136" s="6"/>
      <c r="C136" s="26" t="s">
        <v>124</v>
      </c>
      <c r="D136" s="36">
        <v>-553625</v>
      </c>
      <c r="E136" s="36">
        <f t="shared" ref="E136:O136" si="1">D136+E116</f>
        <v>-553625</v>
      </c>
      <c r="F136" s="36">
        <f t="shared" si="1"/>
        <v>-553625</v>
      </c>
      <c r="G136" s="36">
        <f t="shared" si="1"/>
        <v>-643625</v>
      </c>
      <c r="H136" s="36">
        <f t="shared" si="1"/>
        <v>-643625</v>
      </c>
      <c r="I136" s="36">
        <f t="shared" si="1"/>
        <v>-643625</v>
      </c>
      <c r="J136" s="36">
        <f t="shared" si="1"/>
        <v>-763625</v>
      </c>
      <c r="K136" s="36">
        <f t="shared" si="1"/>
        <v>-763625</v>
      </c>
      <c r="L136" s="36">
        <f t="shared" si="1"/>
        <v>-763625</v>
      </c>
      <c r="M136" s="36">
        <f t="shared" si="1"/>
        <v>-913625</v>
      </c>
      <c r="N136" s="36">
        <f t="shared" si="1"/>
        <v>-913625</v>
      </c>
      <c r="O136" s="36">
        <f t="shared" si="1"/>
        <v>-1093625</v>
      </c>
      <c r="P136" s="59"/>
      <c r="Q136" s="82"/>
      <c r="R136" s="82"/>
      <c r="S136" s="82"/>
      <c r="T136" s="64"/>
      <c r="U136" s="15"/>
      <c r="V136" s="6"/>
      <c r="W136" s="6"/>
      <c r="X136" s="6"/>
      <c r="Y136" s="6"/>
      <c r="Z136" s="6"/>
    </row>
    <row r="137" spans="1:26">
      <c r="A137" s="6"/>
      <c r="B137" s="6"/>
      <c r="C137" s="26" t="s">
        <v>125</v>
      </c>
      <c r="D137" s="36">
        <v>-270098</v>
      </c>
      <c r="E137" s="36">
        <f t="shared" ref="E137:O137" si="2">D137+E117</f>
        <v>-270098</v>
      </c>
      <c r="F137" s="36">
        <f t="shared" si="2"/>
        <v>-270098</v>
      </c>
      <c r="G137" s="36">
        <f t="shared" si="2"/>
        <v>-330098</v>
      </c>
      <c r="H137" s="36">
        <f t="shared" si="2"/>
        <v>-330098</v>
      </c>
      <c r="I137" s="36">
        <f t="shared" si="2"/>
        <v>-380098</v>
      </c>
      <c r="J137" s="36">
        <f t="shared" si="2"/>
        <v>-410097.98</v>
      </c>
      <c r="K137" s="36">
        <f t="shared" si="2"/>
        <v>-410097.98</v>
      </c>
      <c r="L137" s="36">
        <f t="shared" si="2"/>
        <v>-410097.98</v>
      </c>
      <c r="M137" s="36">
        <f t="shared" si="2"/>
        <v>-510096.98</v>
      </c>
      <c r="N137" s="36">
        <f t="shared" si="2"/>
        <v>-510096.98</v>
      </c>
      <c r="O137" s="36">
        <f t="shared" si="2"/>
        <v>-630096.98</v>
      </c>
      <c r="P137" s="59"/>
      <c r="Q137" s="82"/>
      <c r="R137" s="82"/>
      <c r="S137" s="82"/>
      <c r="T137" s="64"/>
      <c r="U137" s="15"/>
      <c r="V137" s="6"/>
      <c r="W137" s="6"/>
      <c r="X137" s="6"/>
      <c r="Y137" s="6"/>
      <c r="Z137" s="6"/>
    </row>
    <row r="138" spans="1:26">
      <c r="A138" s="6"/>
      <c r="B138" s="6"/>
      <c r="C138" s="5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5"/>
      <c r="V138" s="6"/>
      <c r="W138" s="6"/>
      <c r="X138" s="6"/>
      <c r="Y138" s="6"/>
      <c r="Z138" s="6"/>
    </row>
    <row r="139" spans="1:26">
      <c r="A139" s="6"/>
      <c r="B139" s="6"/>
      <c r="C139" s="10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5"/>
      <c r="V139" s="6"/>
      <c r="W139" s="6"/>
      <c r="X139" s="6"/>
      <c r="Y139" s="6"/>
      <c r="Z139" s="6"/>
    </row>
    <row r="140" spans="1:26">
      <c r="A140" s="6"/>
      <c r="B140" s="6"/>
      <c r="C140" s="5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5"/>
      <c r="V140" s="6"/>
      <c r="W140" s="6"/>
      <c r="X140" s="6"/>
      <c r="Y140" s="6"/>
      <c r="Z140" s="6"/>
    </row>
    <row r="141" spans="1:26">
      <c r="A141" s="6"/>
      <c r="B141" s="6"/>
      <c r="C141" s="5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5"/>
      <c r="V141" s="6"/>
      <c r="W141" s="6"/>
      <c r="X141" s="6"/>
      <c r="Y141" s="6"/>
      <c r="Z141" s="6"/>
    </row>
    <row r="142" spans="1:26">
      <c r="A142" s="6"/>
      <c r="B142" s="6"/>
      <c r="C142" s="5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5"/>
      <c r="V142" s="6"/>
      <c r="W142" s="6"/>
      <c r="X142" s="6"/>
      <c r="Y142" s="6"/>
      <c r="Z142" s="6"/>
    </row>
    <row r="143" spans="1:26">
      <c r="A143" s="6"/>
      <c r="B143" s="6"/>
      <c r="C143" s="5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5"/>
      <c r="V143" s="6"/>
      <c r="W143" s="6"/>
      <c r="X143" s="6"/>
      <c r="Y143" s="6"/>
      <c r="Z143" s="6"/>
    </row>
    <row r="144" spans="1:26">
      <c r="A144" s="6"/>
      <c r="B144" s="6"/>
      <c r="C144" s="5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5"/>
      <c r="V144" s="6"/>
      <c r="W144" s="6"/>
      <c r="X144" s="6"/>
      <c r="Y144" s="6"/>
      <c r="Z144" s="6"/>
    </row>
    <row r="145" spans="1:26">
      <c r="A145" s="6"/>
      <c r="B145" s="6"/>
      <c r="C145" s="5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5"/>
      <c r="V145" s="6"/>
      <c r="W145" s="6"/>
      <c r="X145" s="6"/>
      <c r="Y145" s="6"/>
      <c r="Z145" s="6"/>
    </row>
    <row r="146" spans="1:26">
      <c r="A146" s="6"/>
      <c r="B146" s="6"/>
      <c r="C146" s="5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5"/>
      <c r="V146" s="6"/>
      <c r="W146" s="6"/>
      <c r="X146" s="6"/>
      <c r="Y146" s="6"/>
      <c r="Z146" s="6"/>
    </row>
    <row r="147" spans="1:26">
      <c r="A147" s="6"/>
      <c r="B147" s="6"/>
      <c r="C147" s="5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5"/>
      <c r="V147" s="6"/>
      <c r="W147" s="6"/>
      <c r="X147" s="6"/>
      <c r="Y147" s="6"/>
      <c r="Z147" s="6"/>
    </row>
    <row r="148" spans="1:26">
      <c r="A148" s="6"/>
      <c r="B148" s="6"/>
      <c r="C148" s="5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5"/>
      <c r="V148" s="6"/>
      <c r="W148" s="6"/>
      <c r="X148" s="6"/>
      <c r="Y148" s="6"/>
      <c r="Z148" s="6"/>
    </row>
    <row r="149" spans="1:26">
      <c r="A149" s="6"/>
      <c r="B149" s="6"/>
      <c r="C149" s="5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5"/>
      <c r="V149" s="6"/>
      <c r="W149" s="6"/>
      <c r="X149" s="6"/>
      <c r="Y149" s="6"/>
      <c r="Z149" s="6"/>
    </row>
    <row r="150" spans="1:26">
      <c r="A150" s="6"/>
      <c r="B150" s="6"/>
      <c r="C150" s="5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5"/>
      <c r="V150" s="6"/>
      <c r="W150" s="6"/>
      <c r="X150" s="6"/>
      <c r="Y150" s="6"/>
      <c r="Z150" s="6"/>
    </row>
    <row r="151" spans="1:26">
      <c r="A151" s="6"/>
      <c r="B151" s="6"/>
      <c r="C151" s="5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5"/>
      <c r="V151" s="6"/>
      <c r="W151" s="6"/>
      <c r="X151" s="6"/>
      <c r="Y151" s="6"/>
      <c r="Z151" s="6"/>
    </row>
    <row r="152" spans="1:26">
      <c r="A152" s="6"/>
      <c r="B152" s="6"/>
      <c r="C152" s="5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5"/>
      <c r="V152" s="6"/>
      <c r="W152" s="6"/>
      <c r="X152" s="6"/>
      <c r="Y152" s="6"/>
      <c r="Z152" s="6"/>
    </row>
    <row r="153" spans="1:26">
      <c r="A153" s="6"/>
      <c r="B153" s="6"/>
      <c r="C153" s="5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5"/>
      <c r="V153" s="6"/>
      <c r="W153" s="6"/>
      <c r="X153" s="6"/>
      <c r="Y153" s="6"/>
      <c r="Z153" s="6"/>
    </row>
    <row r="154" spans="1:26">
      <c r="A154" s="6"/>
      <c r="B154" s="6"/>
      <c r="C154" s="5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5"/>
      <c r="V154" s="6"/>
      <c r="W154" s="6"/>
      <c r="X154" s="6"/>
      <c r="Y154" s="6"/>
      <c r="Z154" s="6"/>
    </row>
    <row r="155" spans="1:26">
      <c r="A155" s="6"/>
      <c r="B155" s="6"/>
      <c r="C155" s="5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5"/>
      <c r="V155" s="6"/>
      <c r="W155" s="6"/>
      <c r="X155" s="6"/>
      <c r="Y155" s="6"/>
      <c r="Z155" s="6"/>
    </row>
    <row r="156" spans="1:26">
      <c r="A156" s="6"/>
      <c r="B156" s="6"/>
      <c r="C156" s="5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5"/>
      <c r="V156" s="6"/>
      <c r="W156" s="6"/>
      <c r="X156" s="6"/>
      <c r="Y156" s="6"/>
      <c r="Z156" s="6"/>
    </row>
    <row r="157" spans="1:26">
      <c r="A157" s="6"/>
      <c r="B157" s="6"/>
      <c r="C157" s="5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5"/>
      <c r="V157" s="6"/>
      <c r="W157" s="6"/>
      <c r="X157" s="6"/>
      <c r="Y157" s="6"/>
      <c r="Z157" s="6"/>
    </row>
    <row r="158" spans="1:26">
      <c r="A158" s="6"/>
      <c r="B158" s="6"/>
      <c r="C158" s="5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5"/>
      <c r="V158" s="6"/>
      <c r="W158" s="6"/>
      <c r="X158" s="6"/>
      <c r="Y158" s="6"/>
      <c r="Z158" s="6"/>
    </row>
    <row r="159" spans="1:26">
      <c r="A159" s="6"/>
      <c r="B159" s="6"/>
      <c r="C159" s="5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5"/>
      <c r="V159" s="6"/>
      <c r="W159" s="6"/>
      <c r="X159" s="6"/>
      <c r="Y159" s="6"/>
      <c r="Z159" s="6"/>
    </row>
    <row r="160" spans="1:26">
      <c r="A160" s="6"/>
      <c r="B160" s="6"/>
      <c r="C160" s="5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15"/>
      <c r="V160" s="6"/>
      <c r="W160" s="6"/>
      <c r="X160" s="6"/>
      <c r="Y160" s="6"/>
      <c r="Z160" s="6"/>
    </row>
    <row r="161" spans="1:26">
      <c r="A161" s="6"/>
      <c r="B161" s="6"/>
      <c r="C161" s="5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5"/>
      <c r="V161" s="6"/>
      <c r="W161" s="6"/>
      <c r="X161" s="6"/>
      <c r="Y161" s="6"/>
      <c r="Z161" s="6"/>
    </row>
    <row r="162" spans="1:26">
      <c r="A162" s="6"/>
      <c r="B162" s="6"/>
      <c r="C162" s="5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5"/>
      <c r="V162" s="6"/>
      <c r="W162" s="6"/>
      <c r="X162" s="6"/>
      <c r="Y162" s="6"/>
      <c r="Z162" s="6"/>
    </row>
    <row r="163" spans="1:26">
      <c r="A163" s="6"/>
      <c r="B163" s="6"/>
      <c r="C163" s="5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15"/>
      <c r="V163" s="6"/>
      <c r="W163" s="6"/>
      <c r="X163" s="6"/>
      <c r="Y163" s="6"/>
      <c r="Z163" s="6"/>
    </row>
    <row r="164" spans="1:26">
      <c r="A164" s="6"/>
      <c r="B164" s="6"/>
      <c r="C164" s="5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5"/>
      <c r="V164" s="6"/>
      <c r="W164" s="6"/>
      <c r="X164" s="6"/>
      <c r="Y164" s="6"/>
      <c r="Z164" s="6"/>
    </row>
    <row r="165" spans="1:26">
      <c r="A165" s="6"/>
      <c r="B165" s="6"/>
      <c r="C165" s="5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5"/>
      <c r="V165" s="6"/>
      <c r="W165" s="6"/>
      <c r="X165" s="6"/>
      <c r="Y165" s="6"/>
      <c r="Z165" s="6"/>
    </row>
    <row r="166" spans="1:26">
      <c r="A166" s="6"/>
      <c r="B166" s="6"/>
      <c r="C166" s="5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5"/>
      <c r="V166" s="6"/>
      <c r="W166" s="6"/>
      <c r="X166" s="6"/>
      <c r="Y166" s="6"/>
      <c r="Z166" s="6"/>
    </row>
    <row r="167" spans="1:26">
      <c r="A167" s="6"/>
      <c r="B167" s="6"/>
      <c r="C167" s="5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5"/>
      <c r="V167" s="6"/>
      <c r="W167" s="6"/>
      <c r="X167" s="6"/>
      <c r="Y167" s="6"/>
      <c r="Z167" s="6"/>
    </row>
    <row r="168" spans="1:26">
      <c r="A168" s="6"/>
      <c r="B168" s="6"/>
      <c r="C168" s="5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5"/>
      <c r="V168" s="6"/>
      <c r="W168" s="6"/>
      <c r="X168" s="6"/>
      <c r="Y168" s="6"/>
      <c r="Z168" s="6"/>
    </row>
    <row r="169" spans="1:26">
      <c r="A169" s="6"/>
      <c r="B169" s="6"/>
      <c r="C169" s="5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5"/>
      <c r="V169" s="6"/>
      <c r="W169" s="6"/>
      <c r="X169" s="6"/>
      <c r="Y169" s="6"/>
      <c r="Z169" s="6"/>
    </row>
    <row r="170" spans="1:26">
      <c r="A170" s="6"/>
      <c r="B170" s="6"/>
      <c r="C170" s="5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5"/>
      <c r="V170" s="6"/>
      <c r="W170" s="6"/>
      <c r="X170" s="6"/>
      <c r="Y170" s="6"/>
      <c r="Z170" s="6"/>
    </row>
    <row r="171" spans="1:26">
      <c r="A171" s="6"/>
      <c r="B171" s="6"/>
      <c r="C171" s="5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5"/>
      <c r="V171" s="6"/>
      <c r="W171" s="6"/>
      <c r="X171" s="6"/>
      <c r="Y171" s="6"/>
      <c r="Z171" s="6"/>
    </row>
    <row r="172" spans="1:26">
      <c r="A172" s="6"/>
      <c r="B172" s="6"/>
      <c r="C172" s="5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5"/>
      <c r="V172" s="6"/>
      <c r="W172" s="6"/>
      <c r="X172" s="6"/>
      <c r="Y172" s="6"/>
      <c r="Z172" s="6"/>
    </row>
    <row r="173" spans="1:26">
      <c r="A173" s="6"/>
      <c r="B173" s="6"/>
      <c r="C173" s="5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15"/>
      <c r="V173" s="6"/>
      <c r="W173" s="6"/>
      <c r="X173" s="6"/>
      <c r="Y173" s="6"/>
      <c r="Z173" s="6"/>
    </row>
    <row r="174" spans="1:26">
      <c r="A174" s="6"/>
      <c r="B174" s="6"/>
      <c r="C174" s="5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15"/>
      <c r="V174" s="6"/>
      <c r="W174" s="6"/>
      <c r="X174" s="6"/>
      <c r="Y174" s="6"/>
      <c r="Z174" s="6"/>
    </row>
    <row r="175" spans="1:26">
      <c r="A175" s="6"/>
      <c r="B175" s="6"/>
      <c r="C175" s="5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5"/>
      <c r="V175" s="6"/>
      <c r="W175" s="6"/>
      <c r="X175" s="6"/>
      <c r="Y175" s="6"/>
      <c r="Z175" s="6"/>
    </row>
    <row r="176" spans="1:26">
      <c r="A176" s="6"/>
      <c r="B176" s="6"/>
      <c r="C176" s="5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5"/>
      <c r="V176" s="6"/>
      <c r="W176" s="6"/>
      <c r="X176" s="6"/>
      <c r="Y176" s="6"/>
      <c r="Z176" s="6"/>
    </row>
    <row r="177" spans="1:26">
      <c r="A177" s="6"/>
      <c r="B177" s="6"/>
      <c r="C177" s="5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15"/>
      <c r="V177" s="6"/>
      <c r="W177" s="6"/>
      <c r="X177" s="6"/>
      <c r="Y177" s="6"/>
      <c r="Z177" s="6"/>
    </row>
    <row r="178" spans="1:26">
      <c r="A178" s="6"/>
      <c r="B178" s="6"/>
      <c r="C178" s="5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5"/>
      <c r="V178" s="6"/>
      <c r="W178" s="6"/>
      <c r="X178" s="6"/>
      <c r="Y178" s="6"/>
      <c r="Z178" s="6"/>
    </row>
    <row r="179" spans="1:26">
      <c r="A179" s="6"/>
      <c r="B179" s="6"/>
      <c r="C179" s="5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15"/>
      <c r="V179" s="6"/>
      <c r="W179" s="6"/>
      <c r="X179" s="6"/>
      <c r="Y179" s="6"/>
      <c r="Z179" s="6"/>
    </row>
    <row r="180" spans="1:26">
      <c r="A180" s="6"/>
      <c r="B180" s="6"/>
      <c r="C180" s="5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5"/>
      <c r="V180" s="6"/>
      <c r="W180" s="6"/>
      <c r="X180" s="6"/>
      <c r="Y180" s="6"/>
      <c r="Z180" s="6"/>
    </row>
    <row r="181" spans="1:26">
      <c r="A181" s="6"/>
      <c r="B181" s="6"/>
      <c r="C181" s="5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15"/>
      <c r="V181" s="6"/>
      <c r="W181" s="6"/>
      <c r="X181" s="6"/>
      <c r="Y181" s="6"/>
      <c r="Z181" s="6"/>
    </row>
    <row r="182" spans="1:26">
      <c r="A182" s="6"/>
      <c r="B182" s="6"/>
      <c r="C182" s="5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15"/>
      <c r="V182" s="6"/>
      <c r="W182" s="6"/>
      <c r="X182" s="6"/>
      <c r="Y182" s="6"/>
      <c r="Z182" s="6"/>
    </row>
    <row r="183" spans="1:26">
      <c r="A183" s="6"/>
      <c r="B183" s="6"/>
      <c r="C183" s="5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15"/>
      <c r="V183" s="6"/>
      <c r="W183" s="6"/>
      <c r="X183" s="6"/>
      <c r="Y183" s="6"/>
      <c r="Z183" s="6"/>
    </row>
    <row r="184" spans="1:26">
      <c r="A184" s="6"/>
      <c r="B184" s="6"/>
      <c r="C184" s="5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15"/>
      <c r="V184" s="6"/>
      <c r="W184" s="6"/>
      <c r="X184" s="6"/>
      <c r="Y184" s="6"/>
      <c r="Z184" s="6"/>
    </row>
    <row r="185" spans="1:26">
      <c r="A185" s="6"/>
      <c r="B185" s="6"/>
      <c r="C185" s="5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15"/>
      <c r="V185" s="6"/>
      <c r="W185" s="6"/>
      <c r="X185" s="6"/>
      <c r="Y185" s="6"/>
      <c r="Z185" s="6"/>
    </row>
    <row r="186" spans="1:26">
      <c r="A186" s="6"/>
      <c r="B186" s="6"/>
      <c r="C186" s="5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5"/>
      <c r="V186" s="6"/>
      <c r="W186" s="6"/>
      <c r="X186" s="6"/>
      <c r="Y186" s="6"/>
      <c r="Z186" s="6"/>
    </row>
    <row r="187" spans="1:26">
      <c r="A187" s="6"/>
      <c r="B187" s="6"/>
      <c r="C187" s="5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5"/>
      <c r="V187" s="6"/>
      <c r="W187" s="6"/>
      <c r="X187" s="6"/>
      <c r="Y187" s="6"/>
      <c r="Z187" s="6"/>
    </row>
    <row r="188" spans="1:26">
      <c r="A188" s="6"/>
      <c r="B188" s="6"/>
      <c r="C188" s="5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5"/>
      <c r="V188" s="6"/>
      <c r="W188" s="6"/>
      <c r="X188" s="6"/>
      <c r="Y188" s="6"/>
      <c r="Z188" s="6"/>
    </row>
    <row r="189" spans="1:26">
      <c r="A189" s="6"/>
      <c r="B189" s="6"/>
      <c r="C189" s="5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5"/>
      <c r="V189" s="6"/>
      <c r="W189" s="6"/>
      <c r="X189" s="6"/>
      <c r="Y189" s="6"/>
      <c r="Z189" s="6"/>
    </row>
    <row r="190" spans="1:26">
      <c r="A190" s="6"/>
      <c r="B190" s="6"/>
      <c r="C190" s="5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15"/>
      <c r="V190" s="6"/>
      <c r="W190" s="6"/>
      <c r="X190" s="6"/>
      <c r="Y190" s="6"/>
      <c r="Z190" s="6"/>
    </row>
    <row r="191" spans="1:26">
      <c r="A191" s="6"/>
      <c r="B191" s="6"/>
      <c r="C191" s="5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15"/>
      <c r="V191" s="6"/>
      <c r="W191" s="6"/>
      <c r="X191" s="6"/>
      <c r="Y191" s="6"/>
      <c r="Z191" s="6"/>
    </row>
    <row r="192" spans="1:26">
      <c r="A192" s="6"/>
      <c r="B192" s="6"/>
      <c r="C192" s="5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15"/>
      <c r="V192" s="6"/>
      <c r="W192" s="6"/>
      <c r="X192" s="6"/>
      <c r="Y192" s="6"/>
      <c r="Z192" s="6"/>
    </row>
    <row r="193" spans="1:26">
      <c r="A193" s="6"/>
      <c r="B193" s="6"/>
      <c r="C193" s="5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15"/>
      <c r="V193" s="6"/>
      <c r="W193" s="6"/>
      <c r="X193" s="6"/>
      <c r="Y193" s="6"/>
      <c r="Z193" s="6"/>
    </row>
    <row r="194" spans="1:26">
      <c r="A194" s="6"/>
      <c r="B194" s="6"/>
      <c r="C194" s="5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15"/>
      <c r="V194" s="6"/>
      <c r="W194" s="6"/>
      <c r="X194" s="6"/>
      <c r="Y194" s="6"/>
      <c r="Z194" s="6"/>
    </row>
    <row r="195" spans="1:26">
      <c r="A195" s="6"/>
      <c r="B195" s="6"/>
      <c r="C195" s="5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15"/>
      <c r="V195" s="6"/>
      <c r="W195" s="6"/>
      <c r="X195" s="6"/>
      <c r="Y195" s="6"/>
      <c r="Z195" s="6"/>
    </row>
    <row r="196" spans="1:26">
      <c r="A196" s="6"/>
      <c r="B196" s="6"/>
      <c r="C196" s="5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15"/>
      <c r="V196" s="6"/>
      <c r="W196" s="6"/>
      <c r="X196" s="6"/>
      <c r="Y196" s="6"/>
      <c r="Z196" s="6"/>
    </row>
    <row r="197" spans="1:26">
      <c r="A197" s="6"/>
      <c r="B197" s="6"/>
      <c r="C197" s="5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15"/>
      <c r="V197" s="6"/>
      <c r="W197" s="6"/>
      <c r="X197" s="6"/>
      <c r="Y197" s="6"/>
      <c r="Z197" s="6"/>
    </row>
    <row r="198" spans="1:26">
      <c r="A198" s="6"/>
      <c r="B198" s="6"/>
      <c r="C198" s="5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15"/>
      <c r="V198" s="6"/>
      <c r="W198" s="6"/>
      <c r="X198" s="6"/>
      <c r="Y198" s="6"/>
      <c r="Z198" s="6"/>
    </row>
    <row r="199" spans="1:26">
      <c r="A199" s="6"/>
      <c r="B199" s="6"/>
      <c r="C199" s="5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15"/>
      <c r="V199" s="6"/>
      <c r="W199" s="6"/>
      <c r="X199" s="6"/>
      <c r="Y199" s="6"/>
      <c r="Z199" s="6"/>
    </row>
    <row r="200" spans="1:26">
      <c r="A200" s="6"/>
      <c r="B200" s="6"/>
      <c r="C200" s="5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15"/>
      <c r="V200" s="6"/>
      <c r="W200" s="6"/>
      <c r="X200" s="6"/>
      <c r="Y200" s="6"/>
      <c r="Z200" s="6"/>
    </row>
    <row r="201" spans="1:26">
      <c r="A201" s="6"/>
      <c r="B201" s="6"/>
      <c r="C201" s="5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15"/>
      <c r="V201" s="6"/>
      <c r="W201" s="6"/>
      <c r="X201" s="6"/>
      <c r="Y201" s="6"/>
      <c r="Z201" s="6"/>
    </row>
    <row r="202" spans="1:26">
      <c r="A202" s="6"/>
      <c r="B202" s="6"/>
      <c r="C202" s="5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15"/>
      <c r="V202" s="6"/>
      <c r="W202" s="6"/>
      <c r="X202" s="6"/>
      <c r="Y202" s="6"/>
      <c r="Z202" s="6"/>
    </row>
    <row r="203" spans="1:26">
      <c r="A203" s="6"/>
      <c r="B203" s="6"/>
      <c r="C203" s="5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15"/>
      <c r="V203" s="6"/>
      <c r="W203" s="6"/>
      <c r="X203" s="6"/>
      <c r="Y203" s="6"/>
      <c r="Z203" s="6"/>
    </row>
    <row r="204" spans="1:26">
      <c r="A204" s="6"/>
      <c r="B204" s="6"/>
      <c r="C204" s="5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5"/>
      <c r="V204" s="6"/>
      <c r="W204" s="6"/>
      <c r="X204" s="6"/>
      <c r="Y204" s="6"/>
      <c r="Z204" s="6"/>
    </row>
    <row r="205" spans="1:26">
      <c r="A205" s="6"/>
      <c r="B205" s="6"/>
      <c r="C205" s="5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15"/>
      <c r="V205" s="6"/>
      <c r="W205" s="6"/>
      <c r="X205" s="6"/>
      <c r="Y205" s="6"/>
      <c r="Z205" s="6"/>
    </row>
    <row r="206" spans="1:26">
      <c r="A206" s="6"/>
      <c r="B206" s="6"/>
      <c r="C206" s="5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15"/>
      <c r="V206" s="6"/>
      <c r="W206" s="6"/>
      <c r="X206" s="6"/>
      <c r="Y206" s="6"/>
      <c r="Z206" s="6"/>
    </row>
    <row r="207" spans="1:26">
      <c r="A207" s="6"/>
      <c r="B207" s="6"/>
      <c r="C207" s="5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15"/>
      <c r="V207" s="6"/>
      <c r="W207" s="6"/>
      <c r="X207" s="6"/>
      <c r="Y207" s="6"/>
      <c r="Z207" s="6"/>
    </row>
    <row r="208" spans="1:26">
      <c r="A208" s="6"/>
      <c r="B208" s="6"/>
      <c r="C208" s="5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15"/>
      <c r="V208" s="6"/>
      <c r="W208" s="6"/>
      <c r="X208" s="6"/>
      <c r="Y208" s="6"/>
      <c r="Z208" s="6"/>
    </row>
    <row r="209" spans="1:26">
      <c r="A209" s="6"/>
      <c r="B209" s="6"/>
      <c r="C209" s="59"/>
      <c r="D209" s="6"/>
      <c r="E209" s="6"/>
      <c r="F209" s="70"/>
      <c r="G209" s="6"/>
      <c r="H209" s="11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15"/>
      <c r="V209" s="6"/>
      <c r="W209" s="6"/>
      <c r="X209" s="6"/>
      <c r="Y209" s="6"/>
      <c r="Z209" s="6"/>
    </row>
    <row r="210" spans="1:26">
      <c r="A210" s="6"/>
      <c r="B210" s="6"/>
      <c r="C210" s="59"/>
      <c r="D210" s="6"/>
      <c r="E210" s="6"/>
      <c r="F210" s="70"/>
      <c r="G210" s="6"/>
      <c r="H210" s="11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15"/>
      <c r="V210" s="6"/>
      <c r="W210" s="6"/>
      <c r="X210" s="6"/>
      <c r="Y210" s="6"/>
      <c r="Z210" s="6"/>
    </row>
    <row r="211" spans="1:26">
      <c r="A211" s="6"/>
      <c r="B211" s="6"/>
      <c r="C211" s="59"/>
      <c r="D211" s="6"/>
      <c r="E211" s="6"/>
      <c r="F211" s="70"/>
      <c r="G211" s="6"/>
      <c r="H211" s="11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15"/>
      <c r="V211" s="6"/>
      <c r="W211" s="6"/>
      <c r="X211" s="6"/>
      <c r="Y211" s="6"/>
      <c r="Z211" s="6"/>
    </row>
    <row r="212" spans="1:26">
      <c r="A212" s="6"/>
      <c r="B212" s="6"/>
      <c r="C212" s="5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5"/>
      <c r="V212" s="6"/>
      <c r="W212" s="6"/>
      <c r="X212" s="6"/>
      <c r="Y212" s="6"/>
      <c r="Z212" s="6"/>
    </row>
    <row r="213" spans="1:26">
      <c r="A213" s="6"/>
      <c r="B213" s="6"/>
      <c r="C213" s="5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15"/>
      <c r="V213" s="6"/>
      <c r="W213" s="6"/>
      <c r="X213" s="6"/>
      <c r="Y213" s="6"/>
      <c r="Z213" s="6"/>
    </row>
    <row r="214" spans="1:26">
      <c r="A214" s="6"/>
      <c r="B214" s="6"/>
      <c r="C214" s="5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15"/>
      <c r="V214" s="6"/>
      <c r="W214" s="6"/>
      <c r="X214" s="6"/>
      <c r="Y214" s="6"/>
      <c r="Z214" s="6"/>
    </row>
    <row r="215" spans="1:26">
      <c r="A215" s="6"/>
      <c r="B215" s="6"/>
      <c r="C215" s="5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15"/>
      <c r="V215" s="6"/>
      <c r="W215" s="6"/>
      <c r="X215" s="6"/>
      <c r="Y215" s="6"/>
      <c r="Z215" s="6"/>
    </row>
    <row r="216" spans="1:26">
      <c r="A216" s="6"/>
      <c r="B216" s="6"/>
      <c r="C216" s="5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5"/>
      <c r="V216" s="6"/>
      <c r="W216" s="6"/>
      <c r="X216" s="6"/>
      <c r="Y216" s="6"/>
      <c r="Z216" s="6"/>
    </row>
    <row r="217" spans="1:26">
      <c r="A217" s="6"/>
      <c r="B217" s="6"/>
      <c r="C217" s="5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15"/>
      <c r="V217" s="6"/>
      <c r="W217" s="6"/>
      <c r="X217" s="6"/>
      <c r="Y217" s="6"/>
      <c r="Z217" s="6"/>
    </row>
    <row r="218" spans="1:26">
      <c r="A218" s="6"/>
      <c r="B218" s="6"/>
      <c r="C218" s="5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15"/>
      <c r="V218" s="6"/>
      <c r="W218" s="6"/>
      <c r="X218" s="6"/>
      <c r="Y218" s="6"/>
      <c r="Z218" s="6"/>
    </row>
    <row r="219" spans="1:26">
      <c r="A219" s="6"/>
      <c r="B219" s="6"/>
      <c r="C219" s="5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15"/>
      <c r="V219" s="6"/>
      <c r="W219" s="6"/>
      <c r="X219" s="6"/>
      <c r="Y219" s="6"/>
      <c r="Z219" s="6"/>
    </row>
    <row r="220" spans="1:26">
      <c r="A220" s="6"/>
      <c r="B220" s="6"/>
      <c r="C220" s="5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15"/>
      <c r="V220" s="6"/>
      <c r="W220" s="6"/>
      <c r="X220" s="6"/>
      <c r="Y220" s="6"/>
      <c r="Z220" s="6"/>
    </row>
    <row r="221" spans="1:26">
      <c r="A221" s="6"/>
      <c r="B221" s="6"/>
      <c r="C221" s="5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15"/>
      <c r="V221" s="6"/>
      <c r="W221" s="6"/>
      <c r="X221" s="6"/>
      <c r="Y221" s="6"/>
      <c r="Z221" s="6"/>
    </row>
    <row r="222" spans="1:26">
      <c r="A222" s="6"/>
      <c r="B222" s="6"/>
      <c r="C222" s="5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15"/>
      <c r="V222" s="6"/>
      <c r="W222" s="6"/>
      <c r="X222" s="6"/>
      <c r="Y222" s="6"/>
      <c r="Z222" s="6"/>
    </row>
    <row r="223" spans="1:26">
      <c r="A223" s="6"/>
      <c r="B223" s="6"/>
      <c r="C223" s="5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5"/>
      <c r="V223" s="6"/>
      <c r="W223" s="6"/>
      <c r="X223" s="6"/>
      <c r="Y223" s="6"/>
      <c r="Z223" s="6"/>
    </row>
    <row r="224" spans="1:26">
      <c r="A224" s="6"/>
      <c r="B224" s="6"/>
      <c r="C224" s="5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15"/>
      <c r="V224" s="6"/>
      <c r="W224" s="6"/>
      <c r="X224" s="6"/>
      <c r="Y224" s="6"/>
      <c r="Z224" s="6"/>
    </row>
    <row r="225" spans="1:26">
      <c r="A225" s="6"/>
      <c r="B225" s="6"/>
      <c r="C225" s="5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15"/>
      <c r="V225" s="6"/>
      <c r="W225" s="6"/>
      <c r="X225" s="6"/>
      <c r="Y225" s="6"/>
      <c r="Z225" s="6"/>
    </row>
    <row r="226" spans="1:26">
      <c r="A226" s="6"/>
      <c r="B226" s="6"/>
      <c r="C226" s="5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5"/>
      <c r="V226" s="6"/>
      <c r="W226" s="6"/>
      <c r="X226" s="6"/>
      <c r="Y226" s="6"/>
      <c r="Z226" s="6"/>
    </row>
    <row r="227" spans="1:26">
      <c r="A227" s="6"/>
      <c r="B227" s="6"/>
      <c r="C227" s="5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5"/>
      <c r="V227" s="6"/>
      <c r="W227" s="6"/>
      <c r="X227" s="6"/>
      <c r="Y227" s="6"/>
      <c r="Z227" s="6"/>
    </row>
    <row r="228" spans="1:26">
      <c r="A228" s="6"/>
      <c r="B228" s="6"/>
      <c r="C228" s="5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15"/>
      <c r="V228" s="6"/>
      <c r="W228" s="6"/>
      <c r="X228" s="6"/>
      <c r="Y228" s="6"/>
      <c r="Z228" s="6"/>
    </row>
    <row r="229" spans="1:26">
      <c r="A229" s="6"/>
      <c r="B229" s="6"/>
      <c r="C229" s="5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15"/>
      <c r="V229" s="6"/>
      <c r="W229" s="6"/>
      <c r="X229" s="6"/>
      <c r="Y229" s="6"/>
      <c r="Z229" s="6"/>
    </row>
    <row r="230" spans="1:26">
      <c r="A230" s="6"/>
      <c r="B230" s="6"/>
      <c r="C230" s="5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15"/>
      <c r="V230" s="6"/>
      <c r="W230" s="6"/>
      <c r="X230" s="6"/>
      <c r="Y230" s="6"/>
      <c r="Z230" s="6"/>
    </row>
    <row r="231" spans="1:26">
      <c r="A231" s="6"/>
      <c r="B231" s="6"/>
      <c r="C231" s="5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15"/>
      <c r="V231" s="6"/>
      <c r="W231" s="6"/>
      <c r="X231" s="6"/>
      <c r="Y231" s="6"/>
      <c r="Z231" s="6"/>
    </row>
    <row r="232" spans="1:26">
      <c r="A232" s="6"/>
      <c r="B232" s="6"/>
      <c r="C232" s="5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15"/>
      <c r="V232" s="6"/>
      <c r="W232" s="6"/>
      <c r="X232" s="6"/>
      <c r="Y232" s="6"/>
      <c r="Z232" s="6"/>
    </row>
    <row r="233" spans="1:26">
      <c r="A233" s="6"/>
      <c r="B233" s="6"/>
      <c r="C233" s="5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15"/>
      <c r="V233" s="6"/>
      <c r="W233" s="6"/>
      <c r="X233" s="6"/>
      <c r="Y233" s="6"/>
      <c r="Z233" s="6"/>
    </row>
    <row r="234" spans="1:26">
      <c r="A234" s="6"/>
      <c r="B234" s="6"/>
      <c r="C234" s="5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15"/>
      <c r="V234" s="6"/>
      <c r="W234" s="6"/>
      <c r="X234" s="6"/>
      <c r="Y234" s="6"/>
      <c r="Z234" s="6"/>
    </row>
    <row r="235" spans="1:26">
      <c r="A235" s="6"/>
      <c r="B235" s="6"/>
      <c r="C235" s="5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5"/>
      <c r="V235" s="6"/>
      <c r="W235" s="6"/>
      <c r="X235" s="6"/>
      <c r="Y235" s="6"/>
      <c r="Z235" s="6"/>
    </row>
    <row r="236" spans="1:26">
      <c r="A236" s="6"/>
      <c r="B236" s="6"/>
      <c r="C236" s="5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15"/>
      <c r="V236" s="6"/>
      <c r="W236" s="6"/>
      <c r="X236" s="6"/>
      <c r="Y236" s="6"/>
      <c r="Z236" s="6"/>
    </row>
    <row r="237" spans="1:26">
      <c r="A237" s="6"/>
      <c r="B237" s="6"/>
      <c r="C237" s="5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15"/>
      <c r="V237" s="6"/>
      <c r="W237" s="6"/>
      <c r="X237" s="6"/>
      <c r="Y237" s="6"/>
      <c r="Z237" s="6"/>
    </row>
    <row r="238" spans="1:26">
      <c r="A238" s="6"/>
      <c r="B238" s="6"/>
      <c r="C238" s="5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5"/>
      <c r="V238" s="6"/>
      <c r="W238" s="6"/>
      <c r="X238" s="6"/>
      <c r="Y238" s="6"/>
      <c r="Z238" s="6"/>
    </row>
    <row r="239" spans="1:26">
      <c r="A239" s="6"/>
      <c r="B239" s="6"/>
      <c r="C239" s="5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15"/>
      <c r="V239" s="6"/>
      <c r="W239" s="6"/>
      <c r="X239" s="6"/>
      <c r="Y239" s="6"/>
      <c r="Z239" s="6"/>
    </row>
    <row r="240" spans="1:26">
      <c r="A240" s="6"/>
      <c r="B240" s="6"/>
      <c r="C240" s="5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15"/>
      <c r="V240" s="6"/>
      <c r="W240" s="6"/>
      <c r="X240" s="6"/>
      <c r="Y240" s="6"/>
      <c r="Z240" s="6"/>
    </row>
    <row r="241" spans="1:26">
      <c r="A241" s="6"/>
      <c r="B241" s="6"/>
      <c r="C241" s="5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15"/>
      <c r="V241" s="6"/>
      <c r="W241" s="6"/>
      <c r="X241" s="6"/>
      <c r="Y241" s="6"/>
      <c r="Z241" s="6"/>
    </row>
    <row r="242" spans="1:26">
      <c r="A242" s="6"/>
      <c r="B242" s="6"/>
      <c r="C242" s="5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15"/>
      <c r="V242" s="6"/>
      <c r="W242" s="6"/>
      <c r="X242" s="6"/>
      <c r="Y242" s="6"/>
      <c r="Z242" s="6"/>
    </row>
    <row r="243" spans="1:26">
      <c r="A243" s="6"/>
      <c r="B243" s="6"/>
      <c r="C243" s="5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15"/>
      <c r="V243" s="6"/>
      <c r="W243" s="6"/>
      <c r="X243" s="6"/>
      <c r="Y243" s="6"/>
      <c r="Z243" s="6"/>
    </row>
    <row r="244" spans="1:26">
      <c r="A244" s="6"/>
      <c r="B244" s="6"/>
      <c r="C244" s="5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15"/>
      <c r="V244" s="6"/>
      <c r="W244" s="6"/>
      <c r="X244" s="6"/>
      <c r="Y244" s="6"/>
      <c r="Z244" s="6"/>
    </row>
    <row r="245" spans="1:26">
      <c r="A245" s="6"/>
      <c r="B245" s="6"/>
      <c r="C245" s="5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15"/>
      <c r="V245" s="6"/>
      <c r="W245" s="6"/>
      <c r="X245" s="6"/>
      <c r="Y245" s="6"/>
      <c r="Z245" s="6"/>
    </row>
    <row r="246" spans="1:26">
      <c r="A246" s="6"/>
      <c r="B246" s="6"/>
      <c r="C246" s="5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15"/>
      <c r="V246" s="6"/>
      <c r="W246" s="6"/>
      <c r="X246" s="6"/>
      <c r="Y246" s="6"/>
      <c r="Z246" s="6"/>
    </row>
    <row r="247" spans="1:26">
      <c r="A247" s="6"/>
      <c r="B247" s="6"/>
      <c r="C247" s="5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15"/>
      <c r="V247" s="6"/>
      <c r="W247" s="6"/>
      <c r="X247" s="6"/>
      <c r="Y247" s="6"/>
      <c r="Z247" s="6"/>
    </row>
    <row r="248" spans="1:26">
      <c r="A248" s="6"/>
      <c r="B248" s="6"/>
      <c r="C248" s="5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15"/>
      <c r="V248" s="6"/>
      <c r="W248" s="6"/>
      <c r="X248" s="6"/>
      <c r="Y248" s="6"/>
      <c r="Z248" s="6"/>
    </row>
    <row r="249" spans="1:26">
      <c r="A249" s="6"/>
      <c r="B249" s="6"/>
      <c r="C249" s="5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15"/>
      <c r="V249" s="6"/>
      <c r="W249" s="6"/>
      <c r="X249" s="6"/>
      <c r="Y249" s="6"/>
      <c r="Z249" s="6"/>
    </row>
    <row r="250" spans="1:26">
      <c r="A250" s="6"/>
      <c r="B250" s="6"/>
      <c r="C250" s="5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15"/>
      <c r="V250" s="6"/>
      <c r="W250" s="6"/>
      <c r="X250" s="6"/>
      <c r="Y250" s="6"/>
      <c r="Z250" s="6"/>
    </row>
    <row r="251" spans="1:26">
      <c r="A251" s="6"/>
      <c r="B251" s="6"/>
      <c r="C251" s="5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15"/>
      <c r="V251" s="6"/>
      <c r="W251" s="6"/>
      <c r="X251" s="6"/>
      <c r="Y251" s="6"/>
      <c r="Z251" s="6"/>
    </row>
    <row r="252" spans="1:26">
      <c r="A252" s="6"/>
      <c r="B252" s="6"/>
      <c r="C252" s="5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15"/>
      <c r="V252" s="6"/>
      <c r="W252" s="6"/>
      <c r="X252" s="6"/>
      <c r="Y252" s="6"/>
      <c r="Z252" s="6"/>
    </row>
    <row r="253" spans="1:26">
      <c r="A253" s="6"/>
      <c r="B253" s="6"/>
      <c r="C253" s="5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15"/>
      <c r="V253" s="6"/>
      <c r="W253" s="6"/>
      <c r="X253" s="6"/>
      <c r="Y253" s="6"/>
      <c r="Z253" s="6"/>
    </row>
    <row r="254" spans="1:26">
      <c r="A254" s="6"/>
      <c r="B254" s="6"/>
      <c r="C254" s="5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15"/>
      <c r="V254" s="6"/>
      <c r="W254" s="6"/>
      <c r="X254" s="6"/>
      <c r="Y254" s="6"/>
      <c r="Z254" s="6"/>
    </row>
    <row r="255" spans="1:26">
      <c r="A255" s="6"/>
      <c r="B255" s="6"/>
      <c r="C255" s="5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5"/>
      <c r="V255" s="6"/>
      <c r="W255" s="6"/>
      <c r="X255" s="6"/>
      <c r="Y255" s="6"/>
      <c r="Z255" s="6"/>
    </row>
    <row r="256" spans="1:26">
      <c r="A256" s="6"/>
      <c r="B256" s="6"/>
      <c r="C256" s="5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15"/>
      <c r="V256" s="6"/>
      <c r="W256" s="6"/>
      <c r="X256" s="6"/>
      <c r="Y256" s="6"/>
      <c r="Z256" s="6"/>
    </row>
    <row r="257" spans="1:26">
      <c r="A257" s="6"/>
      <c r="B257" s="6"/>
      <c r="C257" s="5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15"/>
      <c r="V257" s="6"/>
      <c r="W257" s="6"/>
      <c r="X257" s="6"/>
      <c r="Y257" s="6"/>
      <c r="Z257" s="6"/>
    </row>
    <row r="258" spans="1:26">
      <c r="A258" s="6"/>
      <c r="B258" s="6"/>
      <c r="C258" s="5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15"/>
      <c r="V258" s="6"/>
      <c r="W258" s="6"/>
      <c r="X258" s="6"/>
      <c r="Y258" s="6"/>
      <c r="Z258" s="6"/>
    </row>
    <row r="259" spans="1:26">
      <c r="A259" s="6"/>
      <c r="B259" s="6"/>
      <c r="C259" s="5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15"/>
      <c r="V259" s="6"/>
      <c r="W259" s="6"/>
      <c r="X259" s="6"/>
      <c r="Y259" s="6"/>
      <c r="Z259" s="6"/>
    </row>
    <row r="260" spans="1:26">
      <c r="A260" s="6"/>
      <c r="B260" s="6"/>
      <c r="C260" s="5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15"/>
      <c r="V260" s="6"/>
      <c r="W260" s="6"/>
      <c r="X260" s="6"/>
      <c r="Y260" s="6"/>
      <c r="Z260" s="6"/>
    </row>
    <row r="261" spans="1:26">
      <c r="A261" s="6"/>
      <c r="B261" s="6"/>
      <c r="C261" s="5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15"/>
      <c r="V261" s="6"/>
      <c r="W261" s="6"/>
      <c r="X261" s="6"/>
      <c r="Y261" s="6"/>
      <c r="Z261" s="6"/>
    </row>
    <row r="262" spans="1:26">
      <c r="A262" s="6"/>
      <c r="B262" s="6"/>
      <c r="C262" s="5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5"/>
      <c r="V262" s="6"/>
      <c r="W262" s="6"/>
      <c r="X262" s="6"/>
      <c r="Y262" s="6"/>
      <c r="Z262" s="6"/>
    </row>
    <row r="263" spans="1:26">
      <c r="A263" s="6"/>
      <c r="B263" s="6"/>
      <c r="C263" s="5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15"/>
      <c r="V263" s="6"/>
      <c r="W263" s="6"/>
      <c r="X263" s="6"/>
      <c r="Y263" s="6"/>
      <c r="Z263" s="6"/>
    </row>
    <row r="264" spans="1:26">
      <c r="A264" s="6"/>
      <c r="B264" s="6"/>
      <c r="C264" s="5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15"/>
      <c r="V264" s="6"/>
      <c r="W264" s="6"/>
      <c r="X264" s="6"/>
      <c r="Y264" s="6"/>
      <c r="Z264" s="6"/>
    </row>
    <row r="265" spans="1:26">
      <c r="A265" s="6"/>
      <c r="B265" s="6"/>
      <c r="C265" s="5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15"/>
      <c r="V265" s="6"/>
      <c r="W265" s="6"/>
      <c r="X265" s="6"/>
      <c r="Y265" s="6"/>
      <c r="Z265" s="6"/>
    </row>
    <row r="266" spans="1:26">
      <c r="A266" s="6"/>
      <c r="B266" s="6"/>
      <c r="C266" s="5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15"/>
      <c r="V266" s="6"/>
      <c r="W266" s="6"/>
      <c r="X266" s="6"/>
      <c r="Y266" s="6"/>
      <c r="Z266" s="6"/>
    </row>
    <row r="267" spans="1:26">
      <c r="A267" s="6"/>
      <c r="B267" s="6"/>
      <c r="C267" s="5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15"/>
      <c r="V267" s="6"/>
      <c r="W267" s="6"/>
      <c r="X267" s="6"/>
      <c r="Y267" s="6"/>
      <c r="Z267" s="6"/>
    </row>
    <row r="268" spans="1:26">
      <c r="A268" s="6"/>
      <c r="B268" s="6"/>
      <c r="C268" s="5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15"/>
      <c r="V268" s="6"/>
      <c r="W268" s="6"/>
      <c r="X268" s="6"/>
      <c r="Y268" s="6"/>
      <c r="Z268" s="6"/>
    </row>
    <row r="269" spans="1:26">
      <c r="A269" s="6"/>
      <c r="B269" s="6"/>
      <c r="C269" s="5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15"/>
      <c r="V269" s="6"/>
      <c r="W269" s="6"/>
      <c r="X269" s="6"/>
      <c r="Y269" s="6"/>
      <c r="Z269" s="6"/>
    </row>
    <row r="270" spans="1:26">
      <c r="A270" s="6"/>
      <c r="B270" s="6"/>
      <c r="C270" s="5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15"/>
      <c r="V270" s="6"/>
      <c r="W270" s="6"/>
      <c r="X270" s="6"/>
      <c r="Y270" s="6"/>
      <c r="Z270" s="6"/>
    </row>
    <row r="271" spans="1:26">
      <c r="A271" s="6"/>
      <c r="B271" s="6"/>
      <c r="C271" s="5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15"/>
      <c r="V271" s="6"/>
      <c r="W271" s="6"/>
      <c r="X271" s="6"/>
      <c r="Y271" s="6"/>
      <c r="Z271" s="6"/>
    </row>
    <row r="272" spans="1:26">
      <c r="A272" s="6"/>
      <c r="B272" s="6"/>
      <c r="C272" s="5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15"/>
      <c r="V272" s="6"/>
      <c r="W272" s="6"/>
      <c r="X272" s="6"/>
      <c r="Y272" s="6"/>
      <c r="Z272" s="6"/>
    </row>
    <row r="273" spans="1:26">
      <c r="A273" s="6"/>
      <c r="B273" s="6"/>
      <c r="C273" s="5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15"/>
      <c r="V273" s="6"/>
      <c r="W273" s="6"/>
      <c r="X273" s="6"/>
      <c r="Y273" s="6"/>
      <c r="Z273" s="6"/>
    </row>
    <row r="274" spans="1:26">
      <c r="A274" s="6"/>
      <c r="B274" s="6"/>
      <c r="C274" s="5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15"/>
      <c r="V274" s="6"/>
      <c r="W274" s="6"/>
      <c r="X274" s="6"/>
      <c r="Y274" s="6"/>
      <c r="Z274" s="6"/>
    </row>
    <row r="275" spans="1:26">
      <c r="A275" s="6"/>
      <c r="B275" s="6"/>
      <c r="C275" s="5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15"/>
      <c r="V275" s="6"/>
      <c r="W275" s="6"/>
      <c r="X275" s="6"/>
      <c r="Y275" s="6"/>
      <c r="Z275" s="6"/>
    </row>
    <row r="276" spans="1:26">
      <c r="A276" s="6"/>
      <c r="B276" s="6"/>
      <c r="C276" s="5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15"/>
      <c r="V276" s="6"/>
      <c r="W276" s="6"/>
      <c r="X276" s="6"/>
      <c r="Y276" s="6"/>
      <c r="Z276" s="6"/>
    </row>
    <row r="277" spans="1:26">
      <c r="A277" s="6"/>
      <c r="B277" s="6"/>
      <c r="C277" s="5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15"/>
      <c r="V277" s="6"/>
      <c r="W277" s="6"/>
      <c r="X277" s="6"/>
      <c r="Y277" s="6"/>
      <c r="Z277" s="6"/>
    </row>
    <row r="278" spans="1:26">
      <c r="A278" s="6"/>
      <c r="B278" s="6"/>
      <c r="C278" s="5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15"/>
      <c r="V278" s="6"/>
      <c r="W278" s="6"/>
      <c r="X278" s="6"/>
      <c r="Y278" s="6"/>
      <c r="Z278" s="6"/>
    </row>
    <row r="279" spans="1:26">
      <c r="A279" s="6"/>
      <c r="B279" s="6"/>
      <c r="C279" s="5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15"/>
      <c r="V279" s="6"/>
      <c r="W279" s="6"/>
      <c r="X279" s="6"/>
      <c r="Y279" s="6"/>
      <c r="Z279" s="6"/>
    </row>
    <row r="280" spans="1:26">
      <c r="A280" s="6"/>
      <c r="B280" s="6"/>
      <c r="C280" s="5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15"/>
      <c r="V280" s="6"/>
      <c r="W280" s="6"/>
      <c r="X280" s="6"/>
      <c r="Y280" s="6"/>
      <c r="Z280" s="6"/>
    </row>
    <row r="281" spans="1:26">
      <c r="A281" s="6"/>
      <c r="B281" s="6"/>
      <c r="C281" s="5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15"/>
      <c r="V281" s="6"/>
      <c r="W281" s="6"/>
      <c r="X281" s="6"/>
      <c r="Y281" s="6"/>
      <c r="Z281" s="6"/>
    </row>
    <row r="282" spans="1:26">
      <c r="A282" s="6"/>
      <c r="B282" s="6"/>
      <c r="C282" s="5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15"/>
      <c r="V282" s="6"/>
      <c r="W282" s="6"/>
      <c r="X282" s="6"/>
      <c r="Y282" s="6"/>
      <c r="Z282" s="6"/>
    </row>
    <row r="283" spans="1:26">
      <c r="A283" s="6"/>
      <c r="B283" s="6"/>
      <c r="C283" s="5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15"/>
      <c r="V283" s="6"/>
      <c r="W283" s="6"/>
      <c r="X283" s="6"/>
      <c r="Y283" s="6"/>
      <c r="Z283" s="6"/>
    </row>
    <row r="284" spans="1:26">
      <c r="A284" s="6"/>
      <c r="B284" s="6"/>
      <c r="C284" s="5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15"/>
      <c r="V284" s="6"/>
      <c r="W284" s="6"/>
      <c r="X284" s="6"/>
      <c r="Y284" s="6"/>
      <c r="Z284" s="6"/>
    </row>
    <row r="285" spans="1:26">
      <c r="A285" s="6"/>
      <c r="B285" s="6"/>
      <c r="C285" s="5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15"/>
      <c r="V285" s="6"/>
      <c r="W285" s="6"/>
      <c r="X285" s="6"/>
      <c r="Y285" s="6"/>
      <c r="Z285" s="6"/>
    </row>
    <row r="286" spans="1:26">
      <c r="A286" s="6"/>
      <c r="B286" s="6"/>
      <c r="C286" s="5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15"/>
      <c r="V286" s="6"/>
      <c r="W286" s="6"/>
      <c r="X286" s="6"/>
      <c r="Y286" s="6"/>
      <c r="Z286" s="6"/>
    </row>
    <row r="287" spans="1:26">
      <c r="A287" s="6"/>
      <c r="B287" s="6"/>
      <c r="C287" s="5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15"/>
      <c r="V287" s="6"/>
      <c r="W287" s="6"/>
      <c r="X287" s="6"/>
      <c r="Y287" s="6"/>
      <c r="Z287" s="6"/>
    </row>
    <row r="288" spans="1:26">
      <c r="A288" s="6"/>
      <c r="B288" s="6"/>
      <c r="C288" s="5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15"/>
      <c r="V288" s="6"/>
      <c r="W288" s="6"/>
      <c r="X288" s="6"/>
      <c r="Y288" s="6"/>
      <c r="Z288" s="6"/>
    </row>
    <row r="289" spans="1:26">
      <c r="A289" s="6"/>
      <c r="B289" s="6"/>
      <c r="C289" s="5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15"/>
      <c r="V289" s="6"/>
      <c r="W289" s="6"/>
      <c r="X289" s="6"/>
      <c r="Y289" s="6"/>
      <c r="Z289" s="6"/>
    </row>
    <row r="290" spans="1:26">
      <c r="A290" s="6"/>
      <c r="B290" s="6"/>
      <c r="C290" s="5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15"/>
      <c r="V290" s="6"/>
      <c r="W290" s="6"/>
      <c r="X290" s="6"/>
      <c r="Y290" s="6"/>
      <c r="Z290" s="6"/>
    </row>
    <row r="291" spans="1:26">
      <c r="A291" s="6"/>
      <c r="B291" s="6"/>
      <c r="C291" s="5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15"/>
      <c r="V291" s="6"/>
      <c r="W291" s="6"/>
      <c r="X291" s="6"/>
      <c r="Y291" s="6"/>
      <c r="Z291" s="6"/>
    </row>
    <row r="292" spans="1:26">
      <c r="A292" s="6"/>
      <c r="B292" s="6"/>
      <c r="C292" s="5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15"/>
      <c r="V292" s="6"/>
      <c r="W292" s="6"/>
      <c r="X292" s="6"/>
      <c r="Y292" s="6"/>
      <c r="Z292" s="6"/>
    </row>
    <row r="293" spans="1:26">
      <c r="A293" s="6"/>
      <c r="B293" s="6"/>
      <c r="C293" s="5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15"/>
      <c r="V293" s="6"/>
      <c r="W293" s="6"/>
      <c r="X293" s="6"/>
      <c r="Y293" s="6"/>
      <c r="Z293" s="6"/>
    </row>
    <row r="294" spans="1:26">
      <c r="A294" s="6"/>
      <c r="B294" s="6"/>
      <c r="C294" s="5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15"/>
      <c r="V294" s="6"/>
      <c r="W294" s="6"/>
      <c r="X294" s="6"/>
      <c r="Y294" s="6"/>
      <c r="Z294" s="6"/>
    </row>
    <row r="295" spans="1:26">
      <c r="A295" s="6"/>
      <c r="B295" s="6"/>
      <c r="C295" s="5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15"/>
      <c r="V295" s="6"/>
      <c r="W295" s="6"/>
      <c r="X295" s="6"/>
      <c r="Y295" s="6"/>
      <c r="Z295" s="6"/>
    </row>
    <row r="296" spans="1:26">
      <c r="A296" s="6"/>
      <c r="B296" s="6"/>
      <c r="C296" s="5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15"/>
      <c r="V296" s="6"/>
      <c r="W296" s="6"/>
      <c r="X296" s="6"/>
      <c r="Y296" s="6"/>
      <c r="Z296" s="6"/>
    </row>
    <row r="297" spans="1:26">
      <c r="A297" s="6"/>
      <c r="B297" s="6"/>
      <c r="C297" s="5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15"/>
      <c r="V297" s="6"/>
      <c r="W297" s="6"/>
      <c r="X297" s="6"/>
      <c r="Y297" s="6"/>
      <c r="Z297" s="6"/>
    </row>
    <row r="298" spans="1:26">
      <c r="A298" s="6"/>
      <c r="B298" s="6"/>
      <c r="C298" s="5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15"/>
      <c r="V298" s="6"/>
      <c r="W298" s="6"/>
      <c r="X298" s="6"/>
      <c r="Y298" s="6"/>
      <c r="Z298" s="6"/>
    </row>
    <row r="299" spans="1:26">
      <c r="A299" s="6"/>
      <c r="B299" s="6"/>
      <c r="C299" s="5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15"/>
      <c r="V299" s="6"/>
      <c r="W299" s="6"/>
      <c r="X299" s="6"/>
      <c r="Y299" s="6"/>
      <c r="Z299" s="6"/>
    </row>
    <row r="300" spans="1:26">
      <c r="A300" s="6"/>
      <c r="B300" s="6"/>
      <c r="C300" s="5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15"/>
      <c r="V300" s="6"/>
      <c r="W300" s="6"/>
      <c r="X300" s="6"/>
      <c r="Y300" s="6"/>
      <c r="Z300" s="6"/>
    </row>
    <row r="301" spans="1:26">
      <c r="A301" s="6"/>
      <c r="B301" s="6"/>
      <c r="C301" s="5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15"/>
      <c r="V301" s="6"/>
      <c r="W301" s="6"/>
      <c r="X301" s="6"/>
      <c r="Y301" s="6"/>
      <c r="Z301" s="6"/>
    </row>
    <row r="302" spans="1:26">
      <c r="A302" s="6"/>
      <c r="B302" s="6"/>
      <c r="C302" s="5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15"/>
      <c r="V302" s="6"/>
      <c r="W302" s="6"/>
      <c r="X302" s="6"/>
      <c r="Y302" s="6"/>
      <c r="Z302" s="6"/>
    </row>
    <row r="303" spans="1:26">
      <c r="A303" s="6"/>
      <c r="B303" s="6"/>
      <c r="C303" s="5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15"/>
      <c r="V303" s="6"/>
      <c r="W303" s="6"/>
      <c r="X303" s="6"/>
      <c r="Y303" s="6"/>
      <c r="Z303" s="6"/>
    </row>
    <row r="304" spans="1:26">
      <c r="A304" s="6"/>
      <c r="B304" s="6"/>
      <c r="C304" s="5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5"/>
      <c r="V304" s="6"/>
      <c r="W304" s="6"/>
      <c r="X304" s="6"/>
      <c r="Y304" s="6"/>
      <c r="Z304" s="6"/>
    </row>
    <row r="305" spans="1:26">
      <c r="A305" s="6"/>
      <c r="B305" s="6"/>
      <c r="C305" s="5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15"/>
      <c r="V305" s="6"/>
      <c r="W305" s="6"/>
      <c r="X305" s="6"/>
      <c r="Y305" s="6"/>
      <c r="Z305" s="6"/>
    </row>
    <row r="306" spans="1:26">
      <c r="A306" s="6"/>
      <c r="B306" s="6"/>
      <c r="C306" s="5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15"/>
      <c r="V306" s="6"/>
      <c r="W306" s="6"/>
      <c r="X306" s="6"/>
      <c r="Y306" s="6"/>
      <c r="Z306" s="6"/>
    </row>
    <row r="307" spans="1:26">
      <c r="A307" s="6"/>
      <c r="B307" s="6"/>
      <c r="C307" s="5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15"/>
      <c r="V307" s="6"/>
      <c r="W307" s="6"/>
      <c r="X307" s="6"/>
      <c r="Y307" s="6"/>
      <c r="Z307" s="6"/>
    </row>
    <row r="308" spans="1:26">
      <c r="A308" s="6"/>
      <c r="B308" s="6"/>
      <c r="C308" s="5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15"/>
      <c r="V308" s="6"/>
      <c r="W308" s="6"/>
      <c r="X308" s="6"/>
      <c r="Y308" s="6"/>
      <c r="Z308" s="6"/>
    </row>
    <row r="309" spans="1:26">
      <c r="A309" s="6"/>
      <c r="B309" s="6"/>
      <c r="C309" s="5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15"/>
      <c r="V309" s="6"/>
      <c r="W309" s="6"/>
      <c r="X309" s="6"/>
      <c r="Y309" s="6"/>
      <c r="Z309" s="6"/>
    </row>
    <row r="310" spans="1:26">
      <c r="A310" s="6"/>
      <c r="B310" s="6"/>
      <c r="C310" s="5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15"/>
      <c r="V310" s="6"/>
      <c r="W310" s="6"/>
      <c r="X310" s="6"/>
      <c r="Y310" s="6"/>
      <c r="Z310" s="6"/>
    </row>
    <row r="311" spans="1:26">
      <c r="A311" s="6"/>
      <c r="B311" s="6"/>
      <c r="C311" s="5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15"/>
      <c r="V311" s="6"/>
      <c r="W311" s="6"/>
      <c r="X311" s="6"/>
      <c r="Y311" s="6"/>
      <c r="Z311" s="6"/>
    </row>
    <row r="312" spans="1:26">
      <c r="A312" s="6"/>
      <c r="B312" s="6"/>
      <c r="C312" s="5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15"/>
      <c r="V312" s="6"/>
      <c r="W312" s="6"/>
      <c r="X312" s="6"/>
      <c r="Y312" s="6"/>
      <c r="Z312" s="6"/>
    </row>
    <row r="313" spans="1:26">
      <c r="A313" s="6"/>
      <c r="B313" s="6"/>
      <c r="C313" s="5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15"/>
      <c r="V313" s="6"/>
      <c r="W313" s="6"/>
      <c r="X313" s="6"/>
      <c r="Y313" s="6"/>
      <c r="Z313" s="6"/>
    </row>
    <row r="314" spans="1:26">
      <c r="A314" s="6"/>
      <c r="B314" s="6"/>
      <c r="C314" s="5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15"/>
      <c r="V314" s="6"/>
      <c r="W314" s="6"/>
      <c r="X314" s="6"/>
      <c r="Y314" s="6"/>
      <c r="Z314" s="6"/>
    </row>
    <row r="315" spans="1:26">
      <c r="A315" s="6"/>
      <c r="B315" s="6"/>
      <c r="C315" s="5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15"/>
      <c r="V315" s="6"/>
      <c r="W315" s="6"/>
      <c r="X315" s="6"/>
      <c r="Y315" s="6"/>
      <c r="Z315" s="6"/>
    </row>
    <row r="316" spans="1:26">
      <c r="A316" s="6"/>
      <c r="B316" s="6"/>
      <c r="C316" s="5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15"/>
      <c r="V316" s="6"/>
      <c r="W316" s="6"/>
      <c r="X316" s="6"/>
      <c r="Y316" s="6"/>
      <c r="Z316" s="6"/>
    </row>
    <row r="317" spans="1:26">
      <c r="A317" s="6"/>
      <c r="B317" s="6"/>
      <c r="C317" s="5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15"/>
      <c r="V317" s="6"/>
      <c r="W317" s="6"/>
      <c r="X317" s="6"/>
      <c r="Y317" s="6"/>
      <c r="Z317" s="6"/>
    </row>
    <row r="318" spans="1:26">
      <c r="A318" s="6"/>
      <c r="B318" s="6"/>
      <c r="C318" s="5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15"/>
      <c r="V318" s="6"/>
      <c r="W318" s="6"/>
      <c r="X318" s="6"/>
      <c r="Y318" s="6"/>
      <c r="Z318" s="6"/>
    </row>
    <row r="319" spans="1:26">
      <c r="A319" s="6"/>
      <c r="B319" s="6"/>
      <c r="C319" s="5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15"/>
      <c r="V319" s="6"/>
      <c r="W319" s="6"/>
      <c r="X319" s="6"/>
      <c r="Y319" s="6"/>
      <c r="Z319" s="6"/>
    </row>
    <row r="320" spans="1:26">
      <c r="A320" s="6"/>
      <c r="B320" s="6"/>
      <c r="C320" s="5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15"/>
      <c r="V320" s="6"/>
      <c r="W320" s="6"/>
      <c r="X320" s="6"/>
      <c r="Y320" s="6"/>
      <c r="Z320" s="6"/>
    </row>
    <row r="321" spans="1:26">
      <c r="A321" s="6"/>
      <c r="B321" s="6"/>
      <c r="C321" s="5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15"/>
      <c r="V321" s="6"/>
      <c r="W321" s="6"/>
      <c r="X321" s="6"/>
      <c r="Y321" s="6"/>
      <c r="Z321" s="6"/>
    </row>
    <row r="322" spans="1:26">
      <c r="A322" s="6"/>
      <c r="B322" s="6"/>
      <c r="C322" s="5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15"/>
      <c r="V322" s="6"/>
      <c r="W322" s="6"/>
      <c r="X322" s="6"/>
      <c r="Y322" s="6"/>
      <c r="Z322" s="6"/>
    </row>
    <row r="323" spans="1:26">
      <c r="A323" s="6"/>
      <c r="B323" s="6"/>
      <c r="C323" s="5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15"/>
      <c r="V323" s="6"/>
      <c r="W323" s="6"/>
      <c r="X323" s="6"/>
      <c r="Y323" s="6"/>
      <c r="Z323" s="6"/>
    </row>
    <row r="324" spans="1:26">
      <c r="A324" s="6"/>
      <c r="B324" s="6"/>
      <c r="C324" s="5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15"/>
      <c r="V324" s="6"/>
      <c r="W324" s="6"/>
      <c r="X324" s="6"/>
      <c r="Y324" s="6"/>
      <c r="Z324" s="6"/>
    </row>
    <row r="325" spans="1:26">
      <c r="A325" s="6"/>
      <c r="B325" s="6"/>
      <c r="C325" s="5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15"/>
      <c r="V325" s="6"/>
      <c r="W325" s="6"/>
      <c r="X325" s="6"/>
      <c r="Y325" s="6"/>
      <c r="Z325" s="6"/>
    </row>
    <row r="326" spans="1:26">
      <c r="A326" s="6"/>
      <c r="B326" s="6"/>
      <c r="C326" s="5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15"/>
      <c r="V326" s="6"/>
      <c r="W326" s="6"/>
      <c r="X326" s="6"/>
      <c r="Y326" s="6"/>
      <c r="Z326" s="6"/>
    </row>
    <row r="327" spans="1:26">
      <c r="A327" s="6"/>
      <c r="B327" s="6"/>
      <c r="C327" s="5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15"/>
      <c r="V327" s="6"/>
      <c r="W327" s="6"/>
      <c r="X327" s="6"/>
      <c r="Y327" s="6"/>
      <c r="Z327" s="6"/>
    </row>
    <row r="328" spans="1:26">
      <c r="A328" s="6"/>
      <c r="B328" s="6"/>
      <c r="C328" s="5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15"/>
      <c r="V328" s="6"/>
      <c r="W328" s="6"/>
      <c r="X328" s="6"/>
      <c r="Y328" s="6"/>
      <c r="Z328" s="6"/>
    </row>
    <row r="329" spans="1:26">
      <c r="A329" s="6"/>
      <c r="B329" s="6"/>
      <c r="C329" s="5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15"/>
      <c r="V329" s="6"/>
      <c r="W329" s="6"/>
      <c r="X329" s="6"/>
      <c r="Y329" s="6"/>
      <c r="Z329" s="6"/>
    </row>
    <row r="330" spans="1:26">
      <c r="A330" s="6"/>
      <c r="B330" s="6"/>
      <c r="C330" s="5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15"/>
      <c r="V330" s="6"/>
      <c r="W330" s="6"/>
      <c r="X330" s="6"/>
      <c r="Y330" s="6"/>
      <c r="Z330" s="6"/>
    </row>
    <row r="331" spans="1:26">
      <c r="A331" s="6"/>
      <c r="B331" s="6"/>
      <c r="C331" s="5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15"/>
      <c r="V331" s="6"/>
      <c r="W331" s="6"/>
      <c r="X331" s="6"/>
      <c r="Y331" s="6"/>
      <c r="Z331" s="6"/>
    </row>
    <row r="332" spans="1:26">
      <c r="A332" s="6"/>
      <c r="B332" s="6"/>
      <c r="C332" s="5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15"/>
      <c r="V332" s="6"/>
      <c r="W332" s="6"/>
      <c r="X332" s="6"/>
      <c r="Y332" s="6"/>
      <c r="Z332" s="6"/>
    </row>
    <row r="333" spans="1:26">
      <c r="A333" s="6"/>
      <c r="B333" s="6"/>
      <c r="C333" s="5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15"/>
      <c r="V333" s="6"/>
      <c r="W333" s="6"/>
      <c r="X333" s="6"/>
      <c r="Y333" s="6"/>
      <c r="Z333" s="6"/>
    </row>
    <row r="334" spans="1:26">
      <c r="A334" s="6"/>
      <c r="B334" s="6"/>
      <c r="C334" s="5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15"/>
      <c r="V334" s="6"/>
      <c r="W334" s="6"/>
      <c r="X334" s="6"/>
      <c r="Y334" s="6"/>
      <c r="Z334" s="6"/>
    </row>
    <row r="335" spans="1:26">
      <c r="A335" s="6"/>
      <c r="B335" s="6"/>
      <c r="C335" s="5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15"/>
      <c r="V335" s="6"/>
      <c r="W335" s="6"/>
      <c r="X335" s="6"/>
      <c r="Y335" s="6"/>
      <c r="Z335" s="6"/>
    </row>
    <row r="336" spans="1:26">
      <c r="A336" s="6"/>
      <c r="B336" s="6"/>
      <c r="C336" s="5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15"/>
      <c r="V336" s="6"/>
      <c r="W336" s="6"/>
      <c r="X336" s="6"/>
      <c r="Y336" s="6"/>
      <c r="Z336" s="6"/>
    </row>
    <row r="337" spans="1:26">
      <c r="A337" s="6"/>
      <c r="B337" s="6"/>
      <c r="C337" s="5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15"/>
      <c r="V337" s="6"/>
      <c r="W337" s="6"/>
      <c r="X337" s="6"/>
      <c r="Y337" s="6"/>
      <c r="Z337" s="6"/>
    </row>
    <row r="338" spans="1:26">
      <c r="A338" s="6"/>
      <c r="B338" s="6"/>
      <c r="C338" s="5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15"/>
      <c r="V338" s="6"/>
      <c r="W338" s="6"/>
      <c r="X338" s="6"/>
      <c r="Y338" s="6"/>
      <c r="Z338" s="6"/>
    </row>
    <row r="339" spans="1:26">
      <c r="A339" s="6"/>
      <c r="B339" s="6"/>
      <c r="C339" s="5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15"/>
      <c r="V339" s="6"/>
      <c r="W339" s="6"/>
      <c r="X339" s="6"/>
      <c r="Y339" s="6"/>
      <c r="Z339" s="6"/>
    </row>
    <row r="340" spans="1:26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hyperlinks>
    <hyperlink ref="C20" r:id="rId1" xr:uid="{00000000-0004-0000-0200-000000000000}"/>
  </hyperlinks>
  <pageMargins left="0.511811024" right="0.511811024" top="0.78740157499999996" bottom="0.78740157499999996" header="0.31496062000000002" footer="0.31496062000000002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N1000"/>
  <sheetViews>
    <sheetView topLeftCell="B1" workbookViewId="0"/>
  </sheetViews>
  <sheetFormatPr defaultColWidth="12.5703125" defaultRowHeight="15.75" customHeight="1"/>
  <cols>
    <col min="1" max="1" width="47.42578125" customWidth="1"/>
  </cols>
  <sheetData>
    <row r="2" spans="1:14">
      <c r="A2" s="1" t="str">
        <f ca="1">IFERROR(__xludf.DUMMYFUNCTION("IMPORTRANGE(""1A_nphiEMdqoD6JURpjp80VdUZdzmj8xq2xkL2X5qaTk"",""'Resumo'!B:O"")"),"")</f>
        <v/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" t="str">
        <f ca="1">IFERROR(__xludf.DUMMYFUNCTION("""COMPUTED_VALUE"""),"DRE (R$)")</f>
        <v>DRE (R$)</v>
      </c>
      <c r="B3" s="3">
        <f ca="1">IFERROR(__xludf.DUMMYFUNCTION("""COMPUTED_VALUE"""),1)</f>
        <v>1</v>
      </c>
      <c r="C3" s="3">
        <f ca="1">IFERROR(__xludf.DUMMYFUNCTION("""COMPUTED_VALUE"""),2)</f>
        <v>2</v>
      </c>
      <c r="D3" s="3">
        <f ca="1">IFERROR(__xludf.DUMMYFUNCTION("""COMPUTED_VALUE"""),3)</f>
        <v>3</v>
      </c>
      <c r="E3" s="3">
        <f ca="1">IFERROR(__xludf.DUMMYFUNCTION("""COMPUTED_VALUE"""),4)</f>
        <v>4</v>
      </c>
      <c r="F3" s="3">
        <f ca="1">IFERROR(__xludf.DUMMYFUNCTION("""COMPUTED_VALUE"""),5)</f>
        <v>5</v>
      </c>
      <c r="G3" s="3">
        <f ca="1">IFERROR(__xludf.DUMMYFUNCTION("""COMPUTED_VALUE"""),6)</f>
        <v>6</v>
      </c>
      <c r="H3" s="3">
        <f ca="1">IFERROR(__xludf.DUMMYFUNCTION("""COMPUTED_VALUE"""),7)</f>
        <v>7</v>
      </c>
      <c r="I3" s="3">
        <f ca="1">IFERROR(__xludf.DUMMYFUNCTION("""COMPUTED_VALUE"""),8)</f>
        <v>8</v>
      </c>
      <c r="J3" s="3">
        <f ca="1">IFERROR(__xludf.DUMMYFUNCTION("""COMPUTED_VALUE"""),9)</f>
        <v>9</v>
      </c>
      <c r="K3" s="3">
        <f ca="1">IFERROR(__xludf.DUMMYFUNCTION("""COMPUTED_VALUE"""),10)</f>
        <v>10</v>
      </c>
      <c r="L3" s="3">
        <f ca="1">IFERROR(__xludf.DUMMYFUNCTION("""COMPUTED_VALUE"""),11)</f>
        <v>11</v>
      </c>
      <c r="M3" s="3">
        <f ca="1">IFERROR(__xludf.DUMMYFUNCTION("""COMPUTED_VALUE"""),12)</f>
        <v>12</v>
      </c>
      <c r="N3" s="11" t="str">
        <f ca="1">IFERROR(__xludf.DUMMYFUNCTION("""COMPUTED_VALUE"""),"TOTAL")</f>
        <v>TOTAL</v>
      </c>
    </row>
    <row r="4" spans="1:14">
      <c r="A4" s="13" t="str">
        <f ca="1">IFERROR(__xludf.DUMMYFUNCTION("""COMPUTED_VALUE"""),"Receita Operacional Bruta")</f>
        <v>Receita Operacional Bruta</v>
      </c>
      <c r="B4" s="16">
        <f ca="1">IFERROR(__xludf.DUMMYFUNCTION("""COMPUTED_VALUE"""),321190.315685233)</f>
        <v>321190.31568523298</v>
      </c>
      <c r="C4" s="16">
        <f ca="1">IFERROR(__xludf.DUMMYFUNCTION("""COMPUTED_VALUE"""),262827.351674854)</f>
        <v>262827.351674854</v>
      </c>
      <c r="D4" s="16">
        <f ca="1">IFERROR(__xludf.DUMMYFUNCTION("""COMPUTED_VALUE"""),353083.276102289)</f>
        <v>353083.27610228898</v>
      </c>
      <c r="E4" s="16">
        <f ca="1">IFERROR(__xludf.DUMMYFUNCTION("""COMPUTED_VALUE"""),284073.182719342)</f>
        <v>284073.182719342</v>
      </c>
      <c r="F4" s="16">
        <f ca="1">IFERROR(__xludf.DUMMYFUNCTION("""COMPUTED_VALUE"""),359398.213207259)</f>
        <v>359398.21320725902</v>
      </c>
      <c r="G4" s="16">
        <f ca="1">IFERROR(__xludf.DUMMYFUNCTION("""COMPUTED_VALUE"""),304639.771775322)</f>
        <v>304639.77177532198</v>
      </c>
      <c r="H4" s="16">
        <f ca="1">IFERROR(__xludf.DUMMYFUNCTION("""COMPUTED_VALUE"""),387575.868113303)</f>
        <v>387575.86811330297</v>
      </c>
      <c r="I4" s="16">
        <f ca="1">IFERROR(__xludf.DUMMYFUNCTION("""COMPUTED_VALUE"""),403534.095781551)</f>
        <v>403534.09578155098</v>
      </c>
      <c r="J4" s="16">
        <f ca="1">IFERROR(__xludf.DUMMYFUNCTION("""COMPUTED_VALUE"""),339417.385176907)</f>
        <v>339417.385176907</v>
      </c>
      <c r="K4" s="16">
        <f ca="1">IFERROR(__xludf.DUMMYFUNCTION("""COMPUTED_VALUE"""),327122.502699042)</f>
        <v>327122.50269904197</v>
      </c>
      <c r="L4" s="16">
        <f ca="1">IFERROR(__xludf.DUMMYFUNCTION("""COMPUTED_VALUE"""),383439.935515298)</f>
        <v>383439.93551529798</v>
      </c>
      <c r="M4" s="16">
        <f ca="1">IFERROR(__xludf.DUMMYFUNCTION("""COMPUTED_VALUE"""),402871.027093359)</f>
        <v>402871.02709335898</v>
      </c>
      <c r="N4" s="16">
        <f ca="1">IFERROR(__xludf.DUMMYFUNCTION("""COMPUTED_VALUE"""),4129172.92554376)</f>
        <v>4129172.9255437599</v>
      </c>
    </row>
    <row r="5" spans="1:14">
      <c r="A5" s="26" t="str">
        <f ca="1">IFERROR(__xludf.DUMMYFUNCTION("""COMPUTED_VALUE"""),"Receita com Taxa de Vendas Online - Formaturas")</f>
        <v>Receita com Taxa de Vendas Online - Formaturas</v>
      </c>
      <c r="B5" s="28">
        <f ca="1">IFERROR(__xludf.DUMMYFUNCTION("""COMPUTED_VALUE"""),146619.9271623)</f>
        <v>146619.92716230001</v>
      </c>
      <c r="C5" s="28">
        <f ca="1">IFERROR(__xludf.DUMMYFUNCTION("""COMPUTED_VALUE"""),85759.09433085)</f>
        <v>85759.094330849999</v>
      </c>
      <c r="D5" s="28">
        <f ca="1">IFERROR(__xludf.DUMMYFUNCTION("""COMPUTED_VALUE"""),130922.07592845)</f>
        <v>130922.07592844999</v>
      </c>
      <c r="E5" s="28">
        <f ca="1">IFERROR(__xludf.DUMMYFUNCTION("""COMPUTED_VALUE"""),89831.1479473)</f>
        <v>89831.147947300007</v>
      </c>
      <c r="F5" s="28">
        <f ca="1">IFERROR(__xludf.DUMMYFUNCTION("""COMPUTED_VALUE"""),106962.45670205)</f>
        <v>106962.45670205</v>
      </c>
      <c r="G5" s="28">
        <f ca="1">IFERROR(__xludf.DUMMYFUNCTION("""COMPUTED_VALUE"""),89356.02331055)</f>
        <v>89356.023310549994</v>
      </c>
      <c r="H5" s="28">
        <f ca="1">IFERROR(__xludf.DUMMYFUNCTION("""COMPUTED_VALUE"""),123696.26229965)</f>
        <v>123696.26229965</v>
      </c>
      <c r="I5" s="28">
        <f ca="1">IFERROR(__xludf.DUMMYFUNCTION("""COMPUTED_VALUE"""),147094.86198435)</f>
        <v>147094.86198434999</v>
      </c>
      <c r="J5" s="28">
        <f ca="1">IFERROR(__xludf.DUMMYFUNCTION("""COMPUTED_VALUE"""),135253.90085375)</f>
        <v>135253.90085375</v>
      </c>
      <c r="K5" s="28">
        <f ca="1">IFERROR(__xludf.DUMMYFUNCTION("""COMPUTED_VALUE"""),136690.5490228)</f>
        <v>136690.5490228</v>
      </c>
      <c r="L5" s="28">
        <f ca="1">IFERROR(__xludf.DUMMYFUNCTION("""COMPUTED_VALUE"""),183799.02461665)</f>
        <v>183799.02461664999</v>
      </c>
      <c r="M5" s="28">
        <f ca="1">IFERROR(__xludf.DUMMYFUNCTION("""COMPUTED_VALUE"""),191838.4030077)</f>
        <v>191838.40300769999</v>
      </c>
      <c r="N5" s="28">
        <f ca="1">IFERROR(__xludf.DUMMYFUNCTION("""COMPUTED_VALUE"""),1567823.7271664)</f>
        <v>1567823.7271664001</v>
      </c>
    </row>
    <row r="6" spans="1:14">
      <c r="A6" s="26" t="str">
        <f ca="1">IFERROR(__xludf.DUMMYFUNCTION("""COMPUTED_VALUE"""),"Receita com Taxa de Parcelamento Online - Formaturas")</f>
        <v>Receita com Taxa de Parcelamento Online - Formaturas</v>
      </c>
      <c r="B6" s="28">
        <f ca="1">IFERROR(__xludf.DUMMYFUNCTION("""COMPUTED_VALUE"""),79122.6985565634)</f>
        <v>79122.698556563395</v>
      </c>
      <c r="C6" s="28">
        <f ca="1">IFERROR(__xludf.DUMMYFUNCTION("""COMPUTED_VALUE"""),46049.8077366143)</f>
        <v>46049.807736614297</v>
      </c>
      <c r="D6" s="28">
        <f ca="1">IFERROR(__xludf.DUMMYFUNCTION("""COMPUTED_VALUE"""),69637.4139680751)</f>
        <v>69637.413968075096</v>
      </c>
      <c r="E6" s="28">
        <f ca="1">IFERROR(__xludf.DUMMYFUNCTION("""COMPUTED_VALUE"""),48000.6989545934)</f>
        <v>48000.698954593398</v>
      </c>
      <c r="F6" s="28">
        <f ca="1">IFERROR(__xludf.DUMMYFUNCTION("""COMPUTED_VALUE"""),57057.7080397438)</f>
        <v>57057.708039743797</v>
      </c>
      <c r="G6" s="28">
        <f ca="1">IFERROR(__xludf.DUMMYFUNCTION("""COMPUTED_VALUE"""),48289.5605072869)</f>
        <v>48289.5605072869</v>
      </c>
      <c r="H6" s="28">
        <f ca="1">IFERROR(__xludf.DUMMYFUNCTION("""COMPUTED_VALUE"""),66487.6692632047)</f>
        <v>66487.669263204705</v>
      </c>
      <c r="I6" s="28">
        <f ca="1">IFERROR(__xludf.DUMMYFUNCTION("""COMPUTED_VALUE"""),79031.3234872672)</f>
        <v>79031.323487267204</v>
      </c>
      <c r="J6" s="28">
        <f ca="1">IFERROR(__xludf.DUMMYFUNCTION("""COMPUTED_VALUE"""),72637.3383763925)</f>
        <v>72637.338376392494</v>
      </c>
      <c r="K6" s="28">
        <f ca="1">IFERROR(__xludf.DUMMYFUNCTION("""COMPUTED_VALUE"""),74004.0765547224)</f>
        <v>74004.0765547224</v>
      </c>
      <c r="L6" s="28">
        <f ca="1">IFERROR(__xludf.DUMMYFUNCTION("""COMPUTED_VALUE"""),99292.9007360907)</f>
        <v>99292.900736090698</v>
      </c>
      <c r="M6" s="28">
        <f ca="1">IFERROR(__xludf.DUMMYFUNCTION("""COMPUTED_VALUE"""),104769.790378296)</f>
        <v>104769.79037829601</v>
      </c>
      <c r="N6" s="28">
        <f ca="1">IFERROR(__xludf.DUMMYFUNCTION("""COMPUTED_VALUE"""),844380.986558851)</f>
        <v>844380.98655885097</v>
      </c>
    </row>
    <row r="7" spans="1:14">
      <c r="A7" s="26" t="str">
        <f ca="1">IFERROR(__xludf.DUMMYFUNCTION("""COMPUTED_VALUE"""),"Receita com Taxa de Vendas Online - Eventos em Geral")</f>
        <v>Receita com Taxa de Vendas Online - Eventos em Geral</v>
      </c>
      <c r="B7" s="28">
        <f ca="1">IFERROR(__xludf.DUMMYFUNCTION("""COMPUTED_VALUE"""),68688.24)</f>
        <v>68688.240000000005</v>
      </c>
      <c r="C7" s="28">
        <f ca="1">IFERROR(__xludf.DUMMYFUNCTION("""COMPUTED_VALUE"""),94286.48)</f>
        <v>94286.48</v>
      </c>
      <c r="D7" s="28">
        <f ca="1">IFERROR(__xludf.DUMMYFUNCTION("""COMPUTED_VALUE"""),109762.64)</f>
        <v>109762.64</v>
      </c>
      <c r="E7" s="28">
        <f ca="1">IFERROR(__xludf.DUMMYFUNCTION("""COMPUTED_VALUE"""),105241.52)</f>
        <v>105241.52</v>
      </c>
      <c r="F7" s="28">
        <f ca="1">IFERROR(__xludf.DUMMYFUNCTION("""COMPUTED_VALUE"""),140602.4)</f>
        <v>140602.4</v>
      </c>
      <c r="G7" s="28">
        <f ca="1">IFERROR(__xludf.DUMMYFUNCTION("""COMPUTED_VALUE"""),120176.16)</f>
        <v>120176.16</v>
      </c>
      <c r="H7" s="28">
        <f ca="1">IFERROR(__xludf.DUMMYFUNCTION("""COMPUTED_VALUE"""),142051.68)</f>
        <v>142051.68</v>
      </c>
      <c r="I7" s="28">
        <f ca="1">IFERROR(__xludf.DUMMYFUNCTION("""COMPUTED_VALUE"""),127670.32)</f>
        <v>127670.32</v>
      </c>
      <c r="J7" s="28">
        <f ca="1">IFERROR(__xludf.DUMMYFUNCTION("""COMPUTED_VALUE"""),94651.84)</f>
        <v>94651.839999999997</v>
      </c>
      <c r="K7" s="28">
        <f ca="1">IFERROR(__xludf.DUMMYFUNCTION("""COMPUTED_VALUE"""),83786.48)</f>
        <v>83786.48</v>
      </c>
      <c r="L7" s="28">
        <f ca="1">IFERROR(__xludf.DUMMYFUNCTION("""COMPUTED_VALUE"""),72214.72)</f>
        <v>72214.720000000001</v>
      </c>
      <c r="M7" s="28">
        <f ca="1">IFERROR(__xludf.DUMMYFUNCTION("""COMPUTED_VALUE"""),76471.28)</f>
        <v>76471.28</v>
      </c>
      <c r="N7" s="28">
        <f ca="1">IFERROR(__xludf.DUMMYFUNCTION("""COMPUTED_VALUE"""),1235603.76)</f>
        <v>1235603.76</v>
      </c>
    </row>
    <row r="8" spans="1:14">
      <c r="A8" s="26" t="str">
        <f ca="1">IFERROR(__xludf.DUMMYFUNCTION("""COMPUTED_VALUE"""),"Receita com Taxa de Parcelamento Online - Eventos em Geral")</f>
        <v>Receita com Taxa de Parcelamento Online - Eventos em Geral</v>
      </c>
      <c r="B8" s="28">
        <f ca="1">IFERROR(__xludf.DUMMYFUNCTION("""COMPUTED_VALUE"""),14836.65984)</f>
        <v>14836.65984</v>
      </c>
      <c r="C8" s="28">
        <f ca="1">IFERROR(__xludf.DUMMYFUNCTION("""COMPUTED_VALUE"""),20365.87968)</f>
        <v>20365.879679999998</v>
      </c>
      <c r="D8" s="28">
        <f ca="1">IFERROR(__xludf.DUMMYFUNCTION("""COMPUTED_VALUE"""),23708.73024)</f>
        <v>23708.730240000001</v>
      </c>
      <c r="E8" s="28">
        <f ca="1">IFERROR(__xludf.DUMMYFUNCTION("""COMPUTED_VALUE"""),22732.16832)</f>
        <v>22732.168320000001</v>
      </c>
      <c r="F8" s="28">
        <f ca="1">IFERROR(__xludf.DUMMYFUNCTION("""COMPUTED_VALUE"""),30370.1184)</f>
        <v>30370.118399999999</v>
      </c>
      <c r="G8" s="28">
        <f ca="1">IFERROR(__xludf.DUMMYFUNCTION("""COMPUTED_VALUE"""),25958.05056)</f>
        <v>25958.05056</v>
      </c>
      <c r="H8" s="28">
        <f ca="1">IFERROR(__xludf.DUMMYFUNCTION("""COMPUTED_VALUE"""),30683.16288)</f>
        <v>30683.16288</v>
      </c>
      <c r="I8" s="28">
        <f ca="1">IFERROR(__xludf.DUMMYFUNCTION("""COMPUTED_VALUE"""),27576.78912)</f>
        <v>27576.789120000001</v>
      </c>
      <c r="J8" s="28">
        <f ca="1">IFERROR(__xludf.DUMMYFUNCTION("""COMPUTED_VALUE"""),20444.79744)</f>
        <v>20444.797439999998</v>
      </c>
      <c r="K8" s="28">
        <f ca="1">IFERROR(__xludf.DUMMYFUNCTION("""COMPUTED_VALUE"""),18097.87968)</f>
        <v>18097.879679999998</v>
      </c>
      <c r="L8" s="28">
        <f ca="1">IFERROR(__xludf.DUMMYFUNCTION("""COMPUTED_VALUE"""),15598.37952)</f>
        <v>15598.37952</v>
      </c>
      <c r="M8" s="28">
        <f ca="1">IFERROR(__xludf.DUMMYFUNCTION("""COMPUTED_VALUE"""),16517.79648)</f>
        <v>16517.796480000001</v>
      </c>
      <c r="N8" s="28">
        <f ca="1">IFERROR(__xludf.DUMMYFUNCTION("""COMPUTED_VALUE"""),266890.41216)</f>
        <v>266890.41216000001</v>
      </c>
    </row>
    <row r="9" spans="1:14">
      <c r="A9" s="26" t="str">
        <f ca="1">IFERROR(__xludf.DUMMYFUNCTION("""COMPUTED_VALUE"""),"Receita com Taxa de Cartão")</f>
        <v>Receita com Taxa de Cartão</v>
      </c>
      <c r="B9" s="28">
        <f ca="1">IFERROR(__xludf.DUMMYFUNCTION("""COMPUTED_VALUE"""),0)</f>
        <v>0</v>
      </c>
      <c r="C9" s="28">
        <f ca="1">IFERROR(__xludf.DUMMYFUNCTION("""COMPUTED_VALUE"""),0)</f>
        <v>0</v>
      </c>
      <c r="D9" s="28">
        <f ca="1">IFERROR(__xludf.DUMMYFUNCTION("""COMPUTED_VALUE"""),0)</f>
        <v>0</v>
      </c>
      <c r="E9" s="28">
        <f ca="1">IFERROR(__xludf.DUMMYFUNCTION("""COMPUTED_VALUE"""),0)</f>
        <v>0</v>
      </c>
      <c r="F9" s="28">
        <f ca="1">IFERROR(__xludf.DUMMYFUNCTION("""COMPUTED_VALUE"""),0)</f>
        <v>0</v>
      </c>
      <c r="G9" s="28">
        <f ca="1">IFERROR(__xludf.DUMMYFUNCTION("""COMPUTED_VALUE"""),0)</f>
        <v>0</v>
      </c>
      <c r="H9" s="28">
        <f ca="1">IFERROR(__xludf.DUMMYFUNCTION("""COMPUTED_VALUE"""),0)</f>
        <v>0</v>
      </c>
      <c r="I9" s="28">
        <f ca="1">IFERROR(__xludf.DUMMYFUNCTION("""COMPUTED_VALUE"""),0)</f>
        <v>0</v>
      </c>
      <c r="J9" s="28">
        <f ca="1">IFERROR(__xludf.DUMMYFUNCTION("""COMPUTED_VALUE"""),0)</f>
        <v>0</v>
      </c>
      <c r="K9" s="28">
        <f ca="1">IFERROR(__xludf.DUMMYFUNCTION("""COMPUTED_VALUE"""),0)</f>
        <v>0</v>
      </c>
      <c r="L9" s="28">
        <f ca="1">IFERROR(__xludf.DUMMYFUNCTION("""COMPUTED_VALUE"""),0)</f>
        <v>0</v>
      </c>
      <c r="M9" s="28">
        <f ca="1">IFERROR(__xludf.DUMMYFUNCTION("""COMPUTED_VALUE"""),0)</f>
        <v>0</v>
      </c>
      <c r="N9" s="28">
        <f ca="1">IFERROR(__xludf.DUMMYFUNCTION("""COMPUTED_VALUE"""),0)</f>
        <v>0</v>
      </c>
    </row>
    <row r="10" spans="1:14">
      <c r="A10" s="26" t="str">
        <f ca="1">IFERROR(__xludf.DUMMYFUNCTION("""COMPUTED_VALUE"""),"Receita com Taxa de Administração")</f>
        <v>Receita com Taxa de Administração</v>
      </c>
      <c r="B10" s="28">
        <f ca="1">IFERROR(__xludf.DUMMYFUNCTION("""COMPUTED_VALUE"""),3570.58436260798)</f>
        <v>3570.58436260798</v>
      </c>
      <c r="C10" s="28">
        <f ca="1">IFERROR(__xludf.DUMMYFUNCTION("""COMPUTED_VALUE"""),4901.24410078567)</f>
        <v>4901.2441007856696</v>
      </c>
      <c r="D10" s="28">
        <f ca="1">IFERROR(__xludf.DUMMYFUNCTION("""COMPUTED_VALUE"""),5705.7331208744)</f>
        <v>5705.7331208743999</v>
      </c>
      <c r="E10" s="28">
        <f ca="1">IFERROR(__xludf.DUMMYFUNCTION("""COMPUTED_VALUE"""),5470.71413693371)</f>
        <v>5470.7141369337096</v>
      </c>
      <c r="F10" s="28">
        <f ca="1">IFERROR(__xludf.DUMMYFUNCTION("""COMPUTED_VALUE"""),7308.8600142492)</f>
        <v>7308.8600142491996</v>
      </c>
      <c r="G10" s="28">
        <f ca="1">IFERROR(__xludf.DUMMYFUNCTION("""COMPUTED_VALUE"""),6247.05360996693)</f>
        <v>6247.0536099669298</v>
      </c>
      <c r="H10" s="28">
        <f ca="1">IFERROR(__xludf.DUMMYFUNCTION("""COMPUTED_VALUE"""),7384.19716810612)</f>
        <v>7384.1971681061204</v>
      </c>
      <c r="I10" s="28">
        <f ca="1">IFERROR(__xludf.DUMMYFUNCTION("""COMPUTED_VALUE"""),6636.61855597344)</f>
        <v>6636.6185559734404</v>
      </c>
      <c r="J10" s="28">
        <f ca="1">IFERROR(__xludf.DUMMYFUNCTION("""COMPUTED_VALUE"""),4920.23641595814)</f>
        <v>4920.2364159581402</v>
      </c>
      <c r="K10" s="28">
        <f ca="1">IFERROR(__xludf.DUMMYFUNCTION("""COMPUTED_VALUE"""),4355.42816770333)</f>
        <v>4355.4281677033296</v>
      </c>
      <c r="L10" s="28">
        <f ca="1">IFERROR(__xludf.DUMMYFUNCTION("""COMPUTED_VALUE"""),3753.89950276953)</f>
        <v>3753.89950276953</v>
      </c>
      <c r="M10" s="28">
        <f ca="1">IFERROR(__xludf.DUMMYFUNCTION("""COMPUTED_VALUE"""),3975.16600449533)</f>
        <v>3975.1660044953301</v>
      </c>
      <c r="N10" s="28">
        <f ca="1">IFERROR(__xludf.DUMMYFUNCTION("""COMPUTED_VALUE"""),64229.7351604238)</f>
        <v>64229.735160423799</v>
      </c>
    </row>
    <row r="11" spans="1:14">
      <c r="A11" s="26" t="str">
        <f ca="1">IFERROR(__xludf.DUMMYFUNCTION("""COMPUTED_VALUE"""),"Receita com Taxa de Processamento")</f>
        <v>Receita com Taxa de Processamento</v>
      </c>
      <c r="B11" s="28">
        <f ca="1">IFERROR(__xludf.DUMMYFUNCTION("""COMPUTED_VALUE"""),6131.1123024)</f>
        <v>6131.1123023999999</v>
      </c>
      <c r="C11" s="28">
        <f ca="1">IFERROR(__xludf.DUMMYFUNCTION("""COMPUTED_VALUE"""),8416.0112048)</f>
        <v>8416.0112047999992</v>
      </c>
      <c r="D11" s="28">
        <f ca="1">IFERROR(__xludf.DUMMYFUNCTION("""COMPUTED_VALUE"""),9797.4132464)</f>
        <v>9797.4132463999995</v>
      </c>
      <c r="E11" s="28">
        <f ca="1">IFERROR(__xludf.DUMMYFUNCTION("""COMPUTED_VALUE"""),9393.8580752)</f>
        <v>9393.8580751999998</v>
      </c>
      <c r="F11" s="28">
        <f ca="1">IFERROR(__xludf.DUMMYFUNCTION("""COMPUTED_VALUE"""),12550.170224)</f>
        <v>12550.170224</v>
      </c>
      <c r="G11" s="28">
        <f ca="1">IFERROR(__xludf.DUMMYFUNCTION("""COMPUTED_VALUE"""),10726.9240416)</f>
        <v>10726.924041599999</v>
      </c>
      <c r="H11" s="28">
        <f ca="1">IFERROR(__xludf.DUMMYFUNCTION("""COMPUTED_VALUE"""),12679.5329568)</f>
        <v>12679.5329568</v>
      </c>
      <c r="I11" s="28">
        <f ca="1">IFERROR(__xludf.DUMMYFUNCTION("""COMPUTED_VALUE"""),11395.8527632)</f>
        <v>11395.8527632</v>
      </c>
      <c r="J11" s="28">
        <f ca="1">IFERROR(__xludf.DUMMYFUNCTION("""COMPUTED_VALUE"""),8448.6232384)</f>
        <v>8448.6232383999995</v>
      </c>
      <c r="K11" s="28">
        <f ca="1">IFERROR(__xludf.DUMMYFUNCTION("""COMPUTED_VALUE"""),7478.7812048)</f>
        <v>7478.7812047999996</v>
      </c>
      <c r="L11" s="28">
        <f ca="1">IFERROR(__xludf.DUMMYFUNCTION("""COMPUTED_VALUE"""),6445.8859072)</f>
        <v>6445.8859071999996</v>
      </c>
      <c r="M11" s="28">
        <f ca="1">IFERROR(__xludf.DUMMYFUNCTION("""COMPUTED_VALUE"""),6825.8264528)</f>
        <v>6825.8264528</v>
      </c>
      <c r="N11" s="28">
        <f ca="1">IFERROR(__xludf.DUMMYFUNCTION("""COMPUTED_VALUE"""),110289.9916176)</f>
        <v>110289.9916176</v>
      </c>
    </row>
    <row r="12" spans="1:14">
      <c r="A12" s="26" t="str">
        <f ca="1">IFERROR(__xludf.DUMMYFUNCTION("""COMPUTED_VALUE"""),"Receita com Taxas de Antecipação")</f>
        <v>Receita com Taxas de Antecipação</v>
      </c>
      <c r="B12" s="28">
        <f ca="1">IFERROR(__xludf.DUMMYFUNCTION("""COMPUTED_VALUE"""),2221.09346136182)</f>
        <v>2221.0934613618201</v>
      </c>
      <c r="C12" s="28">
        <f ca="1">IFERROR(__xludf.DUMMYFUNCTION("""COMPUTED_VALUE"""),3048.83462180458)</f>
        <v>3048.8346218045799</v>
      </c>
      <c r="D12" s="28">
        <f ca="1">IFERROR(__xludf.DUMMYFUNCTION("""COMPUTED_VALUE"""),3549.26959849039)</f>
        <v>3549.2695984903899</v>
      </c>
      <c r="E12" s="28">
        <f ca="1">IFERROR(__xludf.DUMMYFUNCTION("""COMPUTED_VALUE"""),3403.07528531491)</f>
        <v>3403.0752853149102</v>
      </c>
      <c r="F12" s="28">
        <f ca="1">IFERROR(__xludf.DUMMYFUNCTION("""COMPUTED_VALUE"""),4546.49982721612)</f>
        <v>4546.4998272161201</v>
      </c>
      <c r="G12" s="28">
        <f ca="1">IFERROR(__xludf.DUMMYFUNCTION("""COMPUTED_VALUE"""),3885.99974591825)</f>
        <v>3885.99974591825</v>
      </c>
      <c r="H12" s="28">
        <f ca="1">IFERROR(__xludf.DUMMYFUNCTION("""COMPUTED_VALUE"""),4593.36354554232)</f>
        <v>4593.36354554232</v>
      </c>
      <c r="I12" s="28">
        <f ca="1">IFERROR(__xludf.DUMMYFUNCTION("""COMPUTED_VALUE"""),4128.32987076057)</f>
        <v>4128.32987076057</v>
      </c>
      <c r="J12" s="28">
        <f ca="1">IFERROR(__xludf.DUMMYFUNCTION("""COMPUTED_VALUE"""),3060.64885240712)</f>
        <v>3060.6488524071201</v>
      </c>
      <c r="K12" s="28">
        <f ca="1">IFERROR(__xludf.DUMMYFUNCTION("""COMPUTED_VALUE"""),2709.30806901622)</f>
        <v>2709.3080690162201</v>
      </c>
      <c r="L12" s="28">
        <f ca="1">IFERROR(__xludf.DUMMYFUNCTION("""COMPUTED_VALUE"""),2335.12523258821)</f>
        <v>2335.1252325882101</v>
      </c>
      <c r="M12" s="28">
        <f ca="1">IFERROR(__xludf.DUMMYFUNCTION("""COMPUTED_VALUE"""),2472.7647700679)</f>
        <v>2472.7647700678999</v>
      </c>
      <c r="N12" s="28">
        <f ca="1">IFERROR(__xludf.DUMMYFUNCTION("""COMPUTED_VALUE"""),39954.3128804884)</f>
        <v>39954.312880488404</v>
      </c>
    </row>
    <row r="13" spans="1:14">
      <c r="A13" s="26" t="str">
        <f ca="1">IFERROR(__xludf.DUMMYFUNCTION("""COMPUTED_VALUE"""),"Receita com Locação de Equipamentos")</f>
        <v>Receita com Locação de Equipamentos</v>
      </c>
      <c r="B13" s="28">
        <f ca="1">IFERROR(__xludf.DUMMYFUNCTION("""COMPUTED_VALUE"""),0)</f>
        <v>0</v>
      </c>
      <c r="C13" s="28">
        <f ca="1">IFERROR(__xludf.DUMMYFUNCTION("""COMPUTED_VALUE"""),0)</f>
        <v>0</v>
      </c>
      <c r="D13" s="28">
        <f ca="1">IFERROR(__xludf.DUMMYFUNCTION("""COMPUTED_VALUE"""),0)</f>
        <v>0</v>
      </c>
      <c r="E13" s="28">
        <f ca="1">IFERROR(__xludf.DUMMYFUNCTION("""COMPUTED_VALUE"""),0)</f>
        <v>0</v>
      </c>
      <c r="F13" s="28">
        <f ca="1">IFERROR(__xludf.DUMMYFUNCTION("""COMPUTED_VALUE"""),0)</f>
        <v>0</v>
      </c>
      <c r="G13" s="28">
        <f ca="1">IFERROR(__xludf.DUMMYFUNCTION("""COMPUTED_VALUE"""),0)</f>
        <v>0</v>
      </c>
      <c r="H13" s="28">
        <f ca="1">IFERROR(__xludf.DUMMYFUNCTION("""COMPUTED_VALUE"""),0)</f>
        <v>0</v>
      </c>
      <c r="I13" s="28">
        <f ca="1">IFERROR(__xludf.DUMMYFUNCTION("""COMPUTED_VALUE"""),0)</f>
        <v>0</v>
      </c>
      <c r="J13" s="28">
        <f ca="1">IFERROR(__xludf.DUMMYFUNCTION("""COMPUTED_VALUE"""),0)</f>
        <v>0</v>
      </c>
      <c r="K13" s="28">
        <f ca="1">IFERROR(__xludf.DUMMYFUNCTION("""COMPUTED_VALUE"""),0)</f>
        <v>0</v>
      </c>
      <c r="L13" s="28">
        <f ca="1">IFERROR(__xludf.DUMMYFUNCTION("""COMPUTED_VALUE"""),0)</f>
        <v>0</v>
      </c>
      <c r="M13" s="28">
        <f ca="1">IFERROR(__xludf.DUMMYFUNCTION("""COMPUTED_VALUE"""),0)</f>
        <v>0</v>
      </c>
      <c r="N13" s="28">
        <f ca="1">IFERROR(__xludf.DUMMYFUNCTION("""COMPUTED_VALUE"""),0)</f>
        <v>0</v>
      </c>
    </row>
    <row r="14" spans="1:14">
      <c r="A14" s="26" t="str">
        <f ca="1">IFERROR(__xludf.DUMMYFUNCTION("""COMPUTED_VALUE"""),"Receita com Licença de Uso")</f>
        <v>Receita com Licença de Uso</v>
      </c>
      <c r="B14" s="28">
        <f ca="1">IFERROR(__xludf.DUMMYFUNCTION("""COMPUTED_VALUE"""),0)</f>
        <v>0</v>
      </c>
      <c r="C14" s="28">
        <f ca="1">IFERROR(__xludf.DUMMYFUNCTION("""COMPUTED_VALUE"""),0)</f>
        <v>0</v>
      </c>
      <c r="D14" s="28">
        <f ca="1">IFERROR(__xludf.DUMMYFUNCTION("""COMPUTED_VALUE"""),0)</f>
        <v>0</v>
      </c>
      <c r="E14" s="28">
        <f ca="1">IFERROR(__xludf.DUMMYFUNCTION("""COMPUTED_VALUE"""),0)</f>
        <v>0</v>
      </c>
      <c r="F14" s="28">
        <f ca="1">IFERROR(__xludf.DUMMYFUNCTION("""COMPUTED_VALUE"""),0)</f>
        <v>0</v>
      </c>
      <c r="G14" s="28">
        <f ca="1">IFERROR(__xludf.DUMMYFUNCTION("""COMPUTED_VALUE"""),0)</f>
        <v>0</v>
      </c>
      <c r="H14" s="28">
        <f ca="1">IFERROR(__xludf.DUMMYFUNCTION("""COMPUTED_VALUE"""),0)</f>
        <v>0</v>
      </c>
      <c r="I14" s="28">
        <f ca="1">IFERROR(__xludf.DUMMYFUNCTION("""COMPUTED_VALUE"""),0)</f>
        <v>0</v>
      </c>
      <c r="J14" s="28">
        <f ca="1">IFERROR(__xludf.DUMMYFUNCTION("""COMPUTED_VALUE"""),0)</f>
        <v>0</v>
      </c>
      <c r="K14" s="28">
        <f ca="1">IFERROR(__xludf.DUMMYFUNCTION("""COMPUTED_VALUE"""),0)</f>
        <v>0</v>
      </c>
      <c r="L14" s="28">
        <f ca="1">IFERROR(__xludf.DUMMYFUNCTION("""COMPUTED_VALUE"""),0)</f>
        <v>0</v>
      </c>
      <c r="M14" s="28">
        <f ca="1">IFERROR(__xludf.DUMMYFUNCTION("""COMPUTED_VALUE"""),0)</f>
        <v>0</v>
      </c>
      <c r="N14" s="28">
        <f ca="1">IFERROR(__xludf.DUMMYFUNCTION("""COMPUTED_VALUE"""),0)</f>
        <v>0</v>
      </c>
    </row>
    <row r="15" spans="1:14">
      <c r="A15" s="59" t="str">
        <f ca="1">IFERROR(__xludf.DUMMYFUNCTION("""COMPUTED_VALUE"""),"Receita com Venda de QR Code")</f>
        <v>Receita com Venda de QR Code</v>
      </c>
      <c r="B15" s="28">
        <f ca="1">IFERROR(__xludf.DUMMYFUNCTION("""COMPUTED_VALUE"""),0)</f>
        <v>0</v>
      </c>
      <c r="C15" s="28">
        <f ca="1">IFERROR(__xludf.DUMMYFUNCTION("""COMPUTED_VALUE"""),0)</f>
        <v>0</v>
      </c>
      <c r="D15" s="28">
        <f ca="1">IFERROR(__xludf.DUMMYFUNCTION("""COMPUTED_VALUE"""),0)</f>
        <v>0</v>
      </c>
      <c r="E15" s="28">
        <f ca="1">IFERROR(__xludf.DUMMYFUNCTION("""COMPUTED_VALUE"""),0)</f>
        <v>0</v>
      </c>
      <c r="F15" s="28">
        <f ca="1">IFERROR(__xludf.DUMMYFUNCTION("""COMPUTED_VALUE"""),0)</f>
        <v>0</v>
      </c>
      <c r="G15" s="28">
        <f ca="1">IFERROR(__xludf.DUMMYFUNCTION("""COMPUTED_VALUE"""),0)</f>
        <v>0</v>
      </c>
      <c r="H15" s="28">
        <f ca="1">IFERROR(__xludf.DUMMYFUNCTION("""COMPUTED_VALUE"""),0)</f>
        <v>0</v>
      </c>
      <c r="I15" s="28">
        <f ca="1">IFERROR(__xludf.DUMMYFUNCTION("""COMPUTED_VALUE"""),0)</f>
        <v>0</v>
      </c>
      <c r="J15" s="28">
        <f ca="1">IFERROR(__xludf.DUMMYFUNCTION("""COMPUTED_VALUE"""),0)</f>
        <v>0</v>
      </c>
      <c r="K15" s="28">
        <f ca="1">IFERROR(__xludf.DUMMYFUNCTION("""COMPUTED_VALUE"""),0)</f>
        <v>0</v>
      </c>
      <c r="L15" s="28">
        <f ca="1">IFERROR(__xludf.DUMMYFUNCTION("""COMPUTED_VALUE"""),0)</f>
        <v>0</v>
      </c>
      <c r="M15" s="28">
        <f ca="1">IFERROR(__xludf.DUMMYFUNCTION("""COMPUTED_VALUE"""),0)</f>
        <v>0</v>
      </c>
      <c r="N15" s="28">
        <f ca="1">IFERROR(__xludf.DUMMYFUNCTION("""COMPUTED_VALUE"""),0)</f>
        <v>0</v>
      </c>
    </row>
    <row r="16" spans="1:14">
      <c r="A16" s="26" t="str">
        <f ca="1">IFERROR(__xludf.DUMMYFUNCTION("""COMPUTED_VALUE"""),"Receita - Comissão Paytime")</f>
        <v>Receita - Comissão Paytime</v>
      </c>
      <c r="B16" s="28">
        <f ca="1">IFERROR(__xludf.DUMMYFUNCTION("""COMPUTED_VALUE"""),0)</f>
        <v>0</v>
      </c>
      <c r="C16" s="28">
        <f ca="1">IFERROR(__xludf.DUMMYFUNCTION("""COMPUTED_VALUE"""),0)</f>
        <v>0</v>
      </c>
      <c r="D16" s="28">
        <f ca="1">IFERROR(__xludf.DUMMYFUNCTION("""COMPUTED_VALUE"""),0)</f>
        <v>0</v>
      </c>
      <c r="E16" s="28">
        <f ca="1">IFERROR(__xludf.DUMMYFUNCTION("""COMPUTED_VALUE"""),0)</f>
        <v>0</v>
      </c>
      <c r="F16" s="28">
        <f ca="1">IFERROR(__xludf.DUMMYFUNCTION("""COMPUTED_VALUE"""),0)</f>
        <v>0</v>
      </c>
      <c r="G16" s="28">
        <f ca="1">IFERROR(__xludf.DUMMYFUNCTION("""COMPUTED_VALUE"""),0)</f>
        <v>0</v>
      </c>
      <c r="H16" s="28">
        <f ca="1">IFERROR(__xludf.DUMMYFUNCTION("""COMPUTED_VALUE"""),0)</f>
        <v>0</v>
      </c>
      <c r="I16" s="28">
        <f ca="1">IFERROR(__xludf.DUMMYFUNCTION("""COMPUTED_VALUE"""),0)</f>
        <v>0</v>
      </c>
      <c r="J16" s="28">
        <f ca="1">IFERROR(__xludf.DUMMYFUNCTION("""COMPUTED_VALUE"""),0)</f>
        <v>0</v>
      </c>
      <c r="K16" s="28">
        <f ca="1">IFERROR(__xludf.DUMMYFUNCTION("""COMPUTED_VALUE"""),0)</f>
        <v>0</v>
      </c>
      <c r="L16" s="28">
        <f ca="1">IFERROR(__xludf.DUMMYFUNCTION("""COMPUTED_VALUE"""),0)</f>
        <v>0</v>
      </c>
      <c r="M16" s="28">
        <f ca="1">IFERROR(__xludf.DUMMYFUNCTION("""COMPUTED_VALUE"""),0)</f>
        <v>0</v>
      </c>
      <c r="N16" s="28">
        <f ca="1">IFERROR(__xludf.DUMMYFUNCTION("""COMPUTED_VALUE"""),0)</f>
        <v>0</v>
      </c>
    </row>
    <row r="17" spans="1:14">
      <c r="A17" s="13" t="str">
        <f ca="1">IFERROR(__xludf.DUMMYFUNCTION("""COMPUTED_VALUE"""),"Deduções de Receita")</f>
        <v>Deduções de Receita</v>
      </c>
      <c r="B17" s="16">
        <f ca="1">IFERROR(__xludf.DUMMYFUNCTION("""COMPUTED_VALUE"""),-39923.9520169825)</f>
        <v>-39923.952016982497</v>
      </c>
      <c r="C17" s="16">
        <f ca="1">IFERROR(__xludf.DUMMYFUNCTION("""COMPUTED_VALUE"""),-31524.0919270334)</f>
        <v>-31524.091927033402</v>
      </c>
      <c r="D17" s="16">
        <f ca="1">IFERROR(__xludf.DUMMYFUNCTION("""COMPUTED_VALUE"""),-45607.450758784)</f>
        <v>-45607.450758783998</v>
      </c>
      <c r="E17" s="16">
        <f ca="1">IFERROR(__xludf.DUMMYFUNCTION("""COMPUTED_VALUE"""),-35173.8060881399)</f>
        <v>-35173.8060881399</v>
      </c>
      <c r="F17" s="16">
        <f ca="1">IFERROR(__xludf.DUMMYFUNCTION("""COMPUTED_VALUE"""),-44293.6615125653)</f>
        <v>-44293.661512565297</v>
      </c>
      <c r="G17" s="16">
        <f ca="1">IFERROR(__xludf.DUMMYFUNCTION("""COMPUTED_VALUE"""),-36310.4283964524)</f>
        <v>-36310.4283964524</v>
      </c>
      <c r="H17" s="16">
        <f ca="1">IFERROR(__xludf.DUMMYFUNCTION("""COMPUTED_VALUE"""),-47888.9304902977)</f>
        <v>-47888.930490297702</v>
      </c>
      <c r="I17" s="16">
        <f ca="1">IFERROR(__xludf.DUMMYFUNCTION("""COMPUTED_VALUE"""),-51482.3747415681)</f>
        <v>-51482.374741568099</v>
      </c>
      <c r="J17" s="16">
        <f ca="1">IFERROR(__xludf.DUMMYFUNCTION("""COMPUTED_VALUE"""),-43783.7858370819)</f>
        <v>-43783.785837081901</v>
      </c>
      <c r="K17" s="16">
        <f ca="1">IFERROR(__xludf.DUMMYFUNCTION("""COMPUTED_VALUE"""),-41555.7503463456)</f>
        <v>-41555.750346345601</v>
      </c>
      <c r="L17" s="16">
        <f ca="1">IFERROR(__xludf.DUMMYFUNCTION("""COMPUTED_VALUE"""),-51494.0015203243)</f>
        <v>-51494.001520324302</v>
      </c>
      <c r="M17" s="16">
        <f ca="1">IFERROR(__xludf.DUMMYFUNCTION("""COMPUTED_VALUE"""),-54327.9661876355)</f>
        <v>-54327.966187635502</v>
      </c>
      <c r="N17" s="16">
        <f ca="1">IFERROR(__xludf.DUMMYFUNCTION("""COMPUTED_VALUE"""),-523366.199823211)</f>
        <v>-523366.19982321101</v>
      </c>
    </row>
    <row r="18" spans="1:14">
      <c r="A18" s="26" t="str">
        <f ca="1">IFERROR(__xludf.DUMMYFUNCTION("""COMPUTED_VALUE"""),"Devoluções de Compra de Serviços (Chargeback)")</f>
        <v>Devoluções de Compra de Serviços (Chargeback)</v>
      </c>
      <c r="B18" s="28">
        <f ca="1">IFERROR(__xludf.DUMMYFUNCTION("""COMPUTED_VALUE"""),-3448.9520169825)</f>
        <v>-3448.9520169825</v>
      </c>
      <c r="C18" s="28">
        <f ca="1">IFERROR(__xludf.DUMMYFUNCTION("""COMPUTED_VALUE"""),-2884.09192703345)</f>
        <v>-2884.0919270334498</v>
      </c>
      <c r="D18" s="28">
        <f ca="1">IFERROR(__xludf.DUMMYFUNCTION("""COMPUTED_VALUE"""),-3855.45075878403)</f>
        <v>-3855.4507587840299</v>
      </c>
      <c r="E18" s="28">
        <f ca="1">IFERROR(__xludf.DUMMYFUNCTION("""COMPUTED_VALUE"""),-3124.80608813989)</f>
        <v>-3124.8060881398901</v>
      </c>
      <c r="F18" s="28">
        <f ca="1">IFERROR(__xludf.DUMMYFUNCTION("""COMPUTED_VALUE"""),-3965.66151256534)</f>
        <v>-3965.6615125653402</v>
      </c>
      <c r="G18" s="28">
        <f ca="1">IFERROR(__xludf.DUMMYFUNCTION("""COMPUTED_VALUE"""),-3356.42839645242)</f>
        <v>-3356.4283964524202</v>
      </c>
      <c r="H18" s="28">
        <f ca="1">IFERROR(__xludf.DUMMYFUNCTION("""COMPUTED_VALUE"""),-4256.93049029778)</f>
        <v>-4256.9304902977801</v>
      </c>
      <c r="I18" s="28">
        <f ca="1">IFERROR(__xludf.DUMMYFUNCTION("""COMPUTED_VALUE"""),-4401.37474156818)</f>
        <v>-4401.3747415681801</v>
      </c>
      <c r="J18" s="28">
        <f ca="1">IFERROR(__xludf.DUMMYFUNCTION("""COMPUTED_VALUE"""),-3682.78583708197)</f>
        <v>-3682.7858370819699</v>
      </c>
      <c r="K18" s="28">
        <f ca="1">IFERROR(__xludf.DUMMYFUNCTION("""COMPUTED_VALUE"""),-3531.75034634563)</f>
        <v>-3531.7503463456301</v>
      </c>
      <c r="L18" s="28">
        <f ca="1">IFERROR(__xludf.DUMMYFUNCTION("""COMPUTED_VALUE"""),-4101.00152032433)</f>
        <v>-4101.0015203243302</v>
      </c>
      <c r="M18" s="28">
        <f ca="1">IFERROR(__xludf.DUMMYFUNCTION("""COMPUTED_VALUE"""),-4297.96618763552)</f>
        <v>-4297.9661876355203</v>
      </c>
      <c r="N18" s="28">
        <f ca="1">IFERROR(__xludf.DUMMYFUNCTION("""COMPUTED_VALUE"""),-44907.199823211)</f>
        <v>-44907.199823210998</v>
      </c>
    </row>
    <row r="19" spans="1:14">
      <c r="A19" s="26" t="str">
        <f ca="1">IFERROR(__xludf.DUMMYFUNCTION("""COMPUTED_VALUE"""),"Devoluções de Compra (Estornos)")</f>
        <v>Devoluções de Compra (Estornos)</v>
      </c>
      <c r="B19" s="28">
        <f ca="1">IFERROR(__xludf.DUMMYFUNCTION("""COMPUTED_VALUE"""),0)</f>
        <v>0</v>
      </c>
      <c r="C19" s="28">
        <f ca="1">IFERROR(__xludf.DUMMYFUNCTION("""COMPUTED_VALUE"""),0)</f>
        <v>0</v>
      </c>
      <c r="D19" s="28">
        <f ca="1">IFERROR(__xludf.DUMMYFUNCTION("""COMPUTED_VALUE"""),0)</f>
        <v>0</v>
      </c>
      <c r="E19" s="28">
        <f ca="1">IFERROR(__xludf.DUMMYFUNCTION("""COMPUTED_VALUE"""),0)</f>
        <v>0</v>
      </c>
      <c r="F19" s="28">
        <f ca="1">IFERROR(__xludf.DUMMYFUNCTION("""COMPUTED_VALUE"""),0)</f>
        <v>0</v>
      </c>
      <c r="G19" s="28">
        <f ca="1">IFERROR(__xludf.DUMMYFUNCTION("""COMPUTED_VALUE"""),0)</f>
        <v>0</v>
      </c>
      <c r="H19" s="28">
        <f ca="1">IFERROR(__xludf.DUMMYFUNCTION("""COMPUTED_VALUE"""),0)</f>
        <v>0</v>
      </c>
      <c r="I19" s="28">
        <f ca="1">IFERROR(__xludf.DUMMYFUNCTION("""COMPUTED_VALUE"""),0)</f>
        <v>0</v>
      </c>
      <c r="J19" s="28">
        <f ca="1">IFERROR(__xludf.DUMMYFUNCTION("""COMPUTED_VALUE"""),0)</f>
        <v>0</v>
      </c>
      <c r="K19" s="28">
        <f ca="1">IFERROR(__xludf.DUMMYFUNCTION("""COMPUTED_VALUE"""),0)</f>
        <v>0</v>
      </c>
      <c r="L19" s="28">
        <f ca="1">IFERROR(__xludf.DUMMYFUNCTION("""COMPUTED_VALUE"""),0)</f>
        <v>0</v>
      </c>
      <c r="M19" s="28">
        <f ca="1">IFERROR(__xludf.DUMMYFUNCTION("""COMPUTED_VALUE"""),0)</f>
        <v>0</v>
      </c>
      <c r="N19" s="28">
        <f ca="1">IFERROR(__xludf.DUMMYFUNCTION("""COMPUTED_VALUE"""),0)</f>
        <v>0</v>
      </c>
    </row>
    <row r="20" spans="1:14">
      <c r="A20" s="26" t="str">
        <f ca="1">IFERROR(__xludf.DUMMYFUNCTION("""COMPUTED_VALUE"""),"Simples Nacional (DAS)")</f>
        <v>Simples Nacional (DAS)</v>
      </c>
      <c r="B20" s="28">
        <f ca="1">IFERROR(__xludf.DUMMYFUNCTION("""COMPUTED_VALUE"""),-36475)</f>
        <v>-36475</v>
      </c>
      <c r="C20" s="28">
        <f ca="1">IFERROR(__xludf.DUMMYFUNCTION("""COMPUTED_VALUE"""),-28640)</f>
        <v>-28640</v>
      </c>
      <c r="D20" s="28">
        <f ca="1">IFERROR(__xludf.DUMMYFUNCTION("""COMPUTED_VALUE"""),-41752)</f>
        <v>-41752</v>
      </c>
      <c r="E20" s="28">
        <f ca="1">IFERROR(__xludf.DUMMYFUNCTION("""COMPUTED_VALUE"""),-32049)</f>
        <v>-32049</v>
      </c>
      <c r="F20" s="28">
        <f ca="1">IFERROR(__xludf.DUMMYFUNCTION("""COMPUTED_VALUE"""),-40328)</f>
        <v>-40328</v>
      </c>
      <c r="G20" s="28">
        <f ca="1">IFERROR(__xludf.DUMMYFUNCTION("""COMPUTED_VALUE"""),-32954)</f>
        <v>-32954</v>
      </c>
      <c r="H20" s="28">
        <f ca="1">IFERROR(__xludf.DUMMYFUNCTION("""COMPUTED_VALUE"""),-43632)</f>
        <v>-43632</v>
      </c>
      <c r="I20" s="28">
        <f ca="1">IFERROR(__xludf.DUMMYFUNCTION("""COMPUTED_VALUE"""),-47081)</f>
        <v>-47081</v>
      </c>
      <c r="J20" s="28">
        <f ca="1">IFERROR(__xludf.DUMMYFUNCTION("""COMPUTED_VALUE"""),-40101)</f>
        <v>-40101</v>
      </c>
      <c r="K20" s="28">
        <f ca="1">IFERROR(__xludf.DUMMYFUNCTION("""COMPUTED_VALUE"""),-38024)</f>
        <v>-38024</v>
      </c>
      <c r="L20" s="28">
        <f ca="1">IFERROR(__xludf.DUMMYFUNCTION("""COMPUTED_VALUE"""),-47393)</f>
        <v>-47393</v>
      </c>
      <c r="M20" s="28">
        <f ca="1">IFERROR(__xludf.DUMMYFUNCTION("""COMPUTED_VALUE"""),-50030)</f>
        <v>-50030</v>
      </c>
      <c r="N20" s="28">
        <f ca="1">IFERROR(__xludf.DUMMYFUNCTION("""COMPUTED_VALUE"""),-478459)</f>
        <v>-478459</v>
      </c>
    </row>
    <row r="21" spans="1:14">
      <c r="A21" s="65" t="str">
        <f ca="1">IFERROR(__xludf.DUMMYFUNCTION("""COMPUTED_VALUE"""),"Receita Operacional Liquida")</f>
        <v>Receita Operacional Liquida</v>
      </c>
      <c r="B21" s="67">
        <f ca="1">IFERROR(__xludf.DUMMYFUNCTION("""COMPUTED_VALUE"""),281266.36366825)</f>
        <v>281266.36366824998</v>
      </c>
      <c r="C21" s="67">
        <f ca="1">IFERROR(__xludf.DUMMYFUNCTION("""COMPUTED_VALUE"""),231303.259747821)</f>
        <v>231303.25974782099</v>
      </c>
      <c r="D21" s="67">
        <f ca="1">IFERROR(__xludf.DUMMYFUNCTION("""COMPUTED_VALUE"""),307475.825343505)</f>
        <v>307475.82534350501</v>
      </c>
      <c r="E21" s="67">
        <f ca="1">IFERROR(__xludf.DUMMYFUNCTION("""COMPUTED_VALUE"""),248899.376631202)</f>
        <v>248899.376631202</v>
      </c>
      <c r="F21" s="67">
        <f ca="1">IFERROR(__xludf.DUMMYFUNCTION("""COMPUTED_VALUE"""),315104.551694693)</f>
        <v>315104.55169469299</v>
      </c>
      <c r="G21" s="67">
        <f ca="1">IFERROR(__xludf.DUMMYFUNCTION("""COMPUTED_VALUE"""),268329.343378869)</f>
        <v>268329.343378869</v>
      </c>
      <c r="H21" s="67">
        <f ca="1">IFERROR(__xludf.DUMMYFUNCTION("""COMPUTED_VALUE"""),339686.937623005)</f>
        <v>339686.93762300501</v>
      </c>
      <c r="I21" s="67">
        <f ca="1">IFERROR(__xludf.DUMMYFUNCTION("""COMPUTED_VALUE"""),352051.721039983)</f>
        <v>352051.72103998298</v>
      </c>
      <c r="J21" s="67">
        <f ca="1">IFERROR(__xludf.DUMMYFUNCTION("""COMPUTED_VALUE"""),295633.599339825)</f>
        <v>295633.59933982498</v>
      </c>
      <c r="K21" s="67">
        <f ca="1">IFERROR(__xludf.DUMMYFUNCTION("""COMPUTED_VALUE"""),285566.752352696)</f>
        <v>285566.75235269603</v>
      </c>
      <c r="L21" s="67">
        <f ca="1">IFERROR(__xludf.DUMMYFUNCTION("""COMPUTED_VALUE"""),331945.933994974)</f>
        <v>331945.93399497401</v>
      </c>
      <c r="M21" s="67">
        <f ca="1">IFERROR(__xludf.DUMMYFUNCTION("""COMPUTED_VALUE"""),348543.060905724)</f>
        <v>348543.06090572401</v>
      </c>
      <c r="N21" s="67">
        <f ca="1">IFERROR(__xludf.DUMMYFUNCTION("""COMPUTED_VALUE"""),3605806.72572055)</f>
        <v>3605806.7257205499</v>
      </c>
    </row>
    <row r="22" spans="1:14">
      <c r="A22" s="72" t="str">
        <f ca="1">IFERROR(__xludf.DUMMYFUNCTION("""COMPUTED_VALUE"""),"Custos com os Serviços Prestados")</f>
        <v>Custos com os Serviços Prestados</v>
      </c>
      <c r="B22" s="74">
        <f ca="1">IFERROR(__xludf.DUMMYFUNCTION("""COMPUTED_VALUE"""),-70839.9173543627)</f>
        <v>-70839.917354362697</v>
      </c>
      <c r="C22" s="74">
        <f ca="1">IFERROR(__xludf.DUMMYFUNCTION("""COMPUTED_VALUE"""),-57149.2460776148)</f>
        <v>-57149.2460776148</v>
      </c>
      <c r="D22" s="74">
        <f ca="1">IFERROR(__xludf.DUMMYFUNCTION("""COMPUTED_VALUE"""),-76453.7041395721)</f>
        <v>-76453.704139572103</v>
      </c>
      <c r="E22" s="74">
        <f ca="1">IFERROR(__xludf.DUMMYFUNCTION("""COMPUTED_VALUE"""),-61540.5365601339)</f>
        <v>-61540.5365601339</v>
      </c>
      <c r="F22" s="74">
        <f ca="1">IFERROR(__xludf.DUMMYFUNCTION("""COMPUTED_VALUE"""),-85128.2539722517)</f>
        <v>-85128.253972251696</v>
      </c>
      <c r="G22" s="74">
        <f ca="1">IFERROR(__xludf.DUMMYFUNCTION("""COMPUTED_VALUE"""),-65493.1377259527)</f>
        <v>-65493.1377259527</v>
      </c>
      <c r="H22" s="74">
        <f ca="1">IFERROR(__xludf.DUMMYFUNCTION("""COMPUTED_VALUE"""),-83107.3168517209)</f>
        <v>-83107.316851720898</v>
      </c>
      <c r="I22" s="74">
        <f ca="1">IFERROR(__xludf.DUMMYFUNCTION("""COMPUTED_VALUE"""),-87043.6913686561)</f>
        <v>-87043.691368656102</v>
      </c>
      <c r="J22" s="74">
        <f ca="1">IFERROR(__xludf.DUMMYFUNCTION("""COMPUTED_VALUE"""),-73754.213824326)</f>
        <v>-73754.213824325998</v>
      </c>
      <c r="K22" s="74">
        <f ca="1">IFERROR(__xludf.DUMMYFUNCTION("""COMPUTED_VALUE"""),-71846.7912667839)</f>
        <v>-71846.791266783897</v>
      </c>
      <c r="L22" s="74">
        <f ca="1">IFERROR(__xludf.DUMMYFUNCTION("""COMPUTED_VALUE"""),-83958.9330441495)</f>
        <v>-83958.933044149497</v>
      </c>
      <c r="M22" s="74">
        <f ca="1">IFERROR(__xludf.DUMMYFUNCTION("""COMPUTED_VALUE"""),-88444.4427744857)</f>
        <v>-88444.442774485695</v>
      </c>
      <c r="N22" s="74">
        <f ca="1">IFERROR(__xludf.DUMMYFUNCTION("""COMPUTED_VALUE"""),-904760.18496001)</f>
        <v>-904760.18496001</v>
      </c>
    </row>
    <row r="23" spans="1:14">
      <c r="A23" s="26" t="str">
        <f ca="1">IFERROR(__xludf.DUMMYFUNCTION("""COMPUTED_VALUE"""),"Compras de Materia Prima")</f>
        <v>Compras de Materia Prima</v>
      </c>
      <c r="B23" s="28">
        <f ca="1">IFERROR(__xludf.DUMMYFUNCTION("""COMPUTED_VALUE"""),0)</f>
        <v>0</v>
      </c>
      <c r="C23" s="28">
        <f ca="1">IFERROR(__xludf.DUMMYFUNCTION("""COMPUTED_VALUE"""),0)</f>
        <v>0</v>
      </c>
      <c r="D23" s="28">
        <f ca="1">IFERROR(__xludf.DUMMYFUNCTION("""COMPUTED_VALUE"""),0)</f>
        <v>0</v>
      </c>
      <c r="E23" s="28">
        <f ca="1">IFERROR(__xludf.DUMMYFUNCTION("""COMPUTED_VALUE"""),0)</f>
        <v>0</v>
      </c>
      <c r="F23" s="28">
        <f ca="1">IFERROR(__xludf.DUMMYFUNCTION("""COMPUTED_VALUE"""),-7867.6736)</f>
        <v>-7867.6736000000001</v>
      </c>
      <c r="G23" s="28">
        <f ca="1">IFERROR(__xludf.DUMMYFUNCTION("""COMPUTED_VALUE"""),0)</f>
        <v>0</v>
      </c>
      <c r="H23" s="28">
        <f ca="1">IFERROR(__xludf.DUMMYFUNCTION("""COMPUTED_VALUE"""),0)</f>
        <v>0</v>
      </c>
      <c r="I23" s="28">
        <f ca="1">IFERROR(__xludf.DUMMYFUNCTION("""COMPUTED_VALUE"""),0)</f>
        <v>0</v>
      </c>
      <c r="J23" s="28">
        <f ca="1">IFERROR(__xludf.DUMMYFUNCTION("""COMPUTED_VALUE"""),0)</f>
        <v>0</v>
      </c>
      <c r="K23" s="28">
        <f ca="1">IFERROR(__xludf.DUMMYFUNCTION("""COMPUTED_VALUE"""),0)</f>
        <v>0</v>
      </c>
      <c r="L23" s="28">
        <f ca="1">IFERROR(__xludf.DUMMYFUNCTION("""COMPUTED_VALUE"""),0)</f>
        <v>0</v>
      </c>
      <c r="M23" s="28">
        <f ca="1">IFERROR(__xludf.DUMMYFUNCTION("""COMPUTED_VALUE"""),0)</f>
        <v>0</v>
      </c>
      <c r="N23" s="28">
        <f ca="1">IFERROR(__xludf.DUMMYFUNCTION("""COMPUTED_VALUE"""),-7867.6736)</f>
        <v>-7867.6736000000001</v>
      </c>
    </row>
    <row r="24" spans="1:14">
      <c r="A24" s="26" t="str">
        <f ca="1">IFERROR(__xludf.DUMMYFUNCTION("""COMPUTED_VALUE"""),"Custo com Gateway de Pagamento")</f>
        <v>Custo com Gateway de Pagamento</v>
      </c>
      <c r="B24" s="28">
        <f ca="1">IFERROR(__xludf.DUMMYFUNCTION("""COMPUTED_VALUE"""),-45591.8946381327)</f>
        <v>-45591.894638132697</v>
      </c>
      <c r="C24" s="28">
        <f ca="1">IFERROR(__xludf.DUMMYFUNCTION("""COMPUTED_VALUE"""),-34987.5266445298)</f>
        <v>-34987.526644529797</v>
      </c>
      <c r="D24" s="28">
        <f ca="1">IFERROR(__xludf.DUMMYFUNCTION("""COMPUTED_VALUE"""),-48041.166546727)</f>
        <v>-48041.166546727</v>
      </c>
      <c r="E24" s="28">
        <f ca="1">IFERROR(__xludf.DUMMYFUNCTION("""COMPUTED_VALUE"""),-37602.2317654039)</f>
        <v>-37602.2317654039</v>
      </c>
      <c r="F24" s="28">
        <f ca="1">IFERROR(__xludf.DUMMYFUNCTION("""COMPUTED_VALUE"""),-46989.0347020467)</f>
        <v>-46989.034702046702</v>
      </c>
      <c r="G24" s="28">
        <f ca="1">IFERROR(__xludf.DUMMYFUNCTION("""COMPUTED_VALUE"""),-39735.5153948976)</f>
        <v>-39735.5153948976</v>
      </c>
      <c r="H24" s="28">
        <f ca="1">IFERROR(__xludf.DUMMYFUNCTION("""COMPUTED_VALUE"""),-51181.2306217559)</f>
        <v>-51181.230621755902</v>
      </c>
      <c r="I24" s="28">
        <f ca="1">IFERROR(__xludf.DUMMYFUNCTION("""COMPUTED_VALUE"""),-54575.4151702211)</f>
        <v>-54575.415170221102</v>
      </c>
      <c r="J24" s="28">
        <f ca="1">IFERROR(__xludf.DUMMYFUNCTION("""COMPUTED_VALUE"""),-46797.343738951)</f>
        <v>-46797.343738951</v>
      </c>
      <c r="K24" s="28">
        <f ca="1">IFERROR(__xludf.DUMMYFUNCTION("""COMPUTED_VALUE"""),-45504.4263645039)</f>
        <v>-45504.426364503903</v>
      </c>
      <c r="L24" s="28">
        <f ca="1">IFERROR(__xludf.DUMMYFUNCTION("""COMPUTED_VALUE"""),-54952.1905824845)</f>
        <v>-54952.190582484502</v>
      </c>
      <c r="M24" s="28">
        <f ca="1">IFERROR(__xludf.DUMMYFUNCTION("""COMPUTED_VALUE"""),-57501.6924737157)</f>
        <v>-57501.692473715702</v>
      </c>
      <c r="N24" s="28">
        <f ca="1">IFERROR(__xludf.DUMMYFUNCTION("""COMPUTED_VALUE"""),-563459.66864337)</f>
        <v>-563459.66864337004</v>
      </c>
    </row>
    <row r="25" spans="1:14">
      <c r="A25" s="26" t="str">
        <f ca="1">IFERROR(__xludf.DUMMYFUNCTION("""COMPUTED_VALUE"""),"Serviço de Mão de Obra Eventos / Suporte")</f>
        <v>Serviço de Mão de Obra Eventos / Suporte</v>
      </c>
      <c r="B25" s="28">
        <f ca="1">IFERROR(__xludf.DUMMYFUNCTION("""COMPUTED_VALUE"""),-2000)</f>
        <v>-2000</v>
      </c>
      <c r="C25" s="28">
        <f ca="1">IFERROR(__xludf.DUMMYFUNCTION("""COMPUTED_VALUE"""),-1800)</f>
        <v>-1800</v>
      </c>
      <c r="D25" s="28">
        <f ca="1">IFERROR(__xludf.DUMMYFUNCTION("""COMPUTED_VALUE"""),-1600)</f>
        <v>-1600</v>
      </c>
      <c r="E25" s="28">
        <f ca="1">IFERROR(__xludf.DUMMYFUNCTION("""COMPUTED_VALUE"""),-1800)</f>
        <v>-1800</v>
      </c>
      <c r="F25" s="28">
        <f ca="1">IFERROR(__xludf.DUMMYFUNCTION("""COMPUTED_VALUE"""),-2000)</f>
        <v>-2000</v>
      </c>
      <c r="G25" s="28">
        <f ca="1">IFERROR(__xludf.DUMMYFUNCTION("""COMPUTED_VALUE"""),-1800)</f>
        <v>-1800</v>
      </c>
      <c r="H25" s="28">
        <f ca="1">IFERROR(__xludf.DUMMYFUNCTION("""COMPUTED_VALUE"""),-1800)</f>
        <v>-1800</v>
      </c>
      <c r="I25" s="28">
        <f ca="1">IFERROR(__xludf.DUMMYFUNCTION("""COMPUTED_VALUE"""),-1800)</f>
        <v>-1800</v>
      </c>
      <c r="J25" s="28">
        <f ca="1">IFERROR(__xludf.DUMMYFUNCTION("""COMPUTED_VALUE"""),-1600)</f>
        <v>-1600</v>
      </c>
      <c r="K25" s="28">
        <f ca="1">IFERROR(__xludf.DUMMYFUNCTION("""COMPUTED_VALUE"""),-2200)</f>
        <v>-2200</v>
      </c>
      <c r="L25" s="28">
        <f ca="1">IFERROR(__xludf.DUMMYFUNCTION("""COMPUTED_VALUE"""),-1600)</f>
        <v>-1600</v>
      </c>
      <c r="M25" s="28">
        <f ca="1">IFERROR(__xludf.DUMMYFUNCTION("""COMPUTED_VALUE"""),-2200)</f>
        <v>-2200</v>
      </c>
      <c r="N25" s="28">
        <f ca="1">IFERROR(__xludf.DUMMYFUNCTION("""COMPUTED_VALUE"""),-22200)</f>
        <v>-22200</v>
      </c>
    </row>
    <row r="26" spans="1:14">
      <c r="A26" s="26" t="str">
        <f ca="1">IFERROR(__xludf.DUMMYFUNCTION("""COMPUTED_VALUE"""),"Royalties")</f>
        <v>Royalties</v>
      </c>
      <c r="B26" s="28">
        <f ca="1">IFERROR(__xludf.DUMMYFUNCTION("""COMPUTED_VALUE"""),-23248.02271623)</f>
        <v>-23248.02271623</v>
      </c>
      <c r="C26" s="28">
        <f ca="1">IFERROR(__xludf.DUMMYFUNCTION("""COMPUTED_VALUE"""),-20361.719433085)</f>
        <v>-20361.719433085</v>
      </c>
      <c r="D26" s="28">
        <f ca="1">IFERROR(__xludf.DUMMYFUNCTION("""COMPUTED_VALUE"""),-26812.537592845)</f>
        <v>-26812.537592845001</v>
      </c>
      <c r="E26" s="28">
        <f ca="1">IFERROR(__xludf.DUMMYFUNCTION("""COMPUTED_VALUE"""),-22138.30479473)</f>
        <v>-22138.30479473</v>
      </c>
      <c r="F26" s="28">
        <f ca="1">IFERROR(__xludf.DUMMYFUNCTION("""COMPUTED_VALUE"""),-28271.545670205)</f>
        <v>-28271.545670205</v>
      </c>
      <c r="G26" s="28">
        <f ca="1">IFERROR(__xludf.DUMMYFUNCTION("""COMPUTED_VALUE"""),-23957.622331055)</f>
        <v>-23957.622331055001</v>
      </c>
      <c r="H26" s="28">
        <f ca="1">IFERROR(__xludf.DUMMYFUNCTION("""COMPUTED_VALUE"""),-30126.086229965)</f>
        <v>-30126.086229965</v>
      </c>
      <c r="I26" s="28">
        <f ca="1">IFERROR(__xludf.DUMMYFUNCTION("""COMPUTED_VALUE"""),-30668.276198435)</f>
        <v>-30668.276198435</v>
      </c>
      <c r="J26" s="28">
        <f ca="1">IFERROR(__xludf.DUMMYFUNCTION("""COMPUTED_VALUE"""),-25356.870085375)</f>
        <v>-25356.870085375002</v>
      </c>
      <c r="K26" s="28">
        <f ca="1">IFERROR(__xludf.DUMMYFUNCTION("""COMPUTED_VALUE"""),-24142.36490228)</f>
        <v>-24142.364902279998</v>
      </c>
      <c r="L26" s="28">
        <f ca="1">IFERROR(__xludf.DUMMYFUNCTION("""COMPUTED_VALUE"""),-27406.742461665)</f>
        <v>-27406.742461664999</v>
      </c>
      <c r="M26" s="28">
        <f ca="1">IFERROR(__xludf.DUMMYFUNCTION("""COMPUTED_VALUE"""),-28742.75030077)</f>
        <v>-28742.75030077</v>
      </c>
      <c r="N26" s="28">
        <f ca="1">IFERROR(__xludf.DUMMYFUNCTION("""COMPUTED_VALUE"""),-311232.84271664)</f>
        <v>-311232.84271663998</v>
      </c>
    </row>
    <row r="27" spans="1:14">
      <c r="A27" s="26" t="str">
        <f ca="1">IFERROR(__xludf.DUMMYFUNCTION("""COMPUTED_VALUE"""),"Compra de Serviços")</f>
        <v>Compra de Serviços</v>
      </c>
      <c r="B27" s="28">
        <f ca="1">IFERROR(__xludf.DUMMYFUNCTION("""COMPUTED_VALUE"""),0)</f>
        <v>0</v>
      </c>
      <c r="C27" s="28">
        <f ca="1">IFERROR(__xludf.DUMMYFUNCTION("""COMPUTED_VALUE"""),0)</f>
        <v>0</v>
      </c>
      <c r="D27" s="28">
        <f ca="1">IFERROR(__xludf.DUMMYFUNCTION("""COMPUTED_VALUE"""),0)</f>
        <v>0</v>
      </c>
      <c r="E27" s="28">
        <f ca="1">IFERROR(__xludf.DUMMYFUNCTION("""COMPUTED_VALUE"""),0)</f>
        <v>0</v>
      </c>
      <c r="F27" s="28">
        <f ca="1">IFERROR(__xludf.DUMMYFUNCTION("""COMPUTED_VALUE"""),0)</f>
        <v>0</v>
      </c>
      <c r="G27" s="28">
        <f ca="1">IFERROR(__xludf.DUMMYFUNCTION("""COMPUTED_VALUE"""),0)</f>
        <v>0</v>
      </c>
      <c r="H27" s="28">
        <f ca="1">IFERROR(__xludf.DUMMYFUNCTION("""COMPUTED_VALUE"""),0)</f>
        <v>0</v>
      </c>
      <c r="I27" s="28">
        <f ca="1">IFERROR(__xludf.DUMMYFUNCTION("""COMPUTED_VALUE"""),0)</f>
        <v>0</v>
      </c>
      <c r="J27" s="28">
        <f ca="1">IFERROR(__xludf.DUMMYFUNCTION("""COMPUTED_VALUE"""),0)</f>
        <v>0</v>
      </c>
      <c r="K27" s="28">
        <f ca="1">IFERROR(__xludf.DUMMYFUNCTION("""COMPUTED_VALUE"""),0)</f>
        <v>0</v>
      </c>
      <c r="L27" s="28">
        <f ca="1">IFERROR(__xludf.DUMMYFUNCTION("""COMPUTED_VALUE"""),0)</f>
        <v>0</v>
      </c>
      <c r="M27" s="28">
        <f ca="1">IFERROR(__xludf.DUMMYFUNCTION("""COMPUTED_VALUE"""),0)</f>
        <v>0</v>
      </c>
      <c r="N27" s="28">
        <f ca="1">IFERROR(__xludf.DUMMYFUNCTION("""COMPUTED_VALUE"""),0)</f>
        <v>0</v>
      </c>
    </row>
    <row r="28" spans="1:14">
      <c r="A28" s="65" t="str">
        <f ca="1">IFERROR(__xludf.DUMMYFUNCTION("""COMPUTED_VALUE"""),"Lucro Operacional Bruto")</f>
        <v>Lucro Operacional Bruto</v>
      </c>
      <c r="B28" s="67">
        <f ca="1">IFERROR(__xludf.DUMMYFUNCTION("""COMPUTED_VALUE"""),210426.446313887)</f>
        <v>210426.44631388699</v>
      </c>
      <c r="C28" s="67">
        <f ca="1">IFERROR(__xludf.DUMMYFUNCTION("""COMPUTED_VALUE"""),174154.013670206)</f>
        <v>174154.01367020601</v>
      </c>
      <c r="D28" s="67">
        <f ca="1">IFERROR(__xludf.DUMMYFUNCTION("""COMPUTED_VALUE"""),231022.121203933)</f>
        <v>231022.121203933</v>
      </c>
      <c r="E28" s="67">
        <f ca="1">IFERROR(__xludf.DUMMYFUNCTION("""COMPUTED_VALUE"""),187358.840071068)</f>
        <v>187358.840071068</v>
      </c>
      <c r="F28" s="67">
        <f ca="1">IFERROR(__xludf.DUMMYFUNCTION("""COMPUTED_VALUE"""),229976.297722442)</f>
        <v>229976.29772244199</v>
      </c>
      <c r="G28" s="67">
        <f ca="1">IFERROR(__xludf.DUMMYFUNCTION("""COMPUTED_VALUE"""),202836.205652917)</f>
        <v>202836.20565291701</v>
      </c>
      <c r="H28" s="67">
        <f ca="1">IFERROR(__xludf.DUMMYFUNCTION("""COMPUTED_VALUE"""),256579.620771284)</f>
        <v>256579.62077128401</v>
      </c>
      <c r="I28" s="67">
        <f ca="1">IFERROR(__xludf.DUMMYFUNCTION("""COMPUTED_VALUE"""),265008.029671327)</f>
        <v>265008.02967132698</v>
      </c>
      <c r="J28" s="67">
        <f ca="1">IFERROR(__xludf.DUMMYFUNCTION("""COMPUTED_VALUE"""),221879.385515499)</f>
        <v>221879.38551549899</v>
      </c>
      <c r="K28" s="67">
        <f ca="1">IFERROR(__xludf.DUMMYFUNCTION("""COMPUTED_VALUE"""),213719.961085912)</f>
        <v>213719.96108591199</v>
      </c>
      <c r="L28" s="67">
        <f ca="1">IFERROR(__xludf.DUMMYFUNCTION("""COMPUTED_VALUE"""),247987.000950824)</f>
        <v>247987.000950824</v>
      </c>
      <c r="M28" s="67">
        <f ca="1">IFERROR(__xludf.DUMMYFUNCTION("""COMPUTED_VALUE"""),260098.618131238)</f>
        <v>260098.61813123801</v>
      </c>
      <c r="N28" s="67">
        <f ca="1">IFERROR(__xludf.DUMMYFUNCTION("""COMPUTED_VALUE"""),2701046.54076054)</f>
        <v>2701046.5407605399</v>
      </c>
    </row>
    <row r="29" spans="1:14">
      <c r="A29" s="80" t="str">
        <f ca="1">IFERROR(__xludf.DUMMYFUNCTION("""COMPUTED_VALUE"""),"Despesas Operacionais")</f>
        <v>Despesas Operacionais</v>
      </c>
      <c r="B29" s="81">
        <f ca="1">IFERROR(__xludf.DUMMYFUNCTION("""COMPUTED_VALUE"""),-115619.909455241)</f>
        <v>-115619.909455241</v>
      </c>
      <c r="C29" s="81">
        <f ca="1">IFERROR(__xludf.DUMMYFUNCTION("""COMPUTED_VALUE"""),-122459.832240344)</f>
        <v>-122459.832240344</v>
      </c>
      <c r="D29" s="81">
        <f ca="1">IFERROR(__xludf.DUMMYFUNCTION("""COMPUTED_VALUE"""),-119958.295343097)</f>
        <v>-119958.29534309699</v>
      </c>
      <c r="E29" s="81">
        <f ca="1">IFERROR(__xludf.DUMMYFUNCTION("""COMPUTED_VALUE"""),-114712.863336696)</f>
        <v>-114712.863336696</v>
      </c>
      <c r="F29" s="81">
        <f ca="1">IFERROR(__xludf.DUMMYFUNCTION("""COMPUTED_VALUE"""),-116646.748382568)</f>
        <v>-116646.748382568</v>
      </c>
      <c r="G29" s="81">
        <f ca="1">IFERROR(__xludf.DUMMYFUNCTION("""COMPUTED_VALUE"""),-115802.718945448)</f>
        <v>-115802.718945448</v>
      </c>
      <c r="H29" s="81">
        <f ca="1">IFERROR(__xludf.DUMMYFUNCTION("""COMPUTED_VALUE"""),-136920.647383291)</f>
        <v>-136920.64738329101</v>
      </c>
      <c r="I29" s="81">
        <f ca="1">IFERROR(__xludf.DUMMYFUNCTION("""COMPUTED_VALUE"""),-134561.318861798)</f>
        <v>-134561.318861798</v>
      </c>
      <c r="J29" s="81">
        <f ca="1">IFERROR(__xludf.DUMMYFUNCTION("""COMPUTED_VALUE"""),-122819.387165904)</f>
        <v>-122819.387165904</v>
      </c>
      <c r="K29" s="81">
        <f ca="1">IFERROR(__xludf.DUMMYFUNCTION("""COMPUTED_VALUE"""),-137373.913842069)</f>
        <v>-137373.91384206901</v>
      </c>
      <c r="L29" s="81">
        <f ca="1">IFERROR(__xludf.DUMMYFUNCTION("""COMPUTED_VALUE"""),-130865.561077823)</f>
        <v>-130865.561077823</v>
      </c>
      <c r="M29" s="81">
        <f ca="1">IFERROR(__xludf.DUMMYFUNCTION("""COMPUTED_VALUE"""),-149932.474500941)</f>
        <v>-149932.474500941</v>
      </c>
      <c r="N29" s="81">
        <f ca="1">IFERROR(__xludf.DUMMYFUNCTION("""COMPUTED_VALUE"""),-1517673.67053522)</f>
        <v>-1517673.6705352201</v>
      </c>
    </row>
    <row r="30" spans="1:14">
      <c r="A30" s="13" t="str">
        <f ca="1">IFERROR(__xludf.DUMMYFUNCTION("""COMPUTED_VALUE"""),"Despesas de Vendas e Marketing")</f>
        <v>Despesas de Vendas e Marketing</v>
      </c>
      <c r="B30" s="16">
        <f ca="1">IFERROR(__xludf.DUMMYFUNCTION("""COMPUTED_VALUE"""),-53255.7895933264)</f>
        <v>-53255.789593326401</v>
      </c>
      <c r="C30" s="16">
        <f ca="1">IFERROR(__xludf.DUMMYFUNCTION("""COMPUTED_VALUE"""),-53170.3049289637)</f>
        <v>-53170.304928963698</v>
      </c>
      <c r="D30" s="16">
        <f ca="1">IFERROR(__xludf.DUMMYFUNCTION("""COMPUTED_VALUE"""),-46890.776472545)</f>
        <v>-46890.776472545003</v>
      </c>
      <c r="E30" s="16">
        <f ca="1">IFERROR(__xludf.DUMMYFUNCTION("""COMPUTED_VALUE"""),-41697.2956871827)</f>
        <v>-41697.295687182697</v>
      </c>
      <c r="F30" s="16">
        <f ca="1">IFERROR(__xludf.DUMMYFUNCTION("""COMPUTED_VALUE"""),-50771.0398787892)</f>
        <v>-50771.039878789197</v>
      </c>
      <c r="G30" s="16">
        <f ca="1">IFERROR(__xludf.DUMMYFUNCTION("""COMPUTED_VALUE"""),-50255.5448550526)</f>
        <v>-50255.544855052598</v>
      </c>
      <c r="H30" s="16">
        <f ca="1">IFERROR(__xludf.DUMMYFUNCTION("""COMPUTED_VALUE"""),-66803.5810160009)</f>
        <v>-66803.581016000899</v>
      </c>
      <c r="I30" s="16">
        <f ca="1">IFERROR(__xludf.DUMMYFUNCTION("""COMPUTED_VALUE"""),-63752.1934963221)</f>
        <v>-63752.193496322099</v>
      </c>
      <c r="J30" s="16">
        <f ca="1">IFERROR(__xludf.DUMMYFUNCTION("""COMPUTED_VALUE"""),-54389.6151295222)</f>
        <v>-54389.615129522201</v>
      </c>
      <c r="K30" s="16">
        <f ca="1">IFERROR(__xludf.DUMMYFUNCTION("""COMPUTED_VALUE"""),-68844.8198108937)</f>
        <v>-68844.819810893707</v>
      </c>
      <c r="L30" s="16">
        <f ca="1">IFERROR(__xludf.DUMMYFUNCTION("""COMPUTED_VALUE"""),-61536.3515200686)</f>
        <v>-61536.351520068602</v>
      </c>
      <c r="M30" s="16">
        <f ca="1">IFERROR(__xludf.DUMMYFUNCTION("""COMPUTED_VALUE"""),-76311.7760691343)</f>
        <v>-76311.776069134299</v>
      </c>
      <c r="N30" s="16">
        <f ca="1">IFERROR(__xludf.DUMMYFUNCTION("""COMPUTED_VALUE"""),-687679.088457801)</f>
        <v>-687679.08845780103</v>
      </c>
    </row>
    <row r="31" spans="1:14">
      <c r="A31" s="26" t="str">
        <f ca="1">IFERROR(__xludf.DUMMYFUNCTION("""COMPUTED_VALUE"""),"Comissões de Vendas - Comercial")</f>
        <v>Comissões de Vendas - Comercial</v>
      </c>
      <c r="B31" s="28">
        <f ca="1">IFERROR(__xludf.DUMMYFUNCTION("""COMPUTED_VALUE"""),-5496.62203110807)</f>
        <v>-5496.6220311080697</v>
      </c>
      <c r="C31" s="28">
        <f ca="1">IFERROR(__xludf.DUMMYFUNCTION("""COMPUTED_VALUE"""),-4497.8398819769)</f>
        <v>-4497.8398819769</v>
      </c>
      <c r="D31" s="28">
        <f ca="1">IFERROR(__xludf.DUMMYFUNCTION("""COMPUTED_VALUE"""),-6042.41541373748)</f>
        <v>-6042.4154137374799</v>
      </c>
      <c r="E31" s="28">
        <f ca="1">IFERROR(__xludf.DUMMYFUNCTION("""COMPUTED_VALUE"""),-4861.42588468433)</f>
        <v>-4861.4258846843304</v>
      </c>
      <c r="F31" s="28">
        <f ca="1">IFERROR(__xludf.DUMMYFUNCTION("""COMPUTED_VALUE"""),-6150.48474435283)</f>
        <v>-6150.4847443528297</v>
      </c>
      <c r="G31" s="28">
        <f ca="1">IFERROR(__xludf.DUMMYFUNCTION("""COMPUTED_VALUE"""),-5213.38782434826)</f>
        <v>-5213.3878243482604</v>
      </c>
      <c r="H31" s="28">
        <f ca="1">IFERROR(__xludf.DUMMYFUNCTION("""COMPUTED_VALUE"""),-6632.69703774372)</f>
        <v>-6632.6970377437201</v>
      </c>
      <c r="I31" s="28">
        <f ca="1">IFERROR(__xludf.DUMMYFUNCTION("""COMPUTED_VALUE"""),-6905.7947667073)</f>
        <v>-6905.7947667073004</v>
      </c>
      <c r="J31" s="28">
        <f ca="1">IFERROR(__xludf.DUMMYFUNCTION("""COMPUTED_VALUE"""),-5808.54710119225)</f>
        <v>-5808.54710119225</v>
      </c>
      <c r="K31" s="28">
        <f ca="1">IFERROR(__xludf.DUMMYFUNCTION("""COMPUTED_VALUE"""),-5598.14124959132)</f>
        <v>-5598.14124959132</v>
      </c>
      <c r="L31" s="28">
        <f ca="1">IFERROR(__xludf.DUMMYFUNCTION("""COMPUTED_VALUE"""),-6561.91763647544)</f>
        <v>-6561.9176364754403</v>
      </c>
      <c r="M31" s="28">
        <f ca="1">IFERROR(__xludf.DUMMYFUNCTION("""COMPUTED_VALUE"""),-6894.4474819927)</f>
        <v>-6894.4474819927</v>
      </c>
      <c r="N31" s="28">
        <f ca="1">IFERROR(__xludf.DUMMYFUNCTION("""COMPUTED_VALUE"""),-70663.7210539106)</f>
        <v>-70663.721053910602</v>
      </c>
    </row>
    <row r="32" spans="1:14">
      <c r="A32" s="26" t="str">
        <f ca="1">IFERROR(__xludf.DUMMYFUNCTION("""COMPUTED_VALUE"""),"Comissões de Performance - CS")</f>
        <v>Comissões de Performance - CS</v>
      </c>
      <c r="B32" s="28">
        <f ca="1">IFERROR(__xludf.DUMMYFUNCTION("""COMPUTED_VALUE"""),-1722.4653372984)</f>
        <v>-1722.4653372984001</v>
      </c>
      <c r="C32" s="28">
        <f ca="1">IFERROR(__xludf.DUMMYFUNCTION("""COMPUTED_VALUE"""),-1440.3645946468)</f>
        <v>-1440.3645946468</v>
      </c>
      <c r="D32" s="28">
        <f ca="1">IFERROR(__xludf.DUMMYFUNCTION("""COMPUTED_VALUE"""),-1925.4777274276)</f>
        <v>-1925.4777274276</v>
      </c>
      <c r="E32" s="28">
        <f ca="1">IFERROR(__xludf.DUMMYFUNCTION("""COMPUTED_VALUE"""),-1560.5813435784)</f>
        <v>-1560.5813435784</v>
      </c>
      <c r="F32" s="28">
        <f ca="1">IFERROR(__xludf.DUMMYFUNCTION("""COMPUTED_VALUE"""),-1980.5188536164)</f>
        <v>-1980.5188536164001</v>
      </c>
      <c r="G32" s="28">
        <f ca="1">IFERROR(__xludf.DUMMYFUNCTION("""COMPUTED_VALUE"""),-1676.2574664844)</f>
        <v>-1676.2574664844001</v>
      </c>
      <c r="H32" s="28">
        <f ca="1">IFERROR(__xludf.DUMMYFUNCTION("""COMPUTED_VALUE"""),-2125.9835383972)</f>
        <v>-2125.9835383971999</v>
      </c>
      <c r="I32" s="28">
        <f ca="1">IFERROR(__xludf.DUMMYFUNCTION("""COMPUTED_VALUE"""),-2198.1214558748)</f>
        <v>-2198.1214558748002</v>
      </c>
      <c r="J32" s="28">
        <f ca="1">IFERROR(__xludf.DUMMYFUNCTION("""COMPUTED_VALUE"""),-1839.24592683)</f>
        <v>-1839.2459268299999</v>
      </c>
      <c r="K32" s="28">
        <f ca="1">IFERROR(__xludf.DUMMYFUNCTION("""COMPUTED_VALUE"""),-1763.8162321824)</f>
        <v>-1763.8162321824</v>
      </c>
      <c r="L32" s="28">
        <f ca="1">IFERROR(__xludf.DUMMYFUNCTION("""COMPUTED_VALUE"""),-2048.1099569332)</f>
        <v>-2048.1099569332</v>
      </c>
      <c r="M32" s="28">
        <f ca="1">IFERROR(__xludf.DUMMYFUNCTION("""COMPUTED_VALUE"""),-2146.4774640616)</f>
        <v>-2146.4774640616001</v>
      </c>
      <c r="N32" s="28">
        <f ca="1">IFERROR(__xludf.DUMMYFUNCTION("""COMPUTED_VALUE"""),-22427.4198973312)</f>
        <v>-22427.419897331201</v>
      </c>
    </row>
    <row r="33" spans="1:14">
      <c r="A33" s="26" t="str">
        <f ca="1">IFERROR(__xludf.DUMMYFUNCTION("""COMPUTED_VALUE"""),"Marketing")</f>
        <v>Marketing</v>
      </c>
      <c r="B33" s="28">
        <f ca="1">IFERROR(__xludf.DUMMYFUNCTION("""COMPUTED_VALUE"""),-3952.5)</f>
        <v>-3952.5</v>
      </c>
      <c r="C33" s="28">
        <f ca="1">IFERROR(__xludf.DUMMYFUNCTION("""COMPUTED_VALUE"""),-15952.5)</f>
        <v>-15952.5</v>
      </c>
      <c r="D33" s="28">
        <f ca="1">IFERROR(__xludf.DUMMYFUNCTION("""COMPUTED_VALUE"""),-4022.5)</f>
        <v>-4022.5</v>
      </c>
      <c r="E33" s="28">
        <f ca="1">IFERROR(__xludf.DUMMYFUNCTION("""COMPUTED_VALUE"""),-3952.5)</f>
        <v>-3952.5</v>
      </c>
      <c r="F33" s="28">
        <f ca="1">IFERROR(__xludf.DUMMYFUNCTION("""COMPUTED_VALUE"""),-3952.5)</f>
        <v>-3952.5</v>
      </c>
      <c r="G33" s="28">
        <f ca="1">IFERROR(__xludf.DUMMYFUNCTION("""COMPUTED_VALUE"""),-3952.5)</f>
        <v>-3952.5</v>
      </c>
      <c r="H33" s="28">
        <f ca="1">IFERROR(__xludf.DUMMYFUNCTION("""COMPUTED_VALUE"""),-11452.5)</f>
        <v>-11452.5</v>
      </c>
      <c r="I33" s="28">
        <f ca="1">IFERROR(__xludf.DUMMYFUNCTION("""COMPUTED_VALUE"""),-6452.5)</f>
        <v>-6452.5</v>
      </c>
      <c r="J33" s="28">
        <f ca="1">IFERROR(__xludf.DUMMYFUNCTION("""COMPUTED_VALUE"""),-6452.5)</f>
        <v>-6452.5</v>
      </c>
      <c r="K33" s="28">
        <f ca="1">IFERROR(__xludf.DUMMYFUNCTION("""COMPUTED_VALUE"""),-16452.5)</f>
        <v>-16452.5</v>
      </c>
      <c r="L33" s="28">
        <f ca="1">IFERROR(__xludf.DUMMYFUNCTION("""COMPUTED_VALUE"""),-1452.5)</f>
        <v>-1452.5</v>
      </c>
      <c r="M33" s="28">
        <f ca="1">IFERROR(__xludf.DUMMYFUNCTION("""COMPUTED_VALUE"""),-1452.5)</f>
        <v>-1452.5</v>
      </c>
      <c r="N33" s="28">
        <f ca="1">IFERROR(__xludf.DUMMYFUNCTION("""COMPUTED_VALUE"""),-79500)</f>
        <v>-79500</v>
      </c>
    </row>
    <row r="34" spans="1:14">
      <c r="A34" s="26" t="str">
        <f ca="1">IFERROR(__xludf.DUMMYFUNCTION("""COMPUTED_VALUE"""),"Despesas de Viagens")</f>
        <v>Despesas de Viagens</v>
      </c>
      <c r="B34" s="28">
        <f ca="1">IFERROR(__xludf.DUMMYFUNCTION("""COMPUTED_VALUE"""),-500)</f>
        <v>-500</v>
      </c>
      <c r="C34" s="28">
        <f ca="1">IFERROR(__xludf.DUMMYFUNCTION("""COMPUTED_VALUE"""),-500)</f>
        <v>-500</v>
      </c>
      <c r="D34" s="28">
        <f ca="1">IFERROR(__xludf.DUMMYFUNCTION("""COMPUTED_VALUE"""),-500)</f>
        <v>-500</v>
      </c>
      <c r="E34" s="28">
        <f ca="1">IFERROR(__xludf.DUMMYFUNCTION("""COMPUTED_VALUE"""),-500)</f>
        <v>-500</v>
      </c>
      <c r="F34" s="28">
        <f ca="1">IFERROR(__xludf.DUMMYFUNCTION("""COMPUTED_VALUE"""),-500)</f>
        <v>-500</v>
      </c>
      <c r="G34" s="28">
        <f ca="1">IFERROR(__xludf.DUMMYFUNCTION("""COMPUTED_VALUE"""),-500)</f>
        <v>-500</v>
      </c>
      <c r="H34" s="28">
        <f ca="1">IFERROR(__xludf.DUMMYFUNCTION("""COMPUTED_VALUE"""),-500)</f>
        <v>-500</v>
      </c>
      <c r="I34" s="28">
        <f ca="1">IFERROR(__xludf.DUMMYFUNCTION("""COMPUTED_VALUE"""),-500)</f>
        <v>-500</v>
      </c>
      <c r="J34" s="28">
        <f ca="1">IFERROR(__xludf.DUMMYFUNCTION("""COMPUTED_VALUE"""),-500)</f>
        <v>-500</v>
      </c>
      <c r="K34" s="28">
        <f ca="1">IFERROR(__xludf.DUMMYFUNCTION("""COMPUTED_VALUE"""),-500)</f>
        <v>-500</v>
      </c>
      <c r="L34" s="28">
        <f ca="1">IFERROR(__xludf.DUMMYFUNCTION("""COMPUTED_VALUE"""),-500)</f>
        <v>-500</v>
      </c>
      <c r="M34" s="28">
        <f ca="1">IFERROR(__xludf.DUMMYFUNCTION("""COMPUTED_VALUE"""),-500)</f>
        <v>-500</v>
      </c>
      <c r="N34" s="28">
        <f ca="1">IFERROR(__xludf.DUMMYFUNCTION("""COMPUTED_VALUE"""),-6000)</f>
        <v>-6000</v>
      </c>
    </row>
    <row r="35" spans="1:14">
      <c r="A35" s="26" t="str">
        <f ca="1">IFERROR(__xludf.DUMMYFUNCTION("""COMPUTED_VALUE"""),"Cashback - Afiliados")</f>
        <v>Cashback - Afiliados</v>
      </c>
      <c r="B35" s="28">
        <f ca="1">IFERROR(__xludf.DUMMYFUNCTION("""COMPUTED_VALUE"""),-1373.7648)</f>
        <v>-1373.7647999999999</v>
      </c>
      <c r="C35" s="28">
        <f ca="1">IFERROR(__xludf.DUMMYFUNCTION("""COMPUTED_VALUE"""),-1885.7296)</f>
        <v>-1885.7295999999999</v>
      </c>
      <c r="D35" s="28">
        <f ca="1">IFERROR(__xludf.DUMMYFUNCTION("""COMPUTED_VALUE"""),-2195.2528)</f>
        <v>-2195.2528000000002</v>
      </c>
      <c r="E35" s="28">
        <f ca="1">IFERROR(__xludf.DUMMYFUNCTION("""COMPUTED_VALUE"""),-2104.8304)</f>
        <v>-2104.8303999999998</v>
      </c>
      <c r="F35" s="28">
        <f ca="1">IFERROR(__xludf.DUMMYFUNCTION("""COMPUTED_VALUE"""),-2812.048)</f>
        <v>-2812.0479999999998</v>
      </c>
      <c r="G35" s="28">
        <f ca="1">IFERROR(__xludf.DUMMYFUNCTION("""COMPUTED_VALUE"""),-2403.5232)</f>
        <v>-2403.5232000000001</v>
      </c>
      <c r="H35" s="28">
        <f ca="1">IFERROR(__xludf.DUMMYFUNCTION("""COMPUTED_VALUE"""),-2841.0336)</f>
        <v>-2841.0336000000002</v>
      </c>
      <c r="I35" s="28">
        <f ca="1">IFERROR(__xludf.DUMMYFUNCTION("""COMPUTED_VALUE"""),-2553.4064)</f>
        <v>-2553.4063999999998</v>
      </c>
      <c r="J35" s="28">
        <f ca="1">IFERROR(__xludf.DUMMYFUNCTION("""COMPUTED_VALUE"""),-1893.0368)</f>
        <v>-1893.0368000000001</v>
      </c>
      <c r="K35" s="28">
        <f ca="1">IFERROR(__xludf.DUMMYFUNCTION("""COMPUTED_VALUE"""),-1675.7296)</f>
        <v>-1675.7295999999999</v>
      </c>
      <c r="L35" s="28">
        <f ca="1">IFERROR(__xludf.DUMMYFUNCTION("""COMPUTED_VALUE"""),-1444.2944)</f>
        <v>-1444.2944</v>
      </c>
      <c r="M35" s="28">
        <f ca="1">IFERROR(__xludf.DUMMYFUNCTION("""COMPUTED_VALUE"""),-1529.4256)</f>
        <v>-1529.4256</v>
      </c>
      <c r="N35" s="28">
        <f ca="1">IFERROR(__xludf.DUMMYFUNCTION("""COMPUTED_VALUE"""),-24712.0752)</f>
        <v>-24712.075199999999</v>
      </c>
    </row>
    <row r="36" spans="1:14">
      <c r="A36" s="26" t="str">
        <f ca="1">IFERROR(__xludf.DUMMYFUNCTION("""COMPUTED_VALUE"""),"Cashback - Produtores")</f>
        <v>Cashback - Produtores</v>
      </c>
      <c r="B36" s="28">
        <f ca="1">IFERROR(__xludf.DUMMYFUNCTION("""COMPUTED_VALUE"""),-9891.10656)</f>
        <v>-9891.1065600000002</v>
      </c>
      <c r="C36" s="28">
        <f ca="1">IFERROR(__xludf.DUMMYFUNCTION("""COMPUTED_VALUE"""),-13577.25312)</f>
        <v>-13577.253119999999</v>
      </c>
      <c r="D36" s="28">
        <f ca="1">IFERROR(__xludf.DUMMYFUNCTION("""COMPUTED_VALUE"""),-15805.82016)</f>
        <v>-15805.820159999999</v>
      </c>
      <c r="E36" s="28">
        <f ca="1">IFERROR(__xludf.DUMMYFUNCTION("""COMPUTED_VALUE"""),-15154.7788799999)</f>
        <v>-15154.7788799999</v>
      </c>
      <c r="F36" s="28">
        <f ca="1">IFERROR(__xludf.DUMMYFUNCTION("""COMPUTED_VALUE"""),-20246.7456)</f>
        <v>-20246.745599999998</v>
      </c>
      <c r="G36" s="28">
        <f ca="1">IFERROR(__xludf.DUMMYFUNCTION("""COMPUTED_VALUE"""),-17305.36704)</f>
        <v>-17305.367040000001</v>
      </c>
      <c r="H36" s="28">
        <f ca="1">IFERROR(__xludf.DUMMYFUNCTION("""COMPUTED_VALUE"""),-20455.44192)</f>
        <v>-20455.441920000001</v>
      </c>
      <c r="I36" s="28">
        <f ca="1">IFERROR(__xludf.DUMMYFUNCTION("""COMPUTED_VALUE"""),-18384.52608)</f>
        <v>-18384.52608</v>
      </c>
      <c r="J36" s="28">
        <f ca="1">IFERROR(__xludf.DUMMYFUNCTION("""COMPUTED_VALUE"""),-13629.86496)</f>
        <v>-13629.864960000001</v>
      </c>
      <c r="K36" s="28">
        <f ca="1">IFERROR(__xludf.DUMMYFUNCTION("""COMPUTED_VALUE"""),-12065.25312)</f>
        <v>-12065.253119999999</v>
      </c>
      <c r="L36" s="28">
        <f ca="1">IFERROR(__xludf.DUMMYFUNCTION("""COMPUTED_VALUE"""),-10398.91968)</f>
        <v>-10398.919680000001</v>
      </c>
      <c r="M36" s="28">
        <f ca="1">IFERROR(__xludf.DUMMYFUNCTION("""COMPUTED_VALUE"""),-11011.86432)</f>
        <v>-11011.864320000001</v>
      </c>
      <c r="N36" s="28">
        <f ca="1">IFERROR(__xludf.DUMMYFUNCTION("""COMPUTED_VALUE"""),-177926.94144)</f>
        <v>-177926.94144</v>
      </c>
    </row>
    <row r="37" spans="1:14">
      <c r="A37" s="26" t="str">
        <f ca="1">IFERROR(__xludf.DUMMYFUNCTION("""COMPUTED_VALUE"""),"Cashback - Franquias")</f>
        <v>Cashback - Franquias</v>
      </c>
      <c r="B37" s="28">
        <f ca="1">IFERROR(__xludf.DUMMYFUNCTION("""COMPUTED_VALUE"""),-15159.6654324599)</f>
        <v>-15159.6654324599</v>
      </c>
      <c r="C37" s="28">
        <f ca="1">IFERROR(__xludf.DUMMYFUNCTION("""COMPUTED_VALUE"""),-7658.30886617)</f>
        <v>-7658.3088661700003</v>
      </c>
      <c r="D37" s="28">
        <f ca="1">IFERROR(__xludf.DUMMYFUNCTION("""COMPUTED_VALUE"""),-8199.65518568999)</f>
        <v>-8199.6551856899896</v>
      </c>
      <c r="E37" s="28">
        <f ca="1">IFERROR(__xludf.DUMMYFUNCTION("""COMPUTED_VALUE"""),-6781.58958946)</f>
        <v>-6781.5895894599998</v>
      </c>
      <c r="F37" s="28">
        <f ca="1">IFERROR(__xludf.DUMMYFUNCTION("""COMPUTED_VALUE"""),-7564.37134041)</f>
        <v>-7564.3713404099999</v>
      </c>
      <c r="G37" s="28">
        <f ca="1">IFERROR(__xludf.DUMMYFUNCTION("""COMPUTED_VALUE"""),-9602.25466211)</f>
        <v>-9602.2546621099991</v>
      </c>
      <c r="H37" s="28">
        <f ca="1">IFERROR(__xludf.DUMMYFUNCTION("""COMPUTED_VALUE"""),-11397.96245993)</f>
        <v>-11397.96245993</v>
      </c>
      <c r="I37" s="28">
        <f ca="1">IFERROR(__xludf.DUMMYFUNCTION("""COMPUTED_VALUE"""),-13378.92239687)</f>
        <v>-13378.922396870001</v>
      </c>
      <c r="J37" s="28">
        <f ca="1">IFERROR(__xludf.DUMMYFUNCTION("""COMPUTED_VALUE"""),-12133.21017075)</f>
        <v>-12133.210170750001</v>
      </c>
      <c r="K37" s="28">
        <f ca="1">IFERROR(__xludf.DUMMYFUNCTION("""COMPUTED_VALUE"""),-15394.68980456)</f>
        <v>-15394.689804559999</v>
      </c>
      <c r="L37" s="28">
        <f ca="1">IFERROR(__xludf.DUMMYFUNCTION("""COMPUTED_VALUE"""),-19565.30492333)</f>
        <v>-19565.304923330001</v>
      </c>
      <c r="M37" s="28">
        <f ca="1">IFERROR(__xludf.DUMMYFUNCTION("""COMPUTED_VALUE"""),-26388.53060154)</f>
        <v>-26388.530601539998</v>
      </c>
      <c r="N37" s="28">
        <f ca="1">IFERROR(__xludf.DUMMYFUNCTION("""COMPUTED_VALUE"""),-153224.465433279)</f>
        <v>-153224.46543327899</v>
      </c>
    </row>
    <row r="38" spans="1:14">
      <c r="A38" s="26" t="str">
        <f ca="1">IFERROR(__xludf.DUMMYFUNCTION("""COMPUTED_VALUE"""),"Cashback - Franqueadora Viva")</f>
        <v>Cashback - Franqueadora Viva</v>
      </c>
      <c r="B38" s="28">
        <f ca="1">IFERROR(__xludf.DUMMYFUNCTION("""COMPUTED_VALUE"""),-15159.6654324599)</f>
        <v>-15159.6654324599</v>
      </c>
      <c r="C38" s="28">
        <f ca="1">IFERROR(__xludf.DUMMYFUNCTION("""COMPUTED_VALUE"""),-7658.30886617)</f>
        <v>-7658.3088661700003</v>
      </c>
      <c r="D38" s="28">
        <f ca="1">IFERROR(__xludf.DUMMYFUNCTION("""COMPUTED_VALUE"""),-8199.65518568999)</f>
        <v>-8199.6551856899896</v>
      </c>
      <c r="E38" s="28">
        <f ca="1">IFERROR(__xludf.DUMMYFUNCTION("""COMPUTED_VALUE"""),-6781.58958946)</f>
        <v>-6781.5895894599998</v>
      </c>
      <c r="F38" s="28">
        <f ca="1">IFERROR(__xludf.DUMMYFUNCTION("""COMPUTED_VALUE"""),-7564.37134041)</f>
        <v>-7564.3713404099999</v>
      </c>
      <c r="G38" s="28">
        <f ca="1">IFERROR(__xludf.DUMMYFUNCTION("""COMPUTED_VALUE"""),-9602.25466211)</f>
        <v>-9602.2546621099991</v>
      </c>
      <c r="H38" s="28">
        <f ca="1">IFERROR(__xludf.DUMMYFUNCTION("""COMPUTED_VALUE"""),-11397.96245993)</f>
        <v>-11397.96245993</v>
      </c>
      <c r="I38" s="28">
        <f ca="1">IFERROR(__xludf.DUMMYFUNCTION("""COMPUTED_VALUE"""),-13378.92239687)</f>
        <v>-13378.922396870001</v>
      </c>
      <c r="J38" s="28">
        <f ca="1">IFERROR(__xludf.DUMMYFUNCTION("""COMPUTED_VALUE"""),-12133.21017075)</f>
        <v>-12133.210170750001</v>
      </c>
      <c r="K38" s="28">
        <f ca="1">IFERROR(__xludf.DUMMYFUNCTION("""COMPUTED_VALUE"""),-15394.68980456)</f>
        <v>-15394.689804559999</v>
      </c>
      <c r="L38" s="28">
        <f ca="1">IFERROR(__xludf.DUMMYFUNCTION("""COMPUTED_VALUE"""),-19565.30492333)</f>
        <v>-19565.304923330001</v>
      </c>
      <c r="M38" s="28">
        <f ca="1">IFERROR(__xludf.DUMMYFUNCTION("""COMPUTED_VALUE"""),-26388.53060154)</f>
        <v>-26388.530601539998</v>
      </c>
      <c r="N38" s="28">
        <f ca="1">IFERROR(__xludf.DUMMYFUNCTION("""COMPUTED_VALUE"""),-153224.465433279)</f>
        <v>-153224.46543327899</v>
      </c>
    </row>
    <row r="39" spans="1:14">
      <c r="A39" s="26" t="str">
        <f ca="1">IFERROR(__xludf.DUMMYFUNCTION("""COMPUTED_VALUE"""),"Bonificações")</f>
        <v>Bonificações</v>
      </c>
      <c r="B39" s="28">
        <f ca="1">IFERROR(__xludf.DUMMYFUNCTION("""COMPUTED_VALUE"""),0)</f>
        <v>0</v>
      </c>
      <c r="C39" s="28">
        <f ca="1">IFERROR(__xludf.DUMMYFUNCTION("""COMPUTED_VALUE"""),0)</f>
        <v>0</v>
      </c>
      <c r="D39" s="28">
        <f ca="1">IFERROR(__xludf.DUMMYFUNCTION("""COMPUTED_VALUE"""),0)</f>
        <v>0</v>
      </c>
      <c r="E39" s="28">
        <f ca="1">IFERROR(__xludf.DUMMYFUNCTION("""COMPUTED_VALUE"""),0)</f>
        <v>0</v>
      </c>
      <c r="F39" s="28">
        <f ca="1">IFERROR(__xludf.DUMMYFUNCTION("""COMPUTED_VALUE"""),0)</f>
        <v>0</v>
      </c>
      <c r="G39" s="28">
        <f ca="1">IFERROR(__xludf.DUMMYFUNCTION("""COMPUTED_VALUE"""),0)</f>
        <v>0</v>
      </c>
      <c r="H39" s="28">
        <f ca="1">IFERROR(__xludf.DUMMYFUNCTION("""COMPUTED_VALUE"""),0)</f>
        <v>0</v>
      </c>
      <c r="I39" s="28">
        <f ca="1">IFERROR(__xludf.DUMMYFUNCTION("""COMPUTED_VALUE"""),0)</f>
        <v>0</v>
      </c>
      <c r="J39" s="28">
        <f ca="1">IFERROR(__xludf.DUMMYFUNCTION("""COMPUTED_VALUE"""),0)</f>
        <v>0</v>
      </c>
      <c r="K39" s="28">
        <f ca="1">IFERROR(__xludf.DUMMYFUNCTION("""COMPUTED_VALUE"""),0)</f>
        <v>0</v>
      </c>
      <c r="L39" s="28">
        <f ca="1">IFERROR(__xludf.DUMMYFUNCTION("""COMPUTED_VALUE"""),0)</f>
        <v>0</v>
      </c>
      <c r="M39" s="28">
        <f ca="1">IFERROR(__xludf.DUMMYFUNCTION("""COMPUTED_VALUE"""),0)</f>
        <v>0</v>
      </c>
      <c r="N39" s="28">
        <f ca="1">IFERROR(__xludf.DUMMYFUNCTION("""COMPUTED_VALUE"""),0)</f>
        <v>0</v>
      </c>
    </row>
    <row r="40" spans="1:14">
      <c r="A40" s="13" t="str">
        <f ca="1">IFERROR(__xludf.DUMMYFUNCTION("""COMPUTED_VALUE"""),"Despesas com Pessoal")</f>
        <v>Despesas com Pessoal</v>
      </c>
      <c r="B40" s="16">
        <f ca="1">IFERROR(__xludf.DUMMYFUNCTION("""COMPUTED_VALUE"""),-52334.8998619148)</f>
        <v>-52334.899861914797</v>
      </c>
      <c r="C40" s="16">
        <f ca="1">IFERROR(__xludf.DUMMYFUNCTION("""COMPUTED_VALUE"""),-52199.4733113806)</f>
        <v>-52199.4733113806</v>
      </c>
      <c r="D40" s="16">
        <f ca="1">IFERROR(__xludf.DUMMYFUNCTION("""COMPUTED_VALUE"""),-55758.4648705519)</f>
        <v>-55758.464870551899</v>
      </c>
      <c r="E40" s="16">
        <f ca="1">IFERROR(__xludf.DUMMYFUNCTION("""COMPUTED_VALUE"""),-55763.633649514)</f>
        <v>-55763.633649513999</v>
      </c>
      <c r="F40" s="16">
        <f ca="1">IFERROR(__xludf.DUMMYFUNCTION("""COMPUTED_VALUE"""),-56325.6085037795)</f>
        <v>-56325.608503779498</v>
      </c>
      <c r="G40" s="16">
        <f ca="1">IFERROR(__xludf.DUMMYFUNCTION("""COMPUTED_VALUE"""),-55917.0740903954)</f>
        <v>-55917.074090395399</v>
      </c>
      <c r="H40" s="16">
        <f ca="1">IFERROR(__xludf.DUMMYFUNCTION("""COMPUTED_VALUE"""),-59940.9663672904)</f>
        <v>-59940.966367290399</v>
      </c>
      <c r="I40" s="16">
        <f ca="1">IFERROR(__xludf.DUMMYFUNCTION("""COMPUTED_VALUE"""),-59460.0253654761)</f>
        <v>-59460.025365476104</v>
      </c>
      <c r="J40" s="16">
        <f ca="1">IFERROR(__xludf.DUMMYFUNCTION("""COMPUTED_VALUE"""),-58981.6720363818)</f>
        <v>-58981.672036381802</v>
      </c>
      <c r="K40" s="16">
        <f ca="1">IFERROR(__xludf.DUMMYFUNCTION("""COMPUTED_VALUE"""),-58889.9440311762)</f>
        <v>-58889.944031176201</v>
      </c>
      <c r="L40" s="16">
        <f ca="1">IFERROR(__xludf.DUMMYFUNCTION("""COMPUTED_VALUE"""),-59310.109557755)</f>
        <v>-59310.109557755</v>
      </c>
      <c r="M40" s="16">
        <f ca="1">IFERROR(__xludf.DUMMYFUNCTION("""COMPUTED_VALUE"""),-62155.0784318074)</f>
        <v>-62155.0784318074</v>
      </c>
      <c r="N40" s="16">
        <f ca="1">IFERROR(__xludf.DUMMYFUNCTION("""COMPUTED_VALUE"""),-687036.950077423)</f>
        <v>-687036.95007742301</v>
      </c>
    </row>
    <row r="41" spans="1:14">
      <c r="A41" s="26" t="str">
        <f ca="1">IFERROR(__xludf.DUMMYFUNCTION("""COMPUTED_VALUE"""),"Salários")</f>
        <v>Salários</v>
      </c>
      <c r="B41" s="28">
        <f ca="1">IFERROR(__xludf.DUMMYFUNCTION("""COMPUTED_VALUE"""),-25414.56)</f>
        <v>-25414.560000000001</v>
      </c>
      <c r="C41" s="28">
        <f ca="1">IFERROR(__xludf.DUMMYFUNCTION("""COMPUTED_VALUE"""),-25414.56)</f>
        <v>-25414.560000000001</v>
      </c>
      <c r="D41" s="28">
        <f ca="1">IFERROR(__xludf.DUMMYFUNCTION("""COMPUTED_VALUE"""),-28004.56)</f>
        <v>-28004.560000000001</v>
      </c>
      <c r="E41" s="28">
        <f ca="1">IFERROR(__xludf.DUMMYFUNCTION("""COMPUTED_VALUE"""),-28004.56)</f>
        <v>-28004.560000000001</v>
      </c>
      <c r="F41" s="28">
        <f ca="1">IFERROR(__xludf.DUMMYFUNCTION("""COMPUTED_VALUE"""),-28004.56)</f>
        <v>-28004.560000000001</v>
      </c>
      <c r="G41" s="28">
        <f ca="1">IFERROR(__xludf.DUMMYFUNCTION("""COMPUTED_VALUE"""),-28004.56)</f>
        <v>-28004.560000000001</v>
      </c>
      <c r="H41" s="28">
        <f ca="1">IFERROR(__xludf.DUMMYFUNCTION("""COMPUTED_VALUE"""),-29964.8792)</f>
        <v>-29964.879199999999</v>
      </c>
      <c r="I41" s="28">
        <f ca="1">IFERROR(__xludf.DUMMYFUNCTION("""COMPUTED_VALUE"""),-29964.8792)</f>
        <v>-29964.879199999999</v>
      </c>
      <c r="J41" s="28">
        <f ca="1">IFERROR(__xludf.DUMMYFUNCTION("""COMPUTED_VALUE"""),-29964.8792)</f>
        <v>-29964.879199999999</v>
      </c>
      <c r="K41" s="28">
        <f ca="1">IFERROR(__xludf.DUMMYFUNCTION("""COMPUTED_VALUE"""),-29964.8792)</f>
        <v>-29964.879199999999</v>
      </c>
      <c r="L41" s="28">
        <f ca="1">IFERROR(__xludf.DUMMYFUNCTION("""COMPUTED_VALUE"""),-29964.8792)</f>
        <v>-29964.879199999999</v>
      </c>
      <c r="M41" s="28">
        <f ca="1">IFERROR(__xludf.DUMMYFUNCTION("""COMPUTED_VALUE"""),-29964.8792)</f>
        <v>-29964.879199999999</v>
      </c>
      <c r="N41" s="28">
        <f ca="1">IFERROR(__xludf.DUMMYFUNCTION("""COMPUTED_VALUE"""),-342636.6352)</f>
        <v>-342636.63520000002</v>
      </c>
    </row>
    <row r="42" spans="1:14">
      <c r="A42" s="26" t="str">
        <f ca="1">IFERROR(__xludf.DUMMYFUNCTION("""COMPUTED_VALUE"""),"Contratados Pessoa Jurídicas")</f>
        <v>Contratados Pessoa Jurídicas</v>
      </c>
      <c r="B42" s="28">
        <f ca="1">IFERROR(__xludf.DUMMYFUNCTION("""COMPUTED_VALUE"""),0)</f>
        <v>0</v>
      </c>
      <c r="C42" s="28">
        <f ca="1">IFERROR(__xludf.DUMMYFUNCTION("""COMPUTED_VALUE"""),0)</f>
        <v>0</v>
      </c>
      <c r="D42" s="28">
        <f ca="1">IFERROR(__xludf.DUMMYFUNCTION("""COMPUTED_VALUE"""),0)</f>
        <v>0</v>
      </c>
      <c r="E42" s="28">
        <f ca="1">IFERROR(__xludf.DUMMYFUNCTION("""COMPUTED_VALUE"""),0)</f>
        <v>0</v>
      </c>
      <c r="F42" s="28">
        <f ca="1">IFERROR(__xludf.DUMMYFUNCTION("""COMPUTED_VALUE"""),0)</f>
        <v>0</v>
      </c>
      <c r="G42" s="28">
        <f ca="1">IFERROR(__xludf.DUMMYFUNCTION("""COMPUTED_VALUE"""),0)</f>
        <v>0</v>
      </c>
      <c r="H42" s="28">
        <f ca="1">IFERROR(__xludf.DUMMYFUNCTION("""COMPUTED_VALUE"""),0)</f>
        <v>0</v>
      </c>
      <c r="I42" s="28">
        <f ca="1">IFERROR(__xludf.DUMMYFUNCTION("""COMPUTED_VALUE"""),0)</f>
        <v>0</v>
      </c>
      <c r="J42" s="28">
        <f ca="1">IFERROR(__xludf.DUMMYFUNCTION("""COMPUTED_VALUE"""),0)</f>
        <v>0</v>
      </c>
      <c r="K42" s="28">
        <f ca="1">IFERROR(__xludf.DUMMYFUNCTION("""COMPUTED_VALUE"""),0)</f>
        <v>0</v>
      </c>
      <c r="L42" s="28">
        <f ca="1">IFERROR(__xludf.DUMMYFUNCTION("""COMPUTED_VALUE"""),0)</f>
        <v>0</v>
      </c>
      <c r="M42" s="28">
        <f ca="1">IFERROR(__xludf.DUMMYFUNCTION("""COMPUTED_VALUE"""),0)</f>
        <v>0</v>
      </c>
      <c r="N42" s="28">
        <f ca="1">IFERROR(__xludf.DUMMYFUNCTION("""COMPUTED_VALUE"""),0)</f>
        <v>0</v>
      </c>
    </row>
    <row r="43" spans="1:14">
      <c r="A43" s="26" t="str">
        <f ca="1">IFERROR(__xludf.DUMMYFUNCTION("""COMPUTED_VALUE"""),"Férias")</f>
        <v>Férias</v>
      </c>
      <c r="B43" s="28">
        <f ca="1">IFERROR(__xludf.DUMMYFUNCTION("""COMPUTED_VALUE"""),-3048.9847632)</f>
        <v>-3048.9847632000001</v>
      </c>
      <c r="C43" s="28">
        <f ca="1">IFERROR(__xludf.DUMMYFUNCTION("""COMPUTED_VALUE"""),-3048.9847632)</f>
        <v>-3048.9847632000001</v>
      </c>
      <c r="D43" s="28">
        <f ca="1">IFERROR(__xludf.DUMMYFUNCTION("""COMPUTED_VALUE"""),-3359.7070632)</f>
        <v>-3359.7070632</v>
      </c>
      <c r="E43" s="28">
        <f ca="1">IFERROR(__xludf.DUMMYFUNCTION("""COMPUTED_VALUE"""),-3359.7070632)</f>
        <v>-3359.7070632</v>
      </c>
      <c r="F43" s="28">
        <f ca="1">IFERROR(__xludf.DUMMYFUNCTION("""COMPUTED_VALUE"""),-3359.7070632)</f>
        <v>-3359.7070632</v>
      </c>
      <c r="G43" s="28">
        <f ca="1">IFERROR(__xludf.DUMMYFUNCTION("""COMPUTED_VALUE"""),-3359.7070632)</f>
        <v>-3359.7070632</v>
      </c>
      <c r="H43" s="28">
        <f ca="1">IFERROR(__xludf.DUMMYFUNCTION("""COMPUTED_VALUE"""),-3594.886557624)</f>
        <v>-3594.886557624</v>
      </c>
      <c r="I43" s="28">
        <f ca="1">IFERROR(__xludf.DUMMYFUNCTION("""COMPUTED_VALUE"""),-3594.886557624)</f>
        <v>-3594.886557624</v>
      </c>
      <c r="J43" s="28">
        <f ca="1">IFERROR(__xludf.DUMMYFUNCTION("""COMPUTED_VALUE"""),-3594.886557624)</f>
        <v>-3594.886557624</v>
      </c>
      <c r="K43" s="28">
        <f ca="1">IFERROR(__xludf.DUMMYFUNCTION("""COMPUTED_VALUE"""),-3594.886557624)</f>
        <v>-3594.886557624</v>
      </c>
      <c r="L43" s="28">
        <f ca="1">IFERROR(__xludf.DUMMYFUNCTION("""COMPUTED_VALUE"""),-3594.886557624)</f>
        <v>-3594.886557624</v>
      </c>
      <c r="M43" s="28">
        <f ca="1">IFERROR(__xludf.DUMMYFUNCTION("""COMPUTED_VALUE"""),-3594.886557624)</f>
        <v>-3594.886557624</v>
      </c>
      <c r="N43" s="28">
        <f ca="1">IFERROR(__xludf.DUMMYFUNCTION("""COMPUTED_VALUE"""),-41106.117124944)</f>
        <v>-41106.117124944001</v>
      </c>
    </row>
    <row r="44" spans="1:14">
      <c r="A44" s="26" t="str">
        <f ca="1">IFERROR(__xludf.DUMMYFUNCTION("""COMPUTED_VALUE"""),"Rescisões")</f>
        <v>Rescisões</v>
      </c>
      <c r="B44" s="28">
        <f ca="1">IFERROR(__xludf.DUMMYFUNCTION("""COMPUTED_VALUE"""),0)</f>
        <v>0</v>
      </c>
      <c r="C44" s="28">
        <f ca="1">IFERROR(__xludf.DUMMYFUNCTION("""COMPUTED_VALUE"""),0)</f>
        <v>0</v>
      </c>
      <c r="D44" s="28">
        <f ca="1">IFERROR(__xludf.DUMMYFUNCTION("""COMPUTED_VALUE"""),0)</f>
        <v>0</v>
      </c>
      <c r="E44" s="28">
        <f ca="1">IFERROR(__xludf.DUMMYFUNCTION("""COMPUTED_VALUE"""),0)</f>
        <v>0</v>
      </c>
      <c r="F44" s="28">
        <f ca="1">IFERROR(__xludf.DUMMYFUNCTION("""COMPUTED_VALUE"""),0)</f>
        <v>0</v>
      </c>
      <c r="G44" s="28">
        <f ca="1">IFERROR(__xludf.DUMMYFUNCTION("""COMPUTED_VALUE"""),0)</f>
        <v>0</v>
      </c>
      <c r="H44" s="28">
        <f ca="1">IFERROR(__xludf.DUMMYFUNCTION("""COMPUTED_VALUE"""),0)</f>
        <v>0</v>
      </c>
      <c r="I44" s="28">
        <f ca="1">IFERROR(__xludf.DUMMYFUNCTION("""COMPUTED_VALUE"""),0)</f>
        <v>0</v>
      </c>
      <c r="J44" s="28">
        <f ca="1">IFERROR(__xludf.DUMMYFUNCTION("""COMPUTED_VALUE"""),0)</f>
        <v>0</v>
      </c>
      <c r="K44" s="28">
        <f ca="1">IFERROR(__xludf.DUMMYFUNCTION("""COMPUTED_VALUE"""),0)</f>
        <v>0</v>
      </c>
      <c r="L44" s="28">
        <f ca="1">IFERROR(__xludf.DUMMYFUNCTION("""COMPUTED_VALUE"""),0)</f>
        <v>0</v>
      </c>
      <c r="M44" s="28">
        <f ca="1">IFERROR(__xludf.DUMMYFUNCTION("""COMPUTED_VALUE"""),0)</f>
        <v>0</v>
      </c>
      <c r="N44" s="28">
        <f ca="1">IFERROR(__xludf.DUMMYFUNCTION("""COMPUTED_VALUE"""),0)</f>
        <v>0</v>
      </c>
    </row>
    <row r="45" spans="1:14">
      <c r="A45" s="26" t="str">
        <f ca="1">IFERROR(__xludf.DUMMYFUNCTION("""COMPUTED_VALUE"""),"13º Salário")</f>
        <v>13º Salário</v>
      </c>
      <c r="B45" s="28">
        <f ca="1">IFERROR(__xludf.DUMMYFUNCTION("""COMPUTED_VALUE"""),-2287.3104)</f>
        <v>-2287.3103999999998</v>
      </c>
      <c r="C45" s="28">
        <f ca="1">IFERROR(__xludf.DUMMYFUNCTION("""COMPUTED_VALUE"""),-2287.3104)</f>
        <v>-2287.3103999999998</v>
      </c>
      <c r="D45" s="28">
        <f ca="1">IFERROR(__xludf.DUMMYFUNCTION("""COMPUTED_VALUE"""),-2520.4104)</f>
        <v>-2520.4104000000002</v>
      </c>
      <c r="E45" s="28">
        <f ca="1">IFERROR(__xludf.DUMMYFUNCTION("""COMPUTED_VALUE"""),-2520.4104)</f>
        <v>-2520.4104000000002</v>
      </c>
      <c r="F45" s="28">
        <f ca="1">IFERROR(__xludf.DUMMYFUNCTION("""COMPUTED_VALUE"""),-2520.4104)</f>
        <v>-2520.4104000000002</v>
      </c>
      <c r="G45" s="28">
        <f ca="1">IFERROR(__xludf.DUMMYFUNCTION("""COMPUTED_VALUE"""),-2520.4104)</f>
        <v>-2520.4104000000002</v>
      </c>
      <c r="H45" s="28">
        <f ca="1">IFERROR(__xludf.DUMMYFUNCTION("""COMPUTED_VALUE"""),-2696.839128)</f>
        <v>-2696.8391280000001</v>
      </c>
      <c r="I45" s="28">
        <f ca="1">IFERROR(__xludf.DUMMYFUNCTION("""COMPUTED_VALUE"""),-2696.839128)</f>
        <v>-2696.8391280000001</v>
      </c>
      <c r="J45" s="28">
        <f ca="1">IFERROR(__xludf.DUMMYFUNCTION("""COMPUTED_VALUE"""),-2696.839128)</f>
        <v>-2696.8391280000001</v>
      </c>
      <c r="K45" s="28">
        <f ca="1">IFERROR(__xludf.DUMMYFUNCTION("""COMPUTED_VALUE"""),-2696.839128)</f>
        <v>-2696.8391280000001</v>
      </c>
      <c r="L45" s="28">
        <f ca="1">IFERROR(__xludf.DUMMYFUNCTION("""COMPUTED_VALUE"""),-2696.839128)</f>
        <v>-2696.8391280000001</v>
      </c>
      <c r="M45" s="28">
        <f ca="1">IFERROR(__xludf.DUMMYFUNCTION("""COMPUTED_VALUE"""),-2696.839128)</f>
        <v>-2696.8391280000001</v>
      </c>
      <c r="N45" s="28">
        <f ca="1">IFERROR(__xludf.DUMMYFUNCTION("""COMPUTED_VALUE"""),-30837.297168)</f>
        <v>-30837.297168000001</v>
      </c>
    </row>
    <row r="46" spans="1:14">
      <c r="A46" s="26" t="str">
        <f ca="1">IFERROR(__xludf.DUMMYFUNCTION("""COMPUTED_VALUE"""),"INSS")</f>
        <v>INSS</v>
      </c>
      <c r="B46" s="28">
        <f ca="1">IFERROR(__xludf.DUMMYFUNCTION("""COMPUTED_VALUE"""),0)</f>
        <v>0</v>
      </c>
      <c r="C46" s="28">
        <f ca="1">IFERROR(__xludf.DUMMYFUNCTION("""COMPUTED_VALUE"""),0)</f>
        <v>0</v>
      </c>
      <c r="D46" s="28">
        <f ca="1">IFERROR(__xludf.DUMMYFUNCTION("""COMPUTED_VALUE"""),0)</f>
        <v>0</v>
      </c>
      <c r="E46" s="28">
        <f ca="1">IFERROR(__xludf.DUMMYFUNCTION("""COMPUTED_VALUE"""),0)</f>
        <v>0</v>
      </c>
      <c r="F46" s="28">
        <f ca="1">IFERROR(__xludf.DUMMYFUNCTION("""COMPUTED_VALUE"""),0)</f>
        <v>0</v>
      </c>
      <c r="G46" s="28">
        <f ca="1">IFERROR(__xludf.DUMMYFUNCTION("""COMPUTED_VALUE"""),0)</f>
        <v>0</v>
      </c>
      <c r="H46" s="28">
        <f ca="1">IFERROR(__xludf.DUMMYFUNCTION("""COMPUTED_VALUE"""),0)</f>
        <v>0</v>
      </c>
      <c r="I46" s="28">
        <f ca="1">IFERROR(__xludf.DUMMYFUNCTION("""COMPUTED_VALUE"""),0)</f>
        <v>0</v>
      </c>
      <c r="J46" s="28">
        <f ca="1">IFERROR(__xludf.DUMMYFUNCTION("""COMPUTED_VALUE"""),0)</f>
        <v>0</v>
      </c>
      <c r="K46" s="28">
        <f ca="1">IFERROR(__xludf.DUMMYFUNCTION("""COMPUTED_VALUE"""),0)</f>
        <v>0</v>
      </c>
      <c r="L46" s="28">
        <f ca="1">IFERROR(__xludf.DUMMYFUNCTION("""COMPUTED_VALUE"""),0)</f>
        <v>0</v>
      </c>
      <c r="M46" s="28">
        <f ca="1">IFERROR(__xludf.DUMMYFUNCTION("""COMPUTED_VALUE"""),0)</f>
        <v>0</v>
      </c>
      <c r="N46" s="28">
        <f ca="1">IFERROR(__xludf.DUMMYFUNCTION("""COMPUTED_VALUE"""),0)</f>
        <v>0</v>
      </c>
    </row>
    <row r="47" spans="1:14">
      <c r="A47" s="26" t="str">
        <f ca="1">IFERROR(__xludf.DUMMYFUNCTION("""COMPUTED_VALUE"""),"FGTS")</f>
        <v>FGTS</v>
      </c>
      <c r="B47" s="28">
        <f ca="1">IFERROR(__xludf.DUMMYFUNCTION("""COMPUTED_VALUE"""),-2396.29349871483)</f>
        <v>-2396.2934987148301</v>
      </c>
      <c r="C47" s="28">
        <f ca="1">IFERROR(__xludf.DUMMYFUNCTION("""COMPUTED_VALUE"""),-1960.86694818068)</f>
        <v>-1960.8669481806801</v>
      </c>
      <c r="D47" s="28">
        <f ca="1">IFERROR(__xludf.DUMMYFUNCTION("""COMPUTED_VALUE"""),-2634.23620735197)</f>
        <v>-2634.2362073519698</v>
      </c>
      <c r="E47" s="28">
        <f ca="1">IFERROR(__xludf.DUMMYFUNCTION("""COMPUTED_VALUE"""),-2119.37498631403)</f>
        <v>-2119.3749863140301</v>
      </c>
      <c r="F47" s="28">
        <f ca="1">IFERROR(__xludf.DUMMYFUNCTION("""COMPUTED_VALUE"""),-2681.34984057951)</f>
        <v>-2681.3498405795099</v>
      </c>
      <c r="G47" s="28">
        <f ca="1">IFERROR(__xludf.DUMMYFUNCTION("""COMPUTED_VALUE"""),-2272.81542719545)</f>
        <v>-2272.81542719545</v>
      </c>
      <c r="H47" s="28">
        <f ca="1">IFERROR(__xludf.DUMMYFUNCTION("""COMPUTED_VALUE"""),-2891.57389766645)</f>
        <v>-2891.5738976664502</v>
      </c>
      <c r="I47" s="28">
        <f ca="1">IFERROR(__xludf.DUMMYFUNCTION("""COMPUTED_VALUE"""),-3010.63289585215)</f>
        <v>-3010.6328958521499</v>
      </c>
      <c r="J47" s="28">
        <f ca="1">IFERROR(__xludf.DUMMYFUNCTION("""COMPUTED_VALUE"""),-2532.27956675783)</f>
        <v>-2532.2795667578298</v>
      </c>
      <c r="K47" s="28">
        <f ca="1">IFERROR(__xludf.DUMMYFUNCTION("""COMPUTED_VALUE"""),-2440.5515615522)</f>
        <v>-2440.5515615521999</v>
      </c>
      <c r="L47" s="28">
        <f ca="1">IFERROR(__xludf.DUMMYFUNCTION("""COMPUTED_VALUE"""),-2860.71708813103)</f>
        <v>-2860.7170881310299</v>
      </c>
      <c r="M47" s="28">
        <f ca="1">IFERROR(__xludf.DUMMYFUNCTION("""COMPUTED_VALUE"""),-3005.68596218348)</f>
        <v>-3005.6859621834801</v>
      </c>
      <c r="N47" s="28">
        <f ca="1">IFERROR(__xludf.DUMMYFUNCTION("""COMPUTED_VALUE"""),-30806.3778804796)</f>
        <v>-30806.377880479598</v>
      </c>
    </row>
    <row r="48" spans="1:14">
      <c r="A48" s="26" t="str">
        <f ca="1">IFERROR(__xludf.DUMMYFUNCTION("""COMPUTED_VALUE"""),"IRRF")</f>
        <v>IRRF</v>
      </c>
      <c r="B48" s="28">
        <f ca="1">IFERROR(__xludf.DUMMYFUNCTION("""COMPUTED_VALUE"""),0)</f>
        <v>0</v>
      </c>
      <c r="C48" s="28">
        <f ca="1">IFERROR(__xludf.DUMMYFUNCTION("""COMPUTED_VALUE"""),0)</f>
        <v>0</v>
      </c>
      <c r="D48" s="28">
        <f ca="1">IFERROR(__xludf.DUMMYFUNCTION("""COMPUTED_VALUE"""),0)</f>
        <v>0</v>
      </c>
      <c r="E48" s="28">
        <f ca="1">IFERROR(__xludf.DUMMYFUNCTION("""COMPUTED_VALUE"""),0)</f>
        <v>0</v>
      </c>
      <c r="F48" s="28">
        <f ca="1">IFERROR(__xludf.DUMMYFUNCTION("""COMPUTED_VALUE"""),0)</f>
        <v>0</v>
      </c>
      <c r="G48" s="28">
        <f ca="1">IFERROR(__xludf.DUMMYFUNCTION("""COMPUTED_VALUE"""),0)</f>
        <v>0</v>
      </c>
      <c r="H48" s="28">
        <f ca="1">IFERROR(__xludf.DUMMYFUNCTION("""COMPUTED_VALUE"""),0)</f>
        <v>0</v>
      </c>
      <c r="I48" s="28">
        <f ca="1">IFERROR(__xludf.DUMMYFUNCTION("""COMPUTED_VALUE"""),0)</f>
        <v>0</v>
      </c>
      <c r="J48" s="28">
        <f ca="1">IFERROR(__xludf.DUMMYFUNCTION("""COMPUTED_VALUE"""),0)</f>
        <v>0</v>
      </c>
      <c r="K48" s="28">
        <f ca="1">IFERROR(__xludf.DUMMYFUNCTION("""COMPUTED_VALUE"""),0)</f>
        <v>0</v>
      </c>
      <c r="L48" s="28">
        <f ca="1">IFERROR(__xludf.DUMMYFUNCTION("""COMPUTED_VALUE"""),0)</f>
        <v>0</v>
      </c>
      <c r="M48" s="28">
        <f ca="1">IFERROR(__xludf.DUMMYFUNCTION("""COMPUTED_VALUE"""),0)</f>
        <v>0</v>
      </c>
      <c r="N48" s="28">
        <f ca="1">IFERROR(__xludf.DUMMYFUNCTION("""COMPUTED_VALUE"""),0)</f>
        <v>0</v>
      </c>
    </row>
    <row r="49" spans="1:14">
      <c r="A49" s="26" t="str">
        <f ca="1">IFERROR(__xludf.DUMMYFUNCTION("""COMPUTED_VALUE"""),"Assistência Médica")</f>
        <v>Assistência Médica</v>
      </c>
      <c r="B49" s="28">
        <f ca="1">IFERROR(__xludf.DUMMYFUNCTION("""COMPUTED_VALUE"""),-650)</f>
        <v>-650</v>
      </c>
      <c r="C49" s="28">
        <f ca="1">IFERROR(__xludf.DUMMYFUNCTION("""COMPUTED_VALUE"""),-650)</f>
        <v>-650</v>
      </c>
      <c r="D49" s="28">
        <f ca="1">IFERROR(__xludf.DUMMYFUNCTION("""COMPUTED_VALUE"""),-650)</f>
        <v>-650</v>
      </c>
      <c r="E49" s="28">
        <f ca="1">IFERROR(__xludf.DUMMYFUNCTION("""COMPUTED_VALUE"""),-650)</f>
        <v>-650</v>
      </c>
      <c r="F49" s="28">
        <f ca="1">IFERROR(__xludf.DUMMYFUNCTION("""COMPUTED_VALUE"""),-650)</f>
        <v>-650</v>
      </c>
      <c r="G49" s="28">
        <f ca="1">IFERROR(__xludf.DUMMYFUNCTION("""COMPUTED_VALUE"""),-650)</f>
        <v>-650</v>
      </c>
      <c r="H49" s="28">
        <f ca="1">IFERROR(__xludf.DUMMYFUNCTION("""COMPUTED_VALUE"""),-650)</f>
        <v>-650</v>
      </c>
      <c r="I49" s="28">
        <f ca="1">IFERROR(__xludf.DUMMYFUNCTION("""COMPUTED_VALUE"""),-650)</f>
        <v>-650</v>
      </c>
      <c r="J49" s="28">
        <f ca="1">IFERROR(__xludf.DUMMYFUNCTION("""COMPUTED_VALUE"""),-650)</f>
        <v>-650</v>
      </c>
      <c r="K49" s="28">
        <f ca="1">IFERROR(__xludf.DUMMYFUNCTION("""COMPUTED_VALUE"""),-650)</f>
        <v>-650</v>
      </c>
      <c r="L49" s="28">
        <f ca="1">IFERROR(__xludf.DUMMYFUNCTION("""COMPUTED_VALUE"""),-650)</f>
        <v>-650</v>
      </c>
      <c r="M49" s="28">
        <f ca="1">IFERROR(__xludf.DUMMYFUNCTION("""COMPUTED_VALUE"""),-650)</f>
        <v>-650</v>
      </c>
      <c r="N49" s="28">
        <f ca="1">IFERROR(__xludf.DUMMYFUNCTION("""COMPUTED_VALUE"""),-7800)</f>
        <v>-7800</v>
      </c>
    </row>
    <row r="50" spans="1:14">
      <c r="A50" s="26" t="str">
        <f ca="1">IFERROR(__xludf.DUMMYFUNCTION("""COMPUTED_VALUE"""),"Refeições")</f>
        <v>Refeições</v>
      </c>
      <c r="B50" s="28">
        <f ca="1">IFERROR(__xludf.DUMMYFUNCTION("""COMPUTED_VALUE"""),-120)</f>
        <v>-120</v>
      </c>
      <c r="C50" s="28">
        <f ca="1">IFERROR(__xludf.DUMMYFUNCTION("""COMPUTED_VALUE"""),-120)</f>
        <v>-120</v>
      </c>
      <c r="D50" s="28">
        <f ca="1">IFERROR(__xludf.DUMMYFUNCTION("""COMPUTED_VALUE"""),-120)</f>
        <v>-120</v>
      </c>
      <c r="E50" s="28">
        <f ca="1">IFERROR(__xludf.DUMMYFUNCTION("""COMPUTED_VALUE"""),-120)</f>
        <v>-120</v>
      </c>
      <c r="F50" s="28">
        <f ca="1">IFERROR(__xludf.DUMMYFUNCTION("""COMPUTED_VALUE"""),-120)</f>
        <v>-120</v>
      </c>
      <c r="G50" s="28">
        <f ca="1">IFERROR(__xludf.DUMMYFUNCTION("""COMPUTED_VALUE"""),-120)</f>
        <v>-120</v>
      </c>
      <c r="H50" s="28">
        <f ca="1">IFERROR(__xludf.DUMMYFUNCTION("""COMPUTED_VALUE"""),-120)</f>
        <v>-120</v>
      </c>
      <c r="I50" s="28">
        <f ca="1">IFERROR(__xludf.DUMMYFUNCTION("""COMPUTED_VALUE"""),-120)</f>
        <v>-120</v>
      </c>
      <c r="J50" s="28">
        <f ca="1">IFERROR(__xludf.DUMMYFUNCTION("""COMPUTED_VALUE"""),-120)</f>
        <v>-120</v>
      </c>
      <c r="K50" s="28">
        <f ca="1">IFERROR(__xludf.DUMMYFUNCTION("""COMPUTED_VALUE"""),-120)</f>
        <v>-120</v>
      </c>
      <c r="L50" s="28">
        <f ca="1">IFERROR(__xludf.DUMMYFUNCTION("""COMPUTED_VALUE"""),-120)</f>
        <v>-120</v>
      </c>
      <c r="M50" s="28">
        <f ca="1">IFERROR(__xludf.DUMMYFUNCTION("""COMPUTED_VALUE"""),-120)</f>
        <v>-120</v>
      </c>
      <c r="N50" s="28">
        <f ca="1">IFERROR(__xludf.DUMMYFUNCTION("""COMPUTED_VALUE"""),-1440)</f>
        <v>-1440</v>
      </c>
    </row>
    <row r="51" spans="1:14">
      <c r="A51" s="26" t="str">
        <f ca="1">IFERROR(__xludf.DUMMYFUNCTION("""COMPUTED_VALUE"""),"Vale Refeição")</f>
        <v>Vale Refeição</v>
      </c>
      <c r="B51" s="28">
        <f ca="1">IFERROR(__xludf.DUMMYFUNCTION("""COMPUTED_VALUE"""),-5113.97)</f>
        <v>-5113.97</v>
      </c>
      <c r="C51" s="28">
        <f ca="1">IFERROR(__xludf.DUMMYFUNCTION("""COMPUTED_VALUE"""),-5113.97)</f>
        <v>-5113.97</v>
      </c>
      <c r="D51" s="28">
        <f ca="1">IFERROR(__xludf.DUMMYFUNCTION("""COMPUTED_VALUE"""),-5113.97)</f>
        <v>-5113.97</v>
      </c>
      <c r="E51" s="28">
        <f ca="1">IFERROR(__xludf.DUMMYFUNCTION("""COMPUTED_VALUE"""),-5634)</f>
        <v>-5634</v>
      </c>
      <c r="F51" s="28">
        <f ca="1">IFERROR(__xludf.DUMMYFUNCTION("""COMPUTED_VALUE"""),-5634)</f>
        <v>-5634</v>
      </c>
      <c r="G51" s="28">
        <f ca="1">IFERROR(__xludf.DUMMYFUNCTION("""COMPUTED_VALUE"""),-5634)</f>
        <v>-5634</v>
      </c>
      <c r="H51" s="28">
        <f ca="1">IFERROR(__xludf.DUMMYFUNCTION("""COMPUTED_VALUE"""),-6028)</f>
        <v>-6028</v>
      </c>
      <c r="I51" s="28">
        <f ca="1">IFERROR(__xludf.DUMMYFUNCTION("""COMPUTED_VALUE"""),-6028)</f>
        <v>-6028</v>
      </c>
      <c r="J51" s="28">
        <f ca="1">IFERROR(__xludf.DUMMYFUNCTION("""COMPUTED_VALUE"""),-6028)</f>
        <v>-6028</v>
      </c>
      <c r="K51" s="28">
        <f ca="1">IFERROR(__xludf.DUMMYFUNCTION("""COMPUTED_VALUE"""),-6028)</f>
        <v>-6028</v>
      </c>
      <c r="L51" s="28">
        <f ca="1">IFERROR(__xludf.DUMMYFUNCTION("""COMPUTED_VALUE"""),-6028)</f>
        <v>-6028</v>
      </c>
      <c r="M51" s="28">
        <f ca="1">IFERROR(__xludf.DUMMYFUNCTION("""COMPUTED_VALUE"""),-6028)</f>
        <v>-6028</v>
      </c>
      <c r="N51" s="28">
        <f ca="1">IFERROR(__xludf.DUMMYFUNCTION("""COMPUTED_VALUE"""),-68411.91)</f>
        <v>-68411.91</v>
      </c>
    </row>
    <row r="52" spans="1:14">
      <c r="A52" s="26" t="str">
        <f ca="1">IFERROR(__xludf.DUMMYFUNCTION("""COMPUTED_VALUE"""),"Vale Transporte / Mobilidade")</f>
        <v>Vale Transporte / Mobilidade</v>
      </c>
      <c r="B52" s="28">
        <f ca="1">IFERROR(__xludf.DUMMYFUNCTION("""COMPUTED_VALUE"""),-385)</f>
        <v>-385</v>
      </c>
      <c r="C52" s="28">
        <f ca="1">IFERROR(__xludf.DUMMYFUNCTION("""COMPUTED_VALUE"""),-385)</f>
        <v>-385</v>
      </c>
      <c r="D52" s="28">
        <f ca="1">IFERROR(__xludf.DUMMYFUNCTION("""COMPUTED_VALUE"""),-385)</f>
        <v>-385</v>
      </c>
      <c r="E52" s="28">
        <f ca="1">IFERROR(__xludf.DUMMYFUNCTION("""COMPUTED_VALUE"""),-385)</f>
        <v>-385</v>
      </c>
      <c r="F52" s="28">
        <f ca="1">IFERROR(__xludf.DUMMYFUNCTION("""COMPUTED_VALUE"""),-385)</f>
        <v>-385</v>
      </c>
      <c r="G52" s="28">
        <f ca="1">IFERROR(__xludf.DUMMYFUNCTION("""COMPUTED_VALUE"""),-385)</f>
        <v>-385</v>
      </c>
      <c r="H52" s="28">
        <f ca="1">IFERROR(__xludf.DUMMYFUNCTION("""COMPUTED_VALUE"""),-385)</f>
        <v>-385</v>
      </c>
      <c r="I52" s="28">
        <f ca="1">IFERROR(__xludf.DUMMYFUNCTION("""COMPUTED_VALUE"""),-385)</f>
        <v>-385</v>
      </c>
      <c r="J52" s="28">
        <f ca="1">IFERROR(__xludf.DUMMYFUNCTION("""COMPUTED_VALUE"""),-385)</f>
        <v>-385</v>
      </c>
      <c r="K52" s="28">
        <f ca="1">IFERROR(__xludf.DUMMYFUNCTION("""COMPUTED_VALUE"""),-385)</f>
        <v>-385</v>
      </c>
      <c r="L52" s="28">
        <f ca="1">IFERROR(__xludf.DUMMYFUNCTION("""COMPUTED_VALUE"""),-385)</f>
        <v>-385</v>
      </c>
      <c r="M52" s="28">
        <f ca="1">IFERROR(__xludf.DUMMYFUNCTION("""COMPUTED_VALUE"""),-385)</f>
        <v>-385</v>
      </c>
      <c r="N52" s="28">
        <f ca="1">IFERROR(__xludf.DUMMYFUNCTION("""COMPUTED_VALUE"""),-4620)</f>
        <v>-4620</v>
      </c>
    </row>
    <row r="53" spans="1:14">
      <c r="A53" s="26" t="str">
        <f ca="1">IFERROR(__xludf.DUMMYFUNCTION("""COMPUTED_VALUE"""),"Seguro de Vida")</f>
        <v>Seguro de Vida</v>
      </c>
      <c r="B53" s="28">
        <f ca="1">IFERROR(__xludf.DUMMYFUNCTION("""COMPUTED_VALUE"""),0)</f>
        <v>0</v>
      </c>
      <c r="C53" s="28">
        <f ca="1">IFERROR(__xludf.DUMMYFUNCTION("""COMPUTED_VALUE"""),0)</f>
        <v>0</v>
      </c>
      <c r="D53" s="28">
        <f ca="1">IFERROR(__xludf.DUMMYFUNCTION("""COMPUTED_VALUE"""),0)</f>
        <v>0</v>
      </c>
      <c r="E53" s="28">
        <f ca="1">IFERROR(__xludf.DUMMYFUNCTION("""COMPUTED_VALUE"""),0)</f>
        <v>0</v>
      </c>
      <c r="F53" s="28">
        <f ca="1">IFERROR(__xludf.DUMMYFUNCTION("""COMPUTED_VALUE"""),0)</f>
        <v>0</v>
      </c>
      <c r="G53" s="28">
        <f ca="1">IFERROR(__xludf.DUMMYFUNCTION("""COMPUTED_VALUE"""),0)</f>
        <v>0</v>
      </c>
      <c r="H53" s="28">
        <f ca="1">IFERROR(__xludf.DUMMYFUNCTION("""COMPUTED_VALUE"""),0)</f>
        <v>0</v>
      </c>
      <c r="I53" s="28">
        <f ca="1">IFERROR(__xludf.DUMMYFUNCTION("""COMPUTED_VALUE"""),0)</f>
        <v>0</v>
      </c>
      <c r="J53" s="28">
        <f ca="1">IFERROR(__xludf.DUMMYFUNCTION("""COMPUTED_VALUE"""),0)</f>
        <v>0</v>
      </c>
      <c r="K53" s="28">
        <f ca="1">IFERROR(__xludf.DUMMYFUNCTION("""COMPUTED_VALUE"""),0)</f>
        <v>0</v>
      </c>
      <c r="L53" s="28">
        <f ca="1">IFERROR(__xludf.DUMMYFUNCTION("""COMPUTED_VALUE"""),0)</f>
        <v>0</v>
      </c>
      <c r="M53" s="28">
        <f ca="1">IFERROR(__xludf.DUMMYFUNCTION("""COMPUTED_VALUE"""),0)</f>
        <v>0</v>
      </c>
      <c r="N53" s="28">
        <f ca="1">IFERROR(__xludf.DUMMYFUNCTION("""COMPUTED_VALUE"""),0)</f>
        <v>0</v>
      </c>
    </row>
    <row r="54" spans="1:14">
      <c r="A54" s="26" t="str">
        <f ca="1">IFERROR(__xludf.DUMMYFUNCTION("""COMPUTED_VALUE"""),"Outros Benefícios")</f>
        <v>Outros Benefícios</v>
      </c>
      <c r="B54" s="28">
        <f ca="1">IFERROR(__xludf.DUMMYFUNCTION("""COMPUTED_VALUE"""),0)</f>
        <v>0</v>
      </c>
      <c r="C54" s="28">
        <f ca="1">IFERROR(__xludf.DUMMYFUNCTION("""COMPUTED_VALUE"""),0)</f>
        <v>0</v>
      </c>
      <c r="D54" s="28">
        <f ca="1">IFERROR(__xludf.DUMMYFUNCTION("""COMPUTED_VALUE"""),0)</f>
        <v>0</v>
      </c>
      <c r="E54" s="28">
        <f ca="1">IFERROR(__xludf.DUMMYFUNCTION("""COMPUTED_VALUE"""),0)</f>
        <v>0</v>
      </c>
      <c r="F54" s="28">
        <f ca="1">IFERROR(__xludf.DUMMYFUNCTION("""COMPUTED_VALUE"""),0)</f>
        <v>0</v>
      </c>
      <c r="G54" s="28">
        <f ca="1">IFERROR(__xludf.DUMMYFUNCTION("""COMPUTED_VALUE"""),0)</f>
        <v>0</v>
      </c>
      <c r="H54" s="28">
        <f ca="1">IFERROR(__xludf.DUMMYFUNCTION("""COMPUTED_VALUE"""),0)</f>
        <v>0</v>
      </c>
      <c r="I54" s="28">
        <f ca="1">IFERROR(__xludf.DUMMYFUNCTION("""COMPUTED_VALUE"""),0)</f>
        <v>0</v>
      </c>
      <c r="J54" s="28">
        <f ca="1">IFERROR(__xludf.DUMMYFUNCTION("""COMPUTED_VALUE"""),0)</f>
        <v>0</v>
      </c>
      <c r="K54" s="28">
        <f ca="1">IFERROR(__xludf.DUMMYFUNCTION("""COMPUTED_VALUE"""),0)</f>
        <v>0</v>
      </c>
      <c r="L54" s="28">
        <f ca="1">IFERROR(__xludf.DUMMYFUNCTION("""COMPUTED_VALUE"""),0)</f>
        <v>0</v>
      </c>
      <c r="M54" s="28">
        <f ca="1">IFERROR(__xludf.DUMMYFUNCTION("""COMPUTED_VALUE"""),0)</f>
        <v>0</v>
      </c>
      <c r="N54" s="28">
        <f ca="1">IFERROR(__xludf.DUMMYFUNCTION("""COMPUTED_VALUE"""),0)</f>
        <v>0</v>
      </c>
    </row>
    <row r="55" spans="1:14">
      <c r="A55" s="26" t="str">
        <f ca="1">IFERROR(__xludf.DUMMYFUNCTION("""COMPUTED_VALUE"""),"Benefícios - Geral")</f>
        <v>Benefícios - Geral</v>
      </c>
      <c r="B55" s="28">
        <f ca="1">IFERROR(__xludf.DUMMYFUNCTION("""COMPUTED_VALUE"""),0)</f>
        <v>0</v>
      </c>
      <c r="C55" s="28">
        <f ca="1">IFERROR(__xludf.DUMMYFUNCTION("""COMPUTED_VALUE"""),0)</f>
        <v>0</v>
      </c>
      <c r="D55" s="28">
        <f ca="1">IFERROR(__xludf.DUMMYFUNCTION("""COMPUTED_VALUE"""),0)</f>
        <v>0</v>
      </c>
      <c r="E55" s="28">
        <f ca="1">IFERROR(__xludf.DUMMYFUNCTION("""COMPUTED_VALUE"""),0)</f>
        <v>0</v>
      </c>
      <c r="F55" s="28">
        <f ca="1">IFERROR(__xludf.DUMMYFUNCTION("""COMPUTED_VALUE"""),0)</f>
        <v>0</v>
      </c>
      <c r="G55" s="28">
        <f ca="1">IFERROR(__xludf.DUMMYFUNCTION("""COMPUTED_VALUE"""),0)</f>
        <v>0</v>
      </c>
      <c r="H55" s="28">
        <f ca="1">IFERROR(__xludf.DUMMYFUNCTION("""COMPUTED_VALUE"""),0)</f>
        <v>0</v>
      </c>
      <c r="I55" s="28">
        <f ca="1">IFERROR(__xludf.DUMMYFUNCTION("""COMPUTED_VALUE"""),0)</f>
        <v>0</v>
      </c>
      <c r="J55" s="28">
        <f ca="1">IFERROR(__xludf.DUMMYFUNCTION("""COMPUTED_VALUE"""),0)</f>
        <v>0</v>
      </c>
      <c r="K55" s="28">
        <f ca="1">IFERROR(__xludf.DUMMYFUNCTION("""COMPUTED_VALUE"""),0)</f>
        <v>0</v>
      </c>
      <c r="L55" s="28">
        <f ca="1">IFERROR(__xludf.DUMMYFUNCTION("""COMPUTED_VALUE"""),0)</f>
        <v>0</v>
      </c>
      <c r="M55" s="28">
        <f ca="1">IFERROR(__xludf.DUMMYFUNCTION("""COMPUTED_VALUE"""),0)</f>
        <v>0</v>
      </c>
      <c r="N55" s="28">
        <f ca="1">IFERROR(__xludf.DUMMYFUNCTION("""COMPUTED_VALUE"""),0)</f>
        <v>0</v>
      </c>
    </row>
    <row r="56" spans="1:14">
      <c r="A56" s="26" t="str">
        <f ca="1">IFERROR(__xludf.DUMMYFUNCTION("""COMPUTED_VALUE"""),"Pró Labore Sócios")</f>
        <v>Pró Labore Sócios</v>
      </c>
      <c r="B56" s="28">
        <f ca="1">IFERROR(__xludf.DUMMYFUNCTION("""COMPUTED_VALUE"""),-12000)</f>
        <v>-12000</v>
      </c>
      <c r="C56" s="28">
        <f ca="1">IFERROR(__xludf.DUMMYFUNCTION("""COMPUTED_VALUE"""),-12000)</f>
        <v>-12000</v>
      </c>
      <c r="D56" s="28">
        <f ca="1">IFERROR(__xludf.DUMMYFUNCTION("""COMPUTED_VALUE"""),-12000)</f>
        <v>-12000</v>
      </c>
      <c r="E56" s="28">
        <f ca="1">IFERROR(__xludf.DUMMYFUNCTION("""COMPUTED_VALUE"""),-12000)</f>
        <v>-12000</v>
      </c>
      <c r="F56" s="28">
        <f ca="1">IFERROR(__xludf.DUMMYFUNCTION("""COMPUTED_VALUE"""),-12000)</f>
        <v>-12000</v>
      </c>
      <c r="G56" s="28">
        <f ca="1">IFERROR(__xludf.DUMMYFUNCTION("""COMPUTED_VALUE"""),-12000)</f>
        <v>-12000</v>
      </c>
      <c r="H56" s="28">
        <f ca="1">IFERROR(__xludf.DUMMYFUNCTION("""COMPUTED_VALUE"""),-12000)</f>
        <v>-12000</v>
      </c>
      <c r="I56" s="28">
        <f ca="1">IFERROR(__xludf.DUMMYFUNCTION("""COMPUTED_VALUE"""),-12000)</f>
        <v>-12000</v>
      </c>
      <c r="J56" s="28">
        <f ca="1">IFERROR(__xludf.DUMMYFUNCTION("""COMPUTED_VALUE"""),-12000)</f>
        <v>-12000</v>
      </c>
      <c r="K56" s="28">
        <f ca="1">IFERROR(__xludf.DUMMYFUNCTION("""COMPUTED_VALUE"""),-12000)</f>
        <v>-12000</v>
      </c>
      <c r="L56" s="28">
        <f ca="1">IFERROR(__xludf.DUMMYFUNCTION("""COMPUTED_VALUE"""),-12000)</f>
        <v>-12000</v>
      </c>
      <c r="M56" s="28">
        <f ca="1">IFERROR(__xludf.DUMMYFUNCTION("""COMPUTED_VALUE"""),-12000)</f>
        <v>-12000</v>
      </c>
      <c r="N56" s="28">
        <f ca="1">IFERROR(__xludf.DUMMYFUNCTION("""COMPUTED_VALUE"""),-144000)</f>
        <v>-144000</v>
      </c>
    </row>
    <row r="57" spans="1:14">
      <c r="A57" s="26" t="str">
        <f ca="1">IFERROR(__xludf.DUMMYFUNCTION("""COMPUTED_VALUE"""),"Outros ( Contribuição Sindical - PCMO, Exames...)")</f>
        <v>Outros ( Contribuição Sindical - PCMO, Exames...)</v>
      </c>
      <c r="B57" s="28">
        <f ca="1">IFERROR(__xludf.DUMMYFUNCTION("""COMPUTED_VALUE"""),-110.49)</f>
        <v>-110.49</v>
      </c>
      <c r="C57" s="28">
        <f ca="1">IFERROR(__xludf.DUMMYFUNCTION("""COMPUTED_VALUE"""),-110.49)</f>
        <v>-110.49</v>
      </c>
      <c r="D57" s="28">
        <f ca="1">IFERROR(__xludf.DUMMYFUNCTION("""COMPUTED_VALUE"""),-110.49)</f>
        <v>-110.49</v>
      </c>
      <c r="E57" s="28">
        <f ca="1">IFERROR(__xludf.DUMMYFUNCTION("""COMPUTED_VALUE"""),-110.49)</f>
        <v>-110.49</v>
      </c>
      <c r="F57" s="28">
        <f ca="1">IFERROR(__xludf.DUMMYFUNCTION("""COMPUTED_VALUE"""),-110.49)</f>
        <v>-110.49</v>
      </c>
      <c r="G57" s="28">
        <f ca="1">IFERROR(__xludf.DUMMYFUNCTION("""COMPUTED_VALUE"""),-110.49)</f>
        <v>-110.49</v>
      </c>
      <c r="H57" s="28">
        <f ca="1">IFERROR(__xludf.DUMMYFUNCTION("""COMPUTED_VALUE"""),-110.49)</f>
        <v>-110.49</v>
      </c>
      <c r="I57" s="28">
        <f ca="1">IFERROR(__xludf.DUMMYFUNCTION("""COMPUTED_VALUE"""),-110.49)</f>
        <v>-110.49</v>
      </c>
      <c r="J57" s="28">
        <f ca="1">IFERROR(__xludf.DUMMYFUNCTION("""COMPUTED_VALUE"""),-110.49)</f>
        <v>-110.49</v>
      </c>
      <c r="K57" s="28">
        <f ca="1">IFERROR(__xludf.DUMMYFUNCTION("""COMPUTED_VALUE"""),-110.49)</f>
        <v>-110.49</v>
      </c>
      <c r="L57" s="28">
        <f ca="1">IFERROR(__xludf.DUMMYFUNCTION("""COMPUTED_VALUE"""),-110.49)</f>
        <v>-110.49</v>
      </c>
      <c r="M57" s="28">
        <f ca="1">IFERROR(__xludf.DUMMYFUNCTION("""COMPUTED_VALUE"""),-110.49)</f>
        <v>-110.49</v>
      </c>
      <c r="N57" s="28">
        <f ca="1">IFERROR(__xludf.DUMMYFUNCTION("""COMPUTED_VALUE"""),-1325.87999999999)</f>
        <v>-1325.8799999999901</v>
      </c>
    </row>
    <row r="58" spans="1:14">
      <c r="A58" s="26" t="str">
        <f ca="1">IFERROR(__xludf.DUMMYFUNCTION("""COMPUTED_VALUE"""),"Capacitação e Treinamentos")</f>
        <v>Capacitação e Treinamentos</v>
      </c>
      <c r="B58" s="28">
        <f ca="1">IFERROR(__xludf.DUMMYFUNCTION("""COMPUTED_VALUE"""),-508.2912)</f>
        <v>-508.2912</v>
      </c>
      <c r="C58" s="28">
        <f ca="1">IFERROR(__xludf.DUMMYFUNCTION("""COMPUTED_VALUE"""),-508.2912)</f>
        <v>-508.2912</v>
      </c>
      <c r="D58" s="28">
        <f ca="1">IFERROR(__xludf.DUMMYFUNCTION("""COMPUTED_VALUE"""),-560.0912)</f>
        <v>-560.09119999999996</v>
      </c>
      <c r="E58" s="28">
        <f ca="1">IFERROR(__xludf.DUMMYFUNCTION("""COMPUTED_VALUE"""),-560.0912)</f>
        <v>-560.09119999999996</v>
      </c>
      <c r="F58" s="28">
        <f ca="1">IFERROR(__xludf.DUMMYFUNCTION("""COMPUTED_VALUE"""),-560.0912)</f>
        <v>-560.09119999999996</v>
      </c>
      <c r="G58" s="28">
        <f ca="1">IFERROR(__xludf.DUMMYFUNCTION("""COMPUTED_VALUE"""),-560.0912)</f>
        <v>-560.09119999999996</v>
      </c>
      <c r="H58" s="28">
        <f ca="1">IFERROR(__xludf.DUMMYFUNCTION("""COMPUTED_VALUE"""),-599.297584)</f>
        <v>-599.29758400000003</v>
      </c>
      <c r="I58" s="28">
        <f ca="1">IFERROR(__xludf.DUMMYFUNCTION("""COMPUTED_VALUE"""),-599.297584)</f>
        <v>-599.29758400000003</v>
      </c>
      <c r="J58" s="28">
        <f ca="1">IFERROR(__xludf.DUMMYFUNCTION("""COMPUTED_VALUE"""),-599.297584)</f>
        <v>-599.29758400000003</v>
      </c>
      <c r="K58" s="28">
        <f ca="1">IFERROR(__xludf.DUMMYFUNCTION("""COMPUTED_VALUE"""),-599.297584)</f>
        <v>-599.29758400000003</v>
      </c>
      <c r="L58" s="28">
        <f ca="1">IFERROR(__xludf.DUMMYFUNCTION("""COMPUTED_VALUE"""),-599.297584)</f>
        <v>-599.29758400000003</v>
      </c>
      <c r="M58" s="28">
        <f ca="1">IFERROR(__xludf.DUMMYFUNCTION("""COMPUTED_VALUE"""),-599.297584)</f>
        <v>-599.29758400000003</v>
      </c>
      <c r="N58" s="28">
        <f ca="1">IFERROR(__xludf.DUMMYFUNCTION("""COMPUTED_VALUE"""),-6852.73270399999)</f>
        <v>-6852.73270399999</v>
      </c>
    </row>
    <row r="59" spans="1:14">
      <c r="A59" s="26" t="str">
        <f ca="1">IFERROR(__xludf.DUMMYFUNCTION("""COMPUTED_VALUE"""),"Endomarketing")</f>
        <v>Endomarketing</v>
      </c>
      <c r="B59" s="28">
        <f ca="1">IFERROR(__xludf.DUMMYFUNCTION("""COMPUTED_VALUE"""),-300)</f>
        <v>-300</v>
      </c>
      <c r="C59" s="28">
        <f ca="1">IFERROR(__xludf.DUMMYFUNCTION("""COMPUTED_VALUE"""),-600)</f>
        <v>-600</v>
      </c>
      <c r="D59" s="28">
        <f ca="1">IFERROR(__xludf.DUMMYFUNCTION("""COMPUTED_VALUE"""),-300)</f>
        <v>-300</v>
      </c>
      <c r="E59" s="28">
        <f ca="1">IFERROR(__xludf.DUMMYFUNCTION("""COMPUTED_VALUE"""),-300)</f>
        <v>-300</v>
      </c>
      <c r="F59" s="28">
        <f ca="1">IFERROR(__xludf.DUMMYFUNCTION("""COMPUTED_VALUE"""),-300)</f>
        <v>-300</v>
      </c>
      <c r="G59" s="28">
        <f ca="1">IFERROR(__xludf.DUMMYFUNCTION("""COMPUTED_VALUE"""),-300)</f>
        <v>-300</v>
      </c>
      <c r="H59" s="28">
        <f ca="1">IFERROR(__xludf.DUMMYFUNCTION("""COMPUTED_VALUE"""),-900)</f>
        <v>-900</v>
      </c>
      <c r="I59" s="28">
        <f ca="1">IFERROR(__xludf.DUMMYFUNCTION("""COMPUTED_VALUE"""),-300)</f>
        <v>-300</v>
      </c>
      <c r="J59" s="28">
        <f ca="1">IFERROR(__xludf.DUMMYFUNCTION("""COMPUTED_VALUE"""),-300)</f>
        <v>-300</v>
      </c>
      <c r="K59" s="28">
        <f ca="1">IFERROR(__xludf.DUMMYFUNCTION("""COMPUTED_VALUE"""),-300)</f>
        <v>-300</v>
      </c>
      <c r="L59" s="28">
        <f ca="1">IFERROR(__xludf.DUMMYFUNCTION("""COMPUTED_VALUE"""),-300)</f>
        <v>-300</v>
      </c>
      <c r="M59" s="28">
        <f ca="1">IFERROR(__xludf.DUMMYFUNCTION("""COMPUTED_VALUE"""),-3000)</f>
        <v>-3000</v>
      </c>
      <c r="N59" s="28">
        <f ca="1">IFERROR(__xludf.DUMMYFUNCTION("""COMPUTED_VALUE"""),-7200)</f>
        <v>-7200</v>
      </c>
    </row>
    <row r="60" spans="1:14">
      <c r="A60" s="26" t="str">
        <f ca="1">IFERROR(__xludf.DUMMYFUNCTION("""COMPUTED_VALUE"""),"Bônus")</f>
        <v>Bônus</v>
      </c>
      <c r="B60" s="28">
        <f ca="1">IFERROR(__xludf.DUMMYFUNCTION("""COMPUTED_VALUE"""),0)</f>
        <v>0</v>
      </c>
      <c r="C60" s="28">
        <f ca="1">IFERROR(__xludf.DUMMYFUNCTION("""COMPUTED_VALUE"""),0)</f>
        <v>0</v>
      </c>
      <c r="D60" s="28">
        <f ca="1">IFERROR(__xludf.DUMMYFUNCTION("""COMPUTED_VALUE"""),0)</f>
        <v>0</v>
      </c>
      <c r="E60" s="28">
        <f ca="1">IFERROR(__xludf.DUMMYFUNCTION("""COMPUTED_VALUE"""),0)</f>
        <v>0</v>
      </c>
      <c r="F60" s="28">
        <f ca="1">IFERROR(__xludf.DUMMYFUNCTION("""COMPUTED_VALUE"""),0)</f>
        <v>0</v>
      </c>
      <c r="G60" s="28">
        <f ca="1">IFERROR(__xludf.DUMMYFUNCTION("""COMPUTED_VALUE"""),0)</f>
        <v>0</v>
      </c>
      <c r="H60" s="28">
        <f ca="1">IFERROR(__xludf.DUMMYFUNCTION("""COMPUTED_VALUE"""),0)</f>
        <v>0</v>
      </c>
      <c r="I60" s="28">
        <f ca="1">IFERROR(__xludf.DUMMYFUNCTION("""COMPUTED_VALUE"""),0)</f>
        <v>0</v>
      </c>
      <c r="J60" s="28">
        <f ca="1">IFERROR(__xludf.DUMMYFUNCTION("""COMPUTED_VALUE"""),0)</f>
        <v>0</v>
      </c>
      <c r="K60" s="28">
        <f ca="1">IFERROR(__xludf.DUMMYFUNCTION("""COMPUTED_VALUE"""),0)</f>
        <v>0</v>
      </c>
      <c r="L60" s="28">
        <f ca="1">IFERROR(__xludf.DUMMYFUNCTION("""COMPUTED_VALUE"""),0)</f>
        <v>0</v>
      </c>
      <c r="M60" s="28">
        <f ca="1">IFERROR(__xludf.DUMMYFUNCTION("""COMPUTED_VALUE"""),0)</f>
        <v>0</v>
      </c>
      <c r="N60" s="28">
        <f ca="1">IFERROR(__xludf.DUMMYFUNCTION("""COMPUTED_VALUE"""),0)</f>
        <v>0</v>
      </c>
    </row>
    <row r="61" spans="1:14">
      <c r="A61" s="13" t="str">
        <f ca="1">IFERROR(__xludf.DUMMYFUNCTION("""COMPUTED_VALUE"""),"Despesas Administrativas")</f>
        <v>Despesas Administrativas</v>
      </c>
      <c r="B61" s="16">
        <f ca="1">IFERROR(__xludf.DUMMYFUNCTION("""COMPUTED_VALUE"""),-9869.22)</f>
        <v>-9869.2199999999993</v>
      </c>
      <c r="C61" s="16">
        <f ca="1">IFERROR(__xludf.DUMMYFUNCTION("""COMPUTED_VALUE"""),-16930.054)</f>
        <v>-16930.054</v>
      </c>
      <c r="D61" s="16">
        <f ca="1">IFERROR(__xludf.DUMMYFUNCTION("""COMPUTED_VALUE"""),-17149.054)</f>
        <v>-17149.054</v>
      </c>
      <c r="E61" s="16">
        <f ca="1">IFERROR(__xludf.DUMMYFUNCTION("""COMPUTED_VALUE"""),-17091.934)</f>
        <v>-17091.934000000001</v>
      </c>
      <c r="F61" s="16">
        <f ca="1">IFERROR(__xludf.DUMMYFUNCTION("""COMPUTED_VALUE"""),-9390.1)</f>
        <v>-9390.1</v>
      </c>
      <c r="G61" s="16">
        <f ca="1">IFERROR(__xludf.DUMMYFUNCTION("""COMPUTED_VALUE"""),-9470.1)</f>
        <v>-9470.1</v>
      </c>
      <c r="H61" s="16">
        <f ca="1">IFERROR(__xludf.DUMMYFUNCTION("""COMPUTED_VALUE"""),-10016.1)</f>
        <v>-10016.1</v>
      </c>
      <c r="I61" s="16">
        <f ca="1">IFERROR(__xludf.DUMMYFUNCTION("""COMPUTED_VALUE"""),-11189.1)</f>
        <v>-11189.1</v>
      </c>
      <c r="J61" s="16">
        <f ca="1">IFERROR(__xludf.DUMMYFUNCTION("""COMPUTED_VALUE"""),-9288.1)</f>
        <v>-9288.1</v>
      </c>
      <c r="K61" s="16">
        <f ca="1">IFERROR(__xludf.DUMMYFUNCTION("""COMPUTED_VALUE"""),-9479.15)</f>
        <v>-9479.15</v>
      </c>
      <c r="L61" s="16">
        <f ca="1">IFERROR(__xludf.DUMMYFUNCTION("""COMPUTED_VALUE"""),-9859.1)</f>
        <v>-9859.1</v>
      </c>
      <c r="M61" s="16">
        <f ca="1">IFERROR(__xludf.DUMMYFUNCTION("""COMPUTED_VALUE"""),-11305.6199999999)</f>
        <v>-11305.619999999901</v>
      </c>
      <c r="N61" s="16">
        <f ca="1">IFERROR(__xludf.DUMMYFUNCTION("""COMPUTED_VALUE"""),-141037.632)</f>
        <v>-141037.63200000001</v>
      </c>
    </row>
    <row r="62" spans="1:14">
      <c r="A62" s="26" t="str">
        <f ca="1">IFERROR(__xludf.DUMMYFUNCTION("""COMPUTED_VALUE"""),"Aluguel")</f>
        <v>Aluguel</v>
      </c>
      <c r="B62" s="28">
        <f ca="1">IFERROR(__xludf.DUMMYFUNCTION("""COMPUTED_VALUE"""),0)</f>
        <v>0</v>
      </c>
      <c r="C62" s="28">
        <f ca="1">IFERROR(__xludf.DUMMYFUNCTION("""COMPUTED_VALUE"""),0)</f>
        <v>0</v>
      </c>
      <c r="D62" s="28">
        <f ca="1">IFERROR(__xludf.DUMMYFUNCTION("""COMPUTED_VALUE"""),0)</f>
        <v>0</v>
      </c>
      <c r="E62" s="28">
        <f ca="1">IFERROR(__xludf.DUMMYFUNCTION("""COMPUTED_VALUE"""),0)</f>
        <v>0</v>
      </c>
      <c r="F62" s="28">
        <f ca="1">IFERROR(__xludf.DUMMYFUNCTION("""COMPUTED_VALUE"""),0)</f>
        <v>0</v>
      </c>
      <c r="G62" s="28">
        <f ca="1">IFERROR(__xludf.DUMMYFUNCTION("""COMPUTED_VALUE"""),0)</f>
        <v>0</v>
      </c>
      <c r="H62" s="28">
        <f ca="1">IFERROR(__xludf.DUMMYFUNCTION("""COMPUTED_VALUE"""),0)</f>
        <v>0</v>
      </c>
      <c r="I62" s="28">
        <f ca="1">IFERROR(__xludf.DUMMYFUNCTION("""COMPUTED_VALUE"""),0)</f>
        <v>0</v>
      </c>
      <c r="J62" s="28">
        <f ca="1">IFERROR(__xludf.DUMMYFUNCTION("""COMPUTED_VALUE"""),0)</f>
        <v>0</v>
      </c>
      <c r="K62" s="28">
        <f ca="1">IFERROR(__xludf.DUMMYFUNCTION("""COMPUTED_VALUE"""),0)</f>
        <v>0</v>
      </c>
      <c r="L62" s="28">
        <f ca="1">IFERROR(__xludf.DUMMYFUNCTION("""COMPUTED_VALUE"""),0)</f>
        <v>0</v>
      </c>
      <c r="M62" s="28">
        <f ca="1">IFERROR(__xludf.DUMMYFUNCTION("""COMPUTED_VALUE"""),0)</f>
        <v>0</v>
      </c>
      <c r="N62" s="28">
        <f ca="1">IFERROR(__xludf.DUMMYFUNCTION("""COMPUTED_VALUE"""),0)</f>
        <v>0</v>
      </c>
    </row>
    <row r="63" spans="1:14">
      <c r="A63" s="26" t="str">
        <f ca="1">IFERROR(__xludf.DUMMYFUNCTION("""COMPUTED_VALUE"""),"Condomínio")</f>
        <v>Condomínio</v>
      </c>
      <c r="B63" s="28">
        <f ca="1">IFERROR(__xludf.DUMMYFUNCTION("""COMPUTED_VALUE"""),0)</f>
        <v>0</v>
      </c>
      <c r="C63" s="28">
        <f ca="1">IFERROR(__xludf.DUMMYFUNCTION("""COMPUTED_VALUE"""),0)</f>
        <v>0</v>
      </c>
      <c r="D63" s="28">
        <f ca="1">IFERROR(__xludf.DUMMYFUNCTION("""COMPUTED_VALUE"""),0)</f>
        <v>0</v>
      </c>
      <c r="E63" s="28">
        <f ca="1">IFERROR(__xludf.DUMMYFUNCTION("""COMPUTED_VALUE"""),0)</f>
        <v>0</v>
      </c>
      <c r="F63" s="28">
        <f ca="1">IFERROR(__xludf.DUMMYFUNCTION("""COMPUTED_VALUE"""),0)</f>
        <v>0</v>
      </c>
      <c r="G63" s="28">
        <f ca="1">IFERROR(__xludf.DUMMYFUNCTION("""COMPUTED_VALUE"""),0)</f>
        <v>0</v>
      </c>
      <c r="H63" s="28">
        <f ca="1">IFERROR(__xludf.DUMMYFUNCTION("""COMPUTED_VALUE"""),0)</f>
        <v>0</v>
      </c>
      <c r="I63" s="28">
        <f ca="1">IFERROR(__xludf.DUMMYFUNCTION("""COMPUTED_VALUE"""),0)</f>
        <v>0</v>
      </c>
      <c r="J63" s="28">
        <f ca="1">IFERROR(__xludf.DUMMYFUNCTION("""COMPUTED_VALUE"""),0)</f>
        <v>0</v>
      </c>
      <c r="K63" s="28">
        <f ca="1">IFERROR(__xludf.DUMMYFUNCTION("""COMPUTED_VALUE"""),0)</f>
        <v>0</v>
      </c>
      <c r="L63" s="28">
        <f ca="1">IFERROR(__xludf.DUMMYFUNCTION("""COMPUTED_VALUE"""),0)</f>
        <v>0</v>
      </c>
      <c r="M63" s="28">
        <f ca="1">IFERROR(__xludf.DUMMYFUNCTION("""COMPUTED_VALUE"""),0)</f>
        <v>0</v>
      </c>
      <c r="N63" s="28">
        <f ca="1">IFERROR(__xludf.DUMMYFUNCTION("""COMPUTED_VALUE"""),0)</f>
        <v>0</v>
      </c>
    </row>
    <row r="64" spans="1:14">
      <c r="A64" s="26" t="str">
        <f ca="1">IFERROR(__xludf.DUMMYFUNCTION("""COMPUTED_VALUE"""),"Água e Esgoto")</f>
        <v>Água e Esgoto</v>
      </c>
      <c r="B64" s="28">
        <f ca="1">IFERROR(__xludf.DUMMYFUNCTION("""COMPUTED_VALUE"""),0)</f>
        <v>0</v>
      </c>
      <c r="C64" s="28">
        <f ca="1">IFERROR(__xludf.DUMMYFUNCTION("""COMPUTED_VALUE"""),0)</f>
        <v>0</v>
      </c>
      <c r="D64" s="28">
        <f ca="1">IFERROR(__xludf.DUMMYFUNCTION("""COMPUTED_VALUE"""),0)</f>
        <v>0</v>
      </c>
      <c r="E64" s="28">
        <f ca="1">IFERROR(__xludf.DUMMYFUNCTION("""COMPUTED_VALUE"""),0)</f>
        <v>0</v>
      </c>
      <c r="F64" s="28">
        <f ca="1">IFERROR(__xludf.DUMMYFUNCTION("""COMPUTED_VALUE"""),0)</f>
        <v>0</v>
      </c>
      <c r="G64" s="28">
        <f ca="1">IFERROR(__xludf.DUMMYFUNCTION("""COMPUTED_VALUE"""),0)</f>
        <v>0</v>
      </c>
      <c r="H64" s="28">
        <f ca="1">IFERROR(__xludf.DUMMYFUNCTION("""COMPUTED_VALUE"""),0)</f>
        <v>0</v>
      </c>
      <c r="I64" s="28">
        <f ca="1">IFERROR(__xludf.DUMMYFUNCTION("""COMPUTED_VALUE"""),0)</f>
        <v>0</v>
      </c>
      <c r="J64" s="28">
        <f ca="1">IFERROR(__xludf.DUMMYFUNCTION("""COMPUTED_VALUE"""),0)</f>
        <v>0</v>
      </c>
      <c r="K64" s="28">
        <f ca="1">IFERROR(__xludf.DUMMYFUNCTION("""COMPUTED_VALUE"""),0)</f>
        <v>0</v>
      </c>
      <c r="L64" s="28">
        <f ca="1">IFERROR(__xludf.DUMMYFUNCTION("""COMPUTED_VALUE"""),0)</f>
        <v>0</v>
      </c>
      <c r="M64" s="28">
        <f ca="1">IFERROR(__xludf.DUMMYFUNCTION("""COMPUTED_VALUE"""),0)</f>
        <v>0</v>
      </c>
      <c r="N64" s="28">
        <f ca="1">IFERROR(__xludf.DUMMYFUNCTION("""COMPUTED_VALUE"""),0)</f>
        <v>0</v>
      </c>
    </row>
    <row r="65" spans="1:14">
      <c r="A65" s="26" t="str">
        <f ca="1">IFERROR(__xludf.DUMMYFUNCTION("""COMPUTED_VALUE"""),"Energia Elétrica")</f>
        <v>Energia Elétrica</v>
      </c>
      <c r="B65" s="28">
        <f ca="1">IFERROR(__xludf.DUMMYFUNCTION("""COMPUTED_VALUE"""),0)</f>
        <v>0</v>
      </c>
      <c r="C65" s="28">
        <f ca="1">IFERROR(__xludf.DUMMYFUNCTION("""COMPUTED_VALUE"""),0)</f>
        <v>0</v>
      </c>
      <c r="D65" s="28">
        <f ca="1">IFERROR(__xludf.DUMMYFUNCTION("""COMPUTED_VALUE"""),0)</f>
        <v>0</v>
      </c>
      <c r="E65" s="28">
        <f ca="1">IFERROR(__xludf.DUMMYFUNCTION("""COMPUTED_VALUE"""),0)</f>
        <v>0</v>
      </c>
      <c r="F65" s="28">
        <f ca="1">IFERROR(__xludf.DUMMYFUNCTION("""COMPUTED_VALUE"""),0)</f>
        <v>0</v>
      </c>
      <c r="G65" s="28">
        <f ca="1">IFERROR(__xludf.DUMMYFUNCTION("""COMPUTED_VALUE"""),0)</f>
        <v>0</v>
      </c>
      <c r="H65" s="28">
        <f ca="1">IFERROR(__xludf.DUMMYFUNCTION("""COMPUTED_VALUE"""),0)</f>
        <v>0</v>
      </c>
      <c r="I65" s="28">
        <f ca="1">IFERROR(__xludf.DUMMYFUNCTION("""COMPUTED_VALUE"""),0)</f>
        <v>0</v>
      </c>
      <c r="J65" s="28">
        <f ca="1">IFERROR(__xludf.DUMMYFUNCTION("""COMPUTED_VALUE"""),0)</f>
        <v>0</v>
      </c>
      <c r="K65" s="28">
        <f ca="1">IFERROR(__xludf.DUMMYFUNCTION("""COMPUTED_VALUE"""),0)</f>
        <v>0</v>
      </c>
      <c r="L65" s="28">
        <f ca="1">IFERROR(__xludf.DUMMYFUNCTION("""COMPUTED_VALUE"""),0)</f>
        <v>0</v>
      </c>
      <c r="M65" s="28">
        <f ca="1">IFERROR(__xludf.DUMMYFUNCTION("""COMPUTED_VALUE"""),0)</f>
        <v>0</v>
      </c>
      <c r="N65" s="28">
        <f ca="1">IFERROR(__xludf.DUMMYFUNCTION("""COMPUTED_VALUE"""),0)</f>
        <v>0</v>
      </c>
    </row>
    <row r="66" spans="1:14">
      <c r="A66" s="26" t="str">
        <f ca="1">IFERROR(__xludf.DUMMYFUNCTION("""COMPUTED_VALUE"""),"Telefonia")</f>
        <v>Telefonia</v>
      </c>
      <c r="B66" s="28">
        <f ca="1">IFERROR(__xludf.DUMMYFUNCTION("""COMPUTED_VALUE"""),-279.95)</f>
        <v>-279.95</v>
      </c>
      <c r="C66" s="28">
        <f ca="1">IFERROR(__xludf.DUMMYFUNCTION("""COMPUTED_VALUE"""),-339.95)</f>
        <v>-339.95</v>
      </c>
      <c r="D66" s="28">
        <f ca="1">IFERROR(__xludf.DUMMYFUNCTION("""COMPUTED_VALUE"""),-388.95)</f>
        <v>-388.95</v>
      </c>
      <c r="E66" s="28">
        <f ca="1">IFERROR(__xludf.DUMMYFUNCTION("""COMPUTED_VALUE"""),-331.83)</f>
        <v>-331.83</v>
      </c>
      <c r="F66" s="28">
        <f ca="1">IFERROR(__xludf.DUMMYFUNCTION("""COMPUTED_VALUE"""),-361.83)</f>
        <v>-361.83</v>
      </c>
      <c r="G66" s="28">
        <f ca="1">IFERROR(__xludf.DUMMYFUNCTION("""COMPUTED_VALUE"""),-441.83)</f>
        <v>-441.83</v>
      </c>
      <c r="H66" s="28">
        <f ca="1">IFERROR(__xludf.DUMMYFUNCTION("""COMPUTED_VALUE"""),-426.83)</f>
        <v>-426.83</v>
      </c>
      <c r="I66" s="28">
        <f ca="1">IFERROR(__xludf.DUMMYFUNCTION("""COMPUTED_VALUE"""),-389.83)</f>
        <v>-389.83</v>
      </c>
      <c r="J66" s="28">
        <f ca="1">IFERROR(__xludf.DUMMYFUNCTION("""COMPUTED_VALUE"""),-259.83)</f>
        <v>-259.83</v>
      </c>
      <c r="K66" s="28">
        <f ca="1">IFERROR(__xludf.DUMMYFUNCTION("""COMPUTED_VALUE"""),-450.88)</f>
        <v>-450.88</v>
      </c>
      <c r="L66" s="28">
        <f ca="1">IFERROR(__xludf.DUMMYFUNCTION("""COMPUTED_VALUE"""),-269.83)</f>
        <v>-269.83</v>
      </c>
      <c r="M66" s="28">
        <f ca="1">IFERROR(__xludf.DUMMYFUNCTION("""COMPUTED_VALUE"""),-395.83)</f>
        <v>-395.83</v>
      </c>
      <c r="N66" s="28">
        <f ca="1">IFERROR(__xludf.DUMMYFUNCTION("""COMPUTED_VALUE"""),-4337.37)</f>
        <v>-4337.37</v>
      </c>
    </row>
    <row r="67" spans="1:14">
      <c r="A67" s="26" t="str">
        <f ca="1">IFERROR(__xludf.DUMMYFUNCTION("""COMPUTED_VALUE"""),"Manutenção de Imobilizado")</f>
        <v>Manutenção de Imobilizado</v>
      </c>
      <c r="B67" s="28">
        <f ca="1">IFERROR(__xludf.DUMMYFUNCTION("""COMPUTED_VALUE"""),-200)</f>
        <v>-200</v>
      </c>
      <c r="C67" s="28">
        <f ca="1">IFERROR(__xludf.DUMMYFUNCTION("""COMPUTED_VALUE"""),-200)</f>
        <v>-200</v>
      </c>
      <c r="D67" s="28">
        <f ca="1">IFERROR(__xludf.DUMMYFUNCTION("""COMPUTED_VALUE"""),-200)</f>
        <v>-200</v>
      </c>
      <c r="E67" s="28">
        <f ca="1">IFERROR(__xludf.DUMMYFUNCTION("""COMPUTED_VALUE"""),-200)</f>
        <v>-200</v>
      </c>
      <c r="F67" s="28">
        <f ca="1">IFERROR(__xludf.DUMMYFUNCTION("""COMPUTED_VALUE"""),-200)</f>
        <v>-200</v>
      </c>
      <c r="G67" s="28">
        <f ca="1">IFERROR(__xludf.DUMMYFUNCTION("""COMPUTED_VALUE"""),-200)</f>
        <v>-200</v>
      </c>
      <c r="H67" s="28">
        <f ca="1">IFERROR(__xludf.DUMMYFUNCTION("""COMPUTED_VALUE"""),-200)</f>
        <v>-200</v>
      </c>
      <c r="I67" s="28">
        <f ca="1">IFERROR(__xludf.DUMMYFUNCTION("""COMPUTED_VALUE"""),-200)</f>
        <v>-200</v>
      </c>
      <c r="J67" s="28">
        <f ca="1">IFERROR(__xludf.DUMMYFUNCTION("""COMPUTED_VALUE"""),-200)</f>
        <v>-200</v>
      </c>
      <c r="K67" s="28">
        <f ca="1">IFERROR(__xludf.DUMMYFUNCTION("""COMPUTED_VALUE"""),-200)</f>
        <v>-200</v>
      </c>
      <c r="L67" s="28">
        <f ca="1">IFERROR(__xludf.DUMMYFUNCTION("""COMPUTED_VALUE"""),-200)</f>
        <v>-200</v>
      </c>
      <c r="M67" s="28">
        <f ca="1">IFERROR(__xludf.DUMMYFUNCTION("""COMPUTED_VALUE"""),-200)</f>
        <v>-200</v>
      </c>
      <c r="N67" s="28">
        <f ca="1">IFERROR(__xludf.DUMMYFUNCTION("""COMPUTED_VALUE"""),-2400)</f>
        <v>-2400</v>
      </c>
    </row>
    <row r="68" spans="1:14">
      <c r="A68" s="26" t="str">
        <f ca="1">IFERROR(__xludf.DUMMYFUNCTION("""COMPUTED_VALUE"""),"Seguros")</f>
        <v>Seguros</v>
      </c>
      <c r="B68" s="28">
        <f ca="1">IFERROR(__xludf.DUMMYFUNCTION("""COMPUTED_VALUE"""),0)</f>
        <v>0</v>
      </c>
      <c r="C68" s="28">
        <f ca="1">IFERROR(__xludf.DUMMYFUNCTION("""COMPUTED_VALUE"""),0)</f>
        <v>0</v>
      </c>
      <c r="D68" s="28">
        <f ca="1">IFERROR(__xludf.DUMMYFUNCTION("""COMPUTED_VALUE"""),0)</f>
        <v>0</v>
      </c>
      <c r="E68" s="28">
        <f ca="1">IFERROR(__xludf.DUMMYFUNCTION("""COMPUTED_VALUE"""),0)</f>
        <v>0</v>
      </c>
      <c r="F68" s="28">
        <f ca="1">IFERROR(__xludf.DUMMYFUNCTION("""COMPUTED_VALUE"""),0)</f>
        <v>0</v>
      </c>
      <c r="G68" s="28">
        <f ca="1">IFERROR(__xludf.DUMMYFUNCTION("""COMPUTED_VALUE"""),0)</f>
        <v>0</v>
      </c>
      <c r="H68" s="28">
        <f ca="1">IFERROR(__xludf.DUMMYFUNCTION("""COMPUTED_VALUE"""),0)</f>
        <v>0</v>
      </c>
      <c r="I68" s="28">
        <f ca="1">IFERROR(__xludf.DUMMYFUNCTION("""COMPUTED_VALUE"""),0)</f>
        <v>0</v>
      </c>
      <c r="J68" s="28">
        <f ca="1">IFERROR(__xludf.DUMMYFUNCTION("""COMPUTED_VALUE"""),0)</f>
        <v>0</v>
      </c>
      <c r="K68" s="28">
        <f ca="1">IFERROR(__xludf.DUMMYFUNCTION("""COMPUTED_VALUE"""),0)</f>
        <v>0</v>
      </c>
      <c r="L68" s="28">
        <f ca="1">IFERROR(__xludf.DUMMYFUNCTION("""COMPUTED_VALUE"""),0)</f>
        <v>0</v>
      </c>
      <c r="M68" s="28">
        <f ca="1">IFERROR(__xludf.DUMMYFUNCTION("""COMPUTED_VALUE"""),0)</f>
        <v>0</v>
      </c>
      <c r="N68" s="28">
        <f ca="1">IFERROR(__xludf.DUMMYFUNCTION("""COMPUTED_VALUE"""),0)</f>
        <v>0</v>
      </c>
    </row>
    <row r="69" spans="1:14">
      <c r="A69" s="26" t="str">
        <f ca="1">IFERROR(__xludf.DUMMYFUNCTION("""COMPUTED_VALUE"""),"IPTU")</f>
        <v>IPTU</v>
      </c>
      <c r="B69" s="28">
        <f ca="1">IFERROR(__xludf.DUMMYFUNCTION("""COMPUTED_VALUE"""),0)</f>
        <v>0</v>
      </c>
      <c r="C69" s="28">
        <f ca="1">IFERROR(__xludf.DUMMYFUNCTION("""COMPUTED_VALUE"""),0)</f>
        <v>0</v>
      </c>
      <c r="D69" s="28">
        <f ca="1">IFERROR(__xludf.DUMMYFUNCTION("""COMPUTED_VALUE"""),0)</f>
        <v>0</v>
      </c>
      <c r="E69" s="28">
        <f ca="1">IFERROR(__xludf.DUMMYFUNCTION("""COMPUTED_VALUE"""),0)</f>
        <v>0</v>
      </c>
      <c r="F69" s="28">
        <f ca="1">IFERROR(__xludf.DUMMYFUNCTION("""COMPUTED_VALUE"""),0)</f>
        <v>0</v>
      </c>
      <c r="G69" s="28">
        <f ca="1">IFERROR(__xludf.DUMMYFUNCTION("""COMPUTED_VALUE"""),0)</f>
        <v>0</v>
      </c>
      <c r="H69" s="28">
        <f ca="1">IFERROR(__xludf.DUMMYFUNCTION("""COMPUTED_VALUE"""),0)</f>
        <v>0</v>
      </c>
      <c r="I69" s="28">
        <f ca="1">IFERROR(__xludf.DUMMYFUNCTION("""COMPUTED_VALUE"""),0)</f>
        <v>0</v>
      </c>
      <c r="J69" s="28">
        <f ca="1">IFERROR(__xludf.DUMMYFUNCTION("""COMPUTED_VALUE"""),0)</f>
        <v>0</v>
      </c>
      <c r="K69" s="28">
        <f ca="1">IFERROR(__xludf.DUMMYFUNCTION("""COMPUTED_VALUE"""),0)</f>
        <v>0</v>
      </c>
      <c r="L69" s="28">
        <f ca="1">IFERROR(__xludf.DUMMYFUNCTION("""COMPUTED_VALUE"""),0)</f>
        <v>0</v>
      </c>
      <c r="M69" s="28">
        <f ca="1">IFERROR(__xludf.DUMMYFUNCTION("""COMPUTED_VALUE"""),0)</f>
        <v>0</v>
      </c>
      <c r="N69" s="28">
        <f ca="1">IFERROR(__xludf.DUMMYFUNCTION("""COMPUTED_VALUE"""),0)</f>
        <v>0</v>
      </c>
    </row>
    <row r="70" spans="1:14">
      <c r="A70" s="26" t="str">
        <f ca="1">IFERROR(__xludf.DUMMYFUNCTION("""COMPUTED_VALUE"""),"Contabilidade")</f>
        <v>Contabilidade</v>
      </c>
      <c r="B70" s="28">
        <f ca="1">IFERROR(__xludf.DUMMYFUNCTION("""COMPUTED_VALUE"""),-900)</f>
        <v>-900</v>
      </c>
      <c r="C70" s="28">
        <f ca="1">IFERROR(__xludf.DUMMYFUNCTION("""COMPUTED_VALUE"""),-900)</f>
        <v>-900</v>
      </c>
      <c r="D70" s="28">
        <f ca="1">IFERROR(__xludf.DUMMYFUNCTION("""COMPUTED_VALUE"""),-900)</f>
        <v>-900</v>
      </c>
      <c r="E70" s="28">
        <f ca="1">IFERROR(__xludf.DUMMYFUNCTION("""COMPUTED_VALUE"""),-900)</f>
        <v>-900</v>
      </c>
      <c r="F70" s="28">
        <f ca="1">IFERROR(__xludf.DUMMYFUNCTION("""COMPUTED_VALUE"""),-900)</f>
        <v>-900</v>
      </c>
      <c r="G70" s="28">
        <f ca="1">IFERROR(__xludf.DUMMYFUNCTION("""COMPUTED_VALUE"""),-900)</f>
        <v>-900</v>
      </c>
      <c r="H70" s="28">
        <f ca="1">IFERROR(__xludf.DUMMYFUNCTION("""COMPUTED_VALUE"""),-900)</f>
        <v>-900</v>
      </c>
      <c r="I70" s="28">
        <f ca="1">IFERROR(__xludf.DUMMYFUNCTION("""COMPUTED_VALUE"""),-900)</f>
        <v>-900</v>
      </c>
      <c r="J70" s="28">
        <f ca="1">IFERROR(__xludf.DUMMYFUNCTION("""COMPUTED_VALUE"""),-900)</f>
        <v>-900</v>
      </c>
      <c r="K70" s="28">
        <f ca="1">IFERROR(__xludf.DUMMYFUNCTION("""COMPUTED_VALUE"""),-900)</f>
        <v>-900</v>
      </c>
      <c r="L70" s="28">
        <f ca="1">IFERROR(__xludf.DUMMYFUNCTION("""COMPUTED_VALUE"""),-900)</f>
        <v>-900</v>
      </c>
      <c r="M70" s="28">
        <f ca="1">IFERROR(__xludf.DUMMYFUNCTION("""COMPUTED_VALUE"""),-900)</f>
        <v>-900</v>
      </c>
      <c r="N70" s="28">
        <f ca="1">IFERROR(__xludf.DUMMYFUNCTION("""COMPUTED_VALUE"""),-10800)</f>
        <v>-10800</v>
      </c>
    </row>
    <row r="71" spans="1:14">
      <c r="A71" s="26" t="str">
        <f ca="1">IFERROR(__xludf.DUMMYFUNCTION("""COMPUTED_VALUE"""),"Assessoria Administrativa")</f>
        <v>Assessoria Administrativa</v>
      </c>
      <c r="B71" s="28">
        <f ca="1">IFERROR(__xludf.DUMMYFUNCTION("""COMPUTED_VALUE"""),-2600)</f>
        <v>-2600</v>
      </c>
      <c r="C71" s="28">
        <f ca="1">IFERROR(__xludf.DUMMYFUNCTION("""COMPUTED_VALUE"""),-2600)</f>
        <v>-2600</v>
      </c>
      <c r="D71" s="28">
        <f ca="1">IFERROR(__xludf.DUMMYFUNCTION("""COMPUTED_VALUE"""),-2600)</f>
        <v>-2600</v>
      </c>
      <c r="E71" s="28">
        <f ca="1">IFERROR(__xludf.DUMMYFUNCTION("""COMPUTED_VALUE"""),-2600)</f>
        <v>-2600</v>
      </c>
      <c r="F71" s="28">
        <f ca="1">IFERROR(__xludf.DUMMYFUNCTION("""COMPUTED_VALUE"""),-2600)</f>
        <v>-2600</v>
      </c>
      <c r="G71" s="28">
        <f ca="1">IFERROR(__xludf.DUMMYFUNCTION("""COMPUTED_VALUE"""),-2600)</f>
        <v>-2600</v>
      </c>
      <c r="H71" s="28">
        <f ca="1">IFERROR(__xludf.DUMMYFUNCTION("""COMPUTED_VALUE"""),-2600)</f>
        <v>-2600</v>
      </c>
      <c r="I71" s="28">
        <f ca="1">IFERROR(__xludf.DUMMYFUNCTION("""COMPUTED_VALUE"""),-2600)</f>
        <v>-2600</v>
      </c>
      <c r="J71" s="28">
        <f ca="1">IFERROR(__xludf.DUMMYFUNCTION("""COMPUTED_VALUE"""),-2600)</f>
        <v>-2600</v>
      </c>
      <c r="K71" s="28">
        <f ca="1">IFERROR(__xludf.DUMMYFUNCTION("""COMPUTED_VALUE"""),-2600)</f>
        <v>-2600</v>
      </c>
      <c r="L71" s="28">
        <f ca="1">IFERROR(__xludf.DUMMYFUNCTION("""COMPUTED_VALUE"""),-2600)</f>
        <v>-2600</v>
      </c>
      <c r="M71" s="28">
        <f ca="1">IFERROR(__xludf.DUMMYFUNCTION("""COMPUTED_VALUE"""),-2600)</f>
        <v>-2600</v>
      </c>
      <c r="N71" s="28">
        <f ca="1">IFERROR(__xludf.DUMMYFUNCTION("""COMPUTED_VALUE"""),-31200)</f>
        <v>-31200</v>
      </c>
    </row>
    <row r="72" spans="1:14">
      <c r="A72" s="26" t="str">
        <f ca="1">IFERROR(__xludf.DUMMYFUNCTION("""COMPUTED_VALUE"""),"Advogados")</f>
        <v>Advogados</v>
      </c>
      <c r="B72" s="28">
        <f ca="1">IFERROR(__xludf.DUMMYFUNCTION("""COMPUTED_VALUE"""),-1621)</f>
        <v>-1621</v>
      </c>
      <c r="C72" s="28">
        <f ca="1">IFERROR(__xludf.DUMMYFUNCTION("""COMPUTED_VALUE"""),-1621)</f>
        <v>-1621</v>
      </c>
      <c r="D72" s="28">
        <f ca="1">IFERROR(__xludf.DUMMYFUNCTION("""COMPUTED_VALUE"""),-1621)</f>
        <v>-1621</v>
      </c>
      <c r="E72" s="28">
        <f ca="1">IFERROR(__xludf.DUMMYFUNCTION("""COMPUTED_VALUE"""),-1621)</f>
        <v>-1621</v>
      </c>
      <c r="F72" s="28">
        <f ca="1">IFERROR(__xludf.DUMMYFUNCTION("""COMPUTED_VALUE"""),-1621)</f>
        <v>-1621</v>
      </c>
      <c r="G72" s="28">
        <f ca="1">IFERROR(__xludf.DUMMYFUNCTION("""COMPUTED_VALUE"""),-1621)</f>
        <v>-1621</v>
      </c>
      <c r="H72" s="28">
        <f ca="1">IFERROR(__xludf.DUMMYFUNCTION("""COMPUTED_VALUE"""),-1621)</f>
        <v>-1621</v>
      </c>
      <c r="I72" s="28">
        <f ca="1">IFERROR(__xludf.DUMMYFUNCTION("""COMPUTED_VALUE"""),-1621)</f>
        <v>-1621</v>
      </c>
      <c r="J72" s="28">
        <f ca="1">IFERROR(__xludf.DUMMYFUNCTION("""COMPUTED_VALUE"""),-1621)</f>
        <v>-1621</v>
      </c>
      <c r="K72" s="28">
        <f ca="1">IFERROR(__xludf.DUMMYFUNCTION("""COMPUTED_VALUE"""),-1621)</f>
        <v>-1621</v>
      </c>
      <c r="L72" s="28">
        <f ca="1">IFERROR(__xludf.DUMMYFUNCTION("""COMPUTED_VALUE"""),-1621)</f>
        <v>-1621</v>
      </c>
      <c r="M72" s="28">
        <f ca="1">IFERROR(__xludf.DUMMYFUNCTION("""COMPUTED_VALUE"""),-1621)</f>
        <v>-1621</v>
      </c>
      <c r="N72" s="28">
        <f ca="1">IFERROR(__xludf.DUMMYFUNCTION("""COMPUTED_VALUE"""),-19452)</f>
        <v>-19452</v>
      </c>
    </row>
    <row r="73" spans="1:14">
      <c r="A73" s="26" t="str">
        <f ca="1">IFERROR(__xludf.DUMMYFUNCTION("""COMPUTED_VALUE"""),"Segurança")</f>
        <v>Segurança</v>
      </c>
      <c r="B73" s="28">
        <f ca="1">IFERROR(__xludf.DUMMYFUNCTION("""COMPUTED_VALUE"""),0)</f>
        <v>0</v>
      </c>
      <c r="C73" s="28">
        <f ca="1">IFERROR(__xludf.DUMMYFUNCTION("""COMPUTED_VALUE"""),0)</f>
        <v>0</v>
      </c>
      <c r="D73" s="28">
        <f ca="1">IFERROR(__xludf.DUMMYFUNCTION("""COMPUTED_VALUE"""),0)</f>
        <v>0</v>
      </c>
      <c r="E73" s="28">
        <f ca="1">IFERROR(__xludf.DUMMYFUNCTION("""COMPUTED_VALUE"""),0)</f>
        <v>0</v>
      </c>
      <c r="F73" s="28">
        <f ca="1">IFERROR(__xludf.DUMMYFUNCTION("""COMPUTED_VALUE"""),0)</f>
        <v>0</v>
      </c>
      <c r="G73" s="28">
        <f ca="1">IFERROR(__xludf.DUMMYFUNCTION("""COMPUTED_VALUE"""),0)</f>
        <v>0</v>
      </c>
      <c r="H73" s="28">
        <f ca="1">IFERROR(__xludf.DUMMYFUNCTION("""COMPUTED_VALUE"""),0)</f>
        <v>0</v>
      </c>
      <c r="I73" s="28">
        <f ca="1">IFERROR(__xludf.DUMMYFUNCTION("""COMPUTED_VALUE"""),0)</f>
        <v>0</v>
      </c>
      <c r="J73" s="28">
        <f ca="1">IFERROR(__xludf.DUMMYFUNCTION("""COMPUTED_VALUE"""),0)</f>
        <v>0</v>
      </c>
      <c r="K73" s="28">
        <f ca="1">IFERROR(__xludf.DUMMYFUNCTION("""COMPUTED_VALUE"""),0)</f>
        <v>0</v>
      </c>
      <c r="L73" s="28">
        <f ca="1">IFERROR(__xludf.DUMMYFUNCTION("""COMPUTED_VALUE"""),0)</f>
        <v>0</v>
      </c>
      <c r="M73" s="28">
        <f ca="1">IFERROR(__xludf.DUMMYFUNCTION("""COMPUTED_VALUE"""),0)</f>
        <v>0</v>
      </c>
      <c r="N73" s="28">
        <f ca="1">IFERROR(__xludf.DUMMYFUNCTION("""COMPUTED_VALUE"""),0)</f>
        <v>0</v>
      </c>
    </row>
    <row r="74" spans="1:14">
      <c r="A74" s="26" t="str">
        <f ca="1">IFERROR(__xludf.DUMMYFUNCTION("""COMPUTED_VALUE"""),"Softwares, Sistemas e Servidores")</f>
        <v>Softwares, Sistemas e Servidores</v>
      </c>
      <c r="B74" s="28">
        <f ca="1">IFERROR(__xludf.DUMMYFUNCTION("""COMPUTED_VALUE"""),-2477.75)</f>
        <v>-2477.75</v>
      </c>
      <c r="C74" s="28">
        <f ca="1">IFERROR(__xludf.DUMMYFUNCTION("""COMPUTED_VALUE"""),-9648.584)</f>
        <v>-9648.5840000000007</v>
      </c>
      <c r="D74" s="28">
        <f ca="1">IFERROR(__xludf.DUMMYFUNCTION("""COMPUTED_VALUE"""),-9648.584)</f>
        <v>-9648.5840000000007</v>
      </c>
      <c r="E74" s="28">
        <f ca="1">IFERROR(__xludf.DUMMYFUNCTION("""COMPUTED_VALUE"""),-9648.584)</f>
        <v>-9648.5840000000007</v>
      </c>
      <c r="F74" s="28">
        <f ca="1">IFERROR(__xludf.DUMMYFUNCTION("""COMPUTED_VALUE"""),-1916.75)</f>
        <v>-1916.75</v>
      </c>
      <c r="G74" s="28">
        <f ca="1">IFERROR(__xludf.DUMMYFUNCTION("""COMPUTED_VALUE"""),-1916.75)</f>
        <v>-1916.75</v>
      </c>
      <c r="H74" s="28">
        <f ca="1">IFERROR(__xludf.DUMMYFUNCTION("""COMPUTED_VALUE"""),-2477.75)</f>
        <v>-2477.75</v>
      </c>
      <c r="I74" s="28">
        <f ca="1">IFERROR(__xludf.DUMMYFUNCTION("""COMPUTED_VALUE"""),-3687.75)</f>
        <v>-3687.75</v>
      </c>
      <c r="J74" s="28">
        <f ca="1">IFERROR(__xludf.DUMMYFUNCTION("""COMPUTED_VALUE"""),-1916.75)</f>
        <v>-1916.75</v>
      </c>
      <c r="K74" s="28">
        <f ca="1">IFERROR(__xludf.DUMMYFUNCTION("""COMPUTED_VALUE"""),-1916.75)</f>
        <v>-1916.75</v>
      </c>
      <c r="L74" s="28">
        <f ca="1">IFERROR(__xludf.DUMMYFUNCTION("""COMPUTED_VALUE"""),-2477.75)</f>
        <v>-2477.75</v>
      </c>
      <c r="M74" s="28">
        <f ca="1">IFERROR(__xludf.DUMMYFUNCTION("""COMPUTED_VALUE"""),-3687.75)</f>
        <v>-3687.75</v>
      </c>
      <c r="N74" s="28">
        <f ca="1">IFERROR(__xludf.DUMMYFUNCTION("""COMPUTED_VALUE"""),-51421.502)</f>
        <v>-51421.502</v>
      </c>
    </row>
    <row r="75" spans="1:14">
      <c r="A75" s="26" t="str">
        <f ca="1">IFERROR(__xludf.DUMMYFUNCTION("""COMPUTED_VALUE"""),"Fretes e Transportes em Geral")</f>
        <v>Fretes e Transportes em Geral</v>
      </c>
      <c r="B75" s="28">
        <f ca="1">IFERROR(__xludf.DUMMYFUNCTION("""COMPUTED_VALUE"""),-160)</f>
        <v>-160</v>
      </c>
      <c r="C75" s="28">
        <f ca="1">IFERROR(__xludf.DUMMYFUNCTION("""COMPUTED_VALUE"""),-160)</f>
        <v>-160</v>
      </c>
      <c r="D75" s="28">
        <f ca="1">IFERROR(__xludf.DUMMYFUNCTION("""COMPUTED_VALUE"""),-160)</f>
        <v>-160</v>
      </c>
      <c r="E75" s="28">
        <f ca="1">IFERROR(__xludf.DUMMYFUNCTION("""COMPUTED_VALUE"""),-160)</f>
        <v>-160</v>
      </c>
      <c r="F75" s="28">
        <f ca="1">IFERROR(__xludf.DUMMYFUNCTION("""COMPUTED_VALUE"""),-160)</f>
        <v>-160</v>
      </c>
      <c r="G75" s="28">
        <f ca="1">IFERROR(__xludf.DUMMYFUNCTION("""COMPUTED_VALUE"""),-160)</f>
        <v>-160</v>
      </c>
      <c r="H75" s="28">
        <f ca="1">IFERROR(__xludf.DUMMYFUNCTION("""COMPUTED_VALUE"""),-160)</f>
        <v>-160</v>
      </c>
      <c r="I75" s="28">
        <f ca="1">IFERROR(__xludf.DUMMYFUNCTION("""COMPUTED_VALUE"""),-160)</f>
        <v>-160</v>
      </c>
      <c r="J75" s="28">
        <f ca="1">IFERROR(__xludf.DUMMYFUNCTION("""COMPUTED_VALUE"""),-160)</f>
        <v>-160</v>
      </c>
      <c r="K75" s="28">
        <f ca="1">IFERROR(__xludf.DUMMYFUNCTION("""COMPUTED_VALUE"""),-160)</f>
        <v>-160</v>
      </c>
      <c r="L75" s="28">
        <f ca="1">IFERROR(__xludf.DUMMYFUNCTION("""COMPUTED_VALUE"""),-160)</f>
        <v>-160</v>
      </c>
      <c r="M75" s="28">
        <f ca="1">IFERROR(__xludf.DUMMYFUNCTION("""COMPUTED_VALUE"""),-160)</f>
        <v>-160</v>
      </c>
      <c r="N75" s="28">
        <f ca="1">IFERROR(__xludf.DUMMYFUNCTION("""COMPUTED_VALUE"""),-1920)</f>
        <v>-1920</v>
      </c>
    </row>
    <row r="76" spans="1:14">
      <c r="A76" s="26" t="str">
        <f ca="1">IFERROR(__xludf.DUMMYFUNCTION("""COMPUTED_VALUE"""),"Outras Despesas Administrativas")</f>
        <v>Outras Despesas Administrativas</v>
      </c>
      <c r="B76" s="28">
        <f ca="1">IFERROR(__xludf.DUMMYFUNCTION("""COMPUTED_VALUE"""),0)</f>
        <v>0</v>
      </c>
      <c r="C76" s="28">
        <f ca="1">IFERROR(__xludf.DUMMYFUNCTION("""COMPUTED_VALUE"""),170)</f>
        <v>170</v>
      </c>
      <c r="D76" s="28">
        <f ca="1">IFERROR(__xludf.DUMMYFUNCTION("""COMPUTED_VALUE"""),0)</f>
        <v>0</v>
      </c>
      <c r="E76" s="28">
        <f ca="1">IFERROR(__xludf.DUMMYFUNCTION("""COMPUTED_VALUE"""),0)</f>
        <v>0</v>
      </c>
      <c r="F76" s="28">
        <f ca="1">IFERROR(__xludf.DUMMYFUNCTION("""COMPUTED_VALUE"""),0)</f>
        <v>0</v>
      </c>
      <c r="G76" s="28">
        <f ca="1">IFERROR(__xludf.DUMMYFUNCTION("""COMPUTED_VALUE"""),0)</f>
        <v>0</v>
      </c>
      <c r="H76" s="28">
        <f ca="1">IFERROR(__xludf.DUMMYFUNCTION("""COMPUTED_VALUE"""),0)</f>
        <v>0</v>
      </c>
      <c r="I76" s="28">
        <f ca="1">IFERROR(__xludf.DUMMYFUNCTION("""COMPUTED_VALUE"""),0)</f>
        <v>0</v>
      </c>
      <c r="J76" s="28">
        <f ca="1">IFERROR(__xludf.DUMMYFUNCTION("""COMPUTED_VALUE"""),0)</f>
        <v>0</v>
      </c>
      <c r="K76" s="28">
        <f ca="1">IFERROR(__xludf.DUMMYFUNCTION("""COMPUTED_VALUE"""),0)</f>
        <v>0</v>
      </c>
      <c r="L76" s="28">
        <f ca="1">IFERROR(__xludf.DUMMYFUNCTION("""COMPUTED_VALUE"""),0)</f>
        <v>0</v>
      </c>
      <c r="M76" s="28">
        <f ca="1">IFERROR(__xludf.DUMMYFUNCTION("""COMPUTED_VALUE"""),0)</f>
        <v>0</v>
      </c>
      <c r="N76" s="28">
        <f ca="1">IFERROR(__xludf.DUMMYFUNCTION("""COMPUTED_VALUE"""),170)</f>
        <v>170</v>
      </c>
    </row>
    <row r="77" spans="1:14">
      <c r="A77" s="26" t="str">
        <f ca="1">IFERROR(__xludf.DUMMYFUNCTION("""COMPUTED_VALUE"""),"Associações de classe")</f>
        <v>Associações de classe</v>
      </c>
      <c r="B77" s="28">
        <f ca="1">IFERROR(__xludf.DUMMYFUNCTION("""COMPUTED_VALUE"""),-310.52)</f>
        <v>-310.52</v>
      </c>
      <c r="C77" s="28">
        <f ca="1">IFERROR(__xludf.DUMMYFUNCTION("""COMPUTED_VALUE"""),-310.52)</f>
        <v>-310.52</v>
      </c>
      <c r="D77" s="28">
        <f ca="1">IFERROR(__xludf.DUMMYFUNCTION("""COMPUTED_VALUE"""),-310.52)</f>
        <v>-310.52</v>
      </c>
      <c r="E77" s="28">
        <f ca="1">IFERROR(__xludf.DUMMYFUNCTION("""COMPUTED_VALUE"""),-310.52)</f>
        <v>-310.52</v>
      </c>
      <c r="F77" s="28">
        <f ca="1">IFERROR(__xludf.DUMMYFUNCTION("""COMPUTED_VALUE"""),-310.52)</f>
        <v>-310.52</v>
      </c>
      <c r="G77" s="28">
        <f ca="1">IFERROR(__xludf.DUMMYFUNCTION("""COMPUTED_VALUE"""),-310.52)</f>
        <v>-310.52</v>
      </c>
      <c r="H77" s="28">
        <f ca="1">IFERROR(__xludf.DUMMYFUNCTION("""COMPUTED_VALUE"""),-310.52)</f>
        <v>-310.52</v>
      </c>
      <c r="I77" s="28">
        <f ca="1">IFERROR(__xludf.DUMMYFUNCTION("""COMPUTED_VALUE"""),-310.52)</f>
        <v>-310.52</v>
      </c>
      <c r="J77" s="28">
        <f ca="1">IFERROR(__xludf.DUMMYFUNCTION("""COMPUTED_VALUE"""),-310.52)</f>
        <v>-310.52</v>
      </c>
      <c r="K77" s="28">
        <f ca="1">IFERROR(__xludf.DUMMYFUNCTION("""COMPUTED_VALUE"""),-310.52)</f>
        <v>-310.52</v>
      </c>
      <c r="L77" s="28">
        <f ca="1">IFERROR(__xludf.DUMMYFUNCTION("""COMPUTED_VALUE"""),-310.52)</f>
        <v>-310.52</v>
      </c>
      <c r="M77" s="28">
        <f ca="1">IFERROR(__xludf.DUMMYFUNCTION("""COMPUTED_VALUE"""),-421.039999999999)</f>
        <v>-421.039999999999</v>
      </c>
      <c r="N77" s="28">
        <f ca="1">IFERROR(__xludf.DUMMYFUNCTION("""COMPUTED_VALUE"""),-3836.75999999999)</f>
        <v>-3836.7599999999902</v>
      </c>
    </row>
    <row r="78" spans="1:14">
      <c r="A78" s="26" t="str">
        <f ca="1">IFERROR(__xludf.DUMMYFUNCTION("""COMPUTED_VALUE"""),"Material Limpeza / Escritório / Mercado / Padaria")</f>
        <v>Material Limpeza / Escritório / Mercado / Padaria</v>
      </c>
      <c r="B78" s="28">
        <f ca="1">IFERROR(__xludf.DUMMYFUNCTION("""COMPUTED_VALUE"""),-1320)</f>
        <v>-1320</v>
      </c>
      <c r="C78" s="28">
        <f ca="1">IFERROR(__xludf.DUMMYFUNCTION("""COMPUTED_VALUE"""),-1320)</f>
        <v>-1320</v>
      </c>
      <c r="D78" s="28">
        <f ca="1">IFERROR(__xludf.DUMMYFUNCTION("""COMPUTED_VALUE"""),-1320)</f>
        <v>-1320</v>
      </c>
      <c r="E78" s="28">
        <f ca="1">IFERROR(__xludf.DUMMYFUNCTION("""COMPUTED_VALUE"""),-1320)</f>
        <v>-1320</v>
      </c>
      <c r="F78" s="28">
        <f ca="1">IFERROR(__xludf.DUMMYFUNCTION("""COMPUTED_VALUE"""),-1320)</f>
        <v>-1320</v>
      </c>
      <c r="G78" s="28">
        <f ca="1">IFERROR(__xludf.DUMMYFUNCTION("""COMPUTED_VALUE"""),-1320)</f>
        <v>-1320</v>
      </c>
      <c r="H78" s="28">
        <f ca="1">IFERROR(__xludf.DUMMYFUNCTION("""COMPUTED_VALUE"""),-1320)</f>
        <v>-1320</v>
      </c>
      <c r="I78" s="28">
        <f ca="1">IFERROR(__xludf.DUMMYFUNCTION("""COMPUTED_VALUE"""),-1320)</f>
        <v>-1320</v>
      </c>
      <c r="J78" s="28">
        <f ca="1">IFERROR(__xludf.DUMMYFUNCTION("""COMPUTED_VALUE"""),-1320)</f>
        <v>-1320</v>
      </c>
      <c r="K78" s="28">
        <f ca="1">IFERROR(__xludf.DUMMYFUNCTION("""COMPUTED_VALUE"""),-1320)</f>
        <v>-1320</v>
      </c>
      <c r="L78" s="28">
        <f ca="1">IFERROR(__xludf.DUMMYFUNCTION("""COMPUTED_VALUE"""),-1320)</f>
        <v>-1320</v>
      </c>
      <c r="M78" s="28">
        <f ca="1">IFERROR(__xludf.DUMMYFUNCTION("""COMPUTED_VALUE"""),-1320)</f>
        <v>-1320</v>
      </c>
      <c r="N78" s="28">
        <f ca="1">IFERROR(__xludf.DUMMYFUNCTION("""COMPUTED_VALUE"""),-15840)</f>
        <v>-15840</v>
      </c>
    </row>
    <row r="79" spans="1:14">
      <c r="A79" s="13" t="str">
        <f ca="1">IFERROR(__xludf.DUMMYFUNCTION("""COMPUTED_VALUE"""),"Despesas Financeiras / Bancos")</f>
        <v>Despesas Financeiras / Bancos</v>
      </c>
      <c r="B79" s="16">
        <f ca="1">IFERROR(__xludf.DUMMYFUNCTION("""COMPUTED_VALUE"""),-160)</f>
        <v>-160</v>
      </c>
      <c r="C79" s="16">
        <f ca="1">IFERROR(__xludf.DUMMYFUNCTION("""COMPUTED_VALUE"""),-160)</f>
        <v>-160</v>
      </c>
      <c r="D79" s="16">
        <f ca="1">IFERROR(__xludf.DUMMYFUNCTION("""COMPUTED_VALUE"""),-160)</f>
        <v>-160</v>
      </c>
      <c r="E79" s="16">
        <f ca="1">IFERROR(__xludf.DUMMYFUNCTION("""COMPUTED_VALUE"""),-160)</f>
        <v>-160</v>
      </c>
      <c r="F79" s="16">
        <f ca="1">IFERROR(__xludf.DUMMYFUNCTION("""COMPUTED_VALUE"""),-160)</f>
        <v>-160</v>
      </c>
      <c r="G79" s="16">
        <f ca="1">IFERROR(__xludf.DUMMYFUNCTION("""COMPUTED_VALUE"""),-160)</f>
        <v>-160</v>
      </c>
      <c r="H79" s="16">
        <f ca="1">IFERROR(__xludf.DUMMYFUNCTION("""COMPUTED_VALUE"""),-160)</f>
        <v>-160</v>
      </c>
      <c r="I79" s="16">
        <f ca="1">IFERROR(__xludf.DUMMYFUNCTION("""COMPUTED_VALUE"""),-160)</f>
        <v>-160</v>
      </c>
      <c r="J79" s="16">
        <f ca="1">IFERROR(__xludf.DUMMYFUNCTION("""COMPUTED_VALUE"""),-160)</f>
        <v>-160</v>
      </c>
      <c r="K79" s="16">
        <f ca="1">IFERROR(__xludf.DUMMYFUNCTION("""COMPUTED_VALUE"""),-160)</f>
        <v>-160</v>
      </c>
      <c r="L79" s="16">
        <f ca="1">IFERROR(__xludf.DUMMYFUNCTION("""COMPUTED_VALUE"""),-160)</f>
        <v>-160</v>
      </c>
      <c r="M79" s="16">
        <f ca="1">IFERROR(__xludf.DUMMYFUNCTION("""COMPUTED_VALUE"""),-160)</f>
        <v>-160</v>
      </c>
      <c r="N79" s="16">
        <f ca="1">IFERROR(__xludf.DUMMYFUNCTION("""COMPUTED_VALUE"""),-1920)</f>
        <v>-1920</v>
      </c>
    </row>
    <row r="80" spans="1:14">
      <c r="A80" s="26" t="str">
        <f ca="1">IFERROR(__xludf.DUMMYFUNCTION("""COMPUTED_VALUE"""),"Despesa com antecipação de Saldo")</f>
        <v>Despesa com antecipação de Saldo</v>
      </c>
      <c r="B80" s="28">
        <f ca="1">IFERROR(__xludf.DUMMYFUNCTION("""COMPUTED_VALUE"""),0)</f>
        <v>0</v>
      </c>
      <c r="C80" s="28">
        <f ca="1">IFERROR(__xludf.DUMMYFUNCTION("""COMPUTED_VALUE"""),0)</f>
        <v>0</v>
      </c>
      <c r="D80" s="28">
        <f ca="1">IFERROR(__xludf.DUMMYFUNCTION("""COMPUTED_VALUE"""),0)</f>
        <v>0</v>
      </c>
      <c r="E80" s="28">
        <f ca="1">IFERROR(__xludf.DUMMYFUNCTION("""COMPUTED_VALUE"""),0)</f>
        <v>0</v>
      </c>
      <c r="F80" s="28">
        <f ca="1">IFERROR(__xludf.DUMMYFUNCTION("""COMPUTED_VALUE"""),0)</f>
        <v>0</v>
      </c>
      <c r="G80" s="28">
        <f ca="1">IFERROR(__xludf.DUMMYFUNCTION("""COMPUTED_VALUE"""),0)</f>
        <v>0</v>
      </c>
      <c r="H80" s="28">
        <f ca="1">IFERROR(__xludf.DUMMYFUNCTION("""COMPUTED_VALUE"""),0)</f>
        <v>0</v>
      </c>
      <c r="I80" s="28">
        <f ca="1">IFERROR(__xludf.DUMMYFUNCTION("""COMPUTED_VALUE"""),0)</f>
        <v>0</v>
      </c>
      <c r="J80" s="28">
        <f ca="1">IFERROR(__xludf.DUMMYFUNCTION("""COMPUTED_VALUE"""),0)</f>
        <v>0</v>
      </c>
      <c r="K80" s="28">
        <f ca="1">IFERROR(__xludf.DUMMYFUNCTION("""COMPUTED_VALUE"""),0)</f>
        <v>0</v>
      </c>
      <c r="L80" s="28">
        <f ca="1">IFERROR(__xludf.DUMMYFUNCTION("""COMPUTED_VALUE"""),0)</f>
        <v>0</v>
      </c>
      <c r="M80" s="28">
        <f ca="1">IFERROR(__xludf.DUMMYFUNCTION("""COMPUTED_VALUE"""),0)</f>
        <v>0</v>
      </c>
      <c r="N80" s="28">
        <f ca="1">IFERROR(__xludf.DUMMYFUNCTION("""COMPUTED_VALUE"""),0)</f>
        <v>0</v>
      </c>
    </row>
    <row r="81" spans="1:14">
      <c r="A81" s="26" t="str">
        <f ca="1">IFERROR(__xludf.DUMMYFUNCTION("""COMPUTED_VALUE"""),"Juros sobre Empréstimos")</f>
        <v>Juros sobre Empréstimos</v>
      </c>
      <c r="B81" s="28">
        <f ca="1">IFERROR(__xludf.DUMMYFUNCTION("""COMPUTED_VALUE"""),0)</f>
        <v>0</v>
      </c>
      <c r="C81" s="28">
        <f ca="1">IFERROR(__xludf.DUMMYFUNCTION("""COMPUTED_VALUE"""),0)</f>
        <v>0</v>
      </c>
      <c r="D81" s="28">
        <f ca="1">IFERROR(__xludf.DUMMYFUNCTION("""COMPUTED_VALUE"""),0)</f>
        <v>0</v>
      </c>
      <c r="E81" s="28">
        <f ca="1">IFERROR(__xludf.DUMMYFUNCTION("""COMPUTED_VALUE"""),0)</f>
        <v>0</v>
      </c>
      <c r="F81" s="28">
        <f ca="1">IFERROR(__xludf.DUMMYFUNCTION("""COMPUTED_VALUE"""),0)</f>
        <v>0</v>
      </c>
      <c r="G81" s="28">
        <f ca="1">IFERROR(__xludf.DUMMYFUNCTION("""COMPUTED_VALUE"""),0)</f>
        <v>0</v>
      </c>
      <c r="H81" s="28">
        <f ca="1">IFERROR(__xludf.DUMMYFUNCTION("""COMPUTED_VALUE"""),0)</f>
        <v>0</v>
      </c>
      <c r="I81" s="28">
        <f ca="1">IFERROR(__xludf.DUMMYFUNCTION("""COMPUTED_VALUE"""),0)</f>
        <v>0</v>
      </c>
      <c r="J81" s="28">
        <f ca="1">IFERROR(__xludf.DUMMYFUNCTION("""COMPUTED_VALUE"""),0)</f>
        <v>0</v>
      </c>
      <c r="K81" s="28">
        <f ca="1">IFERROR(__xludf.DUMMYFUNCTION("""COMPUTED_VALUE"""),0)</f>
        <v>0</v>
      </c>
      <c r="L81" s="28">
        <f ca="1">IFERROR(__xludf.DUMMYFUNCTION("""COMPUTED_VALUE"""),0)</f>
        <v>0</v>
      </c>
      <c r="M81" s="28">
        <f ca="1">IFERROR(__xludf.DUMMYFUNCTION("""COMPUTED_VALUE"""),0)</f>
        <v>0</v>
      </c>
      <c r="N81" s="28">
        <f ca="1">IFERROR(__xludf.DUMMYFUNCTION("""COMPUTED_VALUE"""),0)</f>
        <v>0</v>
      </c>
    </row>
    <row r="82" spans="1:14">
      <c r="A82" s="26" t="str">
        <f ca="1">IFERROR(__xludf.DUMMYFUNCTION("""COMPUTED_VALUE"""),"Multas")</f>
        <v>Multas</v>
      </c>
      <c r="B82" s="28">
        <f ca="1">IFERROR(__xludf.DUMMYFUNCTION("""COMPUTED_VALUE"""),0)</f>
        <v>0</v>
      </c>
      <c r="C82" s="28">
        <f ca="1">IFERROR(__xludf.DUMMYFUNCTION("""COMPUTED_VALUE"""),0)</f>
        <v>0</v>
      </c>
      <c r="D82" s="28">
        <f ca="1">IFERROR(__xludf.DUMMYFUNCTION("""COMPUTED_VALUE"""),0)</f>
        <v>0</v>
      </c>
      <c r="E82" s="28">
        <f ca="1">IFERROR(__xludf.DUMMYFUNCTION("""COMPUTED_VALUE"""),0)</f>
        <v>0</v>
      </c>
      <c r="F82" s="28">
        <f ca="1">IFERROR(__xludf.DUMMYFUNCTION("""COMPUTED_VALUE"""),0)</f>
        <v>0</v>
      </c>
      <c r="G82" s="28">
        <f ca="1">IFERROR(__xludf.DUMMYFUNCTION("""COMPUTED_VALUE"""),0)</f>
        <v>0</v>
      </c>
      <c r="H82" s="28">
        <f ca="1">IFERROR(__xludf.DUMMYFUNCTION("""COMPUTED_VALUE"""),0)</f>
        <v>0</v>
      </c>
      <c r="I82" s="28">
        <f ca="1">IFERROR(__xludf.DUMMYFUNCTION("""COMPUTED_VALUE"""),0)</f>
        <v>0</v>
      </c>
      <c r="J82" s="28">
        <f ca="1">IFERROR(__xludf.DUMMYFUNCTION("""COMPUTED_VALUE"""),0)</f>
        <v>0</v>
      </c>
      <c r="K82" s="28">
        <f ca="1">IFERROR(__xludf.DUMMYFUNCTION("""COMPUTED_VALUE"""),0)</f>
        <v>0</v>
      </c>
      <c r="L82" s="28">
        <f ca="1">IFERROR(__xludf.DUMMYFUNCTION("""COMPUTED_VALUE"""),0)</f>
        <v>0</v>
      </c>
      <c r="M82" s="28">
        <f ca="1">IFERROR(__xludf.DUMMYFUNCTION("""COMPUTED_VALUE"""),0)</f>
        <v>0</v>
      </c>
      <c r="N82" s="28">
        <f ca="1">IFERROR(__xludf.DUMMYFUNCTION("""COMPUTED_VALUE"""),0)</f>
        <v>0</v>
      </c>
    </row>
    <row r="83" spans="1:14">
      <c r="A83" s="26" t="str">
        <f ca="1">IFERROR(__xludf.DUMMYFUNCTION("""COMPUTED_VALUE"""),"IOF")</f>
        <v>IOF</v>
      </c>
      <c r="B83" s="28">
        <f ca="1">IFERROR(__xludf.DUMMYFUNCTION("""COMPUTED_VALUE"""),0)</f>
        <v>0</v>
      </c>
      <c r="C83" s="28">
        <f ca="1">IFERROR(__xludf.DUMMYFUNCTION("""COMPUTED_VALUE"""),0)</f>
        <v>0</v>
      </c>
      <c r="D83" s="28">
        <f ca="1">IFERROR(__xludf.DUMMYFUNCTION("""COMPUTED_VALUE"""),0)</f>
        <v>0</v>
      </c>
      <c r="E83" s="28">
        <f ca="1">IFERROR(__xludf.DUMMYFUNCTION("""COMPUTED_VALUE"""),0)</f>
        <v>0</v>
      </c>
      <c r="F83" s="28">
        <f ca="1">IFERROR(__xludf.DUMMYFUNCTION("""COMPUTED_VALUE"""),0)</f>
        <v>0</v>
      </c>
      <c r="G83" s="28">
        <f ca="1">IFERROR(__xludf.DUMMYFUNCTION("""COMPUTED_VALUE"""),0)</f>
        <v>0</v>
      </c>
      <c r="H83" s="28">
        <f ca="1">IFERROR(__xludf.DUMMYFUNCTION("""COMPUTED_VALUE"""),0)</f>
        <v>0</v>
      </c>
      <c r="I83" s="28">
        <f ca="1">IFERROR(__xludf.DUMMYFUNCTION("""COMPUTED_VALUE"""),0)</f>
        <v>0</v>
      </c>
      <c r="J83" s="28">
        <f ca="1">IFERROR(__xludf.DUMMYFUNCTION("""COMPUTED_VALUE"""),0)</f>
        <v>0</v>
      </c>
      <c r="K83" s="28">
        <f ca="1">IFERROR(__xludf.DUMMYFUNCTION("""COMPUTED_VALUE"""),0)</f>
        <v>0</v>
      </c>
      <c r="L83" s="28">
        <f ca="1">IFERROR(__xludf.DUMMYFUNCTION("""COMPUTED_VALUE"""),0)</f>
        <v>0</v>
      </c>
      <c r="M83" s="28">
        <f ca="1">IFERROR(__xludf.DUMMYFUNCTION("""COMPUTED_VALUE"""),0)</f>
        <v>0</v>
      </c>
      <c r="N83" s="28">
        <f ca="1">IFERROR(__xludf.DUMMYFUNCTION("""COMPUTED_VALUE"""),0)</f>
        <v>0</v>
      </c>
    </row>
    <row r="84" spans="1:14">
      <c r="A84" s="26" t="str">
        <f ca="1">IFERROR(__xludf.DUMMYFUNCTION("""COMPUTED_VALUE"""),"Tarifas Bancárias")</f>
        <v>Tarifas Bancárias</v>
      </c>
      <c r="B84" s="28">
        <f ca="1">IFERROR(__xludf.DUMMYFUNCTION("""COMPUTED_VALUE"""),-160)</f>
        <v>-160</v>
      </c>
      <c r="C84" s="28">
        <f ca="1">IFERROR(__xludf.DUMMYFUNCTION("""COMPUTED_VALUE"""),-160)</f>
        <v>-160</v>
      </c>
      <c r="D84" s="28">
        <f ca="1">IFERROR(__xludf.DUMMYFUNCTION("""COMPUTED_VALUE"""),-160)</f>
        <v>-160</v>
      </c>
      <c r="E84" s="28">
        <f ca="1">IFERROR(__xludf.DUMMYFUNCTION("""COMPUTED_VALUE"""),-160)</f>
        <v>-160</v>
      </c>
      <c r="F84" s="28">
        <f ca="1">IFERROR(__xludf.DUMMYFUNCTION("""COMPUTED_VALUE"""),-160)</f>
        <v>-160</v>
      </c>
      <c r="G84" s="28">
        <f ca="1">IFERROR(__xludf.DUMMYFUNCTION("""COMPUTED_VALUE"""),-160)</f>
        <v>-160</v>
      </c>
      <c r="H84" s="28">
        <f ca="1">IFERROR(__xludf.DUMMYFUNCTION("""COMPUTED_VALUE"""),-160)</f>
        <v>-160</v>
      </c>
      <c r="I84" s="28">
        <f ca="1">IFERROR(__xludf.DUMMYFUNCTION("""COMPUTED_VALUE"""),-160)</f>
        <v>-160</v>
      </c>
      <c r="J84" s="28">
        <f ca="1">IFERROR(__xludf.DUMMYFUNCTION("""COMPUTED_VALUE"""),-160)</f>
        <v>-160</v>
      </c>
      <c r="K84" s="28">
        <f ca="1">IFERROR(__xludf.DUMMYFUNCTION("""COMPUTED_VALUE"""),-160)</f>
        <v>-160</v>
      </c>
      <c r="L84" s="28">
        <f ca="1">IFERROR(__xludf.DUMMYFUNCTION("""COMPUTED_VALUE"""),-160)</f>
        <v>-160</v>
      </c>
      <c r="M84" s="28">
        <f ca="1">IFERROR(__xludf.DUMMYFUNCTION("""COMPUTED_VALUE"""),-160)</f>
        <v>-160</v>
      </c>
      <c r="N84" s="28">
        <f ca="1">IFERROR(__xludf.DUMMYFUNCTION("""COMPUTED_VALUE"""),-1920)</f>
        <v>-1920</v>
      </c>
    </row>
    <row r="85" spans="1:14">
      <c r="A85" s="13" t="str">
        <f ca="1">IFERROR(__xludf.DUMMYFUNCTION("""COMPUTED_VALUE"""),"Receita Financeira")</f>
        <v>Receita Financeira</v>
      </c>
      <c r="B85" s="16">
        <f ca="1">IFERROR(__xludf.DUMMYFUNCTION("""COMPUTED_VALUE"""),0)</f>
        <v>0</v>
      </c>
      <c r="C85" s="16">
        <f ca="1">IFERROR(__xludf.DUMMYFUNCTION("""COMPUTED_VALUE"""),0)</f>
        <v>0</v>
      </c>
      <c r="D85" s="16">
        <f ca="1">IFERROR(__xludf.DUMMYFUNCTION("""COMPUTED_VALUE"""),0)</f>
        <v>0</v>
      </c>
      <c r="E85" s="16">
        <f ca="1">IFERROR(__xludf.DUMMYFUNCTION("""COMPUTED_VALUE"""),0)</f>
        <v>0</v>
      </c>
      <c r="F85" s="16">
        <f ca="1">IFERROR(__xludf.DUMMYFUNCTION("""COMPUTED_VALUE"""),0)</f>
        <v>0</v>
      </c>
      <c r="G85" s="16">
        <f ca="1">IFERROR(__xludf.DUMMYFUNCTION("""COMPUTED_VALUE"""),0)</f>
        <v>0</v>
      </c>
      <c r="H85" s="16">
        <f ca="1">IFERROR(__xludf.DUMMYFUNCTION("""COMPUTED_VALUE"""),0)</f>
        <v>0</v>
      </c>
      <c r="I85" s="16">
        <f ca="1">IFERROR(__xludf.DUMMYFUNCTION("""COMPUTED_VALUE"""),0)</f>
        <v>0</v>
      </c>
      <c r="J85" s="16">
        <f ca="1">IFERROR(__xludf.DUMMYFUNCTION("""COMPUTED_VALUE"""),0)</f>
        <v>0</v>
      </c>
      <c r="K85" s="16">
        <f ca="1">IFERROR(__xludf.DUMMYFUNCTION("""COMPUTED_VALUE"""),0)</f>
        <v>0</v>
      </c>
      <c r="L85" s="16">
        <f ca="1">IFERROR(__xludf.DUMMYFUNCTION("""COMPUTED_VALUE"""),0)</f>
        <v>0</v>
      </c>
      <c r="M85" s="16">
        <f ca="1">IFERROR(__xludf.DUMMYFUNCTION("""COMPUTED_VALUE"""),0)</f>
        <v>0</v>
      </c>
      <c r="N85" s="16">
        <f ca="1">IFERROR(__xludf.DUMMYFUNCTION("""COMPUTED_VALUE"""),0)</f>
        <v>0</v>
      </c>
    </row>
    <row r="86" spans="1:14">
      <c r="A86" s="26" t="str">
        <f ca="1">IFERROR(__xludf.DUMMYFUNCTION("""COMPUTED_VALUE"""),"Dividendos Recebidos")</f>
        <v>Dividendos Recebidos</v>
      </c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28">
        <f ca="1">IFERROR(__xludf.DUMMYFUNCTION("""COMPUTED_VALUE"""),0)</f>
        <v>0</v>
      </c>
    </row>
    <row r="87" spans="1:14">
      <c r="A87" s="26" t="str">
        <f ca="1">IFERROR(__xludf.DUMMYFUNCTION("""COMPUTED_VALUE"""),"Rendimentos de Aplicações")</f>
        <v>Rendimentos de Aplicações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28">
        <f ca="1">IFERROR(__xludf.DUMMYFUNCTION("""COMPUTED_VALUE"""),0)</f>
        <v>0</v>
      </c>
    </row>
    <row r="88" spans="1:14">
      <c r="A88" s="65" t="str">
        <f ca="1">IFERROR(__xludf.DUMMYFUNCTION("""COMPUTED_VALUE"""),"Lucro ou Prejuízo Operacional")</f>
        <v>Lucro ou Prejuízo Operacional</v>
      </c>
      <c r="B88" s="67">
        <f ca="1">IFERROR(__xludf.DUMMYFUNCTION("""COMPUTED_VALUE"""),94806.5368586465)</f>
        <v>94806.536858646505</v>
      </c>
      <c r="C88" s="67">
        <f ca="1">IFERROR(__xludf.DUMMYFUNCTION("""COMPUTED_VALUE"""),51694.1814298618)</f>
        <v>51694.181429861797</v>
      </c>
      <c r="D88" s="67">
        <f ca="1">IFERROR(__xludf.DUMMYFUNCTION("""COMPUTED_VALUE"""),111063.825860836)</f>
        <v>111063.825860836</v>
      </c>
      <c r="E88" s="67">
        <f ca="1">IFERROR(__xludf.DUMMYFUNCTION("""COMPUTED_VALUE"""),72645.9767343714)</f>
        <v>72645.976734371405</v>
      </c>
      <c r="F88" s="67">
        <f ca="1">IFERROR(__xludf.DUMMYFUNCTION("""COMPUTED_VALUE"""),113329.549339873)</f>
        <v>113329.549339873</v>
      </c>
      <c r="G88" s="67">
        <f ca="1">IFERROR(__xludf.DUMMYFUNCTION("""COMPUTED_VALUE"""),87033.4867074688)</f>
        <v>87033.486707468794</v>
      </c>
      <c r="H88" s="67">
        <f ca="1">IFERROR(__xludf.DUMMYFUNCTION("""COMPUTED_VALUE"""),119658.973387993)</f>
        <v>119658.973387993</v>
      </c>
      <c r="I88" s="67">
        <f ca="1">IFERROR(__xludf.DUMMYFUNCTION("""COMPUTED_VALUE"""),130446.710809528)</f>
        <v>130446.710809528</v>
      </c>
      <c r="J88" s="67">
        <f ca="1">IFERROR(__xludf.DUMMYFUNCTION("""COMPUTED_VALUE"""),99059.9983495956)</f>
        <v>99059.998349595597</v>
      </c>
      <c r="K88" s="67">
        <f ca="1">IFERROR(__xludf.DUMMYFUNCTION("""COMPUTED_VALUE"""),76346.0472438424)</f>
        <v>76346.047243842404</v>
      </c>
      <c r="L88" s="67">
        <f ca="1">IFERROR(__xludf.DUMMYFUNCTION("""COMPUTED_VALUE"""),117121.439873)</f>
        <v>117121.439873</v>
      </c>
      <c r="M88" s="67">
        <f ca="1">IFERROR(__xludf.DUMMYFUNCTION("""COMPUTED_VALUE"""),110166.143630296)</f>
        <v>110166.14363029601</v>
      </c>
      <c r="N88" s="67">
        <f ca="1">IFERROR(__xludf.DUMMYFUNCTION("""COMPUTED_VALUE"""),1183372.87022531)</f>
        <v>1183372.8702253101</v>
      </c>
    </row>
    <row r="89" spans="1:14">
      <c r="A89" s="26" t="str">
        <f ca="1">IFERROR(__xludf.DUMMYFUNCTION("""COMPUTED_VALUE"""),"Receitas Não Operacionais")</f>
        <v>Receitas Não Operacionais</v>
      </c>
      <c r="B89" s="28">
        <f ca="1">IFERROR(__xludf.DUMMYFUNCTION("""COMPUTED_VALUE"""),0)</f>
        <v>0</v>
      </c>
      <c r="C89" s="28">
        <f ca="1">IFERROR(__xludf.DUMMYFUNCTION("""COMPUTED_VALUE"""),0)</f>
        <v>0</v>
      </c>
      <c r="D89" s="28">
        <f ca="1">IFERROR(__xludf.DUMMYFUNCTION("""COMPUTED_VALUE"""),0)</f>
        <v>0</v>
      </c>
      <c r="E89" s="28">
        <f ca="1">IFERROR(__xludf.DUMMYFUNCTION("""COMPUTED_VALUE"""),0)</f>
        <v>0</v>
      </c>
      <c r="F89" s="28">
        <f ca="1">IFERROR(__xludf.DUMMYFUNCTION("""COMPUTED_VALUE"""),0)</f>
        <v>0</v>
      </c>
      <c r="G89" s="28">
        <f ca="1">IFERROR(__xludf.DUMMYFUNCTION("""COMPUTED_VALUE"""),0)</f>
        <v>0</v>
      </c>
      <c r="H89" s="28">
        <f ca="1">IFERROR(__xludf.DUMMYFUNCTION("""COMPUTED_VALUE"""),0)</f>
        <v>0</v>
      </c>
      <c r="I89" s="28">
        <f ca="1">IFERROR(__xludf.DUMMYFUNCTION("""COMPUTED_VALUE"""),0)</f>
        <v>0</v>
      </c>
      <c r="J89" s="28">
        <f ca="1">IFERROR(__xludf.DUMMYFUNCTION("""COMPUTED_VALUE"""),0)</f>
        <v>0</v>
      </c>
      <c r="K89" s="28">
        <f ca="1">IFERROR(__xludf.DUMMYFUNCTION("""COMPUTED_VALUE"""),0)</f>
        <v>0</v>
      </c>
      <c r="L89" s="28">
        <f ca="1">IFERROR(__xludf.DUMMYFUNCTION("""COMPUTED_VALUE"""),0)</f>
        <v>0</v>
      </c>
      <c r="M89" s="28">
        <f ca="1">IFERROR(__xludf.DUMMYFUNCTION("""COMPUTED_VALUE"""),0)</f>
        <v>0</v>
      </c>
      <c r="N89" s="28">
        <f ca="1">IFERROR(__xludf.DUMMYFUNCTION("""COMPUTED_VALUE"""),0)</f>
        <v>0</v>
      </c>
    </row>
    <row r="90" spans="1:14">
      <c r="A90" s="26" t="str">
        <f ca="1">IFERROR(__xludf.DUMMYFUNCTION("""COMPUTED_VALUE"""),"Despesas Não Operacionais")</f>
        <v>Despesas Não Operacionais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28">
        <f ca="1">IFERROR(__xludf.DUMMYFUNCTION("""COMPUTED_VALUE"""),0)</f>
        <v>0</v>
      </c>
    </row>
    <row r="91" spans="1:14">
      <c r="A91" s="65" t="str">
        <f ca="1">IFERROR(__xludf.DUMMYFUNCTION("""COMPUTED_VALUE"""),"Resultado do Exercicio Antes IR e CS")</f>
        <v>Resultado do Exercicio Antes IR e CS</v>
      </c>
      <c r="B91" s="67">
        <f ca="1">IFERROR(__xludf.DUMMYFUNCTION("""COMPUTED_VALUE"""),94806.5368586465)</f>
        <v>94806.536858646505</v>
      </c>
      <c r="C91" s="67">
        <f ca="1">IFERROR(__xludf.DUMMYFUNCTION("""COMPUTED_VALUE"""),51694.1814298618)</f>
        <v>51694.181429861797</v>
      </c>
      <c r="D91" s="67">
        <f ca="1">IFERROR(__xludf.DUMMYFUNCTION("""COMPUTED_VALUE"""),111063.825860836)</f>
        <v>111063.825860836</v>
      </c>
      <c r="E91" s="67">
        <f ca="1">IFERROR(__xludf.DUMMYFUNCTION("""COMPUTED_VALUE"""),72645.9767343714)</f>
        <v>72645.976734371405</v>
      </c>
      <c r="F91" s="67">
        <f ca="1">IFERROR(__xludf.DUMMYFUNCTION("""COMPUTED_VALUE"""),113329.549339873)</f>
        <v>113329.549339873</v>
      </c>
      <c r="G91" s="67">
        <f ca="1">IFERROR(__xludf.DUMMYFUNCTION("""COMPUTED_VALUE"""),87033.4867074688)</f>
        <v>87033.486707468794</v>
      </c>
      <c r="H91" s="67">
        <f ca="1">IFERROR(__xludf.DUMMYFUNCTION("""COMPUTED_VALUE"""),119658.973387993)</f>
        <v>119658.973387993</v>
      </c>
      <c r="I91" s="67">
        <f ca="1">IFERROR(__xludf.DUMMYFUNCTION("""COMPUTED_VALUE"""),130446.710809528)</f>
        <v>130446.710809528</v>
      </c>
      <c r="J91" s="67">
        <f ca="1">IFERROR(__xludf.DUMMYFUNCTION("""COMPUTED_VALUE"""),99059.9983495956)</f>
        <v>99059.998349595597</v>
      </c>
      <c r="K91" s="67">
        <f ca="1">IFERROR(__xludf.DUMMYFUNCTION("""COMPUTED_VALUE"""),76346.0472438424)</f>
        <v>76346.047243842404</v>
      </c>
      <c r="L91" s="67">
        <f ca="1">IFERROR(__xludf.DUMMYFUNCTION("""COMPUTED_VALUE"""),117121.439873)</f>
        <v>117121.439873</v>
      </c>
      <c r="M91" s="67">
        <f ca="1">IFERROR(__xludf.DUMMYFUNCTION("""COMPUTED_VALUE"""),110166.143630296)</f>
        <v>110166.14363029601</v>
      </c>
      <c r="N91" s="67">
        <f ca="1">IFERROR(__xludf.DUMMYFUNCTION("""COMPUTED_VALUE"""),1183372.87022531)</f>
        <v>1183372.8702253101</v>
      </c>
    </row>
    <row r="92" spans="1:14">
      <c r="A92" s="26" t="str">
        <f ca="1">IFERROR(__xludf.DUMMYFUNCTION("""COMPUTED_VALUE"""),"IRPJ")</f>
        <v>IRPJ</v>
      </c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28">
        <f ca="1">IFERROR(__xludf.DUMMYFUNCTION("""COMPUTED_VALUE"""),0)</f>
        <v>0</v>
      </c>
    </row>
    <row r="93" spans="1:14">
      <c r="A93" s="26" t="str">
        <f ca="1">IFERROR(__xludf.DUMMYFUNCTION("""COMPUTED_VALUE"""),"Contribuição Social ")</f>
        <v xml:space="preserve">Contribuição Social </v>
      </c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28">
        <f ca="1">IFERROR(__xludf.DUMMYFUNCTION("""COMPUTED_VALUE"""),0)</f>
        <v>0</v>
      </c>
    </row>
    <row r="94" spans="1:14">
      <c r="A94" s="65" t="str">
        <f ca="1">IFERROR(__xludf.DUMMYFUNCTION("""COMPUTED_VALUE"""),"Resultado Após IR e CS")</f>
        <v>Resultado Após IR e CS</v>
      </c>
      <c r="B94" s="67">
        <f ca="1">IFERROR(__xludf.DUMMYFUNCTION("""COMPUTED_VALUE"""),94806.5368586465)</f>
        <v>94806.536858646505</v>
      </c>
      <c r="C94" s="67">
        <f ca="1">IFERROR(__xludf.DUMMYFUNCTION("""COMPUTED_VALUE"""),51694.1814298618)</f>
        <v>51694.181429861797</v>
      </c>
      <c r="D94" s="67">
        <f ca="1">IFERROR(__xludf.DUMMYFUNCTION("""COMPUTED_VALUE"""),111063.825860836)</f>
        <v>111063.825860836</v>
      </c>
      <c r="E94" s="67">
        <f ca="1">IFERROR(__xludf.DUMMYFUNCTION("""COMPUTED_VALUE"""),72645.9767343714)</f>
        <v>72645.976734371405</v>
      </c>
      <c r="F94" s="67">
        <f ca="1">IFERROR(__xludf.DUMMYFUNCTION("""COMPUTED_VALUE"""),113329.549339873)</f>
        <v>113329.549339873</v>
      </c>
      <c r="G94" s="67">
        <f ca="1">IFERROR(__xludf.DUMMYFUNCTION("""COMPUTED_VALUE"""),87033.4867074688)</f>
        <v>87033.486707468794</v>
      </c>
      <c r="H94" s="67">
        <f ca="1">IFERROR(__xludf.DUMMYFUNCTION("""COMPUTED_VALUE"""),119658.973387993)</f>
        <v>119658.973387993</v>
      </c>
      <c r="I94" s="67">
        <f ca="1">IFERROR(__xludf.DUMMYFUNCTION("""COMPUTED_VALUE"""),130446.710809528)</f>
        <v>130446.710809528</v>
      </c>
      <c r="J94" s="67">
        <f ca="1">IFERROR(__xludf.DUMMYFUNCTION("""COMPUTED_VALUE"""),99059.9983495956)</f>
        <v>99059.998349595597</v>
      </c>
      <c r="K94" s="67">
        <f ca="1">IFERROR(__xludf.DUMMYFUNCTION("""COMPUTED_VALUE"""),76346.0472438424)</f>
        <v>76346.047243842404</v>
      </c>
      <c r="L94" s="67">
        <f ca="1">IFERROR(__xludf.DUMMYFUNCTION("""COMPUTED_VALUE"""),117121.439873)</f>
        <v>117121.439873</v>
      </c>
      <c r="M94" s="67">
        <f ca="1">IFERROR(__xludf.DUMMYFUNCTION("""COMPUTED_VALUE"""),110166.143630296)</f>
        <v>110166.14363029601</v>
      </c>
      <c r="N94" s="67">
        <f ca="1">IFERROR(__xludf.DUMMYFUNCTION("""COMPUTED_VALUE"""),1183372.87022531)</f>
        <v>1183372.8702253101</v>
      </c>
    </row>
    <row r="95" spans="1:14">
      <c r="A95" s="26" t="str">
        <f ca="1">IFERROR(__xludf.DUMMYFUNCTION("""COMPUTED_VALUE"""),"Participações")</f>
        <v>Participações</v>
      </c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28">
        <f ca="1">IFERROR(__xludf.DUMMYFUNCTION("""COMPUTED_VALUE"""),0)</f>
        <v>0</v>
      </c>
    </row>
    <row r="96" spans="1:14">
      <c r="A96" s="26" t="str">
        <f ca="1">IFERROR(__xludf.DUMMYFUNCTION("""COMPUTED_VALUE"""),"Empregados")</f>
        <v>Empregados</v>
      </c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28">
        <f ca="1">IFERROR(__xludf.DUMMYFUNCTION("""COMPUTED_VALUE"""),0)</f>
        <v>0</v>
      </c>
    </row>
    <row r="97" spans="1:14">
      <c r="A97" s="26" t="str">
        <f ca="1">IFERROR(__xludf.DUMMYFUNCTION("""COMPUTED_VALUE"""),"Administradores")</f>
        <v>Administradores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28">
        <f ca="1">IFERROR(__xludf.DUMMYFUNCTION("""COMPUTED_VALUE"""),0)</f>
        <v>0</v>
      </c>
    </row>
    <row r="98" spans="1:14">
      <c r="A98" s="65" t="str">
        <f ca="1">IFERROR(__xludf.DUMMYFUNCTION("""COMPUTED_VALUE"""),"Lucro Prejuízo do Exercicio")</f>
        <v>Lucro Prejuízo do Exercicio</v>
      </c>
      <c r="B98" s="67">
        <f ca="1">IFERROR(__xludf.DUMMYFUNCTION("""COMPUTED_VALUE"""),94806.5368586465)</f>
        <v>94806.536858646505</v>
      </c>
      <c r="C98" s="67">
        <f ca="1">IFERROR(__xludf.DUMMYFUNCTION("""COMPUTED_VALUE"""),51694.1814298618)</f>
        <v>51694.181429861797</v>
      </c>
      <c r="D98" s="67">
        <f ca="1">IFERROR(__xludf.DUMMYFUNCTION("""COMPUTED_VALUE"""),111063.825860836)</f>
        <v>111063.825860836</v>
      </c>
      <c r="E98" s="67">
        <f ca="1">IFERROR(__xludf.DUMMYFUNCTION("""COMPUTED_VALUE"""),72645.9767343714)</f>
        <v>72645.976734371405</v>
      </c>
      <c r="F98" s="67">
        <f ca="1">IFERROR(__xludf.DUMMYFUNCTION("""COMPUTED_VALUE"""),113329.549339873)</f>
        <v>113329.549339873</v>
      </c>
      <c r="G98" s="67">
        <f ca="1">IFERROR(__xludf.DUMMYFUNCTION("""COMPUTED_VALUE"""),87033.4867074688)</f>
        <v>87033.486707468794</v>
      </c>
      <c r="H98" s="67">
        <f ca="1">IFERROR(__xludf.DUMMYFUNCTION("""COMPUTED_VALUE"""),119658.973387993)</f>
        <v>119658.973387993</v>
      </c>
      <c r="I98" s="67">
        <f ca="1">IFERROR(__xludf.DUMMYFUNCTION("""COMPUTED_VALUE"""),130446.710809528)</f>
        <v>130446.710809528</v>
      </c>
      <c r="J98" s="67">
        <f ca="1">IFERROR(__xludf.DUMMYFUNCTION("""COMPUTED_VALUE"""),99059.9983495956)</f>
        <v>99059.998349595597</v>
      </c>
      <c r="K98" s="67">
        <f ca="1">IFERROR(__xludf.DUMMYFUNCTION("""COMPUTED_VALUE"""),76346.0472438424)</f>
        <v>76346.047243842404</v>
      </c>
      <c r="L98" s="67">
        <f ca="1">IFERROR(__xludf.DUMMYFUNCTION("""COMPUTED_VALUE"""),117121.439873)</f>
        <v>117121.439873</v>
      </c>
      <c r="M98" s="67">
        <f ca="1">IFERROR(__xludf.DUMMYFUNCTION("""COMPUTED_VALUE"""),110166.143630296)</f>
        <v>110166.14363029601</v>
      </c>
      <c r="N98" s="67">
        <f ca="1">IFERROR(__xludf.DUMMYFUNCTION("""COMPUTED_VALUE"""),1183372.87022531)</f>
        <v>1183372.8702253101</v>
      </c>
    </row>
    <row r="99" spans="1:14">
      <c r="A99" s="59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</row>
    <row r="100" spans="1:14">
      <c r="A100" s="65" t="str">
        <f ca="1">IFERROR(__xludf.DUMMYFUNCTION("""COMPUTED_VALUE"""),"Investimentos")</f>
        <v>Investimentos</v>
      </c>
      <c r="B100" s="67">
        <f ca="1">IFERROR(__xludf.DUMMYFUNCTION("""COMPUTED_VALUE"""),-700)</f>
        <v>-700</v>
      </c>
      <c r="C100" s="67">
        <f ca="1">IFERROR(__xludf.DUMMYFUNCTION("""COMPUTED_VALUE"""),-700)</f>
        <v>-700</v>
      </c>
      <c r="D100" s="67">
        <f ca="1">IFERROR(__xludf.DUMMYFUNCTION("""COMPUTED_VALUE"""),-1150)</f>
        <v>-1150</v>
      </c>
      <c r="E100" s="67">
        <f ca="1">IFERROR(__xludf.DUMMYFUNCTION("""COMPUTED_VALUE"""),-1150)</f>
        <v>-1150</v>
      </c>
      <c r="F100" s="67">
        <f ca="1">IFERROR(__xludf.DUMMYFUNCTION("""COMPUTED_VALUE"""),-1150)</f>
        <v>-1150</v>
      </c>
      <c r="G100" s="67">
        <f ca="1">IFERROR(__xludf.DUMMYFUNCTION("""COMPUTED_VALUE"""),-1150)</f>
        <v>-1150</v>
      </c>
      <c r="H100" s="67">
        <f ca="1">IFERROR(__xludf.DUMMYFUNCTION("""COMPUTED_VALUE"""),-1150)</f>
        <v>-1150</v>
      </c>
      <c r="I100" s="67">
        <f ca="1">IFERROR(__xludf.DUMMYFUNCTION("""COMPUTED_VALUE"""),-1150)</f>
        <v>-1150</v>
      </c>
      <c r="J100" s="67">
        <f ca="1">IFERROR(__xludf.DUMMYFUNCTION("""COMPUTED_VALUE"""),-1150)</f>
        <v>-1150</v>
      </c>
      <c r="K100" s="67">
        <f ca="1">IFERROR(__xludf.DUMMYFUNCTION("""COMPUTED_VALUE"""),-1150)</f>
        <v>-1150</v>
      </c>
      <c r="L100" s="67">
        <f ca="1">IFERROR(__xludf.DUMMYFUNCTION("""COMPUTED_VALUE"""),-1150)</f>
        <v>-1150</v>
      </c>
      <c r="M100" s="67">
        <f ca="1">IFERROR(__xludf.DUMMYFUNCTION("""COMPUTED_VALUE"""),-1150)</f>
        <v>-1150</v>
      </c>
      <c r="N100" s="67">
        <f ca="1">IFERROR(__xludf.DUMMYFUNCTION("""COMPUTED_VALUE"""),-12900)</f>
        <v>-12900</v>
      </c>
    </row>
    <row r="101" spans="1:14">
      <c r="A101" s="26" t="str">
        <f ca="1">IFERROR(__xludf.DUMMYFUNCTION("""COMPUTED_VALUE"""),"Eletrônicos/Eletrodomésticos")</f>
        <v>Eletrônicos/Eletrodomésticos</v>
      </c>
      <c r="B101" s="28">
        <f ca="1">IFERROR(__xludf.DUMMYFUNCTION("""COMPUTED_VALUE"""),-700)</f>
        <v>-700</v>
      </c>
      <c r="C101" s="28">
        <f ca="1">IFERROR(__xludf.DUMMYFUNCTION("""COMPUTED_VALUE"""),-700)</f>
        <v>-700</v>
      </c>
      <c r="D101" s="28">
        <f ca="1">IFERROR(__xludf.DUMMYFUNCTION("""COMPUTED_VALUE"""),-1150)</f>
        <v>-1150</v>
      </c>
      <c r="E101" s="28">
        <f ca="1">IFERROR(__xludf.DUMMYFUNCTION("""COMPUTED_VALUE"""),-1150)</f>
        <v>-1150</v>
      </c>
      <c r="F101" s="28">
        <f ca="1">IFERROR(__xludf.DUMMYFUNCTION("""COMPUTED_VALUE"""),-1150)</f>
        <v>-1150</v>
      </c>
      <c r="G101" s="28">
        <f ca="1">IFERROR(__xludf.DUMMYFUNCTION("""COMPUTED_VALUE"""),-1150)</f>
        <v>-1150</v>
      </c>
      <c r="H101" s="28">
        <f ca="1">IFERROR(__xludf.DUMMYFUNCTION("""COMPUTED_VALUE"""),-1150)</f>
        <v>-1150</v>
      </c>
      <c r="I101" s="28">
        <f ca="1">IFERROR(__xludf.DUMMYFUNCTION("""COMPUTED_VALUE"""),-1150)</f>
        <v>-1150</v>
      </c>
      <c r="J101" s="28">
        <f ca="1">IFERROR(__xludf.DUMMYFUNCTION("""COMPUTED_VALUE"""),-1150)</f>
        <v>-1150</v>
      </c>
      <c r="K101" s="28">
        <f ca="1">IFERROR(__xludf.DUMMYFUNCTION("""COMPUTED_VALUE"""),-1150)</f>
        <v>-1150</v>
      </c>
      <c r="L101" s="28">
        <f ca="1">IFERROR(__xludf.DUMMYFUNCTION("""COMPUTED_VALUE"""),-1150)</f>
        <v>-1150</v>
      </c>
      <c r="M101" s="28">
        <f ca="1">IFERROR(__xludf.DUMMYFUNCTION("""COMPUTED_VALUE"""),-1150)</f>
        <v>-1150</v>
      </c>
      <c r="N101" s="28">
        <f ca="1">IFERROR(__xludf.DUMMYFUNCTION("""COMPUTED_VALUE"""),-12900)</f>
        <v>-12900</v>
      </c>
    </row>
    <row r="102" spans="1:14">
      <c r="A102" s="65" t="str">
        <f ca="1">IFERROR(__xludf.DUMMYFUNCTION("""COMPUTED_VALUE"""),"Resultado Pós Investimento")</f>
        <v>Resultado Pós Investimento</v>
      </c>
      <c r="B102" s="67">
        <f ca="1">IFERROR(__xludf.DUMMYFUNCTION("""COMPUTED_VALUE"""),94106.5368586465)</f>
        <v>94106.536858646505</v>
      </c>
      <c r="C102" s="67">
        <f ca="1">IFERROR(__xludf.DUMMYFUNCTION("""COMPUTED_VALUE"""),50994.1814298618)</f>
        <v>50994.181429861797</v>
      </c>
      <c r="D102" s="67">
        <f ca="1">IFERROR(__xludf.DUMMYFUNCTION("""COMPUTED_VALUE"""),109913.825860836)</f>
        <v>109913.825860836</v>
      </c>
      <c r="E102" s="67">
        <f ca="1">IFERROR(__xludf.DUMMYFUNCTION("""COMPUTED_VALUE"""),71495.9767343714)</f>
        <v>71495.976734371405</v>
      </c>
      <c r="F102" s="67">
        <f ca="1">IFERROR(__xludf.DUMMYFUNCTION("""COMPUTED_VALUE"""),112179.549339873)</f>
        <v>112179.549339873</v>
      </c>
      <c r="G102" s="67">
        <f ca="1">IFERROR(__xludf.DUMMYFUNCTION("""COMPUTED_VALUE"""),85883.4867074688)</f>
        <v>85883.486707468794</v>
      </c>
      <c r="H102" s="67">
        <f ca="1">IFERROR(__xludf.DUMMYFUNCTION("""COMPUTED_VALUE"""),118508.973387993)</f>
        <v>118508.973387993</v>
      </c>
      <c r="I102" s="67">
        <f ca="1">IFERROR(__xludf.DUMMYFUNCTION("""COMPUTED_VALUE"""),129296.710809528)</f>
        <v>129296.710809528</v>
      </c>
      <c r="J102" s="67">
        <f ca="1">IFERROR(__xludf.DUMMYFUNCTION("""COMPUTED_VALUE"""),97909.9983495956)</f>
        <v>97909.998349595597</v>
      </c>
      <c r="K102" s="67">
        <f ca="1">IFERROR(__xludf.DUMMYFUNCTION("""COMPUTED_VALUE"""),75196.0472438424)</f>
        <v>75196.047243842404</v>
      </c>
      <c r="L102" s="67">
        <f ca="1">IFERROR(__xludf.DUMMYFUNCTION("""COMPUTED_VALUE"""),115971.439873)</f>
        <v>115971.439873</v>
      </c>
      <c r="M102" s="67">
        <f ca="1">IFERROR(__xludf.DUMMYFUNCTION("""COMPUTED_VALUE"""),109016.143630296)</f>
        <v>109016.14363029601</v>
      </c>
      <c r="N102" s="67">
        <f ca="1">IFERROR(__xludf.DUMMYFUNCTION("""COMPUTED_VALUE"""),1170472.87022531)</f>
        <v>1170472.8702253101</v>
      </c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DRE 2026</vt:lpstr>
      <vt:lpstr>ORÇADO X REALIZADO</vt:lpstr>
      <vt:lpstr>DRE 2025 </vt:lpstr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Meireles</cp:lastModifiedBy>
  <dcterms:modified xsi:type="dcterms:W3CDTF">2026-10-05T12:34:52Z</dcterms:modified>
</cp:coreProperties>
</file>